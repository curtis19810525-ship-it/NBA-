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urti\OneDrive\MLB26\"/>
    </mc:Choice>
  </mc:AlternateContent>
  <xr:revisionPtr revIDLastSave="0" documentId="13_ncr:1_{C3CF7EDC-8743-42A5-8C04-866A68C0AABD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總表" sheetId="1" r:id="rId1"/>
    <sheet name="數據分析" sheetId="2" r:id="rId2"/>
    <sheet name="每日數據" sheetId="3" r:id="rId3"/>
    <sheet name="正負盤" sheetId="4" r:id="rId4"/>
    <sheet name="各隊正負" sheetId="5" r:id="rId5"/>
    <sheet name="球員狀態" sheetId="6" r:id="rId6"/>
    <sheet name="各隊total" sheetId="7" r:id="rId7"/>
    <sheet name="球員傷兵" sheetId="8" r:id="rId8"/>
    <sheet name="先發名單" sheetId="9" r:id="rId9"/>
    <sheet name="姓名對照表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W297" i="5" l="1"/>
  <c r="IV297" i="5"/>
  <c r="IU297" i="5"/>
  <c r="IT297" i="5"/>
  <c r="IS297" i="5"/>
  <c r="IR297" i="5"/>
  <c r="IQ297" i="5"/>
  <c r="IP297" i="5"/>
  <c r="IO297" i="5"/>
  <c r="IN297" i="5"/>
  <c r="C297" i="5"/>
  <c r="B297" i="5"/>
  <c r="C295" i="5"/>
  <c r="B295" i="5"/>
  <c r="B294" i="5" a="1"/>
  <c r="B294" i="5" s="1"/>
  <c r="B293" i="5" a="1"/>
  <c r="B293" i="5" s="1"/>
  <c r="IW287" i="5"/>
  <c r="IV287" i="5"/>
  <c r="IU287" i="5"/>
  <c r="IT287" i="5"/>
  <c r="IS287" i="5"/>
  <c r="IR287" i="5"/>
  <c r="IQ287" i="5"/>
  <c r="IP287" i="5"/>
  <c r="IO287" i="5"/>
  <c r="IN287" i="5"/>
  <c r="C287" i="5"/>
  <c r="B287" i="5"/>
  <c r="C285" i="5"/>
  <c r="B285" i="5"/>
  <c r="B284" i="5" a="1"/>
  <c r="B284" i="5" s="1"/>
  <c r="B283" i="5" a="1"/>
  <c r="B283" i="5" s="1"/>
  <c r="IW277" i="5"/>
  <c r="IV277" i="5"/>
  <c r="IU277" i="5"/>
  <c r="IT277" i="5"/>
  <c r="IS277" i="5"/>
  <c r="IR277" i="5"/>
  <c r="IQ277" i="5"/>
  <c r="IP277" i="5"/>
  <c r="IO277" i="5"/>
  <c r="IN277" i="5"/>
  <c r="C277" i="5"/>
  <c r="B277" i="5"/>
  <c r="C275" i="5"/>
  <c r="B275" i="5"/>
  <c r="B274" i="5" a="1"/>
  <c r="B274" i="5" s="1"/>
  <c r="B273" i="5" a="1"/>
  <c r="B273" i="5" s="1"/>
  <c r="IW267" i="5"/>
  <c r="IV267" i="5"/>
  <c r="IU267" i="5"/>
  <c r="IT267" i="5"/>
  <c r="IS267" i="5"/>
  <c r="IR267" i="5"/>
  <c r="IQ267" i="5"/>
  <c r="IP267" i="5"/>
  <c r="IO267" i="5"/>
  <c r="IN267" i="5"/>
  <c r="C267" i="5"/>
  <c r="B267" i="5"/>
  <c r="C265" i="5"/>
  <c r="B265" i="5"/>
  <c r="B264" i="5" a="1"/>
  <c r="B264" i="5" s="1"/>
  <c r="B263" i="5" a="1"/>
  <c r="B263" i="5" s="1"/>
  <c r="IW257" i="5"/>
  <c r="IV257" i="5"/>
  <c r="IU257" i="5"/>
  <c r="IT257" i="5"/>
  <c r="IS257" i="5"/>
  <c r="IR257" i="5"/>
  <c r="IQ257" i="5"/>
  <c r="IP257" i="5"/>
  <c r="IO257" i="5"/>
  <c r="IN257" i="5"/>
  <c r="C257" i="5"/>
  <c r="B257" i="5"/>
  <c r="C255" i="5"/>
  <c r="B255" i="5"/>
  <c r="B254" i="5" a="1"/>
  <c r="B254" i="5" s="1"/>
  <c r="B253" i="5" a="1"/>
  <c r="B253" i="5" s="1"/>
  <c r="IW247" i="5"/>
  <c r="IV247" i="5"/>
  <c r="IU247" i="5"/>
  <c r="IT247" i="5"/>
  <c r="IS247" i="5"/>
  <c r="IR247" i="5"/>
  <c r="IQ247" i="5"/>
  <c r="IP247" i="5"/>
  <c r="IO247" i="5"/>
  <c r="IN247" i="5"/>
  <c r="C247" i="5"/>
  <c r="B247" i="5"/>
  <c r="C245" i="5"/>
  <c r="B245" i="5"/>
  <c r="B244" i="5" a="1"/>
  <c r="B244" i="5" s="1"/>
  <c r="B243" i="5" a="1"/>
  <c r="B243" i="5" s="1"/>
  <c r="IW237" i="5"/>
  <c r="IV237" i="5"/>
  <c r="IU237" i="5"/>
  <c r="IT237" i="5"/>
  <c r="IS237" i="5"/>
  <c r="IR237" i="5"/>
  <c r="IQ237" i="5"/>
  <c r="IP237" i="5"/>
  <c r="IO237" i="5"/>
  <c r="IN237" i="5"/>
  <c r="C237" i="5"/>
  <c r="B237" i="5"/>
  <c r="C235" i="5"/>
  <c r="B235" i="5"/>
  <c r="B234" i="5" a="1"/>
  <c r="B234" i="5" s="1"/>
  <c r="B233" i="5" a="1"/>
  <c r="B233" i="5" s="1"/>
  <c r="IW227" i="5"/>
  <c r="IV227" i="5"/>
  <c r="IU227" i="5"/>
  <c r="IT227" i="5"/>
  <c r="IS227" i="5"/>
  <c r="IR227" i="5"/>
  <c r="IQ227" i="5"/>
  <c r="IP227" i="5"/>
  <c r="IO227" i="5"/>
  <c r="IN227" i="5"/>
  <c r="C227" i="5"/>
  <c r="B227" i="5"/>
  <c r="C225" i="5"/>
  <c r="B225" i="5"/>
  <c r="B224" i="5" a="1"/>
  <c r="B224" i="5" s="1"/>
  <c r="B223" i="5" a="1"/>
  <c r="B223" i="5" s="1"/>
  <c r="IW217" i="5"/>
  <c r="IV217" i="5"/>
  <c r="IU217" i="5"/>
  <c r="IT217" i="5"/>
  <c r="IS217" i="5"/>
  <c r="IR217" i="5"/>
  <c r="IQ217" i="5"/>
  <c r="IP217" i="5"/>
  <c r="IO217" i="5"/>
  <c r="IN217" i="5"/>
  <c r="C217" i="5"/>
  <c r="B217" i="5"/>
  <c r="C215" i="5"/>
  <c r="B215" i="5"/>
  <c r="B214" i="5" a="1"/>
  <c r="B214" i="5" s="1"/>
  <c r="B213" i="5" a="1"/>
  <c r="B213" i="5" s="1"/>
  <c r="IW207" i="5"/>
  <c r="IV207" i="5"/>
  <c r="IU207" i="5"/>
  <c r="IT207" i="5"/>
  <c r="IS207" i="5"/>
  <c r="IR207" i="5"/>
  <c r="IQ207" i="5"/>
  <c r="IP207" i="5"/>
  <c r="IO207" i="5"/>
  <c r="IN207" i="5"/>
  <c r="C207" i="5"/>
  <c r="B207" i="5"/>
  <c r="C205" i="5"/>
  <c r="B205" i="5"/>
  <c r="B204" i="5" a="1"/>
  <c r="B204" i="5" s="1"/>
  <c r="B203" i="5" a="1"/>
  <c r="B203" i="5" s="1"/>
  <c r="IW197" i="5"/>
  <c r="IV197" i="5"/>
  <c r="IU197" i="5"/>
  <c r="IT197" i="5"/>
  <c r="IS197" i="5"/>
  <c r="IR197" i="5"/>
  <c r="IQ197" i="5"/>
  <c r="IP197" i="5"/>
  <c r="IO197" i="5"/>
  <c r="IN197" i="5"/>
  <c r="C197" i="5"/>
  <c r="B197" i="5"/>
  <c r="C195" i="5"/>
  <c r="B195" i="5"/>
  <c r="B194" i="5" a="1"/>
  <c r="B194" i="5" s="1"/>
  <c r="B193" i="5" a="1"/>
  <c r="B193" i="5" s="1"/>
  <c r="IW187" i="5"/>
  <c r="IV187" i="5"/>
  <c r="IU187" i="5"/>
  <c r="IT187" i="5"/>
  <c r="IS187" i="5"/>
  <c r="IR187" i="5"/>
  <c r="IQ187" i="5"/>
  <c r="IP187" i="5"/>
  <c r="IO187" i="5"/>
  <c r="IN187" i="5"/>
  <c r="C187" i="5"/>
  <c r="B187" i="5"/>
  <c r="C185" i="5"/>
  <c r="B185" i="5"/>
  <c r="B184" i="5" a="1"/>
  <c r="B184" i="5" s="1"/>
  <c r="B183" i="5" a="1"/>
  <c r="B183" i="5" s="1"/>
  <c r="IW177" i="5"/>
  <c r="IV177" i="5"/>
  <c r="IU177" i="5"/>
  <c r="IT177" i="5"/>
  <c r="IS177" i="5"/>
  <c r="IR177" i="5"/>
  <c r="IQ177" i="5"/>
  <c r="IP177" i="5"/>
  <c r="IO177" i="5"/>
  <c r="IN177" i="5"/>
  <c r="C177" i="5"/>
  <c r="B177" i="5"/>
  <c r="C175" i="5"/>
  <c r="B175" i="5"/>
  <c r="B174" i="5" a="1"/>
  <c r="B174" i="5" s="1"/>
  <c r="B173" i="5" a="1"/>
  <c r="B173" i="5" s="1"/>
  <c r="IW167" i="5"/>
  <c r="IV167" i="5"/>
  <c r="IU167" i="5"/>
  <c r="IT167" i="5"/>
  <c r="IS167" i="5"/>
  <c r="IR167" i="5"/>
  <c r="IQ167" i="5"/>
  <c r="IP167" i="5"/>
  <c r="IO167" i="5"/>
  <c r="IN167" i="5"/>
  <c r="C167" i="5"/>
  <c r="B167" i="5"/>
  <c r="C165" i="5"/>
  <c r="B165" i="5"/>
  <c r="B164" i="5" a="1"/>
  <c r="B164" i="5" s="1"/>
  <c r="B163" i="5" a="1"/>
  <c r="B163" i="5" s="1"/>
  <c r="IW157" i="5"/>
  <c r="IV157" i="5"/>
  <c r="IU157" i="5"/>
  <c r="IT157" i="5"/>
  <c r="IS157" i="5"/>
  <c r="IR157" i="5"/>
  <c r="IQ157" i="5"/>
  <c r="IP157" i="5"/>
  <c r="IO157" i="5"/>
  <c r="IN157" i="5"/>
  <c r="C157" i="5"/>
  <c r="B157" i="5"/>
  <c r="C155" i="5"/>
  <c r="B155" i="5"/>
  <c r="B154" i="5" a="1"/>
  <c r="B154" i="5" s="1"/>
  <c r="B153" i="5" a="1"/>
  <c r="B153" i="5" s="1"/>
  <c r="IW147" i="5"/>
  <c r="IV147" i="5"/>
  <c r="IU147" i="5"/>
  <c r="IT147" i="5"/>
  <c r="IS147" i="5"/>
  <c r="IR147" i="5"/>
  <c r="IQ147" i="5"/>
  <c r="IP147" i="5"/>
  <c r="IO147" i="5"/>
  <c r="IN147" i="5"/>
  <c r="C147" i="5"/>
  <c r="B147" i="5"/>
  <c r="C145" i="5"/>
  <c r="B145" i="5"/>
  <c r="B144" i="5" a="1"/>
  <c r="B144" i="5" s="1"/>
  <c r="B143" i="5" a="1"/>
  <c r="B143" i="5" s="1"/>
  <c r="IW137" i="5"/>
  <c r="IV137" i="5"/>
  <c r="IU137" i="5"/>
  <c r="IT137" i="5"/>
  <c r="IS137" i="5"/>
  <c r="IR137" i="5"/>
  <c r="IQ137" i="5"/>
  <c r="IP137" i="5"/>
  <c r="IO137" i="5"/>
  <c r="IN137" i="5"/>
  <c r="C137" i="5"/>
  <c r="B137" i="5"/>
  <c r="C135" i="5"/>
  <c r="B135" i="5"/>
  <c r="B134" i="5" a="1"/>
  <c r="B134" i="5" s="1"/>
  <c r="B133" i="5" a="1"/>
  <c r="B133" i="5" s="1"/>
  <c r="IW127" i="5"/>
  <c r="IV127" i="5"/>
  <c r="IU127" i="5"/>
  <c r="IT127" i="5"/>
  <c r="IS127" i="5"/>
  <c r="IR127" i="5"/>
  <c r="IQ127" i="5"/>
  <c r="IP127" i="5"/>
  <c r="IO127" i="5"/>
  <c r="IN127" i="5"/>
  <c r="C127" i="5"/>
  <c r="B127" i="5"/>
  <c r="C125" i="5"/>
  <c r="B125" i="5"/>
  <c r="B124" i="5" a="1"/>
  <c r="B124" i="5" s="1"/>
  <c r="B123" i="5" a="1"/>
  <c r="B123" i="5" s="1"/>
  <c r="IW117" i="5"/>
  <c r="IV117" i="5"/>
  <c r="IU117" i="5"/>
  <c r="IT117" i="5"/>
  <c r="IS117" i="5"/>
  <c r="IR117" i="5"/>
  <c r="IQ117" i="5"/>
  <c r="IP117" i="5"/>
  <c r="IO117" i="5"/>
  <c r="IN117" i="5"/>
  <c r="C117" i="5"/>
  <c r="B117" i="5"/>
  <c r="C115" i="5"/>
  <c r="B115" i="5"/>
  <c r="B114" i="5" a="1"/>
  <c r="B114" i="5" s="1"/>
  <c r="B113" i="5" a="1"/>
  <c r="B113" i="5" s="1"/>
  <c r="IW107" i="5"/>
  <c r="IV107" i="5"/>
  <c r="IU107" i="5"/>
  <c r="IT107" i="5"/>
  <c r="IS107" i="5"/>
  <c r="IR107" i="5"/>
  <c r="IQ107" i="5"/>
  <c r="IP107" i="5"/>
  <c r="IO107" i="5"/>
  <c r="IN107" i="5"/>
  <c r="C107" i="5"/>
  <c r="B107" i="5"/>
  <c r="C105" i="5"/>
  <c r="B105" i="5"/>
  <c r="B104" i="5" a="1"/>
  <c r="B104" i="5" s="1"/>
  <c r="B103" i="5" a="1"/>
  <c r="B103" i="5" s="1"/>
  <c r="IW97" i="5"/>
  <c r="IV97" i="5"/>
  <c r="IU97" i="5"/>
  <c r="IT97" i="5"/>
  <c r="IS97" i="5"/>
  <c r="IR97" i="5"/>
  <c r="IQ97" i="5"/>
  <c r="IP97" i="5"/>
  <c r="IO97" i="5"/>
  <c r="IN97" i="5"/>
  <c r="C97" i="5"/>
  <c r="B97" i="5"/>
  <c r="C95" i="5"/>
  <c r="B95" i="5"/>
  <c r="B94" i="5" a="1"/>
  <c r="B94" i="5" s="1"/>
  <c r="B93" i="5" a="1"/>
  <c r="B93" i="5" s="1"/>
  <c r="IW87" i="5"/>
  <c r="IV87" i="5"/>
  <c r="IU87" i="5"/>
  <c r="IT87" i="5"/>
  <c r="IS87" i="5"/>
  <c r="IR87" i="5"/>
  <c r="IQ87" i="5"/>
  <c r="IP87" i="5"/>
  <c r="IO87" i="5"/>
  <c r="IN87" i="5"/>
  <c r="C87" i="5"/>
  <c r="B87" i="5"/>
  <c r="C85" i="5"/>
  <c r="B85" i="5"/>
  <c r="B84" i="5" a="1"/>
  <c r="B84" i="5" s="1"/>
  <c r="B83" i="5" a="1"/>
  <c r="B83" i="5" s="1"/>
  <c r="IW77" i="5"/>
  <c r="IV77" i="5"/>
  <c r="IU77" i="5"/>
  <c r="IT77" i="5"/>
  <c r="IS77" i="5"/>
  <c r="IR77" i="5"/>
  <c r="IQ77" i="5"/>
  <c r="IP77" i="5"/>
  <c r="IO77" i="5"/>
  <c r="IN77" i="5"/>
  <c r="C77" i="5"/>
  <c r="B77" i="5"/>
  <c r="C75" i="5"/>
  <c r="B75" i="5"/>
  <c r="B74" i="5" a="1"/>
  <c r="B74" i="5" s="1"/>
  <c r="IW67" i="5"/>
  <c r="IV67" i="5"/>
  <c r="IU67" i="5"/>
  <c r="IT67" i="5"/>
  <c r="IS67" i="5"/>
  <c r="IR67" i="5"/>
  <c r="IQ67" i="5"/>
  <c r="IP67" i="5"/>
  <c r="IO67" i="5"/>
  <c r="IN67" i="5"/>
  <c r="C67" i="5"/>
  <c r="B67" i="5"/>
  <c r="C65" i="5"/>
  <c r="B65" i="5"/>
  <c r="B64" i="5" a="1"/>
  <c r="B64" i="5" s="1"/>
  <c r="B63" i="5" a="1"/>
  <c r="B63" i="5" s="1"/>
  <c r="IW57" i="5"/>
  <c r="IV57" i="5"/>
  <c r="IU57" i="5"/>
  <c r="IT57" i="5"/>
  <c r="IS57" i="5"/>
  <c r="IR57" i="5"/>
  <c r="IQ57" i="5"/>
  <c r="IP57" i="5"/>
  <c r="IO57" i="5"/>
  <c r="IN57" i="5"/>
  <c r="C57" i="5"/>
  <c r="B57" i="5"/>
  <c r="C55" i="5"/>
  <c r="B55" i="5"/>
  <c r="B54" i="5" a="1"/>
  <c r="B54" i="5" s="1"/>
  <c r="B53" i="5" a="1"/>
  <c r="B53" i="5" s="1"/>
  <c r="IW47" i="5"/>
  <c r="IV47" i="5"/>
  <c r="IU47" i="5"/>
  <c r="IT47" i="5"/>
  <c r="IS47" i="5"/>
  <c r="IR47" i="5"/>
  <c r="IQ47" i="5"/>
  <c r="IP47" i="5"/>
  <c r="IO47" i="5"/>
  <c r="IN47" i="5"/>
  <c r="C47" i="5"/>
  <c r="B47" i="5"/>
  <c r="C45" i="5"/>
  <c r="B45" i="5"/>
  <c r="B44" i="5" a="1"/>
  <c r="B44" i="5" s="1"/>
  <c r="B43" i="5" a="1"/>
  <c r="B43" i="5" s="1"/>
  <c r="IW37" i="5"/>
  <c r="IV37" i="5"/>
  <c r="IU37" i="5"/>
  <c r="IT37" i="5"/>
  <c r="IS37" i="5"/>
  <c r="IR37" i="5"/>
  <c r="IQ37" i="5"/>
  <c r="IP37" i="5"/>
  <c r="IO37" i="5"/>
  <c r="IN37" i="5"/>
  <c r="C37" i="5"/>
  <c r="B37" i="5"/>
  <c r="C35" i="5"/>
  <c r="B35" i="5"/>
  <c r="B34" i="5" a="1"/>
  <c r="B34" i="5" s="1"/>
  <c r="B33" i="5" a="1"/>
  <c r="B33" i="5" s="1"/>
  <c r="IW27" i="5"/>
  <c r="IV27" i="5"/>
  <c r="IU27" i="5"/>
  <c r="IT27" i="5"/>
  <c r="IS27" i="5"/>
  <c r="IR27" i="5"/>
  <c r="IQ27" i="5"/>
  <c r="IP27" i="5"/>
  <c r="IO27" i="5"/>
  <c r="IN27" i="5"/>
  <c r="C27" i="5"/>
  <c r="B27" i="5"/>
  <c r="C25" i="5"/>
  <c r="B25" i="5"/>
  <c r="B24" i="5" a="1"/>
  <c r="B24" i="5" s="1"/>
  <c r="B23" i="5" a="1"/>
  <c r="B23" i="5" s="1"/>
  <c r="IW17" i="5"/>
  <c r="IV17" i="5"/>
  <c r="IU17" i="5"/>
  <c r="IT17" i="5"/>
  <c r="IS17" i="5"/>
  <c r="IR17" i="5"/>
  <c r="IQ17" i="5"/>
  <c r="IP17" i="5"/>
  <c r="IO17" i="5"/>
  <c r="IN17" i="5"/>
  <c r="C17" i="5"/>
  <c r="B17" i="5"/>
  <c r="C15" i="5"/>
  <c r="B15" i="5"/>
  <c r="B14" i="5" a="1"/>
  <c r="B14" i="5" s="1"/>
  <c r="B13" i="5" a="1"/>
  <c r="B13" i="5" s="1"/>
  <c r="IW7" i="5"/>
  <c r="IV7" i="5"/>
  <c r="IU7" i="5"/>
  <c r="IT7" i="5"/>
  <c r="IS7" i="5"/>
  <c r="IR7" i="5"/>
  <c r="IQ7" i="5"/>
  <c r="IP7" i="5"/>
  <c r="IO7" i="5"/>
  <c r="IN7" i="5"/>
  <c r="C7" i="5"/>
  <c r="B7" i="5"/>
  <c r="C5" i="5"/>
  <c r="B5" i="5"/>
  <c r="B4" i="5" a="1"/>
  <c r="B4" i="5" s="1"/>
  <c r="B3" i="5" a="1"/>
  <c r="B3" i="5" s="1"/>
  <c r="EI356" i="2"/>
  <c r="DF356" i="2"/>
  <c r="EI354" i="2"/>
  <c r="DF354" i="2"/>
  <c r="EI352" i="2"/>
  <c r="DF352" i="2"/>
  <c r="EI350" i="2"/>
  <c r="DF350" i="2"/>
  <c r="EI348" i="2"/>
  <c r="DF348" i="2"/>
  <c r="EI346" i="2"/>
  <c r="DF346" i="2"/>
  <c r="EI344" i="2"/>
  <c r="DF344" i="2"/>
  <c r="EI342" i="2"/>
  <c r="DF342" i="2"/>
  <c r="EI340" i="2"/>
  <c r="DF340" i="2"/>
  <c r="EI338" i="2"/>
  <c r="DF338" i="2"/>
  <c r="EI336" i="2"/>
  <c r="DF336" i="2"/>
  <c r="EI334" i="2"/>
  <c r="DF334" i="2"/>
  <c r="EI332" i="2"/>
  <c r="DF332" i="2"/>
  <c r="EI326" i="2"/>
  <c r="DG326" i="2" a="1"/>
  <c r="DG326" i="2" s="1"/>
  <c r="DF326" i="2"/>
  <c r="EI324" i="2"/>
  <c r="DF324" i="2"/>
  <c r="DG324" i="2" s="1" a="1"/>
  <c r="DG324" i="2" s="1"/>
  <c r="EI322" i="2"/>
  <c r="DG322" i="2" a="1"/>
  <c r="DG322" i="2" s="1"/>
  <c r="DF322" i="2"/>
  <c r="EI320" i="2"/>
  <c r="DG320" i="2" a="1"/>
  <c r="DG320" i="2" s="1"/>
  <c r="DF320" i="2"/>
  <c r="EI318" i="2"/>
  <c r="DF318" i="2"/>
  <c r="DG318" i="2" s="1" a="1"/>
  <c r="DG318" i="2" s="1"/>
  <c r="EI316" i="2"/>
  <c r="DG316" i="2" a="1"/>
  <c r="DG316" i="2"/>
  <c r="DF316" i="2"/>
  <c r="EI314" i="2"/>
  <c r="DF314" i="2"/>
  <c r="DG314" i="2" s="1" a="1"/>
  <c r="DG314" i="2" s="1"/>
  <c r="EI312" i="2"/>
  <c r="DG312" i="2" a="1"/>
  <c r="DG312" i="2" s="1"/>
  <c r="DF312" i="2"/>
  <c r="EI310" i="2"/>
  <c r="DG310" i="2" a="1"/>
  <c r="DG310" i="2" s="1"/>
  <c r="DF310" i="2"/>
  <c r="EI308" i="2"/>
  <c r="DF308" i="2"/>
  <c r="DG308" i="2" s="1" a="1"/>
  <c r="DG308" i="2" s="1"/>
  <c r="EI306" i="2"/>
  <c r="DG306" i="2" a="1"/>
  <c r="DG306" i="2" s="1"/>
  <c r="DF306" i="2"/>
  <c r="EI304" i="2"/>
  <c r="DG304" i="2" a="1"/>
  <c r="DG304" i="2" s="1"/>
  <c r="DF304" i="2"/>
  <c r="EI302" i="2"/>
  <c r="DF302" i="2"/>
  <c r="DG302" i="2" s="1" a="1"/>
  <c r="DG302" i="2" s="1"/>
  <c r="EI296" i="2"/>
  <c r="DF296" i="2"/>
  <c r="EI294" i="2"/>
  <c r="DF294" i="2"/>
  <c r="EI292" i="2"/>
  <c r="DF292" i="2"/>
  <c r="EI290" i="2"/>
  <c r="DF290" i="2"/>
  <c r="EI288" i="2"/>
  <c r="DF288" i="2"/>
  <c r="EI286" i="2"/>
  <c r="DF286" i="2"/>
  <c r="EI284" i="2"/>
  <c r="DF284" i="2"/>
  <c r="EI282" i="2"/>
  <c r="DF282" i="2"/>
  <c r="EI280" i="2"/>
  <c r="DF280" i="2"/>
  <c r="EI278" i="2"/>
  <c r="DF278" i="2"/>
  <c r="EI276" i="2"/>
  <c r="DF276" i="2"/>
  <c r="EI274" i="2"/>
  <c r="DF274" i="2"/>
  <c r="EI272" i="2"/>
  <c r="DF272" i="2"/>
  <c r="EI266" i="2"/>
  <c r="DF266" i="2"/>
  <c r="EI264" i="2"/>
  <c r="DF264" i="2"/>
  <c r="EI262" i="2"/>
  <c r="DF262" i="2"/>
  <c r="EI260" i="2"/>
  <c r="DF260" i="2"/>
  <c r="EI258" i="2"/>
  <c r="DF258" i="2"/>
  <c r="EI256" i="2"/>
  <c r="DF256" i="2"/>
  <c r="EI254" i="2"/>
  <c r="DF254" i="2"/>
  <c r="EI252" i="2"/>
  <c r="DF252" i="2"/>
  <c r="EI250" i="2"/>
  <c r="DF250" i="2"/>
  <c r="EI248" i="2"/>
  <c r="DF248" i="2"/>
  <c r="EI246" i="2"/>
  <c r="DF246" i="2"/>
  <c r="EI244" i="2"/>
  <c r="DF244" i="2"/>
  <c r="EI242" i="2"/>
  <c r="DF242" i="2"/>
  <c r="EI236" i="2"/>
  <c r="DF236" i="2"/>
  <c r="EI234" i="2"/>
  <c r="DF234" i="2"/>
  <c r="EI232" i="2"/>
  <c r="DF232" i="2"/>
  <c r="EI230" i="2"/>
  <c r="DF230" i="2"/>
  <c r="EI228" i="2"/>
  <c r="DF228" i="2"/>
  <c r="EI226" i="2"/>
  <c r="DF226" i="2"/>
  <c r="EI224" i="2"/>
  <c r="DF224" i="2"/>
  <c r="EI222" i="2"/>
  <c r="DF222" i="2"/>
  <c r="EI220" i="2"/>
  <c r="DF220" i="2"/>
  <c r="EI218" i="2"/>
  <c r="DF218" i="2"/>
  <c r="EI216" i="2"/>
  <c r="DF216" i="2"/>
  <c r="EI214" i="2"/>
  <c r="DF214" i="2"/>
  <c r="EI212" i="2"/>
  <c r="DF212" i="2"/>
  <c r="EI206" i="2"/>
  <c r="DF206" i="2"/>
  <c r="EI204" i="2"/>
  <c r="DF204" i="2"/>
  <c r="EI202" i="2"/>
  <c r="DF202" i="2"/>
  <c r="EI200" i="2"/>
  <c r="DF200" i="2"/>
  <c r="EI198" i="2"/>
  <c r="DF198" i="2"/>
  <c r="EI196" i="2"/>
  <c r="DF196" i="2"/>
  <c r="EI194" i="2"/>
  <c r="DF194" i="2"/>
  <c r="EI192" i="2"/>
  <c r="DF192" i="2"/>
  <c r="EI190" i="2"/>
  <c r="DF190" i="2"/>
  <c r="EI188" i="2"/>
  <c r="DF188" i="2"/>
  <c r="EI186" i="2"/>
  <c r="DF186" i="2"/>
  <c r="EI184" i="2"/>
  <c r="DF184" i="2"/>
  <c r="EI182" i="2"/>
  <c r="DF182" i="2"/>
  <c r="EI176" i="2"/>
  <c r="DF176" i="2"/>
  <c r="EI174" i="2"/>
  <c r="DF174" i="2"/>
  <c r="EI172" i="2"/>
  <c r="DF172" i="2"/>
  <c r="EI170" i="2"/>
  <c r="DF170" i="2"/>
  <c r="EI168" i="2"/>
  <c r="DF168" i="2"/>
  <c r="EI166" i="2"/>
  <c r="DF166" i="2"/>
  <c r="EI164" i="2"/>
  <c r="DF164" i="2"/>
  <c r="EI162" i="2"/>
  <c r="DF162" i="2"/>
  <c r="EI160" i="2"/>
  <c r="DF160" i="2"/>
  <c r="EI158" i="2"/>
  <c r="DF158" i="2"/>
  <c r="EI156" i="2"/>
  <c r="DF156" i="2"/>
  <c r="EI154" i="2"/>
  <c r="DF154" i="2"/>
  <c r="EI152" i="2"/>
  <c r="DF152" i="2"/>
  <c r="EI146" i="2"/>
  <c r="DF146" i="2"/>
  <c r="EI144" i="2"/>
  <c r="DF144" i="2"/>
  <c r="EI142" i="2"/>
  <c r="DF142" i="2"/>
  <c r="EI140" i="2"/>
  <c r="DF140" i="2"/>
  <c r="EI138" i="2"/>
  <c r="DF138" i="2"/>
  <c r="EI136" i="2"/>
  <c r="DF136" i="2"/>
  <c r="EI134" i="2"/>
  <c r="DF134" i="2"/>
  <c r="EI132" i="2"/>
  <c r="DF132" i="2"/>
  <c r="EI130" i="2"/>
  <c r="DF130" i="2"/>
  <c r="EI128" i="2"/>
  <c r="DF128" i="2"/>
  <c r="EI126" i="2"/>
  <c r="DF126" i="2"/>
  <c r="EI124" i="2"/>
  <c r="DF124" i="2"/>
  <c r="EI122" i="2"/>
  <c r="DF122" i="2"/>
  <c r="EI116" i="2"/>
  <c r="DF116" i="2"/>
  <c r="EI114" i="2"/>
  <c r="DF114" i="2"/>
  <c r="EI112" i="2"/>
  <c r="DF112" i="2"/>
  <c r="EI110" i="2"/>
  <c r="DF110" i="2"/>
  <c r="EI108" i="2"/>
  <c r="DF108" i="2"/>
  <c r="EI106" i="2"/>
  <c r="DF106" i="2"/>
  <c r="EI104" i="2"/>
  <c r="DF104" i="2"/>
  <c r="EI102" i="2"/>
  <c r="DF102" i="2"/>
  <c r="EI100" i="2"/>
  <c r="DF100" i="2"/>
  <c r="EI98" i="2"/>
  <c r="DF98" i="2"/>
  <c r="EI96" i="2"/>
  <c r="DF96" i="2"/>
  <c r="EI94" i="2"/>
  <c r="DF94" i="2"/>
  <c r="EI92" i="2"/>
  <c r="DF92" i="2"/>
  <c r="EI86" i="2"/>
  <c r="DF86" i="2"/>
  <c r="EI84" i="2"/>
  <c r="DF84" i="2"/>
  <c r="EI82" i="2"/>
  <c r="DF82" i="2"/>
  <c r="EI80" i="2"/>
  <c r="DF80" i="2"/>
  <c r="EI78" i="2"/>
  <c r="DF78" i="2"/>
  <c r="EI76" i="2"/>
  <c r="DF76" i="2"/>
  <c r="EI74" i="2"/>
  <c r="DF74" i="2"/>
  <c r="EI72" i="2"/>
  <c r="DF72" i="2"/>
  <c r="EI70" i="2"/>
  <c r="DF70" i="2"/>
  <c r="EI68" i="2"/>
  <c r="DF68" i="2"/>
  <c r="EI66" i="2"/>
  <c r="DF66" i="2"/>
  <c r="EI64" i="2"/>
  <c r="DF64" i="2"/>
  <c r="EI62" i="2"/>
  <c r="DF62" i="2"/>
  <c r="EI56" i="2"/>
  <c r="DF56" i="2"/>
  <c r="EI54" i="2"/>
  <c r="DF54" i="2"/>
  <c r="EI52" i="2"/>
  <c r="DF52" i="2"/>
  <c r="EI50" i="2"/>
  <c r="DF50" i="2"/>
  <c r="EI48" i="2"/>
  <c r="DF48" i="2"/>
  <c r="EI46" i="2"/>
  <c r="DF46" i="2"/>
  <c r="EI44" i="2"/>
  <c r="DF44" i="2"/>
  <c r="EI42" i="2"/>
  <c r="DF42" i="2"/>
  <c r="EI40" i="2"/>
  <c r="DF40" i="2"/>
  <c r="EI38" i="2"/>
  <c r="DF38" i="2"/>
  <c r="EI36" i="2"/>
  <c r="DF36" i="2"/>
  <c r="EI34" i="2"/>
  <c r="DF34" i="2"/>
  <c r="AF33" i="2"/>
  <c r="BB33" i="2" s="1" a="1"/>
  <c r="BB33" i="2" s="1"/>
  <c r="CU64" i="2" s="1"/>
  <c r="CU65" i="2" s="1"/>
  <c r="W33" i="2"/>
  <c r="EI32" i="2"/>
  <c r="DF32" i="2"/>
  <c r="BH32" i="2" a="1"/>
  <c r="BH32" i="2" s="1"/>
  <c r="DA62" i="2" s="1"/>
  <c r="DA63" i="2" s="1"/>
  <c r="AY32" i="2" a="1"/>
  <c r="AY32" i="2" s="1"/>
  <c r="CR62" i="2" s="1"/>
  <c r="CR63" i="2" s="1"/>
  <c r="AP32" i="2" a="1"/>
  <c r="AP32" i="2" s="1"/>
  <c r="CI62" i="2" s="1"/>
  <c r="AF32" i="2"/>
  <c r="CB62" i="2" s="1"/>
  <c r="W32" i="2"/>
  <c r="AB32" i="2" s="1" a="1"/>
  <c r="AB32" i="2" s="1"/>
  <c r="V32" i="2"/>
  <c r="EI26" i="2"/>
  <c r="EI24" i="2"/>
  <c r="EI22" i="2"/>
  <c r="EI20" i="2"/>
  <c r="EI18" i="2"/>
  <c r="DF18" i="2"/>
  <c r="EI16" i="2"/>
  <c r="DF16" i="2"/>
  <c r="EI14" i="2"/>
  <c r="DF14" i="2"/>
  <c r="EI12" i="2"/>
  <c r="DF12" i="2"/>
  <c r="EI10" i="2"/>
  <c r="DF10" i="2"/>
  <c r="EI8" i="2"/>
  <c r="DF8" i="2"/>
  <c r="EI6" i="2"/>
  <c r="DF6" i="2"/>
  <c r="U5" i="2" a="1"/>
  <c r="U5" i="2" s="1"/>
  <c r="Q5" i="2" a="1"/>
  <c r="Q5" i="2" s="1"/>
  <c r="M5" i="2" a="1"/>
  <c r="M5" i="2" s="1"/>
  <c r="L5" i="2" a="1"/>
  <c r="L5" i="2" s="1"/>
  <c r="EI4" i="2"/>
  <c r="DF4" i="2"/>
  <c r="U4" i="2" a="1"/>
  <c r="U4" i="2"/>
  <c r="T4" i="2" a="1"/>
  <c r="T4" i="2" s="1"/>
  <c r="Q4" i="2" a="1"/>
  <c r="Q4" i="2" s="1"/>
  <c r="P4" i="2" a="1"/>
  <c r="P4" i="2" s="1"/>
  <c r="O4" i="2" a="1"/>
  <c r="O4" i="2" s="1"/>
  <c r="N4" i="2" a="1"/>
  <c r="N4" i="2"/>
  <c r="M4" i="2" a="1"/>
  <c r="M4" i="2" s="1"/>
  <c r="L4" i="2" a="1"/>
  <c r="L4" i="2" s="1"/>
  <c r="U3" i="2" a="1"/>
  <c r="U3" i="2"/>
  <c r="T3" i="2" a="1"/>
  <c r="T3" i="2"/>
  <c r="R3" i="2" a="1"/>
  <c r="R3" i="2" s="1"/>
  <c r="Q3" i="2" a="1"/>
  <c r="Q3" i="2" s="1"/>
  <c r="P3" i="2" a="1"/>
  <c r="P3" i="2" s="1"/>
  <c r="N3" i="2" a="1"/>
  <c r="N3" i="2"/>
  <c r="M3" i="2" a="1"/>
  <c r="M3" i="2" s="1"/>
  <c r="L3" i="2" a="1"/>
  <c r="L3" i="2" s="1"/>
  <c r="B3" i="2" a="1"/>
  <c r="EI2" i="2"/>
  <c r="DF2" i="2"/>
  <c r="U2" i="2"/>
  <c r="T2" i="2"/>
  <c r="S2" i="2"/>
  <c r="R2" i="2"/>
  <c r="P2" i="2"/>
  <c r="O2" i="2"/>
  <c r="N2" i="2"/>
  <c r="M2" i="2"/>
  <c r="L2" i="2"/>
  <c r="A1" i="2"/>
  <c r="P16" i="2" s="1" a="1"/>
  <c r="P16" i="2" s="1"/>
  <c r="Q81" i="1"/>
  <c r="J81" i="1"/>
  <c r="Q80" i="1"/>
  <c r="J80" i="1"/>
  <c r="Q79" i="1"/>
  <c r="J79" i="1"/>
  <c r="Q78" i="1"/>
  <c r="J78" i="1"/>
  <c r="V77" i="1"/>
  <c r="S77" i="1"/>
  <c r="Q77" i="1"/>
  <c r="O77" i="1"/>
  <c r="L77" i="1"/>
  <c r="N77" i="1" s="1"/>
  <c r="J77" i="1"/>
  <c r="V76" i="1"/>
  <c r="O76" i="1"/>
  <c r="Q75" i="1"/>
  <c r="J75" i="1"/>
  <c r="Q74" i="1"/>
  <c r="J74" i="1"/>
  <c r="Q70" i="1"/>
  <c r="J70" i="1"/>
  <c r="Q69" i="1"/>
  <c r="J69" i="1"/>
  <c r="Q68" i="1"/>
  <c r="J68" i="1"/>
  <c r="Q67" i="1"/>
  <c r="J67" i="1"/>
  <c r="Q66" i="1"/>
  <c r="J66" i="1"/>
  <c r="U61" i="1"/>
  <c r="N61" i="1"/>
  <c r="U57" i="1"/>
  <c r="N57" i="1"/>
  <c r="U54" i="1"/>
  <c r="N54" i="1"/>
  <c r="U53" i="1"/>
  <c r="N53" i="1"/>
  <c r="U52" i="1"/>
  <c r="N52" i="1"/>
  <c r="U50" i="1"/>
  <c r="N50" i="1"/>
  <c r="AE39" i="1"/>
  <c r="AC39" i="1"/>
  <c r="Z39" i="1"/>
  <c r="X39" i="1"/>
  <c r="AE38" i="1"/>
  <c r="AC38" i="1"/>
  <c r="Z38" i="1"/>
  <c r="X38" i="1"/>
  <c r="AE37" i="1"/>
  <c r="AC37" i="1"/>
  <c r="Z37" i="1"/>
  <c r="X37" i="1"/>
  <c r="AE36" i="1"/>
  <c r="AC36" i="1"/>
  <c r="Z36" i="1"/>
  <c r="X36" i="1"/>
  <c r="AE35" i="1"/>
  <c r="X35" i="1"/>
  <c r="AE34" i="1"/>
  <c r="X34" i="1"/>
  <c r="AE33" i="1"/>
  <c r="X33" i="1"/>
  <c r="AE32" i="1"/>
  <c r="X32" i="1"/>
  <c r="J32" i="1"/>
  <c r="J31" i="1"/>
  <c r="AE28" i="1"/>
  <c r="X28" i="1"/>
  <c r="AE27" i="1"/>
  <c r="X27" i="1"/>
  <c r="AE26" i="1"/>
  <c r="X26" i="1"/>
  <c r="AE25" i="1"/>
  <c r="X25" i="1"/>
  <c r="AE24" i="1"/>
  <c r="X24" i="1"/>
  <c r="S22" i="1"/>
  <c r="L22" i="1"/>
  <c r="U19" i="1"/>
  <c r="N19" i="1"/>
  <c r="U15" i="1"/>
  <c r="N15" i="1"/>
  <c r="U12" i="1"/>
  <c r="N12" i="1"/>
  <c r="U11" i="1"/>
  <c r="N11" i="1"/>
  <c r="U10" i="1"/>
  <c r="N10" i="1"/>
  <c r="U8" i="1"/>
  <c r="N8" i="1"/>
  <c r="AE32" i="2" a="1"/>
  <c r="AE32" i="2" l="1"/>
  <c r="K17" i="2"/>
  <c r="C17" i="2"/>
  <c r="V30" i="2" s="1"/>
  <c r="E16" i="2"/>
  <c r="G15" i="2"/>
  <c r="I14" i="2"/>
  <c r="K13" i="2"/>
  <c r="C13" i="2"/>
  <c r="V22" i="2" s="1"/>
  <c r="E12" i="2"/>
  <c r="G11" i="2"/>
  <c r="I10" i="2"/>
  <c r="K9" i="2"/>
  <c r="C9" i="2"/>
  <c r="V14" i="2" s="1"/>
  <c r="E8" i="2"/>
  <c r="G7" i="2"/>
  <c r="I6" i="2"/>
  <c r="K5" i="2"/>
  <c r="C5" i="2"/>
  <c r="V6" i="2" s="1"/>
  <c r="E4" i="2"/>
  <c r="G3" i="2"/>
  <c r="N3" i="1" s="1"/>
  <c r="J4" i="2"/>
  <c r="R45" i="1" s="1"/>
  <c r="H6" i="2"/>
  <c r="G8" i="2"/>
  <c r="E10" i="2"/>
  <c r="C12" i="2"/>
  <c r="V20" i="2" s="1"/>
  <c r="B14" i="2"/>
  <c r="H17" i="2"/>
  <c r="C3" i="2"/>
  <c r="K4" i="2"/>
  <c r="U45" i="1" s="1"/>
  <c r="J6" i="2"/>
  <c r="H8" i="2"/>
  <c r="F10" i="2"/>
  <c r="E11" i="2"/>
  <c r="D13" i="2"/>
  <c r="C14" i="2"/>
  <c r="V24" i="2" s="1"/>
  <c r="B15" i="2"/>
  <c r="K15" i="2"/>
  <c r="J16" i="2"/>
  <c r="I17" i="2"/>
  <c r="K3" i="2"/>
  <c r="U3" i="1" s="1"/>
  <c r="I5" i="2"/>
  <c r="H7" i="2"/>
  <c r="F9" i="2"/>
  <c r="D11" i="2"/>
  <c r="B13" i="2"/>
  <c r="K14" i="2"/>
  <c r="J15" i="2"/>
  <c r="I16" i="2"/>
  <c r="B4" i="2"/>
  <c r="J5" i="2"/>
  <c r="I7" i="2"/>
  <c r="G9" i="2"/>
  <c r="D12" i="2"/>
  <c r="U77" i="1"/>
  <c r="D3" i="2"/>
  <c r="C4" i="2"/>
  <c r="B5" i="2"/>
  <c r="B6" i="2"/>
  <c r="K6" i="2"/>
  <c r="J7" i="2"/>
  <c r="I8" i="2"/>
  <c r="H9" i="2"/>
  <c r="G10" i="2"/>
  <c r="F11" i="2"/>
  <c r="F12" i="2"/>
  <c r="E13" i="2"/>
  <c r="D14" i="2"/>
  <c r="C15" i="2"/>
  <c r="V26" i="2" s="1"/>
  <c r="B16" i="2"/>
  <c r="K16" i="2"/>
  <c r="J17" i="2"/>
  <c r="E3" i="2"/>
  <c r="D4" i="2"/>
  <c r="D5" i="2"/>
  <c r="C6" i="2"/>
  <c r="V8" i="2" s="1"/>
  <c r="B7" i="2"/>
  <c r="K7" i="2"/>
  <c r="J8" i="2"/>
  <c r="I9" i="2"/>
  <c r="H10" i="2"/>
  <c r="H11" i="2"/>
  <c r="G12" i="2"/>
  <c r="F13" i="2"/>
  <c r="E14" i="2"/>
  <c r="D15" i="2"/>
  <c r="C16" i="2"/>
  <c r="V28" i="2" s="1"/>
  <c r="B17" i="2"/>
  <c r="F3" i="2"/>
  <c r="K3" i="1" s="1"/>
  <c r="F4" i="2"/>
  <c r="K45" i="1" s="1"/>
  <c r="E5" i="2"/>
  <c r="D6" i="2"/>
  <c r="C7" i="2"/>
  <c r="V10" i="2" s="1"/>
  <c r="B8" i="2"/>
  <c r="K8" i="2"/>
  <c r="J9" i="2"/>
  <c r="J10" i="2"/>
  <c r="I11" i="2"/>
  <c r="H12" i="2"/>
  <c r="G13" i="2"/>
  <c r="F14" i="2"/>
  <c r="E15" i="2"/>
  <c r="D16" i="2"/>
  <c r="D17" i="2"/>
  <c r="H3" i="2"/>
  <c r="G4" i="2"/>
  <c r="N45" i="1" s="1"/>
  <c r="F5" i="2"/>
  <c r="E6" i="2"/>
  <c r="D7" i="2"/>
  <c r="C8" i="2"/>
  <c r="V12" i="2" s="1"/>
  <c r="B9" i="2"/>
  <c r="B10" i="2"/>
  <c r="K10" i="2"/>
  <c r="J11" i="2"/>
  <c r="I12" i="2"/>
  <c r="H13" i="2"/>
  <c r="G14" i="2"/>
  <c r="F15" i="2"/>
  <c r="F16" i="2"/>
  <c r="E17" i="2"/>
  <c r="I3" i="2"/>
  <c r="H4" i="2"/>
  <c r="G5" i="2"/>
  <c r="F6" i="2"/>
  <c r="E7" i="2"/>
  <c r="D8" i="2"/>
  <c r="D9" i="2"/>
  <c r="C10" i="2"/>
  <c r="V16" i="2" s="1"/>
  <c r="B11" i="2"/>
  <c r="K11" i="2"/>
  <c r="J12" i="2"/>
  <c r="I13" i="2"/>
  <c r="H14" i="2"/>
  <c r="H15" i="2"/>
  <c r="G16" i="2"/>
  <c r="F17" i="2"/>
  <c r="B3" i="2"/>
  <c r="J3" i="2"/>
  <c r="R3" i="1" s="1"/>
  <c r="I4" i="2"/>
  <c r="H5" i="2"/>
  <c r="G6" i="2"/>
  <c r="F7" i="2"/>
  <c r="F8" i="2"/>
  <c r="E9" i="2"/>
  <c r="D10" i="2"/>
  <c r="C11" i="2"/>
  <c r="V18" i="2" s="1"/>
  <c r="B12" i="2"/>
  <c r="K12" i="2"/>
  <c r="J13" i="2"/>
  <c r="J14" i="2"/>
  <c r="I15" i="2"/>
  <c r="H16" i="2"/>
  <c r="G17" i="2"/>
  <c r="L6" i="2" a="1"/>
  <c r="L6" i="2" s="1"/>
  <c r="P6" i="2" a="1"/>
  <c r="P6" i="2" s="1"/>
  <c r="T6" i="2" a="1"/>
  <c r="T6" i="2" s="1"/>
  <c r="O8" i="2" a="1"/>
  <c r="O8" i="2" s="1"/>
  <c r="S8" i="2" a="1"/>
  <c r="S8" i="2" s="1"/>
  <c r="N10" i="2" a="1"/>
  <c r="N10" i="2" s="1"/>
  <c r="R10" i="2" a="1"/>
  <c r="R10" i="2" s="1"/>
  <c r="M12" i="2" a="1"/>
  <c r="M12" i="2" s="1"/>
  <c r="Q12" i="2" a="1"/>
  <c r="Q12" i="2" s="1"/>
  <c r="U12" i="2" a="1"/>
  <c r="U12" i="2" s="1"/>
  <c r="L14" i="2" a="1"/>
  <c r="L14" i="2" s="1"/>
  <c r="P14" i="2" a="1"/>
  <c r="P14" i="2" s="1"/>
  <c r="R15" i="2" a="1"/>
  <c r="R15" i="2" s="1"/>
  <c r="L7" i="2" a="1"/>
  <c r="L7" i="2" s="1"/>
  <c r="P7" i="2" a="1"/>
  <c r="P7" i="2" s="1"/>
  <c r="T7" i="2" a="1"/>
  <c r="T7" i="2" s="1"/>
  <c r="O9" i="2" a="1"/>
  <c r="O9" i="2" s="1"/>
  <c r="S9" i="2" a="1"/>
  <c r="S9" i="2" s="1"/>
  <c r="N11" i="2" a="1"/>
  <c r="N11" i="2" s="1"/>
  <c r="R11" i="2" a="1"/>
  <c r="R11" i="2" s="1"/>
  <c r="M13" i="2" a="1"/>
  <c r="M13" i="2" s="1"/>
  <c r="Q13" i="2" a="1"/>
  <c r="Q13" i="2" s="1"/>
  <c r="U13" i="2" a="1"/>
  <c r="U13" i="2" s="1"/>
  <c r="U14" i="2" a="1"/>
  <c r="U14" i="2" s="1"/>
  <c r="M15" i="2" a="1"/>
  <c r="M15" i="2" s="1"/>
  <c r="N16" i="2" a="1"/>
  <c r="N16" i="2" s="1"/>
  <c r="R4" i="2" a="1"/>
  <c r="R4" i="2" s="1"/>
  <c r="M6" i="2" a="1"/>
  <c r="M6" i="2" s="1"/>
  <c r="Q6" i="2" a="1"/>
  <c r="Q6" i="2" s="1"/>
  <c r="U6" i="2" a="1"/>
  <c r="U6" i="2" s="1"/>
  <c r="L8" i="2" a="1"/>
  <c r="L8" i="2" s="1"/>
  <c r="P8" i="2" a="1"/>
  <c r="P8" i="2" s="1"/>
  <c r="T8" i="2" a="1"/>
  <c r="T8" i="2" s="1"/>
  <c r="O10" i="2" a="1"/>
  <c r="O10" i="2" s="1"/>
  <c r="S10" i="2" a="1"/>
  <c r="S10" i="2" s="1"/>
  <c r="N12" i="2" a="1"/>
  <c r="N12" i="2" s="1"/>
  <c r="R12" i="2" a="1"/>
  <c r="R12" i="2" s="1"/>
  <c r="M14" i="2" a="1"/>
  <c r="M14" i="2" s="1"/>
  <c r="Q14" i="2" a="1"/>
  <c r="Q14" i="2" s="1"/>
  <c r="R17" i="2" a="1"/>
  <c r="R17" i="2" s="1"/>
  <c r="N17" i="2" a="1"/>
  <c r="N17" i="2" s="1"/>
  <c r="S15" i="2" a="1"/>
  <c r="S15" i="2" s="1"/>
  <c r="O15" i="2" a="1"/>
  <c r="O15" i="2" s="1"/>
  <c r="U18" i="2" a="1"/>
  <c r="U18" i="2" s="1"/>
  <c r="Q18" i="2" a="1"/>
  <c r="Q18" i="2" s="1"/>
  <c r="M18" i="2" a="1"/>
  <c r="M18" i="2" s="1"/>
  <c r="R16" i="2" a="1"/>
  <c r="R16" i="2" s="1"/>
  <c r="T19" i="2" a="1"/>
  <c r="T19" i="2" s="1"/>
  <c r="U17" i="2" a="1"/>
  <c r="U17" i="2" s="1"/>
  <c r="Q17" i="2" a="1"/>
  <c r="Q17" i="2" s="1"/>
  <c r="M17" i="2" a="1"/>
  <c r="M17" i="2" s="1"/>
  <c r="T18" i="2" a="1"/>
  <c r="T18" i="2" s="1"/>
  <c r="P18" i="2" a="1"/>
  <c r="P18" i="2" s="1"/>
  <c r="L18" i="2" a="1"/>
  <c r="L18" i="2" s="1"/>
  <c r="U16" i="2" a="1"/>
  <c r="U16" i="2" s="1"/>
  <c r="Q16" i="2" a="1"/>
  <c r="Q16" i="2" s="1"/>
  <c r="T17" i="2" a="1"/>
  <c r="T17" i="2" s="1"/>
  <c r="P17" i="2" a="1"/>
  <c r="P17" i="2" s="1"/>
  <c r="L17" i="2" a="1"/>
  <c r="L17" i="2" s="1"/>
  <c r="S18" i="2" a="1"/>
  <c r="S18" i="2" s="1"/>
  <c r="O18" i="2" a="1"/>
  <c r="O18" i="2" s="1"/>
  <c r="S17" i="2" a="1"/>
  <c r="S17" i="2" s="1"/>
  <c r="O17" i="2" a="1"/>
  <c r="O17" i="2" s="1"/>
  <c r="T15" i="2" a="1"/>
  <c r="T15" i="2" s="1"/>
  <c r="P15" i="2" a="1"/>
  <c r="P15" i="2" s="1"/>
  <c r="R18" i="2" a="1"/>
  <c r="R18" i="2" s="1"/>
  <c r="N18" i="2" a="1"/>
  <c r="N18" i="2" s="1"/>
  <c r="S16" i="2" a="1"/>
  <c r="S16" i="2" s="1"/>
  <c r="O16" i="2" a="1"/>
  <c r="O16" i="2" s="1"/>
  <c r="T14" i="2" a="1"/>
  <c r="T14" i="2" s="1"/>
  <c r="Q2" i="2"/>
  <c r="O3" i="2" a="1"/>
  <c r="O3" i="2" s="1"/>
  <c r="S3" i="2" a="1"/>
  <c r="S3" i="2" s="1"/>
  <c r="N5" i="2" a="1"/>
  <c r="N5" i="2" s="1"/>
  <c r="R5" i="2" a="1"/>
  <c r="R5" i="2" s="1"/>
  <c r="M7" i="2" a="1"/>
  <c r="M7" i="2" s="1"/>
  <c r="Q7" i="2" a="1"/>
  <c r="Q7" i="2" s="1"/>
  <c r="U7" i="2" a="1"/>
  <c r="U7" i="2" s="1"/>
  <c r="L9" i="2" a="1"/>
  <c r="L9" i="2" s="1"/>
  <c r="P9" i="2" a="1"/>
  <c r="P9" i="2" s="1"/>
  <c r="T9" i="2" a="1"/>
  <c r="T9" i="2" s="1"/>
  <c r="O11" i="2" a="1"/>
  <c r="O11" i="2" s="1"/>
  <c r="S11" i="2" a="1"/>
  <c r="S11" i="2" s="1"/>
  <c r="N13" i="2" a="1"/>
  <c r="N13" i="2" s="1"/>
  <c r="R13" i="2" a="1"/>
  <c r="R13" i="2" s="1"/>
  <c r="N15" i="2" a="1"/>
  <c r="N15" i="2" s="1"/>
  <c r="U15" i="2" a="1"/>
  <c r="U15" i="2" s="1"/>
  <c r="S4" i="2" a="1"/>
  <c r="S4" i="2" s="1"/>
  <c r="N6" i="2" a="1"/>
  <c r="N6" i="2" s="1"/>
  <c r="R6" i="2" a="1"/>
  <c r="R6" i="2" s="1"/>
  <c r="M8" i="2" a="1"/>
  <c r="M8" i="2" s="1"/>
  <c r="Q8" i="2" a="1"/>
  <c r="Q8" i="2" s="1"/>
  <c r="U8" i="2" a="1"/>
  <c r="U8" i="2" s="1"/>
  <c r="L10" i="2" a="1"/>
  <c r="L10" i="2" s="1"/>
  <c r="P10" i="2" a="1"/>
  <c r="P10" i="2" s="1"/>
  <c r="T10" i="2" a="1"/>
  <c r="T10" i="2" s="1"/>
  <c r="O12" i="2" a="1"/>
  <c r="O12" i="2" s="1"/>
  <c r="S12" i="2" a="1"/>
  <c r="S12" i="2" s="1"/>
  <c r="N14" i="2" a="1"/>
  <c r="N14" i="2" s="1"/>
  <c r="R14" i="2" a="1"/>
  <c r="R14" i="2" s="1"/>
  <c r="O5" i="2" a="1"/>
  <c r="O5" i="2" s="1"/>
  <c r="S5" i="2" a="1"/>
  <c r="S5" i="2" s="1"/>
  <c r="N7" i="2" a="1"/>
  <c r="N7" i="2" s="1"/>
  <c r="R7" i="2" a="1"/>
  <c r="R7" i="2" s="1"/>
  <c r="M9" i="2" a="1"/>
  <c r="M9" i="2" s="1"/>
  <c r="Q9" i="2" a="1"/>
  <c r="Q9" i="2" s="1"/>
  <c r="U9" i="2" a="1"/>
  <c r="U9" i="2" s="1"/>
  <c r="L11" i="2" a="1"/>
  <c r="L11" i="2" s="1"/>
  <c r="P11" i="2" a="1"/>
  <c r="P11" i="2" s="1"/>
  <c r="T11" i="2" a="1"/>
  <c r="T11" i="2" s="1"/>
  <c r="O13" i="2" a="1"/>
  <c r="O13" i="2" s="1"/>
  <c r="S13" i="2" a="1"/>
  <c r="S13" i="2" s="1"/>
  <c r="L16" i="2" a="1"/>
  <c r="L16" i="2" s="1"/>
  <c r="T16" i="2" a="1"/>
  <c r="T16" i="2" s="1"/>
  <c r="O6" i="2" a="1"/>
  <c r="O6" i="2" s="1"/>
  <c r="S6" i="2" a="1"/>
  <c r="S6" i="2" s="1"/>
  <c r="N8" i="2" a="1"/>
  <c r="N8" i="2" s="1"/>
  <c r="R8" i="2" a="1"/>
  <c r="R8" i="2" s="1"/>
  <c r="M10" i="2" a="1"/>
  <c r="M10" i="2" s="1"/>
  <c r="Q10" i="2" a="1"/>
  <c r="Q10" i="2" s="1"/>
  <c r="U10" i="2" a="1"/>
  <c r="U10" i="2" s="1"/>
  <c r="L12" i="2" a="1"/>
  <c r="L12" i="2" s="1"/>
  <c r="P12" i="2" a="1"/>
  <c r="P12" i="2" s="1"/>
  <c r="T12" i="2" a="1"/>
  <c r="T12" i="2" s="1"/>
  <c r="O14" i="2" a="1"/>
  <c r="O14" i="2" s="1"/>
  <c r="S14" i="2" a="1"/>
  <c r="S14" i="2" s="1"/>
  <c r="Q15" i="2" a="1"/>
  <c r="Q15" i="2" s="1"/>
  <c r="P5" i="2" a="1"/>
  <c r="P5" i="2" s="1"/>
  <c r="T5" i="2" a="1"/>
  <c r="T5" i="2" s="1"/>
  <c r="O7" i="2" a="1"/>
  <c r="O7" i="2" s="1"/>
  <c r="S7" i="2" a="1"/>
  <c r="S7" i="2" s="1"/>
  <c r="N9" i="2" a="1"/>
  <c r="N9" i="2" s="1"/>
  <c r="R9" i="2" a="1"/>
  <c r="R9" i="2" s="1"/>
  <c r="M11" i="2" a="1"/>
  <c r="M11" i="2" s="1"/>
  <c r="Q11" i="2" a="1"/>
  <c r="Q11" i="2" s="1"/>
  <c r="U11" i="2" a="1"/>
  <c r="U11" i="2" s="1"/>
  <c r="L13" i="2" a="1"/>
  <c r="L13" i="2" s="1"/>
  <c r="P13" i="2" a="1"/>
  <c r="P13" i="2" s="1"/>
  <c r="T13" i="2" a="1"/>
  <c r="T13" i="2" s="1"/>
  <c r="L15" i="2" a="1"/>
  <c r="L15" i="2" s="1"/>
  <c r="M16" i="2" a="1"/>
  <c r="M16" i="2" s="1"/>
  <c r="Y32" i="2" a="1"/>
  <c r="Y32" i="2" s="1"/>
  <c r="AO32" i="2" a="1"/>
  <c r="AO32" i="2" s="1"/>
  <c r="CH62" i="2" s="1"/>
  <c r="AX32" i="2" a="1"/>
  <c r="AX32" i="2" s="1"/>
  <c r="CQ62" i="2" s="1"/>
  <c r="CQ63" i="2" s="1"/>
  <c r="BG32" i="2" a="1"/>
  <c r="BG32" i="2" s="1"/>
  <c r="CZ62" i="2" s="1"/>
  <c r="CZ63" i="2" s="1"/>
  <c r="AP33" i="2" a="1"/>
  <c r="AP33" i="2" s="1"/>
  <c r="CI64" i="2" s="1"/>
  <c r="BK33" i="2" a="1"/>
  <c r="BK33" i="2" s="1"/>
  <c r="DD64" i="2" s="1"/>
  <c r="AT32" i="2" a="1"/>
  <c r="AT32" i="2" s="1"/>
  <c r="CM62" i="2" s="1"/>
  <c r="CM63" i="2" s="1"/>
  <c r="BC32" i="2" a="1"/>
  <c r="BC32" i="2" s="1"/>
  <c r="CV62" i="2" s="1"/>
  <c r="CV63" i="2" s="1"/>
  <c r="AQ33" i="2" a="1"/>
  <c r="AQ33" i="2" s="1"/>
  <c r="CJ64" i="2" s="1"/>
  <c r="CB64" i="2"/>
  <c r="BH33" i="2" a="1"/>
  <c r="BH33" i="2" s="1"/>
  <c r="DA64" i="2" s="1"/>
  <c r="DA65" i="2" s="1"/>
  <c r="BD33" i="2" a="1"/>
  <c r="BD33" i="2" s="1"/>
  <c r="CW64" i="2" s="1"/>
  <c r="AZ33" i="2" a="1"/>
  <c r="AZ33" i="2" s="1"/>
  <c r="CS64" i="2" s="1"/>
  <c r="AV33" i="2" a="1"/>
  <c r="AV33" i="2" s="1"/>
  <c r="CO64" i="2" s="1"/>
  <c r="CO65" i="2" s="1"/>
  <c r="AR33" i="2" a="1"/>
  <c r="AR33" i="2" s="1"/>
  <c r="CK64" i="2" s="1"/>
  <c r="CK65" i="2" s="1"/>
  <c r="AN33" i="2" a="1"/>
  <c r="AN33" i="2" s="1"/>
  <c r="CG64" i="2" s="1"/>
  <c r="BI33" i="2" a="1"/>
  <c r="BI33" i="2" s="1"/>
  <c r="DB64" i="2" s="1"/>
  <c r="BE33" i="2" a="1"/>
  <c r="BE33" i="2" s="1"/>
  <c r="CX64" i="2" s="1"/>
  <c r="BA33" i="2" a="1"/>
  <c r="BA33" i="2" s="1"/>
  <c r="CT64" i="2" s="1"/>
  <c r="AW33" i="2" a="1"/>
  <c r="AW33" i="2" s="1"/>
  <c r="CP64" i="2" s="1"/>
  <c r="CP65" i="2" s="1"/>
  <c r="AS33" i="2" a="1"/>
  <c r="AS33" i="2" s="1"/>
  <c r="CL64" i="2" s="1"/>
  <c r="AO33" i="2" a="1"/>
  <c r="AO33" i="2" s="1"/>
  <c r="CH64" i="2" s="1"/>
  <c r="BC33" i="2" a="1"/>
  <c r="BC33" i="2" s="1"/>
  <c r="CV64" i="2" s="1"/>
  <c r="CV65" i="2" s="1"/>
  <c r="CC65" i="2" s="1"/>
  <c r="AJ33" i="2" s="1"/>
  <c r="AK33" i="2" s="1"/>
  <c r="AL32" i="2" a="1"/>
  <c r="AL32" i="2" s="1"/>
  <c r="CE62" i="2" s="1"/>
  <c r="AU32" i="2" a="1"/>
  <c r="AU32" i="2" s="1"/>
  <c r="CN62" i="2" s="1"/>
  <c r="BD32" i="2" a="1"/>
  <c r="BD32" i="2" s="1"/>
  <c r="CW62" i="2" s="1"/>
  <c r="BI32" i="2" a="1"/>
  <c r="BI32" i="2" s="1"/>
  <c r="DB62" i="2" s="1"/>
  <c r="AG33" i="2" a="1"/>
  <c r="AG33" i="2" s="1"/>
  <c r="CD64" i="2" s="1"/>
  <c r="AT33" i="2" a="1"/>
  <c r="AT33" i="2" s="1"/>
  <c r="CM64" i="2" s="1"/>
  <c r="CM65" i="2" s="1"/>
  <c r="AQ32" i="2" a="1"/>
  <c r="AQ32" i="2" s="1"/>
  <c r="CJ62" i="2" s="1"/>
  <c r="CJ63" i="2" s="1"/>
  <c r="AZ32" i="2" a="1"/>
  <c r="AZ32" i="2" s="1"/>
  <c r="CS62" i="2" s="1"/>
  <c r="BE32" i="2" a="1"/>
  <c r="BE32" i="2" s="1"/>
  <c r="CX62" i="2" s="1"/>
  <c r="AU33" i="2" a="1"/>
  <c r="AU33" i="2" s="1"/>
  <c r="CN64" i="2" s="1"/>
  <c r="BF33" i="2" a="1"/>
  <c r="BF33" i="2" s="1"/>
  <c r="CY64" i="2" s="1"/>
  <c r="CY65" i="2" s="1"/>
  <c r="AM32" i="2" a="1"/>
  <c r="AM32" i="2" s="1"/>
  <c r="CF62" i="2" s="1"/>
  <c r="CF63" i="2" s="1"/>
  <c r="AV32" i="2" a="1"/>
  <c r="AV32" i="2" s="1"/>
  <c r="CO62" i="2" s="1"/>
  <c r="CO63" i="2" s="1"/>
  <c r="BA32" i="2" a="1"/>
  <c r="BA32" i="2" s="1"/>
  <c r="CT62" i="2" s="1"/>
  <c r="BJ32" i="2" a="1"/>
  <c r="BJ32" i="2" s="1"/>
  <c r="DC62" i="2" s="1"/>
  <c r="AL33" i="2" a="1"/>
  <c r="AL33" i="2" s="1"/>
  <c r="CE64" i="2" s="1"/>
  <c r="BG33" i="2" a="1"/>
  <c r="BG33" i="2" s="1"/>
  <c r="CZ64" i="2" s="1"/>
  <c r="CZ65" i="2" s="1"/>
  <c r="AG32" i="2" a="1"/>
  <c r="AG32" i="2" s="1"/>
  <c r="CD62" i="2" s="1"/>
  <c r="AR32" i="2" a="1"/>
  <c r="AR32" i="2" s="1"/>
  <c r="CK62" i="2" s="1"/>
  <c r="CK63" i="2" s="1"/>
  <c r="AW32" i="2" a="1"/>
  <c r="AW32" i="2" s="1"/>
  <c r="CP62" i="2" s="1"/>
  <c r="CP63" i="2" s="1"/>
  <c r="BF32" i="2" a="1"/>
  <c r="BF32" i="2" s="1"/>
  <c r="CY62" i="2" s="1"/>
  <c r="CY63" i="2" s="1"/>
  <c r="AB33" i="2" a="1"/>
  <c r="AB33" i="2" s="1"/>
  <c r="Y33" i="2" a="1"/>
  <c r="Y33" i="2" s="1"/>
  <c r="AM33" i="2" a="1"/>
  <c r="AM33" i="2" s="1"/>
  <c r="CF64" i="2" s="1"/>
  <c r="CF65" i="2" s="1"/>
  <c r="AX33" i="2" a="1"/>
  <c r="AX33" i="2" s="1"/>
  <c r="CQ64" i="2" s="1"/>
  <c r="CQ65" i="2" s="1"/>
  <c r="AN32" i="2" a="1"/>
  <c r="AN32" i="2" s="1"/>
  <c r="CG62" i="2" s="1"/>
  <c r="AS32" i="2" a="1"/>
  <c r="AS32" i="2" s="1"/>
  <c r="CL62" i="2" s="1"/>
  <c r="BB32" i="2" a="1"/>
  <c r="BB32" i="2" s="1"/>
  <c r="CU62" i="2" s="1"/>
  <c r="CU63" i="2" s="1"/>
  <c r="BK32" i="2" a="1"/>
  <c r="BK32" i="2" s="1"/>
  <c r="DD62" i="2" s="1"/>
  <c r="AY33" i="2" a="1"/>
  <c r="AY33" i="2" s="1"/>
  <c r="CR64" i="2" s="1"/>
  <c r="CR65" i="2" s="1"/>
  <c r="BJ33" i="2" a="1"/>
  <c r="BJ33" i="2" s="1"/>
  <c r="DC64" i="2" s="1"/>
  <c r="X33" i="2" a="1"/>
  <c r="X32" i="2" a="1"/>
  <c r="AE33" i="2" a="1"/>
  <c r="AE33" i="2" l="1"/>
  <c r="X32" i="2"/>
  <c r="X33" i="2"/>
  <c r="CC63" i="2"/>
  <c r="AJ32" i="2" s="1"/>
  <c r="AK32" i="2" s="1"/>
  <c r="CB63" i="2"/>
  <c r="AH32" i="2" s="1"/>
  <c r="AI32" i="2" s="1"/>
  <c r="AF19" i="2"/>
  <c r="W19" i="2"/>
  <c r="AF7" i="2"/>
  <c r="W7" i="2"/>
  <c r="W3" i="2"/>
  <c r="R2" i="1"/>
  <c r="AF3" i="2"/>
  <c r="G5" i="1"/>
  <c r="E3" i="1"/>
  <c r="E5" i="1" a="1"/>
  <c r="E5" i="1" s="1"/>
  <c r="K2" i="1"/>
  <c r="AF2" i="2"/>
  <c r="W2" i="2"/>
  <c r="V4" i="2"/>
  <c r="J45" i="1"/>
  <c r="AF29" i="2"/>
  <c r="W29" i="2"/>
  <c r="AF18" i="2"/>
  <c r="W18" i="2"/>
  <c r="AF20" i="2"/>
  <c r="W20" i="2"/>
  <c r="CJ65" i="2"/>
  <c r="CB65" i="2" s="1"/>
  <c r="AH33" i="2" s="1"/>
  <c r="AI33" i="2" s="1"/>
  <c r="W14" i="2"/>
  <c r="AF14" i="2"/>
  <c r="AF30" i="2"/>
  <c r="W30" i="2"/>
  <c r="W15" i="2"/>
  <c r="AF15" i="2"/>
  <c r="AF16" i="2"/>
  <c r="W16" i="2"/>
  <c r="AF9" i="2"/>
  <c r="W9" i="2"/>
  <c r="AF27" i="2"/>
  <c r="W27" i="2"/>
  <c r="AF31" i="2"/>
  <c r="W31" i="2"/>
  <c r="AF26" i="2"/>
  <c r="W26" i="2"/>
  <c r="AF13" i="2"/>
  <c r="W13" i="2"/>
  <c r="AF12" i="2"/>
  <c r="W12" i="2"/>
  <c r="W25" i="2"/>
  <c r="AF25" i="2"/>
  <c r="AF10" i="2"/>
  <c r="W10" i="2"/>
  <c r="AF24" i="2"/>
  <c r="W24" i="2"/>
  <c r="AF23" i="2"/>
  <c r="W23" i="2"/>
  <c r="AF8" i="2"/>
  <c r="W8" i="2"/>
  <c r="AF11" i="2"/>
  <c r="W11" i="2"/>
  <c r="J3" i="1"/>
  <c r="B2" i="1" s="1"/>
  <c r="V2" i="2"/>
  <c r="AF28" i="2"/>
  <c r="W28" i="2"/>
  <c r="AF5" i="2"/>
  <c r="W5" i="2"/>
  <c r="R44" i="1"/>
  <c r="W21" i="2"/>
  <c r="AF21" i="2"/>
  <c r="AF6" i="2"/>
  <c r="W6" i="2"/>
  <c r="AF22" i="2"/>
  <c r="W22" i="2"/>
  <c r="AF4" i="2"/>
  <c r="W4" i="2"/>
  <c r="K44" i="1"/>
  <c r="AF17" i="2"/>
  <c r="W17" i="2"/>
  <c r="CB22" i="2" l="1"/>
  <c r="DF151" i="2" s="1"/>
  <c r="BL12" i="2" a="1"/>
  <c r="BL12" i="2" s="1"/>
  <c r="BH12" i="2" a="1"/>
  <c r="BH12" i="2" s="1"/>
  <c r="DA22" i="2" s="1"/>
  <c r="DA23" i="2" s="1"/>
  <c r="BD12" i="2" a="1"/>
  <c r="BD12" i="2" s="1"/>
  <c r="CW22" i="2" s="1"/>
  <c r="AZ12" i="2" a="1"/>
  <c r="AZ12" i="2" s="1"/>
  <c r="CS22" i="2" s="1"/>
  <c r="AV12" i="2" a="1"/>
  <c r="AV12" i="2" s="1"/>
  <c r="CO22" i="2" s="1"/>
  <c r="AR12" i="2" a="1"/>
  <c r="AR12" i="2" s="1"/>
  <c r="CK22" i="2" s="1"/>
  <c r="AN12" i="2" a="1"/>
  <c r="AN12" i="2" s="1"/>
  <c r="CG22" i="2" s="1"/>
  <c r="BK12" i="2" a="1"/>
  <c r="BK12" i="2" s="1"/>
  <c r="DD22" i="2" s="1"/>
  <c r="BG12" i="2" a="1"/>
  <c r="BG12" i="2" s="1"/>
  <c r="CZ22" i="2" s="1"/>
  <c r="CZ23" i="2" s="1"/>
  <c r="BC12" i="2" a="1"/>
  <c r="BC12" i="2" s="1"/>
  <c r="CV22" i="2" s="1"/>
  <c r="CV23" i="2" s="1"/>
  <c r="AY12" i="2" a="1"/>
  <c r="AY12" i="2" s="1"/>
  <c r="CR22" i="2" s="1"/>
  <c r="CR23" i="2" s="1"/>
  <c r="AU12" i="2" a="1"/>
  <c r="AU12" i="2" s="1"/>
  <c r="CN22" i="2" s="1"/>
  <c r="AQ12" i="2" a="1"/>
  <c r="AQ12" i="2" s="1"/>
  <c r="CJ22" i="2" s="1"/>
  <c r="AM12" i="2" a="1"/>
  <c r="AM12" i="2" s="1"/>
  <c r="CF22" i="2" s="1"/>
  <c r="AG12" i="2" a="1"/>
  <c r="AG12" i="2" s="1"/>
  <c r="CD22" i="2" s="1"/>
  <c r="BJ12" i="2" a="1"/>
  <c r="BJ12" i="2" s="1"/>
  <c r="DC22" i="2" s="1"/>
  <c r="BF12" i="2" a="1"/>
  <c r="BF12" i="2" s="1"/>
  <c r="CY22" i="2" s="1"/>
  <c r="CY23" i="2" s="1"/>
  <c r="BB12" i="2" a="1"/>
  <c r="BB12" i="2" s="1"/>
  <c r="CU22" i="2" s="1"/>
  <c r="CU23" i="2" s="1"/>
  <c r="CC23" i="2" s="1"/>
  <c r="AJ12" i="2" s="1"/>
  <c r="AK12" i="2" s="1"/>
  <c r="AX12" i="2" a="1"/>
  <c r="AX12" i="2" s="1"/>
  <c r="CQ22" i="2" s="1"/>
  <c r="CQ23" i="2" s="1"/>
  <c r="AT12" i="2" a="1"/>
  <c r="AT12" i="2" s="1"/>
  <c r="CM22" i="2" s="1"/>
  <c r="CM23" i="2" s="1"/>
  <c r="AP12" i="2" a="1"/>
  <c r="AP12" i="2" s="1"/>
  <c r="CI22" i="2" s="1"/>
  <c r="AL12" i="2" a="1"/>
  <c r="AL12" i="2" s="1"/>
  <c r="CE22" i="2" s="1"/>
  <c r="BI12" i="2" a="1"/>
  <c r="BI12" i="2" s="1"/>
  <c r="DB22" i="2" s="1"/>
  <c r="BE12" i="2" a="1"/>
  <c r="BE12" i="2" s="1"/>
  <c r="CX22" i="2" s="1"/>
  <c r="BA12" i="2" a="1"/>
  <c r="BA12" i="2" s="1"/>
  <c r="CT22" i="2" s="1"/>
  <c r="AW12" i="2" a="1"/>
  <c r="AW12" i="2" s="1"/>
  <c r="CP22" i="2" s="1"/>
  <c r="CP23" i="2" s="1"/>
  <c r="AS12" i="2" a="1"/>
  <c r="AS12" i="2" s="1"/>
  <c r="CL22" i="2" s="1"/>
  <c r="AO12" i="2" a="1"/>
  <c r="AO12" i="2" s="1"/>
  <c r="CH22" i="2" s="1"/>
  <c r="AB17" i="2" a="1"/>
  <c r="AB17" i="2" s="1"/>
  <c r="Y17" i="2" a="1"/>
  <c r="Y17" i="2" s="1"/>
  <c r="BL3" i="2" a="1"/>
  <c r="BL3" i="2" s="1"/>
  <c r="BH3" i="2" a="1"/>
  <c r="BH3" i="2" s="1"/>
  <c r="DA4" i="2" s="1"/>
  <c r="DA5" i="2" s="1"/>
  <c r="BD3" i="2" a="1"/>
  <c r="BD3" i="2" s="1"/>
  <c r="CW4" i="2" s="1"/>
  <c r="AZ3" i="2" a="1"/>
  <c r="AZ3" i="2" s="1"/>
  <c r="CS4" i="2" s="1"/>
  <c r="AV3" i="2" a="1"/>
  <c r="AV3" i="2" s="1"/>
  <c r="CO4" i="2" s="1"/>
  <c r="AR3" i="2" a="1"/>
  <c r="AR3" i="2" s="1"/>
  <c r="CK4" i="2" s="1"/>
  <c r="AN3" i="2" a="1"/>
  <c r="AN3" i="2" s="1"/>
  <c r="CG4" i="2" s="1"/>
  <c r="S10" i="1" s="1"/>
  <c r="BK3" i="2" a="1"/>
  <c r="BK3" i="2" s="1"/>
  <c r="DD4" i="2" s="1"/>
  <c r="BG3" i="2" a="1"/>
  <c r="BG3" i="2" s="1"/>
  <c r="CZ4" i="2" s="1"/>
  <c r="CZ5" i="2" s="1"/>
  <c r="U21" i="1" s="1"/>
  <c r="BC3" i="2" a="1"/>
  <c r="BC3" i="2" s="1"/>
  <c r="CV4" i="2" s="1"/>
  <c r="CV5" i="2" s="1"/>
  <c r="AY3" i="2" a="1"/>
  <c r="AY3" i="2" s="1"/>
  <c r="CR4" i="2" s="1"/>
  <c r="AU3" i="2" a="1"/>
  <c r="AU3" i="2" s="1"/>
  <c r="CN4" i="2" s="1"/>
  <c r="S21" i="1" s="1"/>
  <c r="AQ3" i="2" a="1"/>
  <c r="AQ3" i="2" s="1"/>
  <c r="CJ4" i="2" s="1"/>
  <c r="AM3" i="2" a="1"/>
  <c r="AM3" i="2" s="1"/>
  <c r="CF4" i="2" s="1"/>
  <c r="AG3" i="2" a="1"/>
  <c r="AG3" i="2" s="1"/>
  <c r="CD4" i="2" s="1"/>
  <c r="S8" i="1" s="1"/>
  <c r="CB4" i="2"/>
  <c r="EI1" i="2" s="1"/>
  <c r="BF3" i="2" a="1"/>
  <c r="BF3" i="2" s="1"/>
  <c r="CY4" i="2" s="1"/>
  <c r="CY5" i="2" s="1"/>
  <c r="U20" i="1" s="1"/>
  <c r="BA3" i="2" a="1"/>
  <c r="BA3" i="2" s="1"/>
  <c r="CT4" i="2" s="1"/>
  <c r="AP3" i="2" a="1"/>
  <c r="AP3" i="2" s="1"/>
  <c r="CI4" i="2" s="1"/>
  <c r="S12" i="1" s="1"/>
  <c r="BJ3" i="2" a="1"/>
  <c r="BJ3" i="2" s="1"/>
  <c r="DC4" i="2" s="1"/>
  <c r="BE3" i="2" a="1"/>
  <c r="BE3" i="2" s="1"/>
  <c r="CX4" i="2" s="1"/>
  <c r="AT3" i="2" a="1"/>
  <c r="AT3" i="2" s="1"/>
  <c r="CM4" i="2" s="1"/>
  <c r="AO3" i="2" a="1"/>
  <c r="AO3" i="2" s="1"/>
  <c r="CH4" i="2" s="1"/>
  <c r="S11" i="1" s="1"/>
  <c r="BI3" i="2" a="1"/>
  <c r="BI3" i="2" s="1"/>
  <c r="DB4" i="2" s="1"/>
  <c r="AX3" i="2" a="1"/>
  <c r="AX3" i="2" s="1"/>
  <c r="CQ4" i="2" s="1"/>
  <c r="AS3" i="2" a="1"/>
  <c r="AS3" i="2" s="1"/>
  <c r="CL4" i="2" s="1"/>
  <c r="S15" i="1" s="1"/>
  <c r="BB3" i="2" a="1"/>
  <c r="BB3" i="2" s="1"/>
  <c r="CU4" i="2" s="1"/>
  <c r="CU5" i="2" s="1"/>
  <c r="AW3" i="2" a="1"/>
  <c r="AW3" i="2" s="1"/>
  <c r="CP4" i="2" s="1"/>
  <c r="AL3" i="2" a="1"/>
  <c r="AL3" i="2" s="1"/>
  <c r="CE4" i="2" s="1"/>
  <c r="Y29" i="2" a="1"/>
  <c r="Y29" i="2" s="1"/>
  <c r="AB29" i="2" a="1"/>
  <c r="AB29" i="2" s="1"/>
  <c r="AB21" i="2" a="1"/>
  <c r="AB21" i="2" s="1"/>
  <c r="Y21" i="2" a="1"/>
  <c r="Y21" i="2" s="1"/>
  <c r="AB10" i="2" a="1"/>
  <c r="AB10" i="2" s="1"/>
  <c r="Y10" i="2" a="1"/>
  <c r="Y10" i="2" s="1"/>
  <c r="CB16" i="2"/>
  <c r="EI91" i="2" s="1"/>
  <c r="BJ9" i="2" a="1"/>
  <c r="BJ9" i="2" s="1"/>
  <c r="DC16" i="2" s="1"/>
  <c r="BF9" i="2" a="1"/>
  <c r="BF9" i="2" s="1"/>
  <c r="CY16" i="2" s="1"/>
  <c r="CY17" i="2" s="1"/>
  <c r="BB9" i="2" a="1"/>
  <c r="BB9" i="2" s="1"/>
  <c r="CU16" i="2" s="1"/>
  <c r="CU17" i="2" s="1"/>
  <c r="CC17" i="2" s="1"/>
  <c r="AJ9" i="2" s="1"/>
  <c r="AK9" i="2" s="1"/>
  <c r="AX9" i="2" a="1"/>
  <c r="AX9" i="2" s="1"/>
  <c r="CQ16" i="2" s="1"/>
  <c r="CQ17" i="2" s="1"/>
  <c r="AT9" i="2" a="1"/>
  <c r="AT9" i="2" s="1"/>
  <c r="CM16" i="2" s="1"/>
  <c r="CM17" i="2" s="1"/>
  <c r="AP9" i="2" a="1"/>
  <c r="AP9" i="2" s="1"/>
  <c r="CI16" i="2" s="1"/>
  <c r="AL9" i="2" a="1"/>
  <c r="AL9" i="2" s="1"/>
  <c r="CE16" i="2" s="1"/>
  <c r="BI9" i="2" a="1"/>
  <c r="BI9" i="2" s="1"/>
  <c r="DB16" i="2" s="1"/>
  <c r="BE9" i="2" a="1"/>
  <c r="BE9" i="2" s="1"/>
  <c r="CX16" i="2" s="1"/>
  <c r="BA9" i="2" a="1"/>
  <c r="BA9" i="2" s="1"/>
  <c r="CT16" i="2" s="1"/>
  <c r="AW9" i="2" a="1"/>
  <c r="AW9" i="2" s="1"/>
  <c r="CP16" i="2" s="1"/>
  <c r="CP17" i="2" s="1"/>
  <c r="AS9" i="2" a="1"/>
  <c r="AS9" i="2" s="1"/>
  <c r="CL16" i="2" s="1"/>
  <c r="AO9" i="2" a="1"/>
  <c r="AO9" i="2" s="1"/>
  <c r="CH16" i="2" s="1"/>
  <c r="BL9" i="2" a="1"/>
  <c r="BL9" i="2" s="1"/>
  <c r="BH9" i="2" a="1"/>
  <c r="BH9" i="2" s="1"/>
  <c r="DA16" i="2" s="1"/>
  <c r="DA17" i="2" s="1"/>
  <c r="BD9" i="2" a="1"/>
  <c r="BD9" i="2" s="1"/>
  <c r="CW16" i="2" s="1"/>
  <c r="AZ9" i="2" a="1"/>
  <c r="AZ9" i="2" s="1"/>
  <c r="CS16" i="2" s="1"/>
  <c r="AV9" i="2" a="1"/>
  <c r="AV9" i="2" s="1"/>
  <c r="CO16" i="2" s="1"/>
  <c r="AR9" i="2" a="1"/>
  <c r="AR9" i="2" s="1"/>
  <c r="CK16" i="2" s="1"/>
  <c r="CK17" i="2" s="1"/>
  <c r="AN9" i="2" a="1"/>
  <c r="AN9" i="2" s="1"/>
  <c r="CG16" i="2" s="1"/>
  <c r="BK9" i="2" a="1"/>
  <c r="BK9" i="2" s="1"/>
  <c r="DD16" i="2" s="1"/>
  <c r="BG9" i="2" a="1"/>
  <c r="BG9" i="2" s="1"/>
  <c r="CZ16" i="2" s="1"/>
  <c r="CZ17" i="2" s="1"/>
  <c r="BC9" i="2" a="1"/>
  <c r="BC9" i="2" s="1"/>
  <c r="CV16" i="2" s="1"/>
  <c r="CV17" i="2" s="1"/>
  <c r="AY9" i="2" a="1"/>
  <c r="AY9" i="2" s="1"/>
  <c r="CR16" i="2" s="1"/>
  <c r="CR17" i="2" s="1"/>
  <c r="AU9" i="2" a="1"/>
  <c r="AU9" i="2" s="1"/>
  <c r="CN16" i="2" s="1"/>
  <c r="AQ9" i="2" a="1"/>
  <c r="AQ9" i="2" s="1"/>
  <c r="CJ16" i="2" s="1"/>
  <c r="AM9" i="2" a="1"/>
  <c r="AM9" i="2" s="1"/>
  <c r="CF16" i="2" s="1"/>
  <c r="CF17" i="2" s="1"/>
  <c r="AG9" i="2" a="1"/>
  <c r="AG9" i="2" s="1"/>
  <c r="CD16" i="2" s="1"/>
  <c r="CB18" i="2"/>
  <c r="DF121" i="2" s="1"/>
  <c r="BI10" i="2" a="1"/>
  <c r="BI10" i="2" s="1"/>
  <c r="DB18" i="2" s="1"/>
  <c r="BE10" i="2" a="1"/>
  <c r="BE10" i="2" s="1"/>
  <c r="CX18" i="2" s="1"/>
  <c r="BA10" i="2" a="1"/>
  <c r="BA10" i="2" s="1"/>
  <c r="CT18" i="2" s="1"/>
  <c r="AW10" i="2" a="1"/>
  <c r="AW10" i="2" s="1"/>
  <c r="CP18" i="2" s="1"/>
  <c r="CP19" i="2" s="1"/>
  <c r="AS10" i="2" a="1"/>
  <c r="AS10" i="2" s="1"/>
  <c r="CL18" i="2" s="1"/>
  <c r="AO10" i="2" a="1"/>
  <c r="AO10" i="2" s="1"/>
  <c r="CH18" i="2" s="1"/>
  <c r="BL10" i="2" a="1"/>
  <c r="BL10" i="2" s="1"/>
  <c r="BH10" i="2" a="1"/>
  <c r="BH10" i="2" s="1"/>
  <c r="DA18" i="2" s="1"/>
  <c r="DA19" i="2" s="1"/>
  <c r="BD10" i="2" a="1"/>
  <c r="BD10" i="2" s="1"/>
  <c r="CW18" i="2" s="1"/>
  <c r="AZ10" i="2" a="1"/>
  <c r="AZ10" i="2" s="1"/>
  <c r="CS18" i="2" s="1"/>
  <c r="AV10" i="2" a="1"/>
  <c r="AV10" i="2" s="1"/>
  <c r="CO18" i="2" s="1"/>
  <c r="CO19" i="2" s="1"/>
  <c r="AR10" i="2" a="1"/>
  <c r="AR10" i="2" s="1"/>
  <c r="CK18" i="2" s="1"/>
  <c r="AN10" i="2" a="1"/>
  <c r="AN10" i="2" s="1"/>
  <c r="CG18" i="2" s="1"/>
  <c r="BK10" i="2" a="1"/>
  <c r="BK10" i="2" s="1"/>
  <c r="DD18" i="2" s="1"/>
  <c r="BG10" i="2" a="1"/>
  <c r="BG10" i="2" s="1"/>
  <c r="CZ18" i="2" s="1"/>
  <c r="CZ19" i="2" s="1"/>
  <c r="BC10" i="2" a="1"/>
  <c r="BC10" i="2" s="1"/>
  <c r="CV18" i="2" s="1"/>
  <c r="CV19" i="2" s="1"/>
  <c r="AY10" i="2" a="1"/>
  <c r="AY10" i="2" s="1"/>
  <c r="CR18" i="2" s="1"/>
  <c r="CR19" i="2" s="1"/>
  <c r="AU10" i="2" a="1"/>
  <c r="AU10" i="2" s="1"/>
  <c r="CN18" i="2" s="1"/>
  <c r="AQ10" i="2" a="1"/>
  <c r="AQ10" i="2" s="1"/>
  <c r="CJ18" i="2" s="1"/>
  <c r="CJ19" i="2" s="1"/>
  <c r="AM10" i="2" a="1"/>
  <c r="AM10" i="2" s="1"/>
  <c r="CF18" i="2" s="1"/>
  <c r="CF19" i="2" s="1"/>
  <c r="AG10" i="2" a="1"/>
  <c r="AG10" i="2" s="1"/>
  <c r="CD18" i="2" s="1"/>
  <c r="BJ10" i="2" a="1"/>
  <c r="BJ10" i="2" s="1"/>
  <c r="DC18" i="2" s="1"/>
  <c r="BF10" i="2" a="1"/>
  <c r="BF10" i="2" s="1"/>
  <c r="CY18" i="2" s="1"/>
  <c r="CY19" i="2" s="1"/>
  <c r="BB10" i="2" a="1"/>
  <c r="BB10" i="2" s="1"/>
  <c r="CU18" i="2" s="1"/>
  <c r="CU19" i="2" s="1"/>
  <c r="AX10" i="2" a="1"/>
  <c r="AX10" i="2" s="1"/>
  <c r="CQ18" i="2" s="1"/>
  <c r="CQ19" i="2" s="1"/>
  <c r="AT10" i="2" a="1"/>
  <c r="AT10" i="2" s="1"/>
  <c r="CM18" i="2" s="1"/>
  <c r="CM19" i="2" s="1"/>
  <c r="AP10" i="2" a="1"/>
  <c r="AP10" i="2" s="1"/>
  <c r="CI18" i="2" s="1"/>
  <c r="AL10" i="2" a="1"/>
  <c r="AL10" i="2" s="1"/>
  <c r="CE18" i="2" s="1"/>
  <c r="AB8" i="2" a="1"/>
  <c r="AB8" i="2" s="1"/>
  <c r="Y8" i="2" a="1"/>
  <c r="Y8" i="2" s="1"/>
  <c r="CB30" i="2"/>
  <c r="DF211" i="2" s="1"/>
  <c r="BJ16" i="2" a="1"/>
  <c r="BJ16" i="2" s="1"/>
  <c r="DC30" i="2" s="1"/>
  <c r="BF16" i="2" a="1"/>
  <c r="BF16" i="2" s="1"/>
  <c r="CY30" i="2" s="1"/>
  <c r="CY31" i="2" s="1"/>
  <c r="BB16" i="2" a="1"/>
  <c r="BB16" i="2" s="1"/>
  <c r="CU30" i="2" s="1"/>
  <c r="CU31" i="2" s="1"/>
  <c r="AX16" i="2" a="1"/>
  <c r="AX16" i="2" s="1"/>
  <c r="CQ30" i="2" s="1"/>
  <c r="CQ31" i="2" s="1"/>
  <c r="AT16" i="2" a="1"/>
  <c r="AT16" i="2" s="1"/>
  <c r="CM30" i="2" s="1"/>
  <c r="AP16" i="2" a="1"/>
  <c r="AP16" i="2" s="1"/>
  <c r="CI30" i="2" s="1"/>
  <c r="AL16" i="2" a="1"/>
  <c r="AL16" i="2" s="1"/>
  <c r="CE30" i="2" s="1"/>
  <c r="BK16" i="2" a="1"/>
  <c r="BK16" i="2" s="1"/>
  <c r="DD30" i="2" s="1"/>
  <c r="BG16" i="2" a="1"/>
  <c r="BG16" i="2" s="1"/>
  <c r="CZ30" i="2" s="1"/>
  <c r="CZ31" i="2" s="1"/>
  <c r="BC16" i="2" a="1"/>
  <c r="BC16" i="2" s="1"/>
  <c r="CV30" i="2" s="1"/>
  <c r="CV31" i="2" s="1"/>
  <c r="AY16" i="2" a="1"/>
  <c r="AY16" i="2" s="1"/>
  <c r="CR30" i="2" s="1"/>
  <c r="CR31" i="2" s="1"/>
  <c r="AU16" i="2" a="1"/>
  <c r="AU16" i="2" s="1"/>
  <c r="CN30" i="2" s="1"/>
  <c r="AQ16" i="2" a="1"/>
  <c r="AQ16" i="2" s="1"/>
  <c r="CJ30" i="2" s="1"/>
  <c r="AM16" i="2" a="1"/>
  <c r="AM16" i="2" s="1"/>
  <c r="CF30" i="2" s="1"/>
  <c r="AG16" i="2" a="1"/>
  <c r="AG16" i="2" s="1"/>
  <c r="CD30" i="2" s="1"/>
  <c r="BI16" i="2" a="1"/>
  <c r="BI16" i="2" s="1"/>
  <c r="DB30" i="2" s="1"/>
  <c r="AN16" i="2" a="1"/>
  <c r="AN16" i="2" s="1"/>
  <c r="CG30" i="2" s="1"/>
  <c r="BH16" i="2" a="1"/>
  <c r="BH16" i="2" s="1"/>
  <c r="DA30" i="2" s="1"/>
  <c r="DA31" i="2" s="1"/>
  <c r="AW16" i="2" a="1"/>
  <c r="AW16" i="2" s="1"/>
  <c r="CP30" i="2" s="1"/>
  <c r="CP31" i="2" s="1"/>
  <c r="AV16" i="2" a="1"/>
  <c r="AV16" i="2" s="1"/>
  <c r="CO30" i="2" s="1"/>
  <c r="CO31" i="2" s="1"/>
  <c r="BE16" i="2" a="1"/>
  <c r="BE16" i="2" s="1"/>
  <c r="CX30" i="2" s="1"/>
  <c r="BD16" i="2" a="1"/>
  <c r="BD16" i="2" s="1"/>
  <c r="CW30" i="2" s="1"/>
  <c r="AS16" i="2" a="1"/>
  <c r="AS16" i="2" s="1"/>
  <c r="CL30" i="2" s="1"/>
  <c r="AR16" i="2" a="1"/>
  <c r="AR16" i="2" s="1"/>
  <c r="CK30" i="2" s="1"/>
  <c r="CK31" i="2" s="1"/>
  <c r="BL16" i="2" a="1"/>
  <c r="BL16" i="2" s="1"/>
  <c r="BA16" i="2" a="1"/>
  <c r="BA16" i="2" s="1"/>
  <c r="CT30" i="2" s="1"/>
  <c r="AZ16" i="2" a="1"/>
  <c r="AZ16" i="2" s="1"/>
  <c r="CS30" i="2" s="1"/>
  <c r="AO16" i="2" a="1"/>
  <c r="AO16" i="2" s="1"/>
  <c r="CH30" i="2" s="1"/>
  <c r="Y2" i="2" a="1"/>
  <c r="Y2" i="2" s="1"/>
  <c r="AB2" i="2" a="1"/>
  <c r="AB2" i="2" s="1"/>
  <c r="AE23" i="1"/>
  <c r="Q7" i="1"/>
  <c r="Q4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22" i="1"/>
  <c r="Q5" i="1"/>
  <c r="AE31" i="1"/>
  <c r="Q6" i="1"/>
  <c r="CB52" i="2"/>
  <c r="BI27" i="2" a="1"/>
  <c r="BI27" i="2" s="1"/>
  <c r="DB52" i="2" s="1"/>
  <c r="BD27" i="2" a="1"/>
  <c r="BD27" i="2" s="1"/>
  <c r="CW52" i="2" s="1"/>
  <c r="AU27" i="2" a="1"/>
  <c r="AU27" i="2" s="1"/>
  <c r="CN52" i="2" s="1"/>
  <c r="AL27" i="2" a="1"/>
  <c r="AL27" i="2" s="1"/>
  <c r="CE52" i="2" s="1"/>
  <c r="BH27" i="2" a="1"/>
  <c r="BH27" i="2" s="1"/>
  <c r="DA52" i="2" s="1"/>
  <c r="DA53" i="2" s="1"/>
  <c r="AY27" i="2" a="1"/>
  <c r="AY27" i="2" s="1"/>
  <c r="CR52" i="2" s="1"/>
  <c r="CR53" i="2" s="1"/>
  <c r="AP27" i="2" a="1"/>
  <c r="AP27" i="2" s="1"/>
  <c r="CI52" i="2" s="1"/>
  <c r="BC27" i="2" a="1"/>
  <c r="BC27" i="2" s="1"/>
  <c r="CV52" i="2" s="1"/>
  <c r="CV53" i="2" s="1"/>
  <c r="AT27" i="2" a="1"/>
  <c r="AT27" i="2" s="1"/>
  <c r="CM52" i="2" s="1"/>
  <c r="BG27" i="2" a="1"/>
  <c r="BG27" i="2" s="1"/>
  <c r="CZ52" i="2" s="1"/>
  <c r="CZ53" i="2" s="1"/>
  <c r="AX27" i="2" a="1"/>
  <c r="AX27" i="2" s="1"/>
  <c r="CQ52" i="2" s="1"/>
  <c r="CQ53" i="2" s="1"/>
  <c r="AO27" i="2" a="1"/>
  <c r="AO27" i="2" s="1"/>
  <c r="CH52" i="2" s="1"/>
  <c r="BK27" i="2" a="1"/>
  <c r="BK27" i="2" s="1"/>
  <c r="DD52" i="2" s="1"/>
  <c r="BB27" i="2" a="1"/>
  <c r="BB27" i="2" s="1"/>
  <c r="CU52" i="2" s="1"/>
  <c r="CU53" i="2" s="1"/>
  <c r="AS27" i="2" a="1"/>
  <c r="AS27" i="2" s="1"/>
  <c r="CL52" i="2" s="1"/>
  <c r="AN27" i="2" a="1"/>
  <c r="AN27" i="2" s="1"/>
  <c r="CG52" i="2" s="1"/>
  <c r="BF27" i="2" a="1"/>
  <c r="BF27" i="2" s="1"/>
  <c r="CY52" i="2" s="1"/>
  <c r="CY53" i="2" s="1"/>
  <c r="AW27" i="2" a="1"/>
  <c r="AW27" i="2" s="1"/>
  <c r="CP52" i="2" s="1"/>
  <c r="CP53" i="2" s="1"/>
  <c r="AR27" i="2" a="1"/>
  <c r="AR27" i="2" s="1"/>
  <c r="CK52" i="2" s="1"/>
  <c r="AG27" i="2" a="1"/>
  <c r="AG27" i="2" s="1"/>
  <c r="CD52" i="2" s="1"/>
  <c r="BJ27" i="2" a="1"/>
  <c r="BJ27" i="2" s="1"/>
  <c r="DC52" i="2" s="1"/>
  <c r="BA27" i="2" a="1"/>
  <c r="BA27" i="2" s="1"/>
  <c r="CT52" i="2" s="1"/>
  <c r="AV27" i="2" a="1"/>
  <c r="AV27" i="2" s="1"/>
  <c r="CO52" i="2" s="1"/>
  <c r="AM27" i="2" a="1"/>
  <c r="AM27" i="2" s="1"/>
  <c r="CF52" i="2" s="1"/>
  <c r="CF53" i="2" s="1"/>
  <c r="BE27" i="2" a="1"/>
  <c r="BE27" i="2" s="1"/>
  <c r="CX52" i="2" s="1"/>
  <c r="AZ27" i="2" a="1"/>
  <c r="AZ27" i="2" s="1"/>
  <c r="CS52" i="2" s="1"/>
  <c r="AQ27" i="2" a="1"/>
  <c r="AQ27" i="2" s="1"/>
  <c r="CJ52" i="2" s="1"/>
  <c r="AB19" i="2" a="1"/>
  <c r="AB19" i="2" s="1"/>
  <c r="Y19" i="2" a="1"/>
  <c r="Y19" i="2" s="1"/>
  <c r="AB9" i="2" a="1"/>
  <c r="AB9" i="2" s="1"/>
  <c r="Y9" i="2" a="1"/>
  <c r="Y9" i="2" s="1"/>
  <c r="Q73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8" i="1"/>
  <c r="Q65" i="1"/>
  <c r="Q46" i="1"/>
  <c r="Q49" i="1"/>
  <c r="Q47" i="1"/>
  <c r="AB26" i="2" a="1"/>
  <c r="AB26" i="2" s="1"/>
  <c r="Y26" i="2" a="1"/>
  <c r="Y26" i="2" s="1"/>
  <c r="BK4" i="2" a="1"/>
  <c r="BK4" i="2" s="1"/>
  <c r="DD6" i="2" s="1"/>
  <c r="BG4" i="2" a="1"/>
  <c r="BG4" i="2" s="1"/>
  <c r="CZ6" i="2" s="1"/>
  <c r="BC4" i="2" a="1"/>
  <c r="BC4" i="2" s="1"/>
  <c r="CV6" i="2" s="1"/>
  <c r="CV7" i="2" s="1"/>
  <c r="AY4" i="2" a="1"/>
  <c r="AY4" i="2" s="1"/>
  <c r="CR6" i="2" s="1"/>
  <c r="AU4" i="2" a="1"/>
  <c r="AU4" i="2" s="1"/>
  <c r="CN6" i="2" s="1"/>
  <c r="AQ4" i="2" a="1"/>
  <c r="AQ4" i="2" s="1"/>
  <c r="CJ6" i="2" s="1"/>
  <c r="AM4" i="2" a="1"/>
  <c r="AM4" i="2" s="1"/>
  <c r="CF6" i="2" s="1"/>
  <c r="AG4" i="2" a="1"/>
  <c r="AG4" i="2" s="1"/>
  <c r="CD6" i="2" s="1"/>
  <c r="L50" i="1" s="1"/>
  <c r="O50" i="1" s="1"/>
  <c r="BJ4" i="2" a="1"/>
  <c r="BJ4" i="2" s="1"/>
  <c r="DC6" i="2" s="1"/>
  <c r="BF4" i="2" a="1"/>
  <c r="BF4" i="2" s="1"/>
  <c r="CY6" i="2" s="1"/>
  <c r="BB4" i="2" a="1"/>
  <c r="BB4" i="2" s="1"/>
  <c r="CU6" i="2" s="1"/>
  <c r="AX4" i="2" a="1"/>
  <c r="AX4" i="2" s="1"/>
  <c r="CQ6" i="2" s="1"/>
  <c r="CQ7" i="2" s="1"/>
  <c r="AT4" i="2" a="1"/>
  <c r="AT4" i="2" s="1"/>
  <c r="CM6" i="2" s="1"/>
  <c r="CM7" i="2" s="1"/>
  <c r="AP4" i="2" a="1"/>
  <c r="AP4" i="2" s="1"/>
  <c r="CI6" i="2" s="1"/>
  <c r="L54" i="1" s="1"/>
  <c r="O54" i="1" s="1"/>
  <c r="AL4" i="2" a="1"/>
  <c r="AL4" i="2" s="1"/>
  <c r="CE6" i="2" s="1"/>
  <c r="CB6" i="2"/>
  <c r="DF31" i="2" s="1"/>
  <c r="BE4" i="2" a="1"/>
  <c r="BE4" i="2" s="1"/>
  <c r="CX6" i="2" s="1"/>
  <c r="L61" i="1" s="1"/>
  <c r="AO4" i="2" a="1"/>
  <c r="AO4" i="2" s="1"/>
  <c r="CH6" i="2" s="1"/>
  <c r="L53" i="1" s="1"/>
  <c r="O53" i="1" s="1"/>
  <c r="BA4" i="2" a="1"/>
  <c r="BA4" i="2" s="1"/>
  <c r="CT6" i="2" s="1"/>
  <c r="AZ4" i="2" a="1"/>
  <c r="AZ4" i="2" s="1"/>
  <c r="CS6" i="2" s="1"/>
  <c r="AW4" i="2" a="1"/>
  <c r="AW4" i="2" s="1"/>
  <c r="CP6" i="2" s="1"/>
  <c r="CP7" i="2" s="1"/>
  <c r="BL4" i="2" a="1"/>
  <c r="BL4" i="2" s="1"/>
  <c r="AV4" i="2" a="1"/>
  <c r="AV4" i="2" s="1"/>
  <c r="CO6" i="2" s="1"/>
  <c r="BI4" i="2" a="1"/>
  <c r="BI4" i="2" s="1"/>
  <c r="DB6" i="2" s="1"/>
  <c r="AS4" i="2" a="1"/>
  <c r="AS4" i="2" s="1"/>
  <c r="CL6" i="2" s="1"/>
  <c r="L57" i="1" s="1"/>
  <c r="BD4" i="2" a="1"/>
  <c r="BD4" i="2" s="1"/>
  <c r="CW6" i="2" s="1"/>
  <c r="AN4" i="2" a="1"/>
  <c r="AN4" i="2" s="1"/>
  <c r="CG6" i="2" s="1"/>
  <c r="L52" i="1" s="1"/>
  <c r="O52" i="1" s="1"/>
  <c r="BH4" i="2" a="1"/>
  <c r="BH4" i="2" s="1"/>
  <c r="DA6" i="2" s="1"/>
  <c r="DA7" i="2" s="1"/>
  <c r="AR4" i="2" a="1"/>
  <c r="AR4" i="2" s="1"/>
  <c r="CK6" i="2" s="1"/>
  <c r="Y5" i="2" a="1"/>
  <c r="Y5" i="2" s="1"/>
  <c r="AB5" i="2" a="1"/>
  <c r="AB5" i="2" s="1"/>
  <c r="CB50" i="2"/>
  <c r="BI26" i="2" a="1"/>
  <c r="BI26" i="2" s="1"/>
  <c r="DB50" i="2" s="1"/>
  <c r="BE26" i="2" a="1"/>
  <c r="BE26" i="2" s="1"/>
  <c r="CX50" i="2" s="1"/>
  <c r="BA26" i="2" a="1"/>
  <c r="BA26" i="2" s="1"/>
  <c r="CT50" i="2" s="1"/>
  <c r="AW26" i="2" a="1"/>
  <c r="AW26" i="2" s="1"/>
  <c r="CP50" i="2" s="1"/>
  <c r="CP51" i="2" s="1"/>
  <c r="AS26" i="2" a="1"/>
  <c r="AS26" i="2" s="1"/>
  <c r="CL50" i="2" s="1"/>
  <c r="AO26" i="2" a="1"/>
  <c r="AO26" i="2" s="1"/>
  <c r="CH50" i="2" s="1"/>
  <c r="BH26" i="2" a="1"/>
  <c r="BH26" i="2" s="1"/>
  <c r="DA50" i="2" s="1"/>
  <c r="DA51" i="2" s="1"/>
  <c r="AY26" i="2" a="1"/>
  <c r="AY26" i="2" s="1"/>
  <c r="CR50" i="2" s="1"/>
  <c r="CR51" i="2" s="1"/>
  <c r="AP26" i="2" a="1"/>
  <c r="AP26" i="2" s="1"/>
  <c r="CI50" i="2" s="1"/>
  <c r="BC26" i="2" a="1"/>
  <c r="BC26" i="2" s="1"/>
  <c r="CV50" i="2" s="1"/>
  <c r="CV51" i="2" s="1"/>
  <c r="AT26" i="2" a="1"/>
  <c r="AT26" i="2" s="1"/>
  <c r="CM50" i="2" s="1"/>
  <c r="CM51" i="2" s="1"/>
  <c r="BG26" i="2" a="1"/>
  <c r="BG26" i="2" s="1"/>
  <c r="CZ50" i="2" s="1"/>
  <c r="CZ51" i="2" s="1"/>
  <c r="AX26" i="2" a="1"/>
  <c r="AX26" i="2" s="1"/>
  <c r="CQ50" i="2" s="1"/>
  <c r="CQ51" i="2" s="1"/>
  <c r="BK26" i="2" a="1"/>
  <c r="BK26" i="2" s="1"/>
  <c r="DD50" i="2" s="1"/>
  <c r="BB26" i="2" a="1"/>
  <c r="BB26" i="2" s="1"/>
  <c r="CU50" i="2" s="1"/>
  <c r="CU51" i="2" s="1"/>
  <c r="CC51" i="2" s="1"/>
  <c r="AJ26" i="2" s="1"/>
  <c r="AK26" i="2" s="1"/>
  <c r="AN26" i="2" a="1"/>
  <c r="AN26" i="2" s="1"/>
  <c r="CG50" i="2" s="1"/>
  <c r="BF26" i="2" a="1"/>
  <c r="BF26" i="2" s="1"/>
  <c r="CY50" i="2" s="1"/>
  <c r="CY51" i="2" s="1"/>
  <c r="AR26" i="2" a="1"/>
  <c r="AR26" i="2" s="1"/>
  <c r="CK50" i="2" s="1"/>
  <c r="AG26" i="2" a="1"/>
  <c r="AG26" i="2" s="1"/>
  <c r="CD50" i="2" s="1"/>
  <c r="BJ26" i="2" a="1"/>
  <c r="BJ26" i="2" s="1"/>
  <c r="DC50" i="2" s="1"/>
  <c r="AV26" i="2" a="1"/>
  <c r="AV26" i="2" s="1"/>
  <c r="CO50" i="2" s="1"/>
  <c r="AM26" i="2" a="1"/>
  <c r="AM26" i="2" s="1"/>
  <c r="CF50" i="2" s="1"/>
  <c r="AZ26" i="2" a="1"/>
  <c r="AZ26" i="2" s="1"/>
  <c r="CS50" i="2" s="1"/>
  <c r="AQ26" i="2" a="1"/>
  <c r="AQ26" i="2" s="1"/>
  <c r="CJ50" i="2" s="1"/>
  <c r="CJ51" i="2" s="1"/>
  <c r="BD26" i="2" a="1"/>
  <c r="BD26" i="2" s="1"/>
  <c r="CW50" i="2" s="1"/>
  <c r="AU26" i="2" a="1"/>
  <c r="AU26" i="2" s="1"/>
  <c r="CN50" i="2" s="1"/>
  <c r="AL26" i="2" a="1"/>
  <c r="AL26" i="2" s="1"/>
  <c r="CE50" i="2" s="1"/>
  <c r="AB20" i="2" a="1"/>
  <c r="AB20" i="2" s="1"/>
  <c r="Y20" i="2" a="1"/>
  <c r="Y20" i="2" s="1"/>
  <c r="AB22" i="2" a="1"/>
  <c r="AB22" i="2" s="1"/>
  <c r="Y22" i="2" a="1"/>
  <c r="Y22" i="2" s="1"/>
  <c r="BL5" i="2" a="1"/>
  <c r="BL5" i="2" s="1"/>
  <c r="BH5" i="2" a="1"/>
  <c r="BH5" i="2" s="1"/>
  <c r="DA8" i="2" s="1"/>
  <c r="DA9" i="2" s="1"/>
  <c r="BD5" i="2" a="1"/>
  <c r="BD5" i="2" s="1"/>
  <c r="CW8" i="2" s="1"/>
  <c r="AZ5" i="2" a="1"/>
  <c r="AZ5" i="2" s="1"/>
  <c r="CS8" i="2" s="1"/>
  <c r="AV5" i="2" a="1"/>
  <c r="AV5" i="2" s="1"/>
  <c r="CO8" i="2" s="1"/>
  <c r="AR5" i="2" a="1"/>
  <c r="AR5" i="2" s="1"/>
  <c r="CK8" i="2" s="1"/>
  <c r="AN5" i="2" a="1"/>
  <c r="AN5" i="2" s="1"/>
  <c r="CG8" i="2" s="1"/>
  <c r="S52" i="1" s="1"/>
  <c r="BK5" i="2" a="1"/>
  <c r="BK5" i="2" s="1"/>
  <c r="DD8" i="2" s="1"/>
  <c r="BG5" i="2" a="1"/>
  <c r="BG5" i="2" s="1"/>
  <c r="CZ8" i="2" s="1"/>
  <c r="BC5" i="2" a="1"/>
  <c r="BC5" i="2" s="1"/>
  <c r="CV8" i="2" s="1"/>
  <c r="CV9" i="2" s="1"/>
  <c r="AY5" i="2" a="1"/>
  <c r="AY5" i="2" s="1"/>
  <c r="CR8" i="2" s="1"/>
  <c r="AU5" i="2" a="1"/>
  <c r="AU5" i="2" s="1"/>
  <c r="CN8" i="2" s="1"/>
  <c r="AQ5" i="2" a="1"/>
  <c r="AQ5" i="2" s="1"/>
  <c r="CJ8" i="2" s="1"/>
  <c r="AM5" i="2" a="1"/>
  <c r="AM5" i="2" s="1"/>
  <c r="CF8" i="2" s="1"/>
  <c r="AG5" i="2" a="1"/>
  <c r="AG5" i="2" s="1"/>
  <c r="CD8" i="2" s="1"/>
  <c r="S50" i="1" s="1"/>
  <c r="CB8" i="2"/>
  <c r="EI31" i="2" s="1"/>
  <c r="BJ5" i="2" a="1"/>
  <c r="BJ5" i="2" s="1"/>
  <c r="DC8" i="2" s="1"/>
  <c r="BF5" i="2" a="1"/>
  <c r="BF5" i="2" s="1"/>
  <c r="CY8" i="2" s="1"/>
  <c r="BB5" i="2" a="1"/>
  <c r="BB5" i="2" s="1"/>
  <c r="CU8" i="2" s="1"/>
  <c r="AX5" i="2" a="1"/>
  <c r="AX5" i="2" s="1"/>
  <c r="CQ8" i="2" s="1"/>
  <c r="CQ9" i="2" s="1"/>
  <c r="AT5" i="2" a="1"/>
  <c r="AT5" i="2" s="1"/>
  <c r="CM8" i="2" s="1"/>
  <c r="AP5" i="2" a="1"/>
  <c r="AP5" i="2" s="1"/>
  <c r="CI8" i="2" s="1"/>
  <c r="S54" i="1" s="1"/>
  <c r="AL5" i="2" a="1"/>
  <c r="AL5" i="2" s="1"/>
  <c r="CE8" i="2" s="1"/>
  <c r="BI5" i="2" a="1"/>
  <c r="BI5" i="2" s="1"/>
  <c r="DB8" i="2" s="1"/>
  <c r="BE5" i="2" a="1"/>
  <c r="BE5" i="2" s="1"/>
  <c r="CX8" i="2" s="1"/>
  <c r="S61" i="1" s="1"/>
  <c r="V61" i="1" s="1"/>
  <c r="BA5" i="2" a="1"/>
  <c r="BA5" i="2" s="1"/>
  <c r="CT8" i="2" s="1"/>
  <c r="AW5" i="2" a="1"/>
  <c r="AW5" i="2" s="1"/>
  <c r="CP8" i="2" s="1"/>
  <c r="CP9" i="2" s="1"/>
  <c r="AS5" i="2" a="1"/>
  <c r="AS5" i="2" s="1"/>
  <c r="CL8" i="2" s="1"/>
  <c r="S57" i="1" s="1"/>
  <c r="V57" i="1" s="1"/>
  <c r="AO5" i="2" a="1"/>
  <c r="AO5" i="2" s="1"/>
  <c r="CH8" i="2" s="1"/>
  <c r="S53" i="1" s="1"/>
  <c r="CB14" i="2"/>
  <c r="DF91" i="2" s="1"/>
  <c r="BJ8" i="2" a="1"/>
  <c r="BJ8" i="2" s="1"/>
  <c r="DC14" i="2" s="1"/>
  <c r="BF8" i="2" a="1"/>
  <c r="BF8" i="2" s="1"/>
  <c r="CY14" i="2" s="1"/>
  <c r="CY15" i="2" s="1"/>
  <c r="BB8" i="2" a="1"/>
  <c r="BB8" i="2" s="1"/>
  <c r="CU14" i="2" s="1"/>
  <c r="CU15" i="2" s="1"/>
  <c r="CC15" i="2" s="1"/>
  <c r="AJ8" i="2" s="1"/>
  <c r="AK8" i="2" s="1"/>
  <c r="AX8" i="2" a="1"/>
  <c r="AX8" i="2" s="1"/>
  <c r="CQ14" i="2" s="1"/>
  <c r="CQ15" i="2" s="1"/>
  <c r="AT8" i="2" a="1"/>
  <c r="AT8" i="2" s="1"/>
  <c r="CM14" i="2" s="1"/>
  <c r="AP8" i="2" a="1"/>
  <c r="AP8" i="2" s="1"/>
  <c r="CI14" i="2" s="1"/>
  <c r="AL8" i="2" a="1"/>
  <c r="AL8" i="2" s="1"/>
  <c r="CE14" i="2" s="1"/>
  <c r="BI8" i="2" a="1"/>
  <c r="BI8" i="2" s="1"/>
  <c r="DB14" i="2" s="1"/>
  <c r="BE8" i="2" a="1"/>
  <c r="BE8" i="2" s="1"/>
  <c r="CX14" i="2" s="1"/>
  <c r="BA8" i="2" a="1"/>
  <c r="BA8" i="2" s="1"/>
  <c r="CT14" i="2" s="1"/>
  <c r="AW8" i="2" a="1"/>
  <c r="AW8" i="2" s="1"/>
  <c r="CP14" i="2" s="1"/>
  <c r="CP15" i="2" s="1"/>
  <c r="AS8" i="2" a="1"/>
  <c r="AS8" i="2" s="1"/>
  <c r="CL14" i="2" s="1"/>
  <c r="AO8" i="2" a="1"/>
  <c r="AO8" i="2" s="1"/>
  <c r="CH14" i="2" s="1"/>
  <c r="BL8" i="2" a="1"/>
  <c r="BL8" i="2" s="1"/>
  <c r="BH8" i="2" a="1"/>
  <c r="BH8" i="2" s="1"/>
  <c r="DA14" i="2" s="1"/>
  <c r="DA15" i="2" s="1"/>
  <c r="BD8" i="2" a="1"/>
  <c r="BD8" i="2" s="1"/>
  <c r="CW14" i="2" s="1"/>
  <c r="AZ8" i="2" a="1"/>
  <c r="AZ8" i="2" s="1"/>
  <c r="CS14" i="2" s="1"/>
  <c r="AV8" i="2" a="1"/>
  <c r="AV8" i="2" s="1"/>
  <c r="CO14" i="2" s="1"/>
  <c r="CO15" i="2" s="1"/>
  <c r="AR8" i="2" a="1"/>
  <c r="AR8" i="2" s="1"/>
  <c r="CK14" i="2" s="1"/>
  <c r="CK15" i="2" s="1"/>
  <c r="AN8" i="2" a="1"/>
  <c r="AN8" i="2" s="1"/>
  <c r="CG14" i="2" s="1"/>
  <c r="BK8" i="2" a="1"/>
  <c r="BK8" i="2" s="1"/>
  <c r="DD14" i="2" s="1"/>
  <c r="BG8" i="2" a="1"/>
  <c r="BG8" i="2" s="1"/>
  <c r="CZ14" i="2" s="1"/>
  <c r="CZ15" i="2" s="1"/>
  <c r="BC8" i="2" a="1"/>
  <c r="BC8" i="2" s="1"/>
  <c r="CV14" i="2" s="1"/>
  <c r="CV15" i="2" s="1"/>
  <c r="AY8" i="2" a="1"/>
  <c r="AY8" i="2" s="1"/>
  <c r="CR14" i="2" s="1"/>
  <c r="CR15" i="2" s="1"/>
  <c r="AU8" i="2" a="1"/>
  <c r="AU8" i="2" s="1"/>
  <c r="CN14" i="2" s="1"/>
  <c r="AQ8" i="2" a="1"/>
  <c r="AQ8" i="2" s="1"/>
  <c r="CJ14" i="2" s="1"/>
  <c r="CJ15" i="2" s="1"/>
  <c r="AM8" i="2" a="1"/>
  <c r="AM8" i="2" s="1"/>
  <c r="CF14" i="2" s="1"/>
  <c r="CF15" i="2" s="1"/>
  <c r="AG8" i="2" a="1"/>
  <c r="AG8" i="2" s="1"/>
  <c r="CD14" i="2" s="1"/>
  <c r="CB48" i="2"/>
  <c r="EI331" i="2" s="1"/>
  <c r="BK25" i="2" a="1"/>
  <c r="BK25" i="2" s="1"/>
  <c r="DD48" i="2" s="1"/>
  <c r="BG25" i="2" a="1"/>
  <c r="BG25" i="2" s="1"/>
  <c r="CZ48" i="2" s="1"/>
  <c r="CZ49" i="2" s="1"/>
  <c r="BC25" i="2" a="1"/>
  <c r="BC25" i="2" s="1"/>
  <c r="CV48" i="2" s="1"/>
  <c r="CV49" i="2" s="1"/>
  <c r="AY25" i="2" a="1"/>
  <c r="AY25" i="2" s="1"/>
  <c r="CR48" i="2" s="1"/>
  <c r="CR49" i="2" s="1"/>
  <c r="AU25" i="2" a="1"/>
  <c r="AU25" i="2" s="1"/>
  <c r="CN48" i="2" s="1"/>
  <c r="AQ25" i="2" a="1"/>
  <c r="AQ25" i="2" s="1"/>
  <c r="CJ48" i="2" s="1"/>
  <c r="BH25" i="2" a="1"/>
  <c r="BH25" i="2" s="1"/>
  <c r="DA48" i="2" s="1"/>
  <c r="DA49" i="2" s="1"/>
  <c r="AT25" i="2" a="1"/>
  <c r="AT25" i="2" s="1"/>
  <c r="CM48" i="2" s="1"/>
  <c r="AX25" i="2" a="1"/>
  <c r="AX25" i="2" s="1"/>
  <c r="CQ48" i="2" s="1"/>
  <c r="CQ49" i="2" s="1"/>
  <c r="AO25" i="2" a="1"/>
  <c r="AO25" i="2" s="1"/>
  <c r="CH48" i="2" s="1"/>
  <c r="BB25" i="2" a="1"/>
  <c r="BB25" i="2" s="1"/>
  <c r="CU48" i="2" s="1"/>
  <c r="CU49" i="2" s="1"/>
  <c r="AS25" i="2" a="1"/>
  <c r="AS25" i="2" s="1"/>
  <c r="CL48" i="2" s="1"/>
  <c r="BF25" i="2" a="1"/>
  <c r="BF25" i="2" s="1"/>
  <c r="CY48" i="2" s="1"/>
  <c r="CY49" i="2" s="1"/>
  <c r="AW25" i="2" a="1"/>
  <c r="AW25" i="2" s="1"/>
  <c r="CP48" i="2" s="1"/>
  <c r="CP49" i="2" s="1"/>
  <c r="AN25" i="2" a="1"/>
  <c r="AN25" i="2" s="1"/>
  <c r="CG48" i="2" s="1"/>
  <c r="BJ25" i="2" a="1"/>
  <c r="BJ25" i="2" s="1"/>
  <c r="DC48" i="2" s="1"/>
  <c r="BA25" i="2" a="1"/>
  <c r="BA25" i="2" s="1"/>
  <c r="CT48" i="2" s="1"/>
  <c r="AR25" i="2" a="1"/>
  <c r="AR25" i="2" s="1"/>
  <c r="CK48" i="2" s="1"/>
  <c r="BE25" i="2" a="1"/>
  <c r="BE25" i="2" s="1"/>
  <c r="CX48" i="2" s="1"/>
  <c r="AV25" i="2" a="1"/>
  <c r="AV25" i="2" s="1"/>
  <c r="CO48" i="2" s="1"/>
  <c r="AM25" i="2" a="1"/>
  <c r="AM25" i="2" s="1"/>
  <c r="CF48" i="2" s="1"/>
  <c r="AG25" i="2" a="1"/>
  <c r="AG25" i="2" s="1"/>
  <c r="CD48" i="2" s="1"/>
  <c r="BI25" i="2" a="1"/>
  <c r="BI25" i="2" s="1"/>
  <c r="DB48" i="2" s="1"/>
  <c r="AZ25" i="2" a="1"/>
  <c r="AZ25" i="2" s="1"/>
  <c r="CS48" i="2" s="1"/>
  <c r="BD25" i="2" a="1"/>
  <c r="BD25" i="2" s="1"/>
  <c r="CW48" i="2" s="1"/>
  <c r="AP25" i="2" a="1"/>
  <c r="AP25" i="2" s="1"/>
  <c r="CI48" i="2" s="1"/>
  <c r="AL25" i="2" a="1"/>
  <c r="AL25" i="2" s="1"/>
  <c r="CE48" i="2" s="1"/>
  <c r="Y31" i="2" a="1"/>
  <c r="Y31" i="2" s="1"/>
  <c r="AB31" i="2" a="1"/>
  <c r="AB31" i="2" s="1"/>
  <c r="BK15" i="2" a="1"/>
  <c r="BK15" i="2" s="1"/>
  <c r="DD28" i="2" s="1"/>
  <c r="BG15" i="2" a="1"/>
  <c r="BG15" i="2" s="1"/>
  <c r="CZ28" i="2" s="1"/>
  <c r="CZ29" i="2" s="1"/>
  <c r="BC15" i="2" a="1"/>
  <c r="BC15" i="2" s="1"/>
  <c r="CV28" i="2" s="1"/>
  <c r="CV29" i="2" s="1"/>
  <c r="AY15" i="2" a="1"/>
  <c r="AY15" i="2" s="1"/>
  <c r="CR28" i="2" s="1"/>
  <c r="CR29" i="2" s="1"/>
  <c r="AU15" i="2" a="1"/>
  <c r="AU15" i="2" s="1"/>
  <c r="CN28" i="2" s="1"/>
  <c r="AQ15" i="2" a="1"/>
  <c r="AQ15" i="2" s="1"/>
  <c r="CJ28" i="2" s="1"/>
  <c r="AM15" i="2" a="1"/>
  <c r="AM15" i="2" s="1"/>
  <c r="CF28" i="2" s="1"/>
  <c r="AG15" i="2" a="1"/>
  <c r="AG15" i="2" s="1"/>
  <c r="CD28" i="2" s="1"/>
  <c r="CB28" i="2"/>
  <c r="EI181" i="2" s="1"/>
  <c r="BL15" i="2" a="1"/>
  <c r="BL15" i="2" s="1"/>
  <c r="BH15" i="2" a="1"/>
  <c r="BH15" i="2" s="1"/>
  <c r="DA28" i="2" s="1"/>
  <c r="DA29" i="2" s="1"/>
  <c r="BD15" i="2" a="1"/>
  <c r="BD15" i="2" s="1"/>
  <c r="CW28" i="2" s="1"/>
  <c r="AZ15" i="2" a="1"/>
  <c r="AZ15" i="2" s="1"/>
  <c r="CS28" i="2" s="1"/>
  <c r="AV15" i="2" a="1"/>
  <c r="AV15" i="2" s="1"/>
  <c r="CO28" i="2" s="1"/>
  <c r="AR15" i="2" a="1"/>
  <c r="AR15" i="2" s="1"/>
  <c r="CK28" i="2" s="1"/>
  <c r="AN15" i="2" a="1"/>
  <c r="AN15" i="2" s="1"/>
  <c r="CG28" i="2" s="1"/>
  <c r="AS15" i="2" a="1"/>
  <c r="AS15" i="2" s="1"/>
  <c r="CL28" i="2" s="1"/>
  <c r="AL15" i="2" a="1"/>
  <c r="AL15" i="2" s="1"/>
  <c r="CE28" i="2" s="1"/>
  <c r="BE15" i="2" a="1"/>
  <c r="BE15" i="2" s="1"/>
  <c r="CX28" i="2" s="1"/>
  <c r="AX15" i="2" a="1"/>
  <c r="AX15" i="2" s="1"/>
  <c r="CQ28" i="2" s="1"/>
  <c r="CQ29" i="2" s="1"/>
  <c r="BJ15" i="2" a="1"/>
  <c r="BJ15" i="2" s="1"/>
  <c r="DC28" i="2" s="1"/>
  <c r="AW15" i="2" a="1"/>
  <c r="AW15" i="2" s="1"/>
  <c r="CP28" i="2" s="1"/>
  <c r="CP29" i="2" s="1"/>
  <c r="AP15" i="2" a="1"/>
  <c r="AP15" i="2" s="1"/>
  <c r="CI28" i="2" s="1"/>
  <c r="BI15" i="2" a="1"/>
  <c r="BI15" i="2" s="1"/>
  <c r="DB28" i="2" s="1"/>
  <c r="BB15" i="2" a="1"/>
  <c r="BB15" i="2" s="1"/>
  <c r="CU28" i="2" s="1"/>
  <c r="CU29" i="2" s="1"/>
  <c r="CC29" i="2" s="1"/>
  <c r="AJ15" i="2" s="1"/>
  <c r="AK15" i="2" s="1"/>
  <c r="AO15" i="2" a="1"/>
  <c r="AO15" i="2" s="1"/>
  <c r="CH28" i="2" s="1"/>
  <c r="BA15" i="2" a="1"/>
  <c r="BA15" i="2" s="1"/>
  <c r="CT28" i="2" s="1"/>
  <c r="AT15" i="2" a="1"/>
  <c r="AT15" i="2" s="1"/>
  <c r="CM28" i="2" s="1"/>
  <c r="CM29" i="2" s="1"/>
  <c r="BF15" i="2" a="1"/>
  <c r="BF15" i="2" s="1"/>
  <c r="CY28" i="2" s="1"/>
  <c r="CY29" i="2" s="1"/>
  <c r="CB38" i="2"/>
  <c r="DF271" i="2" s="1"/>
  <c r="BK20" i="2" a="1"/>
  <c r="BK20" i="2" s="1"/>
  <c r="DD38" i="2" s="1"/>
  <c r="BG20" i="2" a="1"/>
  <c r="BG20" i="2" s="1"/>
  <c r="CZ38" i="2" s="1"/>
  <c r="CZ39" i="2" s="1"/>
  <c r="BC20" i="2" a="1"/>
  <c r="BC20" i="2" s="1"/>
  <c r="CV38" i="2" s="1"/>
  <c r="CV39" i="2" s="1"/>
  <c r="AY20" i="2" a="1"/>
  <c r="AY20" i="2" s="1"/>
  <c r="CR38" i="2" s="1"/>
  <c r="CR39" i="2" s="1"/>
  <c r="AU20" i="2" a="1"/>
  <c r="AU20" i="2" s="1"/>
  <c r="CN38" i="2" s="1"/>
  <c r="AQ20" i="2" a="1"/>
  <c r="AQ20" i="2" s="1"/>
  <c r="CJ38" i="2" s="1"/>
  <c r="CJ39" i="2" s="1"/>
  <c r="AM20" i="2" a="1"/>
  <c r="AM20" i="2" s="1"/>
  <c r="CF38" i="2" s="1"/>
  <c r="CF39" i="2" s="1"/>
  <c r="AG20" i="2" a="1"/>
  <c r="AG20" i="2" s="1"/>
  <c r="CD38" i="2" s="1"/>
  <c r="BJ20" i="2" a="1"/>
  <c r="BJ20" i="2" s="1"/>
  <c r="DC38" i="2" s="1"/>
  <c r="BF20" i="2" a="1"/>
  <c r="BF20" i="2" s="1"/>
  <c r="CY38" i="2" s="1"/>
  <c r="CY39" i="2" s="1"/>
  <c r="BB20" i="2" a="1"/>
  <c r="BB20" i="2" s="1"/>
  <c r="CU38" i="2" s="1"/>
  <c r="CU39" i="2" s="1"/>
  <c r="CC39" i="2" s="1"/>
  <c r="AJ20" i="2" s="1"/>
  <c r="AK20" i="2" s="1"/>
  <c r="AX20" i="2" a="1"/>
  <c r="AX20" i="2" s="1"/>
  <c r="CQ38" i="2" s="1"/>
  <c r="CQ39" i="2" s="1"/>
  <c r="AT20" i="2" a="1"/>
  <c r="AT20" i="2" s="1"/>
  <c r="CM38" i="2" s="1"/>
  <c r="CM39" i="2" s="1"/>
  <c r="AP20" i="2" a="1"/>
  <c r="AP20" i="2" s="1"/>
  <c r="CI38" i="2" s="1"/>
  <c r="AL20" i="2" a="1"/>
  <c r="AL20" i="2" s="1"/>
  <c r="CE38" i="2" s="1"/>
  <c r="BI20" i="2" a="1"/>
  <c r="BI20" i="2" s="1"/>
  <c r="DB38" i="2" s="1"/>
  <c r="BE20" i="2" a="1"/>
  <c r="BE20" i="2" s="1"/>
  <c r="CX38" i="2" s="1"/>
  <c r="BA20" i="2" a="1"/>
  <c r="BA20" i="2" s="1"/>
  <c r="CT38" i="2" s="1"/>
  <c r="AW20" i="2" a="1"/>
  <c r="AW20" i="2" s="1"/>
  <c r="CP38" i="2" s="1"/>
  <c r="CP39" i="2" s="1"/>
  <c r="AS20" i="2" a="1"/>
  <c r="AS20" i="2" s="1"/>
  <c r="CL38" i="2" s="1"/>
  <c r="AO20" i="2" a="1"/>
  <c r="AO20" i="2" s="1"/>
  <c r="CH38" i="2" s="1"/>
  <c r="BL20" i="2" a="1"/>
  <c r="BL20" i="2" s="1"/>
  <c r="BH20" i="2" a="1"/>
  <c r="BH20" i="2" s="1"/>
  <c r="DA38" i="2" s="1"/>
  <c r="DA39" i="2" s="1"/>
  <c r="BD20" i="2" a="1"/>
  <c r="BD20" i="2" s="1"/>
  <c r="CW38" i="2" s="1"/>
  <c r="AZ20" i="2" a="1"/>
  <c r="AZ20" i="2" s="1"/>
  <c r="CS38" i="2" s="1"/>
  <c r="AV20" i="2" a="1"/>
  <c r="AV20" i="2" s="1"/>
  <c r="CO38" i="2" s="1"/>
  <c r="CO39" i="2" s="1"/>
  <c r="AR20" i="2" a="1"/>
  <c r="AR20" i="2" s="1"/>
  <c r="CK38" i="2" s="1"/>
  <c r="CK39" i="2" s="1"/>
  <c r="AN20" i="2" a="1"/>
  <c r="AN20" i="2" s="1"/>
  <c r="CG38" i="2" s="1"/>
  <c r="BL2" i="2" a="1"/>
  <c r="BL2" i="2" s="1"/>
  <c r="BC2" i="2" a="1"/>
  <c r="BC2" i="2" s="1"/>
  <c r="CV2" i="2" s="1"/>
  <c r="CV3" i="2" s="1"/>
  <c r="AX2" i="2" a="1"/>
  <c r="AX2" i="2" s="1"/>
  <c r="CQ2" i="2" s="1"/>
  <c r="AO2" i="2" a="1"/>
  <c r="AO2" i="2" s="1"/>
  <c r="CH2" i="2" s="1"/>
  <c r="L11" i="1" s="1"/>
  <c r="O11" i="1" s="1"/>
  <c r="BG2" i="2" a="1"/>
  <c r="BG2" i="2" s="1"/>
  <c r="CZ2" i="2" s="1"/>
  <c r="CZ3" i="2" s="1"/>
  <c r="N21" i="1" s="1"/>
  <c r="BB2" i="2" a="1"/>
  <c r="BB2" i="2" s="1"/>
  <c r="CU2" i="2" s="1"/>
  <c r="CU3" i="2" s="1"/>
  <c r="AS2" i="2" a="1"/>
  <c r="AS2" i="2" s="1"/>
  <c r="CL2" i="2" s="1"/>
  <c r="L15" i="1" s="1"/>
  <c r="O15" i="1" s="1"/>
  <c r="BK2" i="2" a="1"/>
  <c r="BK2" i="2" s="1"/>
  <c r="DD2" i="2" s="1"/>
  <c r="BF2" i="2" a="1"/>
  <c r="BF2" i="2" s="1"/>
  <c r="CY2" i="2" s="1"/>
  <c r="CY3" i="2" s="1"/>
  <c r="N20" i="1" s="1"/>
  <c r="AW2" i="2" a="1"/>
  <c r="AW2" i="2" s="1"/>
  <c r="CP2" i="2" s="1"/>
  <c r="AN2" i="2" a="1"/>
  <c r="AN2" i="2" s="1"/>
  <c r="CG2" i="2" s="1"/>
  <c r="L10" i="1" s="1"/>
  <c r="O10" i="1" s="1"/>
  <c r="BJ2" i="2" a="1"/>
  <c r="BJ2" i="2" s="1"/>
  <c r="DC2" i="2" s="1"/>
  <c r="BA2" i="2" a="1"/>
  <c r="BA2" i="2" s="1"/>
  <c r="CT2" i="2" s="1"/>
  <c r="AR2" i="2" a="1"/>
  <c r="AR2" i="2" s="1"/>
  <c r="CK2" i="2" s="1"/>
  <c r="AG2" i="2" a="1"/>
  <c r="AG2" i="2" s="1"/>
  <c r="CD2" i="2" s="1"/>
  <c r="L8" i="1" s="1"/>
  <c r="O8" i="1" s="1"/>
  <c r="BE2" i="2" a="1"/>
  <c r="BE2" i="2" s="1"/>
  <c r="CX2" i="2" s="1"/>
  <c r="AV2" i="2" a="1"/>
  <c r="AV2" i="2" s="1"/>
  <c r="CO2" i="2" s="1"/>
  <c r="AM2" i="2" a="1"/>
  <c r="AM2" i="2" s="1"/>
  <c r="CF2" i="2" s="1"/>
  <c r="BI2" i="2" a="1"/>
  <c r="BI2" i="2" s="1"/>
  <c r="DB2" i="2" s="1"/>
  <c r="AZ2" i="2" a="1"/>
  <c r="AZ2" i="2" s="1"/>
  <c r="CS2" i="2" s="1"/>
  <c r="AQ2" i="2" a="1"/>
  <c r="AQ2" i="2" s="1"/>
  <c r="CJ2" i="2" s="1"/>
  <c r="AL2" i="2" a="1"/>
  <c r="AL2" i="2" s="1"/>
  <c r="CE2" i="2" s="1"/>
  <c r="CB2" i="2"/>
  <c r="DF1" i="2" s="1"/>
  <c r="BH2" i="2" a="1"/>
  <c r="BH2" i="2" s="1"/>
  <c r="DA2" i="2" s="1"/>
  <c r="DA3" i="2" s="1"/>
  <c r="AY2" i="2" a="1"/>
  <c r="AY2" i="2" s="1"/>
  <c r="CR2" i="2" s="1"/>
  <c r="AT2" i="2" a="1"/>
  <c r="AT2" i="2" s="1"/>
  <c r="CM2" i="2" s="1"/>
  <c r="BD2" i="2" a="1"/>
  <c r="BD2" i="2" s="1"/>
  <c r="CW2" i="2" s="1"/>
  <c r="AU2" i="2" a="1"/>
  <c r="AU2" i="2" s="1"/>
  <c r="CN2" i="2" s="1"/>
  <c r="L21" i="1" s="1"/>
  <c r="O21" i="1" s="1"/>
  <c r="AP2" i="2" a="1"/>
  <c r="AP2" i="2" s="1"/>
  <c r="CI2" i="2" s="1"/>
  <c r="L12" i="1" s="1"/>
  <c r="O12" i="1" s="1"/>
  <c r="Y3" i="2" a="1"/>
  <c r="Y3" i="2" s="1"/>
  <c r="AB3" i="2" a="1"/>
  <c r="AB3" i="2" s="1"/>
  <c r="CB40" i="2"/>
  <c r="EI271" i="2" s="1"/>
  <c r="BI21" i="2" a="1"/>
  <c r="BI21" i="2" s="1"/>
  <c r="DB40" i="2" s="1"/>
  <c r="BE21" i="2" a="1"/>
  <c r="BE21" i="2" s="1"/>
  <c r="CX40" i="2" s="1"/>
  <c r="BA21" i="2" a="1"/>
  <c r="BA21" i="2" s="1"/>
  <c r="CT40" i="2" s="1"/>
  <c r="AW21" i="2" a="1"/>
  <c r="AW21" i="2" s="1"/>
  <c r="CP40" i="2" s="1"/>
  <c r="CP41" i="2" s="1"/>
  <c r="AS21" i="2" a="1"/>
  <c r="AS21" i="2" s="1"/>
  <c r="CL40" i="2" s="1"/>
  <c r="AO21" i="2" a="1"/>
  <c r="AO21" i="2" s="1"/>
  <c r="CH40" i="2" s="1"/>
  <c r="BL21" i="2" a="1"/>
  <c r="BL21" i="2" s="1"/>
  <c r="BH21" i="2" a="1"/>
  <c r="BH21" i="2" s="1"/>
  <c r="DA40" i="2" s="1"/>
  <c r="DA41" i="2" s="1"/>
  <c r="BD21" i="2" a="1"/>
  <c r="BD21" i="2" s="1"/>
  <c r="CW40" i="2" s="1"/>
  <c r="AZ21" i="2" a="1"/>
  <c r="AZ21" i="2" s="1"/>
  <c r="CS40" i="2" s="1"/>
  <c r="AV21" i="2" a="1"/>
  <c r="AV21" i="2" s="1"/>
  <c r="CO40" i="2" s="1"/>
  <c r="AR21" i="2" a="1"/>
  <c r="AR21" i="2" s="1"/>
  <c r="CK40" i="2" s="1"/>
  <c r="AN21" i="2" a="1"/>
  <c r="AN21" i="2" s="1"/>
  <c r="CG40" i="2" s="1"/>
  <c r="BK21" i="2" a="1"/>
  <c r="BK21" i="2" s="1"/>
  <c r="DD40" i="2" s="1"/>
  <c r="BG21" i="2" a="1"/>
  <c r="BG21" i="2" s="1"/>
  <c r="CZ40" i="2" s="1"/>
  <c r="CZ41" i="2" s="1"/>
  <c r="BC21" i="2" a="1"/>
  <c r="BC21" i="2" s="1"/>
  <c r="CV40" i="2" s="1"/>
  <c r="CV41" i="2" s="1"/>
  <c r="AY21" i="2" a="1"/>
  <c r="AY21" i="2" s="1"/>
  <c r="CR40" i="2" s="1"/>
  <c r="CR41" i="2" s="1"/>
  <c r="AU21" i="2" a="1"/>
  <c r="AU21" i="2" s="1"/>
  <c r="CN40" i="2" s="1"/>
  <c r="AQ21" i="2" a="1"/>
  <c r="AQ21" i="2" s="1"/>
  <c r="CJ40" i="2" s="1"/>
  <c r="AM21" i="2" a="1"/>
  <c r="AM21" i="2" s="1"/>
  <c r="CF40" i="2" s="1"/>
  <c r="AG21" i="2" a="1"/>
  <c r="AG21" i="2" s="1"/>
  <c r="CD40" i="2" s="1"/>
  <c r="BJ21" i="2" a="1"/>
  <c r="BJ21" i="2" s="1"/>
  <c r="DC40" i="2" s="1"/>
  <c r="BF21" i="2" a="1"/>
  <c r="BF21" i="2" s="1"/>
  <c r="CY40" i="2" s="1"/>
  <c r="CY41" i="2" s="1"/>
  <c r="BB21" i="2" a="1"/>
  <c r="BB21" i="2" s="1"/>
  <c r="CU40" i="2" s="1"/>
  <c r="CU41" i="2" s="1"/>
  <c r="AX21" i="2" a="1"/>
  <c r="AX21" i="2" s="1"/>
  <c r="CQ40" i="2" s="1"/>
  <c r="CQ41" i="2" s="1"/>
  <c r="AT21" i="2" a="1"/>
  <c r="AT21" i="2" s="1"/>
  <c r="CM40" i="2" s="1"/>
  <c r="CM41" i="2" s="1"/>
  <c r="AP21" i="2" a="1"/>
  <c r="AP21" i="2" s="1"/>
  <c r="CI40" i="2" s="1"/>
  <c r="AL21" i="2" a="1"/>
  <c r="AL21" i="2" s="1"/>
  <c r="CE40" i="2" s="1"/>
  <c r="BK14" i="2" a="1"/>
  <c r="BK14" i="2" s="1"/>
  <c r="DD26" i="2" s="1"/>
  <c r="BG14" i="2" a="1"/>
  <c r="BG14" i="2" s="1"/>
  <c r="CZ26" i="2" s="1"/>
  <c r="CZ27" i="2" s="1"/>
  <c r="BC14" i="2" a="1"/>
  <c r="BC14" i="2" s="1"/>
  <c r="CV26" i="2" s="1"/>
  <c r="CV27" i="2" s="1"/>
  <c r="AY14" i="2" a="1"/>
  <c r="AY14" i="2" s="1"/>
  <c r="CR26" i="2" s="1"/>
  <c r="CR27" i="2" s="1"/>
  <c r="AU14" i="2" a="1"/>
  <c r="AU14" i="2" s="1"/>
  <c r="CN26" i="2" s="1"/>
  <c r="AQ14" i="2" a="1"/>
  <c r="AQ14" i="2" s="1"/>
  <c r="CJ26" i="2" s="1"/>
  <c r="CJ27" i="2" s="1"/>
  <c r="AM14" i="2" a="1"/>
  <c r="AM14" i="2" s="1"/>
  <c r="CF26" i="2" s="1"/>
  <c r="CF27" i="2" s="1"/>
  <c r="AG14" i="2" a="1"/>
  <c r="AG14" i="2" s="1"/>
  <c r="CD26" i="2" s="1"/>
  <c r="CB26" i="2"/>
  <c r="DF181" i="2" s="1"/>
  <c r="BL14" i="2" a="1"/>
  <c r="BL14" i="2" s="1"/>
  <c r="BF14" i="2" a="1"/>
  <c r="BF14" i="2" s="1"/>
  <c r="CY26" i="2" s="1"/>
  <c r="CY27" i="2" s="1"/>
  <c r="BA14" i="2" a="1"/>
  <c r="BA14" i="2" s="1"/>
  <c r="CT26" i="2" s="1"/>
  <c r="AV14" i="2" a="1"/>
  <c r="AV14" i="2" s="1"/>
  <c r="CO26" i="2" s="1"/>
  <c r="CO27" i="2" s="1"/>
  <c r="AP14" i="2" a="1"/>
  <c r="AP14" i="2" s="1"/>
  <c r="CI26" i="2" s="1"/>
  <c r="BJ14" i="2" a="1"/>
  <c r="BJ14" i="2" s="1"/>
  <c r="DC26" i="2" s="1"/>
  <c r="BE14" i="2" a="1"/>
  <c r="BE14" i="2" s="1"/>
  <c r="CX26" i="2" s="1"/>
  <c r="AZ14" i="2" a="1"/>
  <c r="AZ14" i="2" s="1"/>
  <c r="CS26" i="2" s="1"/>
  <c r="AT14" i="2" a="1"/>
  <c r="AT14" i="2" s="1"/>
  <c r="CM26" i="2" s="1"/>
  <c r="CM27" i="2" s="1"/>
  <c r="AO14" i="2" a="1"/>
  <c r="AO14" i="2" s="1"/>
  <c r="CH26" i="2" s="1"/>
  <c r="BI14" i="2" a="1"/>
  <c r="BI14" i="2" s="1"/>
  <c r="DB26" i="2" s="1"/>
  <c r="BD14" i="2" a="1"/>
  <c r="BD14" i="2" s="1"/>
  <c r="CW26" i="2" s="1"/>
  <c r="AX14" i="2" a="1"/>
  <c r="AX14" i="2" s="1"/>
  <c r="CQ26" i="2" s="1"/>
  <c r="CQ27" i="2" s="1"/>
  <c r="AS14" i="2" a="1"/>
  <c r="AS14" i="2" s="1"/>
  <c r="CL26" i="2" s="1"/>
  <c r="AN14" i="2" a="1"/>
  <c r="AN14" i="2" s="1"/>
  <c r="CG26" i="2" s="1"/>
  <c r="BH14" i="2" a="1"/>
  <c r="BH14" i="2" s="1"/>
  <c r="DA26" i="2" s="1"/>
  <c r="DA27" i="2" s="1"/>
  <c r="BB14" i="2" a="1"/>
  <c r="BB14" i="2" s="1"/>
  <c r="CU26" i="2" s="1"/>
  <c r="CU27" i="2" s="1"/>
  <c r="AW14" i="2" a="1"/>
  <c r="AW14" i="2" s="1"/>
  <c r="CP26" i="2" s="1"/>
  <c r="CP27" i="2" s="1"/>
  <c r="AR14" i="2" a="1"/>
  <c r="AR14" i="2" s="1"/>
  <c r="CK26" i="2" s="1"/>
  <c r="CK27" i="2" s="1"/>
  <c r="AL14" i="2" a="1"/>
  <c r="AL14" i="2" s="1"/>
  <c r="CE26" i="2" s="1"/>
  <c r="J73" i="1"/>
  <c r="J49" i="1"/>
  <c r="J46" i="1"/>
  <c r="J47" i="1"/>
  <c r="J65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8" i="1"/>
  <c r="Y14" i="2" a="1"/>
  <c r="Y14" i="2" s="1"/>
  <c r="AB14" i="2" a="1"/>
  <c r="AB14" i="2" s="1"/>
  <c r="CB20" i="2"/>
  <c r="EI121" i="2" s="1"/>
  <c r="BI11" i="2" a="1"/>
  <c r="BI11" i="2" s="1"/>
  <c r="DB20" i="2" s="1"/>
  <c r="BE11" i="2" a="1"/>
  <c r="BE11" i="2" s="1"/>
  <c r="CX20" i="2" s="1"/>
  <c r="BA11" i="2" a="1"/>
  <c r="BA11" i="2" s="1"/>
  <c r="CT20" i="2" s="1"/>
  <c r="AW11" i="2" a="1"/>
  <c r="AW11" i="2" s="1"/>
  <c r="CP20" i="2" s="1"/>
  <c r="CP21" i="2" s="1"/>
  <c r="AS11" i="2" a="1"/>
  <c r="AS11" i="2" s="1"/>
  <c r="CL20" i="2" s="1"/>
  <c r="AO11" i="2" a="1"/>
  <c r="AO11" i="2" s="1"/>
  <c r="CH20" i="2" s="1"/>
  <c r="BL11" i="2" a="1"/>
  <c r="BL11" i="2" s="1"/>
  <c r="BH11" i="2" a="1"/>
  <c r="BH11" i="2" s="1"/>
  <c r="DA20" i="2" s="1"/>
  <c r="DA21" i="2" s="1"/>
  <c r="BD11" i="2" a="1"/>
  <c r="BD11" i="2" s="1"/>
  <c r="CW20" i="2" s="1"/>
  <c r="AZ11" i="2" a="1"/>
  <c r="AZ11" i="2" s="1"/>
  <c r="CS20" i="2" s="1"/>
  <c r="AV11" i="2" a="1"/>
  <c r="AV11" i="2" s="1"/>
  <c r="CO20" i="2" s="1"/>
  <c r="AR11" i="2" a="1"/>
  <c r="AR11" i="2" s="1"/>
  <c r="CK20" i="2" s="1"/>
  <c r="AN11" i="2" a="1"/>
  <c r="AN11" i="2" s="1"/>
  <c r="CG20" i="2" s="1"/>
  <c r="BK11" i="2" a="1"/>
  <c r="BK11" i="2" s="1"/>
  <c r="DD20" i="2" s="1"/>
  <c r="BG11" i="2" a="1"/>
  <c r="BG11" i="2" s="1"/>
  <c r="CZ20" i="2" s="1"/>
  <c r="CZ21" i="2" s="1"/>
  <c r="BC11" i="2" a="1"/>
  <c r="BC11" i="2" s="1"/>
  <c r="CV20" i="2" s="1"/>
  <c r="CV21" i="2" s="1"/>
  <c r="AY11" i="2" a="1"/>
  <c r="AY11" i="2" s="1"/>
  <c r="CR20" i="2" s="1"/>
  <c r="CR21" i="2" s="1"/>
  <c r="AU11" i="2" a="1"/>
  <c r="AU11" i="2" s="1"/>
  <c r="CN20" i="2" s="1"/>
  <c r="AQ11" i="2" a="1"/>
  <c r="AQ11" i="2" s="1"/>
  <c r="CJ20" i="2" s="1"/>
  <c r="AM11" i="2" a="1"/>
  <c r="AM11" i="2" s="1"/>
  <c r="CF20" i="2" s="1"/>
  <c r="AG11" i="2" a="1"/>
  <c r="AG11" i="2" s="1"/>
  <c r="CD20" i="2" s="1"/>
  <c r="BJ11" i="2" a="1"/>
  <c r="BJ11" i="2" s="1"/>
  <c r="DC20" i="2" s="1"/>
  <c r="BF11" i="2" a="1"/>
  <c r="BF11" i="2" s="1"/>
  <c r="CY20" i="2" s="1"/>
  <c r="CY21" i="2" s="1"/>
  <c r="BB11" i="2" a="1"/>
  <c r="BB11" i="2" s="1"/>
  <c r="CU20" i="2" s="1"/>
  <c r="CU21" i="2" s="1"/>
  <c r="AX11" i="2" a="1"/>
  <c r="AX11" i="2" s="1"/>
  <c r="CQ20" i="2" s="1"/>
  <c r="CQ21" i="2" s="1"/>
  <c r="AT11" i="2" a="1"/>
  <c r="AT11" i="2" s="1"/>
  <c r="CM20" i="2" s="1"/>
  <c r="CM21" i="2" s="1"/>
  <c r="AP11" i="2" a="1"/>
  <c r="AP11" i="2" s="1"/>
  <c r="CI20" i="2" s="1"/>
  <c r="AL11" i="2" a="1"/>
  <c r="AL11" i="2" s="1"/>
  <c r="CE20" i="2" s="1"/>
  <c r="AB25" i="2" a="1"/>
  <c r="AB25" i="2" s="1"/>
  <c r="Y25" i="2" a="1"/>
  <c r="Y25" i="2" s="1"/>
  <c r="AB18" i="2" a="1"/>
  <c r="AB18" i="2" s="1"/>
  <c r="Y18" i="2" a="1"/>
  <c r="Y18" i="2" s="1"/>
  <c r="X31" i="1"/>
  <c r="X23" i="1"/>
  <c r="J6" i="1"/>
  <c r="J7" i="1"/>
  <c r="J4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5" i="1"/>
  <c r="AB7" i="2" a="1"/>
  <c r="AB7" i="2" s="1"/>
  <c r="Y7" i="2" a="1"/>
  <c r="Y7" i="2" s="1"/>
  <c r="BK6" i="2" a="1"/>
  <c r="BK6" i="2" s="1"/>
  <c r="DD10" i="2" s="1"/>
  <c r="BG6" i="2" a="1"/>
  <c r="BG6" i="2" s="1"/>
  <c r="CZ10" i="2" s="1"/>
  <c r="CZ11" i="2" s="1"/>
  <c r="BC6" i="2" a="1"/>
  <c r="BC6" i="2" s="1"/>
  <c r="CV10" i="2" s="1"/>
  <c r="CV11" i="2" s="1"/>
  <c r="AY6" i="2" a="1"/>
  <c r="AY6" i="2" s="1"/>
  <c r="CR10" i="2" s="1"/>
  <c r="CR11" i="2" s="1"/>
  <c r="AU6" i="2" a="1"/>
  <c r="AU6" i="2" s="1"/>
  <c r="CN10" i="2" s="1"/>
  <c r="AQ6" i="2" a="1"/>
  <c r="AQ6" i="2" s="1"/>
  <c r="CJ10" i="2" s="1"/>
  <c r="AM6" i="2" a="1"/>
  <c r="AM6" i="2" s="1"/>
  <c r="CF10" i="2" s="1"/>
  <c r="AG6" i="2" a="1"/>
  <c r="AG6" i="2" s="1"/>
  <c r="CD10" i="2" s="1"/>
  <c r="CB10" i="2"/>
  <c r="DF61" i="2" s="1"/>
  <c r="BJ6" i="2" a="1"/>
  <c r="BJ6" i="2" s="1"/>
  <c r="DC10" i="2" s="1"/>
  <c r="BF6" i="2" a="1"/>
  <c r="BF6" i="2" s="1"/>
  <c r="CY10" i="2" s="1"/>
  <c r="CY11" i="2" s="1"/>
  <c r="BB6" i="2" a="1"/>
  <c r="BB6" i="2" s="1"/>
  <c r="CU10" i="2" s="1"/>
  <c r="CU11" i="2" s="1"/>
  <c r="AX6" i="2" a="1"/>
  <c r="AX6" i="2" s="1"/>
  <c r="CQ10" i="2" s="1"/>
  <c r="CQ11" i="2" s="1"/>
  <c r="AT6" i="2" a="1"/>
  <c r="AT6" i="2" s="1"/>
  <c r="CM10" i="2" s="1"/>
  <c r="CM11" i="2" s="1"/>
  <c r="AP6" i="2" a="1"/>
  <c r="AP6" i="2" s="1"/>
  <c r="CI10" i="2" s="1"/>
  <c r="AL6" i="2" a="1"/>
  <c r="AL6" i="2" s="1"/>
  <c r="CE10" i="2" s="1"/>
  <c r="BI6" i="2" a="1"/>
  <c r="BI6" i="2" s="1"/>
  <c r="DB10" i="2" s="1"/>
  <c r="BE6" i="2" a="1"/>
  <c r="BE6" i="2" s="1"/>
  <c r="CX10" i="2" s="1"/>
  <c r="BA6" i="2" a="1"/>
  <c r="BA6" i="2" s="1"/>
  <c r="CT10" i="2" s="1"/>
  <c r="AW6" i="2" a="1"/>
  <c r="AW6" i="2" s="1"/>
  <c r="CP10" i="2" s="1"/>
  <c r="CP11" i="2" s="1"/>
  <c r="AS6" i="2" a="1"/>
  <c r="AS6" i="2" s="1"/>
  <c r="CL10" i="2" s="1"/>
  <c r="AO6" i="2" a="1"/>
  <c r="AO6" i="2" s="1"/>
  <c r="CH10" i="2" s="1"/>
  <c r="BL6" i="2" a="1"/>
  <c r="BL6" i="2" s="1"/>
  <c r="BH6" i="2" a="1"/>
  <c r="BH6" i="2" s="1"/>
  <c r="DA10" i="2" s="1"/>
  <c r="DA11" i="2" s="1"/>
  <c r="BD6" i="2" a="1"/>
  <c r="BD6" i="2" s="1"/>
  <c r="CW10" i="2" s="1"/>
  <c r="AZ6" i="2" a="1"/>
  <c r="AZ6" i="2" s="1"/>
  <c r="CS10" i="2" s="1"/>
  <c r="AV6" i="2" a="1"/>
  <c r="AV6" i="2" s="1"/>
  <c r="CO10" i="2" s="1"/>
  <c r="AR6" i="2" a="1"/>
  <c r="AR6" i="2" s="1"/>
  <c r="CK10" i="2" s="1"/>
  <c r="AN6" i="2" a="1"/>
  <c r="AN6" i="2" s="1"/>
  <c r="CG10" i="2" s="1"/>
  <c r="AB24" i="2" a="1"/>
  <c r="AB24" i="2" s="1"/>
  <c r="Y24" i="2" a="1"/>
  <c r="Y24" i="2" s="1"/>
  <c r="CB58" i="2"/>
  <c r="BF30" i="2" a="1"/>
  <c r="BF30" i="2" s="1"/>
  <c r="CY58" i="2" s="1"/>
  <c r="CY59" i="2" s="1"/>
  <c r="AW30" i="2" a="1"/>
  <c r="AW30" i="2" s="1"/>
  <c r="CP58" i="2" s="1"/>
  <c r="CP59" i="2" s="1"/>
  <c r="AN30" i="2" a="1"/>
  <c r="AN30" i="2" s="1"/>
  <c r="CG58" i="2" s="1"/>
  <c r="AG30" i="2" a="1"/>
  <c r="AG30" i="2" s="1"/>
  <c r="CD58" i="2" s="1"/>
  <c r="BJ30" i="2" a="1"/>
  <c r="BJ30" i="2" s="1"/>
  <c r="DC58" i="2" s="1"/>
  <c r="BA30" i="2" a="1"/>
  <c r="BA30" i="2" s="1"/>
  <c r="CT58" i="2" s="1"/>
  <c r="AR30" i="2" a="1"/>
  <c r="AR30" i="2" s="1"/>
  <c r="CK58" i="2" s="1"/>
  <c r="CK59" i="2" s="1"/>
  <c r="AM30" i="2" a="1"/>
  <c r="AM30" i="2" s="1"/>
  <c r="CF58" i="2" s="1"/>
  <c r="CF59" i="2" s="1"/>
  <c r="BE30" i="2" a="1"/>
  <c r="BE30" i="2" s="1"/>
  <c r="CX58" i="2" s="1"/>
  <c r="AV30" i="2" a="1"/>
  <c r="AV30" i="2" s="1"/>
  <c r="CO58" i="2" s="1"/>
  <c r="CO59" i="2" s="1"/>
  <c r="AQ30" i="2" a="1"/>
  <c r="AQ30" i="2" s="1"/>
  <c r="CJ58" i="2" s="1"/>
  <c r="CJ59" i="2" s="1"/>
  <c r="BI30" i="2" a="1"/>
  <c r="BI30" i="2" s="1"/>
  <c r="DB58" i="2" s="1"/>
  <c r="AZ30" i="2" a="1"/>
  <c r="AZ30" i="2" s="1"/>
  <c r="CS58" i="2" s="1"/>
  <c r="AU30" i="2" a="1"/>
  <c r="AU30" i="2" s="1"/>
  <c r="CN58" i="2" s="1"/>
  <c r="AL30" i="2" a="1"/>
  <c r="AL30" i="2" s="1"/>
  <c r="CE58" i="2" s="1"/>
  <c r="BD30" i="2" a="1"/>
  <c r="BD30" i="2" s="1"/>
  <c r="CW58" i="2" s="1"/>
  <c r="AY30" i="2" a="1"/>
  <c r="AY30" i="2" s="1"/>
  <c r="CR58" i="2" s="1"/>
  <c r="CR59" i="2" s="1"/>
  <c r="AP30" i="2" a="1"/>
  <c r="AP30" i="2" s="1"/>
  <c r="CI58" i="2" s="1"/>
  <c r="BH30" i="2" a="1"/>
  <c r="BH30" i="2" s="1"/>
  <c r="DA58" i="2" s="1"/>
  <c r="DA59" i="2" s="1"/>
  <c r="BC30" i="2" a="1"/>
  <c r="BC30" i="2" s="1"/>
  <c r="CV58" i="2" s="1"/>
  <c r="CV59" i="2" s="1"/>
  <c r="AT30" i="2" a="1"/>
  <c r="AT30" i="2" s="1"/>
  <c r="CM58" i="2" s="1"/>
  <c r="BG30" i="2" a="1"/>
  <c r="BG30" i="2" s="1"/>
  <c r="CZ58" i="2" s="1"/>
  <c r="CZ59" i="2" s="1"/>
  <c r="AX30" i="2" a="1"/>
  <c r="AX30" i="2" s="1"/>
  <c r="CQ58" i="2" s="1"/>
  <c r="CQ59" i="2" s="1"/>
  <c r="AO30" i="2" a="1"/>
  <c r="AO30" i="2" s="1"/>
  <c r="CH58" i="2" s="1"/>
  <c r="BK30" i="2" a="1"/>
  <c r="BK30" i="2" s="1"/>
  <c r="DD58" i="2" s="1"/>
  <c r="BB30" i="2" a="1"/>
  <c r="BB30" i="2" s="1"/>
  <c r="CU58" i="2" s="1"/>
  <c r="CU59" i="2" s="1"/>
  <c r="AS30" i="2" a="1"/>
  <c r="AS30" i="2" s="1"/>
  <c r="CL58" i="2" s="1"/>
  <c r="BJ17" i="2" a="1"/>
  <c r="BJ17" i="2" s="1"/>
  <c r="DC32" i="2" s="1"/>
  <c r="BF17" i="2" a="1"/>
  <c r="BF17" i="2" s="1"/>
  <c r="CY32" i="2" s="1"/>
  <c r="CY33" i="2" s="1"/>
  <c r="BB17" i="2" a="1"/>
  <c r="BB17" i="2" s="1"/>
  <c r="CU32" i="2" s="1"/>
  <c r="CU33" i="2" s="1"/>
  <c r="CC33" i="2" s="1"/>
  <c r="AJ17" i="2" s="1"/>
  <c r="AK17" i="2" s="1"/>
  <c r="AX17" i="2" a="1"/>
  <c r="AX17" i="2" s="1"/>
  <c r="CQ32" i="2" s="1"/>
  <c r="CQ33" i="2" s="1"/>
  <c r="AT17" i="2" a="1"/>
  <c r="AT17" i="2" s="1"/>
  <c r="CM32" i="2" s="1"/>
  <c r="CM33" i="2" s="1"/>
  <c r="AP17" i="2" a="1"/>
  <c r="AP17" i="2" s="1"/>
  <c r="CI32" i="2" s="1"/>
  <c r="AL17" i="2" a="1"/>
  <c r="AL17" i="2" s="1"/>
  <c r="CE32" i="2" s="1"/>
  <c r="BI17" i="2" a="1"/>
  <c r="BI17" i="2" s="1"/>
  <c r="DB32" i="2" s="1"/>
  <c r="BE17" i="2" a="1"/>
  <c r="BE17" i="2" s="1"/>
  <c r="CX32" i="2" s="1"/>
  <c r="BA17" i="2" a="1"/>
  <c r="BA17" i="2" s="1"/>
  <c r="CT32" i="2" s="1"/>
  <c r="AW17" i="2" a="1"/>
  <c r="AW17" i="2" s="1"/>
  <c r="CP32" i="2" s="1"/>
  <c r="CP33" i="2" s="1"/>
  <c r="AS17" i="2" a="1"/>
  <c r="AS17" i="2" s="1"/>
  <c r="CL32" i="2" s="1"/>
  <c r="AO17" i="2" a="1"/>
  <c r="AO17" i="2" s="1"/>
  <c r="CH32" i="2" s="1"/>
  <c r="BL17" i="2" a="1"/>
  <c r="BL17" i="2" s="1"/>
  <c r="BH17" i="2" a="1"/>
  <c r="BH17" i="2" s="1"/>
  <c r="DA32" i="2" s="1"/>
  <c r="DA33" i="2" s="1"/>
  <c r="BD17" i="2" a="1"/>
  <c r="BD17" i="2" s="1"/>
  <c r="CW32" i="2" s="1"/>
  <c r="AZ17" i="2" a="1"/>
  <c r="AZ17" i="2" s="1"/>
  <c r="CS32" i="2" s="1"/>
  <c r="AV17" i="2" a="1"/>
  <c r="AV17" i="2" s="1"/>
  <c r="CO32" i="2" s="1"/>
  <c r="AR17" i="2" a="1"/>
  <c r="AR17" i="2" s="1"/>
  <c r="CK32" i="2" s="1"/>
  <c r="AN17" i="2" a="1"/>
  <c r="AN17" i="2" s="1"/>
  <c r="CG32" i="2" s="1"/>
  <c r="BK17" i="2" a="1"/>
  <c r="BK17" i="2" s="1"/>
  <c r="DD32" i="2" s="1"/>
  <c r="BG17" i="2" a="1"/>
  <c r="BG17" i="2" s="1"/>
  <c r="CZ32" i="2" s="1"/>
  <c r="CZ33" i="2" s="1"/>
  <c r="BC17" i="2" a="1"/>
  <c r="BC17" i="2" s="1"/>
  <c r="CV32" i="2" s="1"/>
  <c r="CV33" i="2" s="1"/>
  <c r="AY17" i="2" a="1"/>
  <c r="AY17" i="2" s="1"/>
  <c r="CR32" i="2" s="1"/>
  <c r="CR33" i="2" s="1"/>
  <c r="AU17" i="2" a="1"/>
  <c r="AU17" i="2" s="1"/>
  <c r="CN32" i="2" s="1"/>
  <c r="AQ17" i="2" a="1"/>
  <c r="AQ17" i="2" s="1"/>
  <c r="CJ32" i="2" s="1"/>
  <c r="AM17" i="2" a="1"/>
  <c r="AM17" i="2" s="1"/>
  <c r="CF32" i="2" s="1"/>
  <c r="AG17" i="2" a="1"/>
  <c r="AG17" i="2" s="1"/>
  <c r="CD32" i="2" s="1"/>
  <c r="CB32" i="2"/>
  <c r="EI211" i="2" s="1"/>
  <c r="BJ24" i="2" a="1"/>
  <c r="BJ24" i="2" s="1"/>
  <c r="DC46" i="2" s="1"/>
  <c r="BF24" i="2" a="1"/>
  <c r="BF24" i="2" s="1"/>
  <c r="CY46" i="2" s="1"/>
  <c r="CY47" i="2" s="1"/>
  <c r="BB24" i="2" a="1"/>
  <c r="BB24" i="2" s="1"/>
  <c r="CU46" i="2" s="1"/>
  <c r="CU47" i="2" s="1"/>
  <c r="CC47" i="2" s="1"/>
  <c r="AJ24" i="2" s="1"/>
  <c r="AK24" i="2" s="1"/>
  <c r="AX24" i="2" a="1"/>
  <c r="AX24" i="2" s="1"/>
  <c r="CQ46" i="2" s="1"/>
  <c r="CQ47" i="2" s="1"/>
  <c r="AT24" i="2" a="1"/>
  <c r="AT24" i="2" s="1"/>
  <c r="CM46" i="2" s="1"/>
  <c r="AP24" i="2" a="1"/>
  <c r="AP24" i="2" s="1"/>
  <c r="CI46" i="2" s="1"/>
  <c r="AL24" i="2" a="1"/>
  <c r="AL24" i="2" s="1"/>
  <c r="CE46" i="2" s="1"/>
  <c r="BI24" i="2" a="1"/>
  <c r="BI24" i="2" s="1"/>
  <c r="DB46" i="2" s="1"/>
  <c r="BE24" i="2" a="1"/>
  <c r="BE24" i="2" s="1"/>
  <c r="CX46" i="2" s="1"/>
  <c r="BA24" i="2" a="1"/>
  <c r="BA24" i="2" s="1"/>
  <c r="CT46" i="2" s="1"/>
  <c r="AW24" i="2" a="1"/>
  <c r="AW24" i="2" s="1"/>
  <c r="CP46" i="2" s="1"/>
  <c r="CP47" i="2" s="1"/>
  <c r="AS24" i="2" a="1"/>
  <c r="AS24" i="2" s="1"/>
  <c r="CL46" i="2" s="1"/>
  <c r="AO24" i="2" a="1"/>
  <c r="AO24" i="2" s="1"/>
  <c r="CH46" i="2" s="1"/>
  <c r="CB46" i="2"/>
  <c r="DF331" i="2" s="1"/>
  <c r="BH24" i="2" a="1"/>
  <c r="BH24" i="2" s="1"/>
  <c r="DA46" i="2" s="1"/>
  <c r="DA47" i="2" s="1"/>
  <c r="BD24" i="2" a="1"/>
  <c r="BD24" i="2" s="1"/>
  <c r="CW46" i="2" s="1"/>
  <c r="AZ24" i="2" a="1"/>
  <c r="AZ24" i="2" s="1"/>
  <c r="CS46" i="2" s="1"/>
  <c r="AV24" i="2" a="1"/>
  <c r="AV24" i="2" s="1"/>
  <c r="CO46" i="2" s="1"/>
  <c r="CO47" i="2" s="1"/>
  <c r="AR24" i="2" a="1"/>
  <c r="AR24" i="2" s="1"/>
  <c r="CK46" i="2" s="1"/>
  <c r="CK47" i="2" s="1"/>
  <c r="AN24" i="2" a="1"/>
  <c r="AN24" i="2" s="1"/>
  <c r="CG46" i="2" s="1"/>
  <c r="BK24" i="2" a="1"/>
  <c r="BK24" i="2" s="1"/>
  <c r="DD46" i="2" s="1"/>
  <c r="BG24" i="2" a="1"/>
  <c r="BG24" i="2" s="1"/>
  <c r="CZ46" i="2" s="1"/>
  <c r="CZ47" i="2" s="1"/>
  <c r="BC24" i="2" a="1"/>
  <c r="BC24" i="2" s="1"/>
  <c r="CV46" i="2" s="1"/>
  <c r="CV47" i="2" s="1"/>
  <c r="AY24" i="2" a="1"/>
  <c r="AY24" i="2" s="1"/>
  <c r="CR46" i="2" s="1"/>
  <c r="CR47" i="2" s="1"/>
  <c r="AU24" i="2" a="1"/>
  <c r="AU24" i="2" s="1"/>
  <c r="CN46" i="2" s="1"/>
  <c r="AQ24" i="2" a="1"/>
  <c r="AQ24" i="2" s="1"/>
  <c r="CJ46" i="2" s="1"/>
  <c r="CJ47" i="2" s="1"/>
  <c r="AM24" i="2" a="1"/>
  <c r="AM24" i="2" s="1"/>
  <c r="CF46" i="2" s="1"/>
  <c r="CF47" i="2" s="1"/>
  <c r="AG24" i="2" a="1"/>
  <c r="AG24" i="2" s="1"/>
  <c r="CD46" i="2" s="1"/>
  <c r="Y13" i="2" a="1"/>
  <c r="Y13" i="2" s="1"/>
  <c r="AB13" i="2" a="1"/>
  <c r="AB13" i="2" s="1"/>
  <c r="CB56" i="2"/>
  <c r="BD29" i="2" a="1"/>
  <c r="BD29" i="2" s="1"/>
  <c r="CW56" i="2" s="1"/>
  <c r="AY29" i="2" a="1"/>
  <c r="AY29" i="2" s="1"/>
  <c r="CR56" i="2" s="1"/>
  <c r="CR57" i="2" s="1"/>
  <c r="AP29" i="2" a="1"/>
  <c r="AP29" i="2" s="1"/>
  <c r="CI56" i="2" s="1"/>
  <c r="BH29" i="2" a="1"/>
  <c r="BH29" i="2" s="1"/>
  <c r="DA56" i="2" s="1"/>
  <c r="DA57" i="2" s="1"/>
  <c r="BC29" i="2" a="1"/>
  <c r="BC29" i="2" s="1"/>
  <c r="CV56" i="2" s="1"/>
  <c r="CV57" i="2" s="1"/>
  <c r="AT29" i="2" a="1"/>
  <c r="AT29" i="2" s="1"/>
  <c r="CM56" i="2" s="1"/>
  <c r="BG29" i="2" a="1"/>
  <c r="BG29" i="2" s="1"/>
  <c r="CZ56" i="2" s="1"/>
  <c r="CZ57" i="2" s="1"/>
  <c r="AX29" i="2" a="1"/>
  <c r="AX29" i="2" s="1"/>
  <c r="CQ56" i="2" s="1"/>
  <c r="CQ57" i="2" s="1"/>
  <c r="AO29" i="2" a="1"/>
  <c r="AO29" i="2" s="1"/>
  <c r="CH56" i="2" s="1"/>
  <c r="BK29" i="2" a="1"/>
  <c r="BK29" i="2" s="1"/>
  <c r="DD56" i="2" s="1"/>
  <c r="BB29" i="2" a="1"/>
  <c r="BB29" i="2" s="1"/>
  <c r="CU56" i="2" s="1"/>
  <c r="CU57" i="2" s="1"/>
  <c r="AS29" i="2" a="1"/>
  <c r="AS29" i="2" s="1"/>
  <c r="CL56" i="2" s="1"/>
  <c r="BF29" i="2" a="1"/>
  <c r="BF29" i="2" s="1"/>
  <c r="CY56" i="2" s="1"/>
  <c r="CY57" i="2" s="1"/>
  <c r="AW29" i="2" a="1"/>
  <c r="AW29" i="2" s="1"/>
  <c r="CP56" i="2" s="1"/>
  <c r="CP57" i="2" s="1"/>
  <c r="AN29" i="2" a="1"/>
  <c r="AN29" i="2" s="1"/>
  <c r="CG56" i="2" s="1"/>
  <c r="AG29" i="2" a="1"/>
  <c r="AG29" i="2" s="1"/>
  <c r="CD56" i="2" s="1"/>
  <c r="BJ29" i="2" a="1"/>
  <c r="BJ29" i="2" s="1"/>
  <c r="DC56" i="2" s="1"/>
  <c r="BA29" i="2" a="1"/>
  <c r="BA29" i="2" s="1"/>
  <c r="CT56" i="2" s="1"/>
  <c r="AR29" i="2" a="1"/>
  <c r="AR29" i="2" s="1"/>
  <c r="CK56" i="2" s="1"/>
  <c r="AM29" i="2" a="1"/>
  <c r="AM29" i="2" s="1"/>
  <c r="CF56" i="2" s="1"/>
  <c r="CF57" i="2" s="1"/>
  <c r="BE29" i="2" a="1"/>
  <c r="BE29" i="2" s="1"/>
  <c r="CX56" i="2" s="1"/>
  <c r="AV29" i="2" a="1"/>
  <c r="AV29" i="2" s="1"/>
  <c r="CO56" i="2" s="1"/>
  <c r="AQ29" i="2" a="1"/>
  <c r="AQ29" i="2" s="1"/>
  <c r="CJ56" i="2" s="1"/>
  <c r="BI29" i="2" a="1"/>
  <c r="BI29" i="2" s="1"/>
  <c r="DB56" i="2" s="1"/>
  <c r="AZ29" i="2" a="1"/>
  <c r="AZ29" i="2" s="1"/>
  <c r="CS56" i="2" s="1"/>
  <c r="AU29" i="2" a="1"/>
  <c r="AU29" i="2" s="1"/>
  <c r="CN56" i="2" s="1"/>
  <c r="AL29" i="2" a="1"/>
  <c r="AL29" i="2" s="1"/>
  <c r="CE56" i="2" s="1"/>
  <c r="CB36" i="2"/>
  <c r="EI241" i="2" s="1"/>
  <c r="BJ19" i="2" a="1"/>
  <c r="BJ19" i="2" s="1"/>
  <c r="DC36" i="2" s="1"/>
  <c r="BF19" i="2" a="1"/>
  <c r="BF19" i="2" s="1"/>
  <c r="CY36" i="2" s="1"/>
  <c r="CY37" i="2" s="1"/>
  <c r="BB19" i="2" a="1"/>
  <c r="BB19" i="2" s="1"/>
  <c r="CU36" i="2" s="1"/>
  <c r="CU37" i="2" s="1"/>
  <c r="CC37" i="2" s="1"/>
  <c r="AJ19" i="2" s="1"/>
  <c r="AK19" i="2" s="1"/>
  <c r="AX19" i="2" a="1"/>
  <c r="AX19" i="2" s="1"/>
  <c r="CQ36" i="2" s="1"/>
  <c r="CQ37" i="2" s="1"/>
  <c r="AT19" i="2" a="1"/>
  <c r="AT19" i="2" s="1"/>
  <c r="CM36" i="2" s="1"/>
  <c r="CM37" i="2" s="1"/>
  <c r="AP19" i="2" a="1"/>
  <c r="AP19" i="2" s="1"/>
  <c r="CI36" i="2" s="1"/>
  <c r="AL19" i="2" a="1"/>
  <c r="AL19" i="2" s="1"/>
  <c r="CE36" i="2" s="1"/>
  <c r="BI19" i="2" a="1"/>
  <c r="BI19" i="2" s="1"/>
  <c r="DB36" i="2" s="1"/>
  <c r="BE19" i="2" a="1"/>
  <c r="BE19" i="2" s="1"/>
  <c r="CX36" i="2" s="1"/>
  <c r="BA19" i="2" a="1"/>
  <c r="BA19" i="2" s="1"/>
  <c r="CT36" i="2" s="1"/>
  <c r="AW19" i="2" a="1"/>
  <c r="AW19" i="2" s="1"/>
  <c r="CP36" i="2" s="1"/>
  <c r="CP37" i="2" s="1"/>
  <c r="AS19" i="2" a="1"/>
  <c r="AS19" i="2" s="1"/>
  <c r="CL36" i="2" s="1"/>
  <c r="AO19" i="2" a="1"/>
  <c r="AO19" i="2" s="1"/>
  <c r="CH36" i="2" s="1"/>
  <c r="BL19" i="2" a="1"/>
  <c r="BL19" i="2" s="1"/>
  <c r="BH19" i="2" a="1"/>
  <c r="BH19" i="2" s="1"/>
  <c r="DA36" i="2" s="1"/>
  <c r="DA37" i="2" s="1"/>
  <c r="BD19" i="2" a="1"/>
  <c r="BD19" i="2" s="1"/>
  <c r="CW36" i="2" s="1"/>
  <c r="AZ19" i="2" a="1"/>
  <c r="AZ19" i="2" s="1"/>
  <c r="CS36" i="2" s="1"/>
  <c r="AV19" i="2" a="1"/>
  <c r="AV19" i="2" s="1"/>
  <c r="CO36" i="2" s="1"/>
  <c r="AR19" i="2" a="1"/>
  <c r="AR19" i="2" s="1"/>
  <c r="CK36" i="2" s="1"/>
  <c r="AN19" i="2" a="1"/>
  <c r="AN19" i="2" s="1"/>
  <c r="CG36" i="2" s="1"/>
  <c r="BK19" i="2" a="1"/>
  <c r="BK19" i="2" s="1"/>
  <c r="DD36" i="2" s="1"/>
  <c r="BG19" i="2" a="1"/>
  <c r="BG19" i="2" s="1"/>
  <c r="CZ36" i="2" s="1"/>
  <c r="CZ37" i="2" s="1"/>
  <c r="BC19" i="2" a="1"/>
  <c r="BC19" i="2" s="1"/>
  <c r="CV36" i="2" s="1"/>
  <c r="CV37" i="2" s="1"/>
  <c r="AY19" i="2" a="1"/>
  <c r="AY19" i="2" s="1"/>
  <c r="CR36" i="2" s="1"/>
  <c r="CR37" i="2" s="1"/>
  <c r="AU19" i="2" a="1"/>
  <c r="AU19" i="2" s="1"/>
  <c r="CN36" i="2" s="1"/>
  <c r="AQ19" i="2" a="1"/>
  <c r="AQ19" i="2" s="1"/>
  <c r="CJ36" i="2" s="1"/>
  <c r="AM19" i="2" a="1"/>
  <c r="AM19" i="2" s="1"/>
  <c r="CF36" i="2" s="1"/>
  <c r="AG19" i="2" a="1"/>
  <c r="AG19" i="2" s="1"/>
  <c r="CD36" i="2" s="1"/>
  <c r="AB11" i="2" a="1"/>
  <c r="AB11" i="2" s="1"/>
  <c r="Y11" i="2" a="1"/>
  <c r="Y11" i="2" s="1"/>
  <c r="CB24" i="2"/>
  <c r="EI151" i="2" s="1"/>
  <c r="BL13" i="2" a="1"/>
  <c r="BL13" i="2" s="1"/>
  <c r="BH13" i="2" a="1"/>
  <c r="BH13" i="2" s="1"/>
  <c r="DA24" i="2" s="1"/>
  <c r="DA25" i="2" s="1"/>
  <c r="BD13" i="2" a="1"/>
  <c r="BD13" i="2" s="1"/>
  <c r="CW24" i="2" s="1"/>
  <c r="AZ13" i="2" a="1"/>
  <c r="AZ13" i="2" s="1"/>
  <c r="CS24" i="2" s="1"/>
  <c r="AV13" i="2" a="1"/>
  <c r="AV13" i="2" s="1"/>
  <c r="CO24" i="2" s="1"/>
  <c r="CO25" i="2" s="1"/>
  <c r="AR13" i="2" a="1"/>
  <c r="AR13" i="2" s="1"/>
  <c r="CK24" i="2" s="1"/>
  <c r="CK25" i="2" s="1"/>
  <c r="AN13" i="2" a="1"/>
  <c r="AN13" i="2" s="1"/>
  <c r="CG24" i="2" s="1"/>
  <c r="BK13" i="2" a="1"/>
  <c r="BK13" i="2" s="1"/>
  <c r="DD24" i="2" s="1"/>
  <c r="BG13" i="2" a="1"/>
  <c r="BG13" i="2" s="1"/>
  <c r="CZ24" i="2" s="1"/>
  <c r="CZ25" i="2" s="1"/>
  <c r="BC13" i="2" a="1"/>
  <c r="BC13" i="2" s="1"/>
  <c r="CV24" i="2" s="1"/>
  <c r="CV25" i="2" s="1"/>
  <c r="AY13" i="2" a="1"/>
  <c r="AY13" i="2" s="1"/>
  <c r="CR24" i="2" s="1"/>
  <c r="CR25" i="2" s="1"/>
  <c r="AU13" i="2" a="1"/>
  <c r="AU13" i="2" s="1"/>
  <c r="CN24" i="2" s="1"/>
  <c r="AQ13" i="2" a="1"/>
  <c r="AQ13" i="2" s="1"/>
  <c r="CJ24" i="2" s="1"/>
  <c r="CJ25" i="2" s="1"/>
  <c r="AM13" i="2" a="1"/>
  <c r="AM13" i="2" s="1"/>
  <c r="CF24" i="2" s="1"/>
  <c r="CF25" i="2" s="1"/>
  <c r="CB25" i="2" s="1"/>
  <c r="AH13" i="2" s="1"/>
  <c r="AI13" i="2" s="1"/>
  <c r="AG13" i="2" a="1"/>
  <c r="AG13" i="2" s="1"/>
  <c r="CD24" i="2" s="1"/>
  <c r="BJ13" i="2" a="1"/>
  <c r="BJ13" i="2" s="1"/>
  <c r="DC24" i="2" s="1"/>
  <c r="BF13" i="2" a="1"/>
  <c r="BF13" i="2" s="1"/>
  <c r="CY24" i="2" s="1"/>
  <c r="CY25" i="2" s="1"/>
  <c r="BB13" i="2" a="1"/>
  <c r="BB13" i="2" s="1"/>
  <c r="CU24" i="2" s="1"/>
  <c r="CU25" i="2" s="1"/>
  <c r="AX13" i="2" a="1"/>
  <c r="AX13" i="2" s="1"/>
  <c r="CQ24" i="2" s="1"/>
  <c r="CQ25" i="2" s="1"/>
  <c r="AT13" i="2" a="1"/>
  <c r="AT13" i="2" s="1"/>
  <c r="CM24" i="2" s="1"/>
  <c r="CM25" i="2" s="1"/>
  <c r="AP13" i="2" a="1"/>
  <c r="AP13" i="2" s="1"/>
  <c r="CI24" i="2" s="1"/>
  <c r="AL13" i="2" a="1"/>
  <c r="AL13" i="2" s="1"/>
  <c r="CE24" i="2" s="1"/>
  <c r="BI13" i="2" a="1"/>
  <c r="BI13" i="2" s="1"/>
  <c r="DB24" i="2" s="1"/>
  <c r="BE13" i="2" a="1"/>
  <c r="BE13" i="2" s="1"/>
  <c r="CX24" i="2" s="1"/>
  <c r="BA13" i="2" a="1"/>
  <c r="BA13" i="2" s="1"/>
  <c r="CT24" i="2" s="1"/>
  <c r="AW13" i="2" a="1"/>
  <c r="AW13" i="2" s="1"/>
  <c r="CP24" i="2" s="1"/>
  <c r="CP25" i="2" s="1"/>
  <c r="AS13" i="2" a="1"/>
  <c r="AS13" i="2" s="1"/>
  <c r="CL24" i="2" s="1"/>
  <c r="AO13" i="2" a="1"/>
  <c r="AO13" i="2" s="1"/>
  <c r="CH24" i="2" s="1"/>
  <c r="Y4" i="2" a="1"/>
  <c r="Y4" i="2" s="1"/>
  <c r="AB4" i="2" a="1"/>
  <c r="AB4" i="2" s="1"/>
  <c r="AB16" i="2" a="1"/>
  <c r="AB16" i="2" s="1"/>
  <c r="Y16" i="2" a="1"/>
  <c r="Y16" i="2" s="1"/>
  <c r="CB42" i="2"/>
  <c r="DF301" i="2" s="1"/>
  <c r="BJ22" i="2" a="1"/>
  <c r="BJ22" i="2" s="1"/>
  <c r="DC42" i="2" s="1"/>
  <c r="BF22" i="2" a="1"/>
  <c r="BF22" i="2" s="1"/>
  <c r="CY42" i="2" s="1"/>
  <c r="CY43" i="2" s="1"/>
  <c r="BB22" i="2" a="1"/>
  <c r="BB22" i="2" s="1"/>
  <c r="CU42" i="2" s="1"/>
  <c r="CU43" i="2" s="1"/>
  <c r="AX22" i="2" a="1"/>
  <c r="AX22" i="2" s="1"/>
  <c r="CQ42" i="2" s="1"/>
  <c r="CQ43" i="2" s="1"/>
  <c r="AT22" i="2" a="1"/>
  <c r="AT22" i="2" s="1"/>
  <c r="CM42" i="2" s="1"/>
  <c r="CM43" i="2" s="1"/>
  <c r="AP22" i="2" a="1"/>
  <c r="AP22" i="2" s="1"/>
  <c r="CI42" i="2" s="1"/>
  <c r="AL22" i="2" a="1"/>
  <c r="AL22" i="2" s="1"/>
  <c r="CE42" i="2" s="1"/>
  <c r="BI22" i="2" a="1"/>
  <c r="BI22" i="2" s="1"/>
  <c r="DB42" i="2" s="1"/>
  <c r="BE22" i="2" a="1"/>
  <c r="BE22" i="2" s="1"/>
  <c r="CX42" i="2" s="1"/>
  <c r="BA22" i="2" a="1"/>
  <c r="BA22" i="2" s="1"/>
  <c r="CT42" i="2" s="1"/>
  <c r="AW22" i="2" a="1"/>
  <c r="AW22" i="2" s="1"/>
  <c r="CP42" i="2" s="1"/>
  <c r="CP43" i="2" s="1"/>
  <c r="AS22" i="2" a="1"/>
  <c r="AS22" i="2" s="1"/>
  <c r="CL42" i="2" s="1"/>
  <c r="AO22" i="2" a="1"/>
  <c r="AO22" i="2" s="1"/>
  <c r="CH42" i="2" s="1"/>
  <c r="BL22" i="2" a="1"/>
  <c r="BL22" i="2" s="1"/>
  <c r="BH22" i="2" a="1"/>
  <c r="BH22" i="2" s="1"/>
  <c r="DA42" i="2" s="1"/>
  <c r="DA43" i="2" s="1"/>
  <c r="BD22" i="2" a="1"/>
  <c r="BD22" i="2" s="1"/>
  <c r="CW42" i="2" s="1"/>
  <c r="AZ22" i="2" a="1"/>
  <c r="AZ22" i="2" s="1"/>
  <c r="CS42" i="2" s="1"/>
  <c r="AV22" i="2" a="1"/>
  <c r="AV22" i="2" s="1"/>
  <c r="CO42" i="2" s="1"/>
  <c r="AR22" i="2" a="1"/>
  <c r="AR22" i="2" s="1"/>
  <c r="CK42" i="2" s="1"/>
  <c r="AN22" i="2" a="1"/>
  <c r="AN22" i="2" s="1"/>
  <c r="CG42" i="2" s="1"/>
  <c r="BK22" i="2" a="1"/>
  <c r="BK22" i="2" s="1"/>
  <c r="DD42" i="2" s="1"/>
  <c r="BG22" i="2" a="1"/>
  <c r="BG22" i="2" s="1"/>
  <c r="CZ42" i="2" s="1"/>
  <c r="CZ43" i="2" s="1"/>
  <c r="BC22" i="2" a="1"/>
  <c r="BC22" i="2" s="1"/>
  <c r="CV42" i="2" s="1"/>
  <c r="CV43" i="2" s="1"/>
  <c r="AY22" i="2" a="1"/>
  <c r="AY22" i="2" s="1"/>
  <c r="CR42" i="2" s="1"/>
  <c r="CR43" i="2" s="1"/>
  <c r="AU22" i="2" a="1"/>
  <c r="AU22" i="2" s="1"/>
  <c r="CN42" i="2" s="1"/>
  <c r="AQ22" i="2" a="1"/>
  <c r="AQ22" i="2" s="1"/>
  <c r="CJ42" i="2" s="1"/>
  <c r="AM22" i="2" a="1"/>
  <c r="AM22" i="2" s="1"/>
  <c r="CF42" i="2" s="1"/>
  <c r="AG22" i="2" a="1"/>
  <c r="AG22" i="2" s="1"/>
  <c r="CD42" i="2" s="1"/>
  <c r="AB28" i="2" a="1"/>
  <c r="AB28" i="2" s="1"/>
  <c r="Y28" i="2" a="1"/>
  <c r="Y28" i="2" s="1"/>
  <c r="AB23" i="2" a="1"/>
  <c r="AB23" i="2" s="1"/>
  <c r="Y23" i="2" a="1"/>
  <c r="Y23" i="2" s="1"/>
  <c r="BD31" i="2" a="1"/>
  <c r="BD31" i="2" s="1"/>
  <c r="CW60" i="2" s="1"/>
  <c r="AY31" i="2" a="1"/>
  <c r="AY31" i="2" s="1"/>
  <c r="CR60" i="2" s="1"/>
  <c r="CR61" i="2" s="1"/>
  <c r="AP31" i="2" a="1"/>
  <c r="AP31" i="2" s="1"/>
  <c r="CI60" i="2" s="1"/>
  <c r="BH31" i="2" a="1"/>
  <c r="BH31" i="2" s="1"/>
  <c r="DA60" i="2" s="1"/>
  <c r="DA61" i="2" s="1"/>
  <c r="BC31" i="2" a="1"/>
  <c r="BC31" i="2" s="1"/>
  <c r="CV60" i="2" s="1"/>
  <c r="CV61" i="2" s="1"/>
  <c r="AT31" i="2" a="1"/>
  <c r="AT31" i="2" s="1"/>
  <c r="CM60" i="2" s="1"/>
  <c r="CM61" i="2" s="1"/>
  <c r="BG31" i="2" a="1"/>
  <c r="BG31" i="2" s="1"/>
  <c r="CZ60" i="2" s="1"/>
  <c r="CZ61" i="2" s="1"/>
  <c r="AX31" i="2" a="1"/>
  <c r="AX31" i="2" s="1"/>
  <c r="CQ60" i="2" s="1"/>
  <c r="CQ61" i="2" s="1"/>
  <c r="AO31" i="2" a="1"/>
  <c r="AO31" i="2" s="1"/>
  <c r="CH60" i="2" s="1"/>
  <c r="BK31" i="2" a="1"/>
  <c r="BK31" i="2" s="1"/>
  <c r="DD60" i="2" s="1"/>
  <c r="BB31" i="2" a="1"/>
  <c r="BB31" i="2" s="1"/>
  <c r="CU60" i="2" s="1"/>
  <c r="CU61" i="2" s="1"/>
  <c r="AS31" i="2" a="1"/>
  <c r="AS31" i="2" s="1"/>
  <c r="CL60" i="2" s="1"/>
  <c r="BF31" i="2" a="1"/>
  <c r="BF31" i="2" s="1"/>
  <c r="CY60" i="2" s="1"/>
  <c r="CY61" i="2" s="1"/>
  <c r="AW31" i="2" a="1"/>
  <c r="AW31" i="2" s="1"/>
  <c r="CP60" i="2" s="1"/>
  <c r="CP61" i="2" s="1"/>
  <c r="AN31" i="2" a="1"/>
  <c r="AN31" i="2" s="1"/>
  <c r="CG60" i="2" s="1"/>
  <c r="AG31" i="2" a="1"/>
  <c r="AG31" i="2" s="1"/>
  <c r="CD60" i="2" s="1"/>
  <c r="BJ31" i="2" a="1"/>
  <c r="BJ31" i="2" s="1"/>
  <c r="DC60" i="2" s="1"/>
  <c r="BA31" i="2" a="1"/>
  <c r="BA31" i="2" s="1"/>
  <c r="CT60" i="2" s="1"/>
  <c r="AR31" i="2" a="1"/>
  <c r="AR31" i="2" s="1"/>
  <c r="CK60" i="2" s="1"/>
  <c r="AM31" i="2" a="1"/>
  <c r="AM31" i="2" s="1"/>
  <c r="CF60" i="2" s="1"/>
  <c r="BE31" i="2" a="1"/>
  <c r="BE31" i="2" s="1"/>
  <c r="CX60" i="2" s="1"/>
  <c r="AV31" i="2" a="1"/>
  <c r="AV31" i="2" s="1"/>
  <c r="CO60" i="2" s="1"/>
  <c r="AQ31" i="2" a="1"/>
  <c r="AQ31" i="2" s="1"/>
  <c r="CJ60" i="2" s="1"/>
  <c r="CB60" i="2"/>
  <c r="BI31" i="2" a="1"/>
  <c r="BI31" i="2" s="1"/>
  <c r="DB60" i="2" s="1"/>
  <c r="AZ31" i="2" a="1"/>
  <c r="AZ31" i="2" s="1"/>
  <c r="CS60" i="2" s="1"/>
  <c r="AU31" i="2" a="1"/>
  <c r="AU31" i="2" s="1"/>
  <c r="CN60" i="2" s="1"/>
  <c r="AL31" i="2" a="1"/>
  <c r="AL31" i="2" s="1"/>
  <c r="CE60" i="2" s="1"/>
  <c r="Y15" i="2" a="1"/>
  <c r="Y15" i="2" s="1"/>
  <c r="AB15" i="2" a="1"/>
  <c r="AB15" i="2" s="1"/>
  <c r="AB6" i="2" a="1"/>
  <c r="AB6" i="2" s="1"/>
  <c r="Y6" i="2" a="1"/>
  <c r="Y6" i="2" s="1"/>
  <c r="CB54" i="2"/>
  <c r="BI28" i="2" a="1"/>
  <c r="BI28" i="2" s="1"/>
  <c r="DB54" i="2" s="1"/>
  <c r="AZ28" i="2" a="1"/>
  <c r="AZ28" i="2" s="1"/>
  <c r="CS54" i="2" s="1"/>
  <c r="AQ28" i="2" a="1"/>
  <c r="AQ28" i="2" s="1"/>
  <c r="CJ54" i="2" s="1"/>
  <c r="CJ55" i="2" s="1"/>
  <c r="AL28" i="2" a="1"/>
  <c r="AL28" i="2" s="1"/>
  <c r="CE54" i="2" s="1"/>
  <c r="BD28" i="2" a="1"/>
  <c r="BD28" i="2" s="1"/>
  <c r="CW54" i="2" s="1"/>
  <c r="AU28" i="2" a="1"/>
  <c r="AU28" i="2" s="1"/>
  <c r="CN54" i="2" s="1"/>
  <c r="AP28" i="2" a="1"/>
  <c r="AP28" i="2" s="1"/>
  <c r="CI54" i="2" s="1"/>
  <c r="BH28" i="2" a="1"/>
  <c r="BH28" i="2" s="1"/>
  <c r="DA54" i="2" s="1"/>
  <c r="DA55" i="2" s="1"/>
  <c r="AY28" i="2" a="1"/>
  <c r="AY28" i="2" s="1"/>
  <c r="CR54" i="2" s="1"/>
  <c r="CR55" i="2" s="1"/>
  <c r="AT28" i="2" a="1"/>
  <c r="AT28" i="2" s="1"/>
  <c r="CM54" i="2" s="1"/>
  <c r="BC28" i="2" a="1"/>
  <c r="BC28" i="2" s="1"/>
  <c r="CV54" i="2" s="1"/>
  <c r="CV55" i="2" s="1"/>
  <c r="AX28" i="2" a="1"/>
  <c r="AX28" i="2" s="1"/>
  <c r="CQ54" i="2" s="1"/>
  <c r="CQ55" i="2" s="1"/>
  <c r="AO28" i="2" a="1"/>
  <c r="AO28" i="2" s="1"/>
  <c r="CH54" i="2" s="1"/>
  <c r="BG28" i="2" a="1"/>
  <c r="BG28" i="2" s="1"/>
  <c r="CZ54" i="2" s="1"/>
  <c r="CZ55" i="2" s="1"/>
  <c r="BB28" i="2" a="1"/>
  <c r="BB28" i="2" s="1"/>
  <c r="CU54" i="2" s="1"/>
  <c r="CU55" i="2" s="1"/>
  <c r="CC55" i="2" s="1"/>
  <c r="AJ28" i="2" s="1"/>
  <c r="AK28" i="2" s="1"/>
  <c r="AS28" i="2" a="1"/>
  <c r="AS28" i="2" s="1"/>
  <c r="CL54" i="2" s="1"/>
  <c r="BK28" i="2" a="1"/>
  <c r="BK28" i="2" s="1"/>
  <c r="DD54" i="2" s="1"/>
  <c r="BF28" i="2" a="1"/>
  <c r="BF28" i="2" s="1"/>
  <c r="CY54" i="2" s="1"/>
  <c r="CY55" i="2" s="1"/>
  <c r="AW28" i="2" a="1"/>
  <c r="AW28" i="2" s="1"/>
  <c r="CP54" i="2" s="1"/>
  <c r="CP55" i="2" s="1"/>
  <c r="AN28" i="2" a="1"/>
  <c r="AN28" i="2" s="1"/>
  <c r="CG54" i="2" s="1"/>
  <c r="BJ28" i="2" a="1"/>
  <c r="BJ28" i="2" s="1"/>
  <c r="DC54" i="2" s="1"/>
  <c r="BA28" i="2" a="1"/>
  <c r="BA28" i="2" s="1"/>
  <c r="CT54" i="2" s="1"/>
  <c r="AR28" i="2" a="1"/>
  <c r="AR28" i="2" s="1"/>
  <c r="CK54" i="2" s="1"/>
  <c r="CK55" i="2" s="1"/>
  <c r="AG28" i="2" a="1"/>
  <c r="AG28" i="2" s="1"/>
  <c r="CD54" i="2" s="1"/>
  <c r="BE28" i="2" a="1"/>
  <c r="BE28" i="2" s="1"/>
  <c r="CX54" i="2" s="1"/>
  <c r="AV28" i="2" a="1"/>
  <c r="AV28" i="2" s="1"/>
  <c r="CO54" i="2" s="1"/>
  <c r="CO55" i="2" s="1"/>
  <c r="AM28" i="2" a="1"/>
  <c r="AM28" i="2" s="1"/>
  <c r="CF54" i="2" s="1"/>
  <c r="CF55" i="2" s="1"/>
  <c r="CB44" i="2"/>
  <c r="EI301" i="2" s="1"/>
  <c r="BI23" i="2" a="1"/>
  <c r="BI23" i="2" s="1"/>
  <c r="DB44" i="2" s="1"/>
  <c r="BE23" i="2" a="1"/>
  <c r="BE23" i="2" s="1"/>
  <c r="CX44" i="2" s="1"/>
  <c r="BA23" i="2" a="1"/>
  <c r="BA23" i="2" s="1"/>
  <c r="CT44" i="2" s="1"/>
  <c r="AW23" i="2" a="1"/>
  <c r="AW23" i="2" s="1"/>
  <c r="CP44" i="2" s="1"/>
  <c r="CP45" i="2" s="1"/>
  <c r="AS23" i="2" a="1"/>
  <c r="AS23" i="2" s="1"/>
  <c r="CL44" i="2" s="1"/>
  <c r="AO23" i="2" a="1"/>
  <c r="AO23" i="2" s="1"/>
  <c r="CH44" i="2" s="1"/>
  <c r="BL23" i="2" a="1"/>
  <c r="BL23" i="2" s="1"/>
  <c r="BH23" i="2" a="1"/>
  <c r="BH23" i="2" s="1"/>
  <c r="DA44" i="2" s="1"/>
  <c r="DA45" i="2" s="1"/>
  <c r="BD23" i="2" a="1"/>
  <c r="BD23" i="2" s="1"/>
  <c r="CW44" i="2" s="1"/>
  <c r="AZ23" i="2" a="1"/>
  <c r="AZ23" i="2" s="1"/>
  <c r="CS44" i="2" s="1"/>
  <c r="AV23" i="2" a="1"/>
  <c r="AV23" i="2" s="1"/>
  <c r="CO44" i="2" s="1"/>
  <c r="CO45" i="2" s="1"/>
  <c r="AR23" i="2" a="1"/>
  <c r="AR23" i="2" s="1"/>
  <c r="CK44" i="2" s="1"/>
  <c r="CK45" i="2" s="1"/>
  <c r="AN23" i="2" a="1"/>
  <c r="AN23" i="2" s="1"/>
  <c r="CG44" i="2" s="1"/>
  <c r="BK23" i="2" a="1"/>
  <c r="BK23" i="2" s="1"/>
  <c r="DD44" i="2" s="1"/>
  <c r="BG23" i="2" a="1"/>
  <c r="BG23" i="2" s="1"/>
  <c r="CZ44" i="2" s="1"/>
  <c r="CZ45" i="2" s="1"/>
  <c r="BC23" i="2" a="1"/>
  <c r="BC23" i="2" s="1"/>
  <c r="CV44" i="2" s="1"/>
  <c r="CV45" i="2" s="1"/>
  <c r="AY23" i="2" a="1"/>
  <c r="AY23" i="2" s="1"/>
  <c r="CR44" i="2" s="1"/>
  <c r="CR45" i="2" s="1"/>
  <c r="AU23" i="2" a="1"/>
  <c r="AU23" i="2" s="1"/>
  <c r="CN44" i="2" s="1"/>
  <c r="AQ23" i="2" a="1"/>
  <c r="AQ23" i="2" s="1"/>
  <c r="CJ44" i="2" s="1"/>
  <c r="CJ45" i="2" s="1"/>
  <c r="AM23" i="2" a="1"/>
  <c r="AM23" i="2" s="1"/>
  <c r="CF44" i="2" s="1"/>
  <c r="CF45" i="2" s="1"/>
  <c r="AG23" i="2" a="1"/>
  <c r="AG23" i="2" s="1"/>
  <c r="CD44" i="2" s="1"/>
  <c r="BJ23" i="2" a="1"/>
  <c r="BJ23" i="2" s="1"/>
  <c r="DC44" i="2" s="1"/>
  <c r="BF23" i="2" a="1"/>
  <c r="BF23" i="2" s="1"/>
  <c r="CY44" i="2" s="1"/>
  <c r="CY45" i="2" s="1"/>
  <c r="BB23" i="2" a="1"/>
  <c r="BB23" i="2" s="1"/>
  <c r="CU44" i="2" s="1"/>
  <c r="CU45" i="2" s="1"/>
  <c r="CC45" i="2" s="1"/>
  <c r="AJ23" i="2" s="1"/>
  <c r="AK23" i="2" s="1"/>
  <c r="AX23" i="2" a="1"/>
  <c r="AX23" i="2" s="1"/>
  <c r="CQ44" i="2" s="1"/>
  <c r="CQ45" i="2" s="1"/>
  <c r="AT23" i="2" a="1"/>
  <c r="AT23" i="2" s="1"/>
  <c r="CM44" i="2" s="1"/>
  <c r="CM45" i="2" s="1"/>
  <c r="AP23" i="2" a="1"/>
  <c r="AP23" i="2" s="1"/>
  <c r="CI44" i="2" s="1"/>
  <c r="AL23" i="2" a="1"/>
  <c r="AL23" i="2" s="1"/>
  <c r="CE44" i="2" s="1"/>
  <c r="Y12" i="2" a="1"/>
  <c r="Y12" i="2" s="1"/>
  <c r="AB12" i="2" a="1"/>
  <c r="AB12" i="2" s="1"/>
  <c r="AB27" i="2" a="1"/>
  <c r="AB27" i="2" s="1"/>
  <c r="Y27" i="2" a="1"/>
  <c r="Y27" i="2" s="1"/>
  <c r="Y30" i="2" a="1"/>
  <c r="Y30" i="2" s="1"/>
  <c r="AB30" i="2" a="1"/>
  <c r="AB30" i="2" s="1"/>
  <c r="BI18" i="2" a="1"/>
  <c r="BI18" i="2" s="1"/>
  <c r="DB34" i="2" s="1"/>
  <c r="BE18" i="2" a="1"/>
  <c r="BE18" i="2" s="1"/>
  <c r="CX34" i="2" s="1"/>
  <c r="BA18" i="2" a="1"/>
  <c r="BA18" i="2" s="1"/>
  <c r="CT34" i="2" s="1"/>
  <c r="AW18" i="2" a="1"/>
  <c r="AW18" i="2" s="1"/>
  <c r="CP34" i="2" s="1"/>
  <c r="CP35" i="2" s="1"/>
  <c r="AS18" i="2" a="1"/>
  <c r="AS18" i="2" s="1"/>
  <c r="CL34" i="2" s="1"/>
  <c r="AO18" i="2" a="1"/>
  <c r="AO18" i="2" s="1"/>
  <c r="CH34" i="2" s="1"/>
  <c r="BL18" i="2" a="1"/>
  <c r="BL18" i="2" s="1"/>
  <c r="BH18" i="2" a="1"/>
  <c r="BH18" i="2" s="1"/>
  <c r="DA34" i="2" s="1"/>
  <c r="DA35" i="2" s="1"/>
  <c r="BD18" i="2" a="1"/>
  <c r="BD18" i="2" s="1"/>
  <c r="CW34" i="2" s="1"/>
  <c r="AZ18" i="2" a="1"/>
  <c r="AZ18" i="2" s="1"/>
  <c r="CS34" i="2" s="1"/>
  <c r="AV18" i="2" a="1"/>
  <c r="AV18" i="2" s="1"/>
  <c r="CO34" i="2" s="1"/>
  <c r="AR18" i="2" a="1"/>
  <c r="AR18" i="2" s="1"/>
  <c r="CK34" i="2" s="1"/>
  <c r="AN18" i="2" a="1"/>
  <c r="AN18" i="2" s="1"/>
  <c r="CG34" i="2" s="1"/>
  <c r="BK18" i="2" a="1"/>
  <c r="BK18" i="2" s="1"/>
  <c r="DD34" i="2" s="1"/>
  <c r="BG18" i="2" a="1"/>
  <c r="BG18" i="2" s="1"/>
  <c r="CZ34" i="2" s="1"/>
  <c r="CZ35" i="2" s="1"/>
  <c r="BC18" i="2" a="1"/>
  <c r="BC18" i="2" s="1"/>
  <c r="CV34" i="2" s="1"/>
  <c r="CV35" i="2" s="1"/>
  <c r="AY18" i="2" a="1"/>
  <c r="AY18" i="2" s="1"/>
  <c r="CR34" i="2" s="1"/>
  <c r="CR35" i="2" s="1"/>
  <c r="AU18" i="2" a="1"/>
  <c r="AU18" i="2" s="1"/>
  <c r="CN34" i="2" s="1"/>
  <c r="AQ18" i="2" a="1"/>
  <c r="AQ18" i="2" s="1"/>
  <c r="CJ34" i="2" s="1"/>
  <c r="AM18" i="2" a="1"/>
  <c r="AM18" i="2" s="1"/>
  <c r="CF34" i="2" s="1"/>
  <c r="AG18" i="2" a="1"/>
  <c r="AG18" i="2" s="1"/>
  <c r="CD34" i="2" s="1"/>
  <c r="CB34" i="2"/>
  <c r="DF241" i="2" s="1"/>
  <c r="BJ18" i="2" a="1"/>
  <c r="BJ18" i="2" s="1"/>
  <c r="DC34" i="2" s="1"/>
  <c r="BF18" i="2" a="1"/>
  <c r="BF18" i="2" s="1"/>
  <c r="CY34" i="2" s="1"/>
  <c r="CY35" i="2" s="1"/>
  <c r="BB18" i="2" a="1"/>
  <c r="BB18" i="2" s="1"/>
  <c r="CU34" i="2" s="1"/>
  <c r="CU35" i="2" s="1"/>
  <c r="CC35" i="2" s="1"/>
  <c r="AJ18" i="2" s="1"/>
  <c r="AK18" i="2" s="1"/>
  <c r="AX18" i="2" a="1"/>
  <c r="AX18" i="2" s="1"/>
  <c r="CQ34" i="2" s="1"/>
  <c r="CQ35" i="2" s="1"/>
  <c r="AT18" i="2" a="1"/>
  <c r="AT18" i="2" s="1"/>
  <c r="CM34" i="2" s="1"/>
  <c r="AP18" i="2" a="1"/>
  <c r="AP18" i="2" s="1"/>
  <c r="CI34" i="2" s="1"/>
  <c r="AL18" i="2" a="1"/>
  <c r="AL18" i="2" s="1"/>
  <c r="CE34" i="2" s="1"/>
  <c r="B3" i="1"/>
  <c r="BK7" i="2" a="1"/>
  <c r="BK7" i="2" s="1"/>
  <c r="DD12" i="2" s="1"/>
  <c r="BG7" i="2" a="1"/>
  <c r="BG7" i="2" s="1"/>
  <c r="CZ12" i="2" s="1"/>
  <c r="CZ13" i="2" s="1"/>
  <c r="BC7" i="2" a="1"/>
  <c r="BC7" i="2" s="1"/>
  <c r="CV12" i="2" s="1"/>
  <c r="CV13" i="2" s="1"/>
  <c r="AY7" i="2" a="1"/>
  <c r="AY7" i="2" s="1"/>
  <c r="CR12" i="2" s="1"/>
  <c r="CR13" i="2" s="1"/>
  <c r="AU7" i="2" a="1"/>
  <c r="AU7" i="2" s="1"/>
  <c r="CN12" i="2" s="1"/>
  <c r="AQ7" i="2" a="1"/>
  <c r="AQ7" i="2" s="1"/>
  <c r="CJ12" i="2" s="1"/>
  <c r="AM7" i="2" a="1"/>
  <c r="AM7" i="2" s="1"/>
  <c r="CF12" i="2" s="1"/>
  <c r="AG7" i="2" a="1"/>
  <c r="AG7" i="2" s="1"/>
  <c r="CD12" i="2" s="1"/>
  <c r="BJ7" i="2" a="1"/>
  <c r="BJ7" i="2" s="1"/>
  <c r="DC12" i="2" s="1"/>
  <c r="BF7" i="2" a="1"/>
  <c r="BF7" i="2" s="1"/>
  <c r="CY12" i="2" s="1"/>
  <c r="CY13" i="2" s="1"/>
  <c r="BB7" i="2" a="1"/>
  <c r="BB7" i="2" s="1"/>
  <c r="CU12" i="2" s="1"/>
  <c r="CU13" i="2" s="1"/>
  <c r="CC13" i="2" s="1"/>
  <c r="AJ7" i="2" s="1"/>
  <c r="AK7" i="2" s="1"/>
  <c r="AX7" i="2" a="1"/>
  <c r="AX7" i="2" s="1"/>
  <c r="CQ12" i="2" s="1"/>
  <c r="CQ13" i="2" s="1"/>
  <c r="AT7" i="2" a="1"/>
  <c r="AT7" i="2" s="1"/>
  <c r="CM12" i="2" s="1"/>
  <c r="CM13" i="2" s="1"/>
  <c r="AP7" i="2" a="1"/>
  <c r="AP7" i="2" s="1"/>
  <c r="CI12" i="2" s="1"/>
  <c r="AL7" i="2" a="1"/>
  <c r="AL7" i="2" s="1"/>
  <c r="CE12" i="2" s="1"/>
  <c r="BI7" i="2" a="1"/>
  <c r="BI7" i="2" s="1"/>
  <c r="DB12" i="2" s="1"/>
  <c r="BE7" i="2" a="1"/>
  <c r="BE7" i="2" s="1"/>
  <c r="CX12" i="2" s="1"/>
  <c r="BA7" i="2" a="1"/>
  <c r="BA7" i="2" s="1"/>
  <c r="CT12" i="2" s="1"/>
  <c r="AW7" i="2" a="1"/>
  <c r="AW7" i="2" s="1"/>
  <c r="CP12" i="2" s="1"/>
  <c r="CP13" i="2" s="1"/>
  <c r="AS7" i="2" a="1"/>
  <c r="AS7" i="2" s="1"/>
  <c r="CL12" i="2" s="1"/>
  <c r="AO7" i="2" a="1"/>
  <c r="AO7" i="2" s="1"/>
  <c r="CH12" i="2" s="1"/>
  <c r="BL7" i="2" a="1"/>
  <c r="BL7" i="2" s="1"/>
  <c r="BH7" i="2" a="1"/>
  <c r="BH7" i="2" s="1"/>
  <c r="DA12" i="2" s="1"/>
  <c r="DA13" i="2" s="1"/>
  <c r="BD7" i="2" a="1"/>
  <c r="BD7" i="2" s="1"/>
  <c r="CW12" i="2" s="1"/>
  <c r="AZ7" i="2" a="1"/>
  <c r="AZ7" i="2" s="1"/>
  <c r="CS12" i="2" s="1"/>
  <c r="AV7" i="2" a="1"/>
  <c r="AV7" i="2" s="1"/>
  <c r="CO12" i="2" s="1"/>
  <c r="AR7" i="2" a="1"/>
  <c r="AR7" i="2" s="1"/>
  <c r="CK12" i="2" s="1"/>
  <c r="AN7" i="2" a="1"/>
  <c r="AN7" i="2" s="1"/>
  <c r="CG12" i="2" s="1"/>
  <c r="CB12" i="2"/>
  <c r="EI61" i="2" s="1"/>
  <c r="AE10" i="2" a="1"/>
  <c r="AE9" i="2" a="1"/>
  <c r="X18" i="2" a="1"/>
  <c r="X11" i="2" a="1"/>
  <c r="AE16" i="2" a="1"/>
  <c r="X28" i="2" a="1"/>
  <c r="AE15" i="2" a="1"/>
  <c r="X30" i="2" a="1"/>
  <c r="X15" i="2" a="1"/>
  <c r="X10" i="2" a="1"/>
  <c r="X9" i="2" a="1"/>
  <c r="X16" i="2" a="1"/>
  <c r="AE23" i="2" a="1"/>
  <c r="AE6" i="2" a="1"/>
  <c r="AE30" i="2" a="1"/>
  <c r="X23" i="2" a="1"/>
  <c r="X6" i="2" a="1"/>
  <c r="AE20" i="2" a="1"/>
  <c r="AE26" i="2" a="1"/>
  <c r="X22" i="2" a="1"/>
  <c r="X25" i="2" a="1"/>
  <c r="X24" i="2" a="1"/>
  <c r="AE27" i="2" a="1"/>
  <c r="X19" i="2" a="1"/>
  <c r="X26" i="2" a="1"/>
  <c r="AE14" i="2" a="1"/>
  <c r="X27" i="2" a="1"/>
  <c r="X29" i="2" a="1"/>
  <c r="AE8" i="2" a="1"/>
  <c r="X20" i="2" a="1"/>
  <c r="X13" i="2" a="1"/>
  <c r="X12" i="2" a="1"/>
  <c r="AE5" i="2" a="1"/>
  <c r="X14" i="2" a="1"/>
  <c r="X21" i="2" a="1"/>
  <c r="X7" i="2" a="1"/>
  <c r="AE28" i="2" a="1"/>
  <c r="AE17" i="2" a="1"/>
  <c r="AE29" i="2" a="1"/>
  <c r="X8" i="2" a="1"/>
  <c r="X5" i="2" a="1"/>
  <c r="AE22" i="2" a="1"/>
  <c r="X31" i="2" a="1"/>
  <c r="AE25" i="2" a="1"/>
  <c r="AE24" i="2" a="1"/>
  <c r="AE13" i="2" a="1"/>
  <c r="AE12" i="2" a="1"/>
  <c r="AE19" i="2" a="1"/>
  <c r="AE31" i="2" a="1"/>
  <c r="AE7" i="2" a="1"/>
  <c r="AE18" i="2" a="1"/>
  <c r="AE11" i="2" a="1"/>
  <c r="X17" i="2" a="1"/>
  <c r="AE21" i="2" a="1"/>
  <c r="AE21" i="2" l="1"/>
  <c r="X17" i="2"/>
  <c r="AE11" i="2"/>
  <c r="AE18" i="2"/>
  <c r="AE7" i="2"/>
  <c r="AE31" i="2"/>
  <c r="AE19" i="2"/>
  <c r="AE12" i="2"/>
  <c r="AE13" i="2"/>
  <c r="AE24" i="2"/>
  <c r="AE25" i="2"/>
  <c r="X31" i="2"/>
  <c r="AE22" i="2"/>
  <c r="X5" i="2"/>
  <c r="X8" i="2"/>
  <c r="AE29" i="2"/>
  <c r="AE17" i="2"/>
  <c r="AE28" i="2"/>
  <c r="X7" i="2"/>
  <c r="X21" i="2"/>
  <c r="X14" i="2"/>
  <c r="AE5" i="2"/>
  <c r="X12" i="2"/>
  <c r="X13" i="2"/>
  <c r="X20" i="2"/>
  <c r="AE8" i="2"/>
  <c r="X29" i="2"/>
  <c r="X27" i="2"/>
  <c r="AE14" i="2"/>
  <c r="X26" i="2"/>
  <c r="X19" i="2"/>
  <c r="AE27" i="2"/>
  <c r="X24" i="2"/>
  <c r="X25" i="2"/>
  <c r="X22" i="2"/>
  <c r="AE26" i="2"/>
  <c r="AE20" i="2"/>
  <c r="X6" i="2"/>
  <c r="X23" i="2"/>
  <c r="AE30" i="2"/>
  <c r="AE6" i="2"/>
  <c r="AE23" i="2"/>
  <c r="X16" i="2"/>
  <c r="X9" i="2"/>
  <c r="X10" i="2"/>
  <c r="X15" i="2"/>
  <c r="X30" i="2"/>
  <c r="AE15" i="2"/>
  <c r="X28" i="2"/>
  <c r="AE16" i="2"/>
  <c r="X11" i="2"/>
  <c r="X18" i="2"/>
  <c r="AE9" i="2"/>
  <c r="AE10" i="2"/>
  <c r="EE236" i="2" a="1"/>
  <c r="EE236" i="2" s="1"/>
  <c r="EE237" i="2" s="1"/>
  <c r="EA236" i="2" a="1"/>
  <c r="EA236" i="2" s="1"/>
  <c r="EA237" i="2" s="1"/>
  <c r="DO236" i="2" a="1"/>
  <c r="DO236" i="2" s="1"/>
  <c r="DO237" i="2" s="1"/>
  <c r="EF234" i="2" a="1"/>
  <c r="EF234" i="2" s="1"/>
  <c r="EF235" i="2" s="1"/>
  <c r="DX234" i="2" a="1"/>
  <c r="DX234" i="2" s="1"/>
  <c r="DX235" i="2" s="1"/>
  <c r="DP234" i="2" a="1"/>
  <c r="DP234" i="2" s="1"/>
  <c r="DP235" i="2" s="1"/>
  <c r="DL234" i="2" a="1"/>
  <c r="DL234" i="2" s="1"/>
  <c r="DL235" i="2" s="1"/>
  <c r="DU232" i="2" a="1"/>
  <c r="DU232" i="2" s="1"/>
  <c r="DU233" i="2" s="1"/>
  <c r="DQ232" i="2" a="1"/>
  <c r="DQ232" i="2" s="1"/>
  <c r="DQ233" i="2" s="1"/>
  <c r="DM232" i="2" a="1"/>
  <c r="DM232" i="2" s="1"/>
  <c r="DM233" i="2" s="1"/>
  <c r="DG232" i="2" a="1"/>
  <c r="DG232" i="2" s="1"/>
  <c r="ED230" i="2" a="1"/>
  <c r="ED230" i="2" s="1"/>
  <c r="ED231" i="2" s="1"/>
  <c r="DR230" i="2" a="1"/>
  <c r="DR230" i="2" s="1"/>
  <c r="DR231" i="2" s="1"/>
  <c r="DN230" i="2" a="1"/>
  <c r="DN230" i="2" s="1"/>
  <c r="DN231" i="2" s="1"/>
  <c r="DJ230" i="2" a="1"/>
  <c r="DJ230" i="2" s="1"/>
  <c r="DJ231" i="2" s="1"/>
  <c r="EE228" i="2" a="1"/>
  <c r="EE228" i="2" s="1"/>
  <c r="EE229" i="2" s="1"/>
  <c r="EA228" i="2" a="1"/>
  <c r="EA228" i="2" s="1"/>
  <c r="EA229" i="2" s="1"/>
  <c r="DO228" i="2" a="1"/>
  <c r="DO228" i="2" s="1"/>
  <c r="DO229" i="2" s="1"/>
  <c r="EF226" i="2" a="1"/>
  <c r="EF226" i="2" s="1"/>
  <c r="EF227" i="2" s="1"/>
  <c r="DX226" i="2" a="1"/>
  <c r="DX226" i="2" s="1"/>
  <c r="DX227" i="2" s="1"/>
  <c r="DP226" i="2" a="1"/>
  <c r="DP226" i="2" s="1"/>
  <c r="DP227" i="2" s="1"/>
  <c r="DL226" i="2" a="1"/>
  <c r="DL226" i="2" s="1"/>
  <c r="DL227" i="2" s="1"/>
  <c r="DO238" i="2"/>
  <c r="ED236" i="2" a="1"/>
  <c r="ED236" i="2" s="1"/>
  <c r="ED237" i="2" s="1"/>
  <c r="DR236" i="2" a="1"/>
  <c r="DR236" i="2" s="1"/>
  <c r="DR237" i="2" s="1"/>
  <c r="DN236" i="2" a="1"/>
  <c r="DN236" i="2" s="1"/>
  <c r="DN237" i="2" s="1"/>
  <c r="DJ236" i="2" a="1"/>
  <c r="DJ236" i="2" s="1"/>
  <c r="DJ237" i="2" s="1"/>
  <c r="EE234" i="2" a="1"/>
  <c r="EE234" i="2" s="1"/>
  <c r="EE235" i="2" s="1"/>
  <c r="EA234" i="2" a="1"/>
  <c r="EA234" i="2" s="1"/>
  <c r="EA235" i="2" s="1"/>
  <c r="DO234" i="2" a="1"/>
  <c r="DO234" i="2" s="1"/>
  <c r="DO235" i="2" s="1"/>
  <c r="EF232" i="2" a="1"/>
  <c r="EF232" i="2" s="1"/>
  <c r="EF233" i="2" s="1"/>
  <c r="DX232" i="2" a="1"/>
  <c r="DX232" i="2" s="1"/>
  <c r="DX233" i="2" s="1"/>
  <c r="DP232" i="2" a="1"/>
  <c r="DP232" i="2" s="1"/>
  <c r="DP233" i="2" s="1"/>
  <c r="DL232" i="2" a="1"/>
  <c r="DL232" i="2" s="1"/>
  <c r="DL233" i="2" s="1"/>
  <c r="DU230" i="2" a="1"/>
  <c r="DU230" i="2" s="1"/>
  <c r="DU231" i="2" s="1"/>
  <c r="DQ230" i="2" a="1"/>
  <c r="DQ230" i="2" s="1"/>
  <c r="DQ231" i="2" s="1"/>
  <c r="DM230" i="2" a="1"/>
  <c r="DM230" i="2" s="1"/>
  <c r="DM231" i="2" s="1"/>
  <c r="DG230" i="2" a="1"/>
  <c r="DG230" i="2" s="1"/>
  <c r="ED228" i="2" a="1"/>
  <c r="ED228" i="2" s="1"/>
  <c r="ED229" i="2" s="1"/>
  <c r="DR228" i="2" a="1"/>
  <c r="DR228" i="2" s="1"/>
  <c r="DR229" i="2" s="1"/>
  <c r="DN228" i="2" a="1"/>
  <c r="DN228" i="2" s="1"/>
  <c r="DN229" i="2" s="1"/>
  <c r="DJ228" i="2" a="1"/>
  <c r="DJ228" i="2" s="1"/>
  <c r="DJ229" i="2" s="1"/>
  <c r="EE226" i="2" a="1"/>
  <c r="EE226" i="2" s="1"/>
  <c r="EE227" i="2" s="1"/>
  <c r="EA226" i="2" a="1"/>
  <c r="EA226" i="2" s="1"/>
  <c r="EA227" i="2" s="1"/>
  <c r="DO226" i="2" a="1"/>
  <c r="DO226" i="2" s="1"/>
  <c r="DO227" i="2" s="1"/>
  <c r="EF224" i="2" a="1"/>
  <c r="EF224" i="2" s="1"/>
  <c r="EF225" i="2" s="1"/>
  <c r="DJ238" i="2"/>
  <c r="DF238" i="2"/>
  <c r="DU236" i="2" a="1"/>
  <c r="DU236" i="2" s="1"/>
  <c r="DU237" i="2" s="1"/>
  <c r="DQ236" i="2" a="1"/>
  <c r="DQ236" i="2" s="1"/>
  <c r="DQ237" i="2" s="1"/>
  <c r="DM236" i="2" a="1"/>
  <c r="DM236" i="2" s="1"/>
  <c r="DM237" i="2" s="1"/>
  <c r="DG236" i="2" a="1"/>
  <c r="DG236" i="2" s="1"/>
  <c r="ED234" i="2" a="1"/>
  <c r="ED234" i="2" s="1"/>
  <c r="ED235" i="2" s="1"/>
  <c r="DR234" i="2" a="1"/>
  <c r="DR234" i="2" s="1"/>
  <c r="DR235" i="2" s="1"/>
  <c r="DN234" i="2" a="1"/>
  <c r="DN234" i="2" s="1"/>
  <c r="DN235" i="2" s="1"/>
  <c r="DJ234" i="2" a="1"/>
  <c r="DJ234" i="2" s="1"/>
  <c r="DJ235" i="2" s="1"/>
  <c r="EE232" i="2" a="1"/>
  <c r="EE232" i="2" s="1"/>
  <c r="EE233" i="2" s="1"/>
  <c r="EA232" i="2" a="1"/>
  <c r="EA232" i="2" s="1"/>
  <c r="EA233" i="2" s="1"/>
  <c r="DO232" i="2" a="1"/>
  <c r="DO232" i="2" s="1"/>
  <c r="DO233" i="2" s="1"/>
  <c r="EF230" i="2" a="1"/>
  <c r="EF230" i="2" s="1"/>
  <c r="EF231" i="2" s="1"/>
  <c r="DX230" i="2" a="1"/>
  <c r="DX230" i="2" s="1"/>
  <c r="DX231" i="2" s="1"/>
  <c r="DP230" i="2" a="1"/>
  <c r="DP230" i="2" s="1"/>
  <c r="DP231" i="2" s="1"/>
  <c r="DL230" i="2" a="1"/>
  <c r="DL230" i="2" s="1"/>
  <c r="DL231" i="2" s="1"/>
  <c r="DU228" i="2" a="1"/>
  <c r="DU228" i="2" s="1"/>
  <c r="DU229" i="2" s="1"/>
  <c r="DQ228" i="2" a="1"/>
  <c r="DQ228" i="2" s="1"/>
  <c r="DQ229" i="2" s="1"/>
  <c r="DM228" i="2" a="1"/>
  <c r="DM228" i="2" s="1"/>
  <c r="DM229" i="2" s="1"/>
  <c r="DG228" i="2" a="1"/>
  <c r="DG228" i="2" s="1"/>
  <c r="ED226" i="2" a="1"/>
  <c r="ED226" i="2" s="1"/>
  <c r="ED227" i="2" s="1"/>
  <c r="DR226" i="2" a="1"/>
  <c r="DR226" i="2" s="1"/>
  <c r="DR227" i="2" s="1"/>
  <c r="DN226" i="2" a="1"/>
  <c r="DN226" i="2" s="1"/>
  <c r="DN227" i="2" s="1"/>
  <c r="DJ226" i="2" a="1"/>
  <c r="DJ226" i="2" s="1"/>
  <c r="DJ227" i="2" s="1"/>
  <c r="EE224" i="2" a="1"/>
  <c r="EE224" i="2" s="1"/>
  <c r="EE225" i="2" s="1"/>
  <c r="EA224" i="2" a="1"/>
  <c r="EA224" i="2" s="1"/>
  <c r="EA225" i="2" s="1"/>
  <c r="DO224" i="2" a="1"/>
  <c r="DO224" i="2" s="1"/>
  <c r="DO225" i="2" s="1"/>
  <c r="EF236" i="2" a="1"/>
  <c r="EF236" i="2" s="1"/>
  <c r="EF237" i="2" s="1"/>
  <c r="DX236" i="2" a="1"/>
  <c r="DX236" i="2" s="1"/>
  <c r="DX237" i="2" s="1"/>
  <c r="DP236" i="2" a="1"/>
  <c r="DP236" i="2" s="1"/>
  <c r="DP237" i="2" s="1"/>
  <c r="DL236" i="2" a="1"/>
  <c r="DL236" i="2" s="1"/>
  <c r="DL237" i="2" s="1"/>
  <c r="DU234" i="2" a="1"/>
  <c r="DU234" i="2" s="1"/>
  <c r="DU235" i="2" s="1"/>
  <c r="DQ234" i="2" a="1"/>
  <c r="DQ234" i="2" s="1"/>
  <c r="DQ235" i="2" s="1"/>
  <c r="DM234" i="2" a="1"/>
  <c r="DM234" i="2" s="1"/>
  <c r="DM235" i="2" s="1"/>
  <c r="DG234" i="2" a="1"/>
  <c r="DG234" i="2" s="1"/>
  <c r="ED232" i="2" a="1"/>
  <c r="ED232" i="2" s="1"/>
  <c r="ED233" i="2" s="1"/>
  <c r="DR232" i="2" a="1"/>
  <c r="DR232" i="2" s="1"/>
  <c r="DR233" i="2" s="1"/>
  <c r="DN232" i="2" a="1"/>
  <c r="DN232" i="2" s="1"/>
  <c r="DN233" i="2" s="1"/>
  <c r="DJ232" i="2" a="1"/>
  <c r="DJ232" i="2" s="1"/>
  <c r="DJ233" i="2" s="1"/>
  <c r="EE230" i="2" a="1"/>
  <c r="EE230" i="2" s="1"/>
  <c r="EE231" i="2" s="1"/>
  <c r="EA230" i="2" a="1"/>
  <c r="EA230" i="2" s="1"/>
  <c r="EA231" i="2" s="1"/>
  <c r="DO230" i="2" a="1"/>
  <c r="DO230" i="2" s="1"/>
  <c r="DO231" i="2" s="1"/>
  <c r="EF228" i="2" a="1"/>
  <c r="EF228" i="2" s="1"/>
  <c r="EF229" i="2" s="1"/>
  <c r="DX228" i="2" a="1"/>
  <c r="DX228" i="2" s="1"/>
  <c r="DX229" i="2" s="1"/>
  <c r="DP228" i="2" a="1"/>
  <c r="DP228" i="2" s="1"/>
  <c r="DP229" i="2" s="1"/>
  <c r="DL228" i="2" a="1"/>
  <c r="DL228" i="2" s="1"/>
  <c r="DL229" i="2" s="1"/>
  <c r="DU226" i="2" a="1"/>
  <c r="DU226" i="2" s="1"/>
  <c r="DU227" i="2" s="1"/>
  <c r="DI227" i="2" s="1"/>
  <c r="DQ226" i="2" a="1"/>
  <c r="DQ226" i="2" s="1"/>
  <c r="DQ227" i="2" s="1"/>
  <c r="DM226" i="2" a="1"/>
  <c r="DM226" i="2" s="1"/>
  <c r="DM227" i="2" s="1"/>
  <c r="DG226" i="2" a="1"/>
  <c r="DG226" i="2" s="1"/>
  <c r="ED224" i="2" a="1"/>
  <c r="ED224" i="2" s="1"/>
  <c r="ED225" i="2" s="1"/>
  <c r="DR224" i="2" a="1"/>
  <c r="DR224" i="2" s="1"/>
  <c r="DR225" i="2" s="1"/>
  <c r="DN224" i="2" a="1"/>
  <c r="DN224" i="2" s="1"/>
  <c r="DN225" i="2" s="1"/>
  <c r="DJ224" i="2" a="1"/>
  <c r="DJ224" i="2" s="1"/>
  <c r="DJ225" i="2" s="1"/>
  <c r="DG224" i="2" a="1"/>
  <c r="DG224" i="2" s="1"/>
  <c r="EE222" i="2" a="1"/>
  <c r="EE222" i="2" s="1"/>
  <c r="EE223" i="2" s="1"/>
  <c r="EA222" i="2" a="1"/>
  <c r="EA222" i="2" s="1"/>
  <c r="EA223" i="2" s="1"/>
  <c r="DO222" i="2" a="1"/>
  <c r="DO222" i="2" s="1"/>
  <c r="DO223" i="2" s="1"/>
  <c r="EF220" i="2" a="1"/>
  <c r="EF220" i="2" s="1"/>
  <c r="EF221" i="2" s="1"/>
  <c r="DX220" i="2" a="1"/>
  <c r="DX220" i="2" s="1"/>
  <c r="DX221" i="2" s="1"/>
  <c r="DP220" i="2" a="1"/>
  <c r="DP220" i="2" s="1"/>
  <c r="DP221" i="2" s="1"/>
  <c r="DL220" i="2" a="1"/>
  <c r="DL220" i="2" s="1"/>
  <c r="DL221" i="2" s="1"/>
  <c r="DU218" i="2" a="1"/>
  <c r="DU218" i="2" s="1"/>
  <c r="DU219" i="2" s="1"/>
  <c r="DQ218" i="2" a="1"/>
  <c r="DQ218" i="2" s="1"/>
  <c r="DQ219" i="2" s="1"/>
  <c r="DM218" i="2" a="1"/>
  <c r="DM218" i="2" s="1"/>
  <c r="DM219" i="2" s="1"/>
  <c r="DG218" i="2" a="1"/>
  <c r="DG218" i="2" s="1"/>
  <c r="ED216" i="2" a="1"/>
  <c r="ED216" i="2" s="1"/>
  <c r="ED217" i="2" s="1"/>
  <c r="DR216" i="2" a="1"/>
  <c r="DR216" i="2" s="1"/>
  <c r="DR217" i="2" s="1"/>
  <c r="DN216" i="2" a="1"/>
  <c r="DN216" i="2" s="1"/>
  <c r="DN217" i="2" s="1"/>
  <c r="DJ216" i="2" a="1"/>
  <c r="DJ216" i="2" s="1"/>
  <c r="DJ217" i="2" s="1"/>
  <c r="EE214" i="2" a="1"/>
  <c r="EE214" i="2" s="1"/>
  <c r="EE215" i="2" s="1"/>
  <c r="EA214" i="2" a="1"/>
  <c r="EA214" i="2" s="1"/>
  <c r="EA215" i="2" s="1"/>
  <c r="DO214" i="2" a="1"/>
  <c r="DO214" i="2" s="1"/>
  <c r="DO215" i="2" s="1"/>
  <c r="EF212" i="2" a="1"/>
  <c r="EF212" i="2" s="1"/>
  <c r="EF213" i="2" s="1"/>
  <c r="DX212" i="2" a="1"/>
  <c r="DX212" i="2" s="1"/>
  <c r="DX213" i="2" s="1"/>
  <c r="DP212" i="2" a="1"/>
  <c r="DP212" i="2" s="1"/>
  <c r="DP213" i="2" s="1"/>
  <c r="DL212" i="2" a="1"/>
  <c r="DL212" i="2" s="1"/>
  <c r="DL213" i="2" s="1"/>
  <c r="DQ224" i="2" a="1"/>
  <c r="DQ224" i="2" s="1"/>
  <c r="DQ225" i="2" s="1"/>
  <c r="DP224" i="2" a="1"/>
  <c r="DP224" i="2" s="1"/>
  <c r="DP225" i="2" s="1"/>
  <c r="ED222" i="2" a="1"/>
  <c r="ED222" i="2" s="1"/>
  <c r="ED223" i="2" s="1"/>
  <c r="DR222" i="2" a="1"/>
  <c r="DR222" i="2" s="1"/>
  <c r="DR223" i="2" s="1"/>
  <c r="DN222" i="2" a="1"/>
  <c r="DN222" i="2" s="1"/>
  <c r="DN223" i="2" s="1"/>
  <c r="DJ222" i="2" a="1"/>
  <c r="DJ222" i="2" s="1"/>
  <c r="DJ223" i="2" s="1"/>
  <c r="EE220" i="2" a="1"/>
  <c r="EE220" i="2" s="1"/>
  <c r="EE221" i="2" s="1"/>
  <c r="EA220" i="2" a="1"/>
  <c r="EA220" i="2" s="1"/>
  <c r="EA221" i="2" s="1"/>
  <c r="DO220" i="2" a="1"/>
  <c r="DO220" i="2" s="1"/>
  <c r="DO221" i="2" s="1"/>
  <c r="EF218" i="2" a="1"/>
  <c r="EF218" i="2" s="1"/>
  <c r="EF219" i="2" s="1"/>
  <c r="DX218" i="2" a="1"/>
  <c r="DX218" i="2" s="1"/>
  <c r="DX219" i="2" s="1"/>
  <c r="DP218" i="2" a="1"/>
  <c r="DP218" i="2" s="1"/>
  <c r="DP219" i="2" s="1"/>
  <c r="DL218" i="2" a="1"/>
  <c r="DL218" i="2" s="1"/>
  <c r="DL219" i="2" s="1"/>
  <c r="DU216" i="2" a="1"/>
  <c r="DU216" i="2" s="1"/>
  <c r="DU217" i="2" s="1"/>
  <c r="DQ216" i="2" a="1"/>
  <c r="DQ216" i="2" s="1"/>
  <c r="DQ217" i="2" s="1"/>
  <c r="DM216" i="2" a="1"/>
  <c r="DM216" i="2" s="1"/>
  <c r="DM217" i="2" s="1"/>
  <c r="DG216" i="2" a="1"/>
  <c r="DG216" i="2" s="1"/>
  <c r="ED214" i="2" a="1"/>
  <c r="ED214" i="2" s="1"/>
  <c r="ED215" i="2" s="1"/>
  <c r="DR214" i="2" a="1"/>
  <c r="DR214" i="2" s="1"/>
  <c r="DR215" i="2" s="1"/>
  <c r="DN214" i="2" a="1"/>
  <c r="DN214" i="2" s="1"/>
  <c r="DN215" i="2" s="1"/>
  <c r="DJ214" i="2" a="1"/>
  <c r="DJ214" i="2" s="1"/>
  <c r="DJ215" i="2" s="1"/>
  <c r="EE212" i="2" a="1"/>
  <c r="EE212" i="2" s="1"/>
  <c r="EE213" i="2" s="1"/>
  <c r="EA212" i="2" a="1"/>
  <c r="EA212" i="2" s="1"/>
  <c r="EA213" i="2" s="1"/>
  <c r="DO212" i="2" a="1"/>
  <c r="DO212" i="2" s="1"/>
  <c r="DO213" i="2" s="1"/>
  <c r="DX224" i="2" a="1"/>
  <c r="DX224" i="2" s="1"/>
  <c r="DX225" i="2" s="1"/>
  <c r="DM224" i="2" a="1"/>
  <c r="DM224" i="2" s="1"/>
  <c r="DM225" i="2" s="1"/>
  <c r="DU222" i="2" a="1"/>
  <c r="DU222" i="2" s="1"/>
  <c r="DU223" i="2" s="1"/>
  <c r="DQ222" i="2" a="1"/>
  <c r="DQ222" i="2" s="1"/>
  <c r="DQ223" i="2" s="1"/>
  <c r="DM222" i="2" a="1"/>
  <c r="DM222" i="2" s="1"/>
  <c r="DM223" i="2" s="1"/>
  <c r="DG222" i="2" a="1"/>
  <c r="DG222" i="2" s="1"/>
  <c r="ED220" i="2" a="1"/>
  <c r="ED220" i="2" s="1"/>
  <c r="ED221" i="2" s="1"/>
  <c r="DR220" i="2" a="1"/>
  <c r="DR220" i="2" s="1"/>
  <c r="DR221" i="2" s="1"/>
  <c r="DN220" i="2" a="1"/>
  <c r="DN220" i="2" s="1"/>
  <c r="DN221" i="2" s="1"/>
  <c r="DJ220" i="2" a="1"/>
  <c r="DJ220" i="2" s="1"/>
  <c r="DJ221" i="2" s="1"/>
  <c r="EE218" i="2" a="1"/>
  <c r="EE218" i="2" s="1"/>
  <c r="EE219" i="2" s="1"/>
  <c r="EA218" i="2" a="1"/>
  <c r="EA218" i="2" s="1"/>
  <c r="EA219" i="2" s="1"/>
  <c r="DO218" i="2" a="1"/>
  <c r="DO218" i="2" s="1"/>
  <c r="DO219" i="2" s="1"/>
  <c r="EF216" i="2" a="1"/>
  <c r="EF216" i="2" s="1"/>
  <c r="EF217" i="2" s="1"/>
  <c r="DX216" i="2" a="1"/>
  <c r="DX216" i="2" s="1"/>
  <c r="DX217" i="2" s="1"/>
  <c r="DP216" i="2" a="1"/>
  <c r="DP216" i="2" s="1"/>
  <c r="DP217" i="2" s="1"/>
  <c r="DL216" i="2" a="1"/>
  <c r="DL216" i="2" s="1"/>
  <c r="DL217" i="2" s="1"/>
  <c r="DU214" i="2" a="1"/>
  <c r="DU214" i="2" s="1"/>
  <c r="DU215" i="2" s="1"/>
  <c r="DQ214" i="2" a="1"/>
  <c r="DQ214" i="2" s="1"/>
  <c r="DQ215" i="2" s="1"/>
  <c r="DM214" i="2" a="1"/>
  <c r="DM214" i="2" s="1"/>
  <c r="DM215" i="2" s="1"/>
  <c r="DG214" i="2" a="1"/>
  <c r="DG214" i="2" s="1"/>
  <c r="ED212" i="2" a="1"/>
  <c r="ED212" i="2" s="1"/>
  <c r="ED213" i="2" s="1"/>
  <c r="DR212" i="2" a="1"/>
  <c r="DR212" i="2" s="1"/>
  <c r="DR213" i="2" s="1"/>
  <c r="DN212" i="2" a="1"/>
  <c r="DN212" i="2" s="1"/>
  <c r="DN213" i="2" s="1"/>
  <c r="DJ212" i="2" a="1"/>
  <c r="DJ212" i="2" s="1"/>
  <c r="DJ213" i="2" s="1"/>
  <c r="DL224" i="2" a="1"/>
  <c r="DL224" i="2" s="1"/>
  <c r="DL225" i="2" s="1"/>
  <c r="DU224" i="2" a="1"/>
  <c r="DU224" i="2" s="1"/>
  <c r="DU225" i="2" s="1"/>
  <c r="DL222" i="2" a="1"/>
  <c r="DL222" i="2" s="1"/>
  <c r="DL223" i="2" s="1"/>
  <c r="DQ220" i="2" a="1"/>
  <c r="DQ220" i="2" s="1"/>
  <c r="DQ221" i="2" s="1"/>
  <c r="DL214" i="2" a="1"/>
  <c r="DL214" i="2" s="1"/>
  <c r="DL215" i="2" s="1"/>
  <c r="DQ212" i="2" a="1"/>
  <c r="DQ212" i="2" s="1"/>
  <c r="DQ213" i="2" s="1"/>
  <c r="DM220" i="2" a="1"/>
  <c r="DM220" i="2" s="1"/>
  <c r="DM221" i="2" s="1"/>
  <c r="EE216" i="2" a="1"/>
  <c r="EE216" i="2" s="1"/>
  <c r="EE217" i="2" s="1"/>
  <c r="DM212" i="2" a="1"/>
  <c r="DM212" i="2" s="1"/>
  <c r="DM213" i="2" s="1"/>
  <c r="DG220" i="2" a="1"/>
  <c r="DG220" i="2" s="1"/>
  <c r="DR218" i="2" a="1"/>
  <c r="DR218" i="2" s="1"/>
  <c r="DR219" i="2" s="1"/>
  <c r="EA216" i="2" a="1"/>
  <c r="EA216" i="2" s="1"/>
  <c r="EA217" i="2" s="1"/>
  <c r="DG212" i="2" a="1"/>
  <c r="DG212" i="2" s="1"/>
  <c r="EF222" i="2" a="1"/>
  <c r="EF222" i="2" s="1"/>
  <c r="EF223" i="2" s="1"/>
  <c r="DN218" i="2" a="1"/>
  <c r="DN218" i="2" s="1"/>
  <c r="DN219" i="2" s="1"/>
  <c r="EF214" i="2" a="1"/>
  <c r="EF214" i="2" s="1"/>
  <c r="EF215" i="2" s="1"/>
  <c r="DJ218" i="2" a="1"/>
  <c r="DJ218" i="2" s="1"/>
  <c r="DJ219" i="2" s="1"/>
  <c r="DX222" i="2" a="1"/>
  <c r="DX222" i="2" s="1"/>
  <c r="DX223" i="2" s="1"/>
  <c r="DO216" i="2" a="1"/>
  <c r="DO216" i="2" s="1"/>
  <c r="DO217" i="2" s="1"/>
  <c r="DX214" i="2" a="1"/>
  <c r="DX214" i="2" s="1"/>
  <c r="DX215" i="2" s="1"/>
  <c r="DP222" i="2" a="1"/>
  <c r="DP222" i="2" s="1"/>
  <c r="DP223" i="2" s="1"/>
  <c r="ED218" i="2" a="1"/>
  <c r="ED218" i="2" s="1"/>
  <c r="ED219" i="2" s="1"/>
  <c r="DP214" i="2" a="1"/>
  <c r="DP214" i="2" s="1"/>
  <c r="DP215" i="2" s="1"/>
  <c r="DU220" i="2" a="1"/>
  <c r="DU220" i="2" s="1"/>
  <c r="DU221" i="2" s="1"/>
  <c r="DI221" i="2" s="1"/>
  <c r="DU212" i="2" a="1"/>
  <c r="DU212" i="2" s="1"/>
  <c r="DU213" i="2" s="1"/>
  <c r="FC354" i="2" a="1"/>
  <c r="FC354" i="2" s="1"/>
  <c r="FE352" i="2" a="1"/>
  <c r="FE352" i="2" s="1"/>
  <c r="EW352" i="2" a="1"/>
  <c r="EW352" i="2" s="1"/>
  <c r="FF348" i="2" a="1"/>
  <c r="FF348" i="2" s="1"/>
  <c r="FB348" i="2" a="1"/>
  <c r="FB348" i="2" s="1"/>
  <c r="FC346" i="2" a="1"/>
  <c r="FC346" i="2" s="1"/>
  <c r="EY346" i="2" a="1"/>
  <c r="EY346" i="2" s="1"/>
  <c r="EZ344" i="2" a="1"/>
  <c r="EZ344" i="2" s="1"/>
  <c r="EV344" i="2" a="1"/>
  <c r="EV344" i="2" s="1"/>
  <c r="EN344" i="2" a="1"/>
  <c r="EN344" i="2" s="1"/>
  <c r="EZ356" i="2" a="1"/>
  <c r="EZ356" i="2" s="1"/>
  <c r="FB354" i="2" a="1"/>
  <c r="FB354" i="2" s="1"/>
  <c r="EV352" i="2" a="1"/>
  <c r="EV352" i="2" s="1"/>
  <c r="EN352" i="2" a="1"/>
  <c r="EN352" i="2" s="1"/>
  <c r="FC350" i="2" a="1"/>
  <c r="FC350" i="2" s="1"/>
  <c r="EW350" i="2" a="1"/>
  <c r="EW350" i="2" s="1"/>
  <c r="EY356" i="2" a="1"/>
  <c r="EY356" i="2" s="1"/>
  <c r="FC352" i="2" a="1"/>
  <c r="FC352" i="2" s="1"/>
  <c r="EV350" i="2" a="1"/>
  <c r="EV350" i="2" s="1"/>
  <c r="FE348" i="2" a="1"/>
  <c r="FE348" i="2" s="1"/>
  <c r="EW348" i="2" a="1"/>
  <c r="EW348" i="2" s="1"/>
  <c r="FF346" i="2" a="1"/>
  <c r="FF346" i="2" s="1"/>
  <c r="FB346" i="2" a="1"/>
  <c r="FB346" i="2" s="1"/>
  <c r="FF356" i="2" a="1"/>
  <c r="FF356" i="2" s="1"/>
  <c r="EZ354" i="2" a="1"/>
  <c r="EZ354" i="2" s="1"/>
  <c r="FB352" i="2" a="1"/>
  <c r="FB352" i="2" s="1"/>
  <c r="FB350" i="2" a="1"/>
  <c r="FB350" i="2" s="1"/>
  <c r="FE356" i="2" a="1"/>
  <c r="FE356" i="2" s="1"/>
  <c r="EW356" i="2" a="1"/>
  <c r="EW356" i="2" s="1"/>
  <c r="EY354" i="2" a="1"/>
  <c r="EY354" i="2" s="1"/>
  <c r="EN350" i="2" a="1"/>
  <c r="EN350" i="2" s="1"/>
  <c r="EZ348" i="2" a="1"/>
  <c r="EZ348" i="2" s="1"/>
  <c r="EV348" i="2" a="1"/>
  <c r="EV348" i="2" s="1"/>
  <c r="EN348" i="2" a="1"/>
  <c r="EN348" i="2" s="1"/>
  <c r="FE346" i="2" a="1"/>
  <c r="FE346" i="2" s="1"/>
  <c r="EW346" i="2" a="1"/>
  <c r="EW346" i="2" s="1"/>
  <c r="EV356" i="2" a="1"/>
  <c r="EV356" i="2" s="1"/>
  <c r="EN356" i="2" a="1"/>
  <c r="EN356" i="2" s="1"/>
  <c r="FF354" i="2" a="1"/>
  <c r="FF354" i="2" s="1"/>
  <c r="EZ352" i="2" a="1"/>
  <c r="EZ352" i="2" s="1"/>
  <c r="EZ350" i="2" a="1"/>
  <c r="EZ350" i="2" s="1"/>
  <c r="FE354" i="2" a="1"/>
  <c r="FE354" i="2" s="1"/>
  <c r="EY350" i="2" a="1"/>
  <c r="EY350" i="2" s="1"/>
  <c r="EV346" i="2" a="1"/>
  <c r="EV346" i="2" s="1"/>
  <c r="FE344" i="2" a="1"/>
  <c r="FE344" i="2" s="1"/>
  <c r="FF342" i="2" a="1"/>
  <c r="FF342" i="2" s="1"/>
  <c r="FB342" i="2" a="1"/>
  <c r="FB342" i="2" s="1"/>
  <c r="FC340" i="2" a="1"/>
  <c r="FC340" i="2" s="1"/>
  <c r="EY340" i="2" a="1"/>
  <c r="EY340" i="2" s="1"/>
  <c r="EZ338" i="2" a="1"/>
  <c r="EZ338" i="2" s="1"/>
  <c r="EV338" i="2" a="1"/>
  <c r="EV338" i="2" s="1"/>
  <c r="EN338" i="2" a="1"/>
  <c r="EN338" i="2" s="1"/>
  <c r="FE336" i="2" a="1"/>
  <c r="FE336" i="2" s="1"/>
  <c r="EW354" i="2" a="1"/>
  <c r="EW354" i="2" s="1"/>
  <c r="FC348" i="2" a="1"/>
  <c r="FC348" i="2" s="1"/>
  <c r="FC344" i="2" a="1"/>
  <c r="FC344" i="2" s="1"/>
  <c r="EW344" i="2" a="1"/>
  <c r="EW344" i="2" s="1"/>
  <c r="EV354" i="2" a="1"/>
  <c r="EV354" i="2" s="1"/>
  <c r="FF352" i="2" a="1"/>
  <c r="FF352" i="2" s="1"/>
  <c r="FB344" i="2" a="1"/>
  <c r="FB344" i="2" s="1"/>
  <c r="FE342" i="2" a="1"/>
  <c r="FE342" i="2" s="1"/>
  <c r="EW342" i="2" a="1"/>
  <c r="EW342" i="2" s="1"/>
  <c r="FF340" i="2" a="1"/>
  <c r="FF340" i="2" s="1"/>
  <c r="FB340" i="2" a="1"/>
  <c r="FB340" i="2" s="1"/>
  <c r="FC338" i="2" a="1"/>
  <c r="FC338" i="2" s="1"/>
  <c r="EY338" i="2" a="1"/>
  <c r="EY338" i="2" s="1"/>
  <c r="EZ336" i="2" a="1"/>
  <c r="EZ336" i="2" s="1"/>
  <c r="EY352" i="2" a="1"/>
  <c r="EY352" i="2" s="1"/>
  <c r="EY348" i="2" a="1"/>
  <c r="EY348" i="2" s="1"/>
  <c r="EN354" i="2" a="1"/>
  <c r="EN354" i="2" s="1"/>
  <c r="EN346" i="2" a="1"/>
  <c r="EN346" i="2" s="1"/>
  <c r="EZ342" i="2" a="1"/>
  <c r="EZ342" i="2" s="1"/>
  <c r="EV342" i="2" a="1"/>
  <c r="EV342" i="2" s="1"/>
  <c r="EN342" i="2" a="1"/>
  <c r="EN342" i="2" s="1"/>
  <c r="FE340" i="2" a="1"/>
  <c r="FE340" i="2" s="1"/>
  <c r="EW340" i="2" a="1"/>
  <c r="EW340" i="2" s="1"/>
  <c r="FF338" i="2" a="1"/>
  <c r="FF338" i="2" s="1"/>
  <c r="FB338" i="2" a="1"/>
  <c r="FB338" i="2" s="1"/>
  <c r="FC356" i="2" a="1"/>
  <c r="FC356" i="2" s="1"/>
  <c r="FF350" i="2" a="1"/>
  <c r="FF350" i="2" s="1"/>
  <c r="EZ346" i="2" a="1"/>
  <c r="EZ346" i="2" s="1"/>
  <c r="FF344" i="2" a="1"/>
  <c r="FF344" i="2" s="1"/>
  <c r="FB356" i="2" a="1"/>
  <c r="FB356" i="2" s="1"/>
  <c r="FE350" i="2" a="1"/>
  <c r="FE350" i="2" s="1"/>
  <c r="EY344" i="2" a="1"/>
  <c r="EY344" i="2" s="1"/>
  <c r="FC342" i="2" a="1"/>
  <c r="FC342" i="2" s="1"/>
  <c r="EY342" i="2" a="1"/>
  <c r="EY342" i="2" s="1"/>
  <c r="EZ340" i="2" a="1"/>
  <c r="EZ340" i="2" s="1"/>
  <c r="EV340" i="2" a="1"/>
  <c r="EV340" i="2" s="1"/>
  <c r="EN340" i="2" a="1"/>
  <c r="EN340" i="2" s="1"/>
  <c r="FE338" i="2" a="1"/>
  <c r="FE338" i="2" s="1"/>
  <c r="EY336" i="2" a="1"/>
  <c r="EY336" i="2" s="1"/>
  <c r="EZ334" i="2" a="1"/>
  <c r="EZ334" i="2" s="1"/>
  <c r="EV334" i="2" a="1"/>
  <c r="EV334" i="2" s="1"/>
  <c r="EN334" i="2" a="1"/>
  <c r="EN334" i="2" s="1"/>
  <c r="FE332" i="2" a="1"/>
  <c r="FE332" i="2" s="1"/>
  <c r="EW332" i="2" a="1"/>
  <c r="EW332" i="2" s="1"/>
  <c r="EZ326" i="2" a="1"/>
  <c r="EZ326" i="2" s="1"/>
  <c r="EV326" i="2" a="1"/>
  <c r="EV326" i="2" s="1"/>
  <c r="EN326" i="2" a="1"/>
  <c r="EN326" i="2" s="1"/>
  <c r="FE324" i="2" a="1"/>
  <c r="FE324" i="2" s="1"/>
  <c r="FC336" i="2" a="1"/>
  <c r="FC336" i="2" s="1"/>
  <c r="FC334" i="2" a="1"/>
  <c r="FC334" i="2" s="1"/>
  <c r="EY334" i="2" a="1"/>
  <c r="EY334" i="2" s="1"/>
  <c r="EZ332" i="2" a="1"/>
  <c r="EZ332" i="2" s="1"/>
  <c r="EV332" i="2" a="1"/>
  <c r="EV332" i="2" s="1"/>
  <c r="EN332" i="2" a="1"/>
  <c r="EN332" i="2" s="1"/>
  <c r="FC326" i="2" a="1"/>
  <c r="FC326" i="2" s="1"/>
  <c r="EY326" i="2" a="1"/>
  <c r="EY326" i="2" s="1"/>
  <c r="FB336" i="2" a="1"/>
  <c r="FB336" i="2" s="1"/>
  <c r="EW336" i="2" a="1"/>
  <c r="EW336" i="2" s="1"/>
  <c r="FF334" i="2" a="1"/>
  <c r="FF334" i="2" s="1"/>
  <c r="FB334" i="2" a="1"/>
  <c r="FB334" i="2" s="1"/>
  <c r="FC332" i="2" a="1"/>
  <c r="FC332" i="2" s="1"/>
  <c r="EY332" i="2" a="1"/>
  <c r="EY332" i="2" s="1"/>
  <c r="FF326" i="2" a="1"/>
  <c r="FF326" i="2" s="1"/>
  <c r="FB326" i="2" a="1"/>
  <c r="FB326" i="2" s="1"/>
  <c r="EW338" i="2" a="1"/>
  <c r="EW338" i="2" s="1"/>
  <c r="EZ324" i="2" a="1"/>
  <c r="EZ324" i="2" s="1"/>
  <c r="EV324" i="2" a="1"/>
  <c r="EV324" i="2" s="1"/>
  <c r="EN324" i="2" a="1"/>
  <c r="EN324" i="2" s="1"/>
  <c r="FE322" i="2" a="1"/>
  <c r="FE322" i="2" s="1"/>
  <c r="EW322" i="2" a="1"/>
  <c r="EW322" i="2" s="1"/>
  <c r="FF320" i="2" a="1"/>
  <c r="FF320" i="2" s="1"/>
  <c r="FB320" i="2" a="1"/>
  <c r="FB320" i="2" s="1"/>
  <c r="FC318" i="2" a="1"/>
  <c r="FC318" i="2" s="1"/>
  <c r="EY318" i="2" a="1"/>
  <c r="EY318" i="2" s="1"/>
  <c r="EZ316" i="2" a="1"/>
  <c r="EZ316" i="2" s="1"/>
  <c r="EV316" i="2" a="1"/>
  <c r="EV316" i="2" s="1"/>
  <c r="EN316" i="2" a="1"/>
  <c r="EN316" i="2" s="1"/>
  <c r="FC324" i="2" a="1"/>
  <c r="FC324" i="2" s="1"/>
  <c r="EY324" i="2" a="1"/>
  <c r="EY324" i="2" s="1"/>
  <c r="EZ322" i="2" a="1"/>
  <c r="EZ322" i="2" s="1"/>
  <c r="EV322" i="2" a="1"/>
  <c r="EV322" i="2" s="1"/>
  <c r="EN322" i="2" a="1"/>
  <c r="EN322" i="2" s="1"/>
  <c r="FE320" i="2" a="1"/>
  <c r="FE320" i="2" s="1"/>
  <c r="EW320" i="2" a="1"/>
  <c r="EW320" i="2" s="1"/>
  <c r="FF318" i="2" a="1"/>
  <c r="FF318" i="2" s="1"/>
  <c r="FB318" i="2" a="1"/>
  <c r="FB318" i="2" s="1"/>
  <c r="FC316" i="2" a="1"/>
  <c r="FC316" i="2" s="1"/>
  <c r="EY316" i="2" a="1"/>
  <c r="EY316" i="2" s="1"/>
  <c r="FF336" i="2" a="1"/>
  <c r="FF336" i="2" s="1"/>
  <c r="FE326" i="2" a="1"/>
  <c r="FE326" i="2" s="1"/>
  <c r="FB324" i="2" a="1"/>
  <c r="FB324" i="2" s="1"/>
  <c r="FC322" i="2" a="1"/>
  <c r="FC322" i="2" s="1"/>
  <c r="EY322" i="2" a="1"/>
  <c r="EY322" i="2" s="1"/>
  <c r="EZ320" i="2" a="1"/>
  <c r="EZ320" i="2" s="1"/>
  <c r="EV320" i="2" a="1"/>
  <c r="EV320" i="2" s="1"/>
  <c r="EN320" i="2" a="1"/>
  <c r="EN320" i="2" s="1"/>
  <c r="FE318" i="2" a="1"/>
  <c r="FE318" i="2" s="1"/>
  <c r="EW318" i="2" a="1"/>
  <c r="EW318" i="2" s="1"/>
  <c r="FF316" i="2" a="1"/>
  <c r="FF316" i="2" s="1"/>
  <c r="FB316" i="2" a="1"/>
  <c r="FB316" i="2" s="1"/>
  <c r="FC314" i="2" a="1"/>
  <c r="FC314" i="2" s="1"/>
  <c r="EV336" i="2" a="1"/>
  <c r="EV336" i="2" s="1"/>
  <c r="FE334" i="2" a="1"/>
  <c r="FE334" i="2" s="1"/>
  <c r="EW326" i="2" a="1"/>
  <c r="EW326" i="2" s="1"/>
  <c r="FF332" i="2" a="1"/>
  <c r="FF332" i="2" s="1"/>
  <c r="FF324" i="2" a="1"/>
  <c r="FF324" i="2" s="1"/>
  <c r="EW324" i="2" a="1"/>
  <c r="EW324" i="2" s="1"/>
  <c r="FF322" i="2" a="1"/>
  <c r="FF322" i="2" s="1"/>
  <c r="FB322" i="2" a="1"/>
  <c r="FB322" i="2" s="1"/>
  <c r="FC320" i="2" a="1"/>
  <c r="FC320" i="2" s="1"/>
  <c r="EY320" i="2" a="1"/>
  <c r="EY320" i="2" s="1"/>
  <c r="EZ318" i="2" a="1"/>
  <c r="EZ318" i="2" s="1"/>
  <c r="EV318" i="2" a="1"/>
  <c r="EV318" i="2" s="1"/>
  <c r="EN318" i="2" a="1"/>
  <c r="EN318" i="2" s="1"/>
  <c r="FE316" i="2" a="1"/>
  <c r="FE316" i="2" s="1"/>
  <c r="EW316" i="2" a="1"/>
  <c r="EW316" i="2" s="1"/>
  <c r="EN336" i="2" a="1"/>
  <c r="EN336" i="2" s="1"/>
  <c r="EW334" i="2" a="1"/>
  <c r="EW334" i="2" s="1"/>
  <c r="FB332" i="2" a="1"/>
  <c r="FB332" i="2" s="1"/>
  <c r="FF314" i="2" a="1"/>
  <c r="FF314" i="2" s="1"/>
  <c r="EZ314" i="2" a="1"/>
  <c r="EZ314" i="2" s="1"/>
  <c r="EV314" i="2" a="1"/>
  <c r="EV314" i="2" s="1"/>
  <c r="EN314" i="2" a="1"/>
  <c r="EN314" i="2" s="1"/>
  <c r="FE312" i="2" a="1"/>
  <c r="FE312" i="2" s="1"/>
  <c r="EW312" i="2" a="1"/>
  <c r="EW312" i="2" s="1"/>
  <c r="FF310" i="2" a="1"/>
  <c r="FF310" i="2" s="1"/>
  <c r="FB310" i="2" a="1"/>
  <c r="FB310" i="2" s="1"/>
  <c r="FC308" i="2" a="1"/>
  <c r="FC308" i="2" s="1"/>
  <c r="EY308" i="2" a="1"/>
  <c r="EY308" i="2" s="1"/>
  <c r="FB312" i="2" a="1"/>
  <c r="FB312" i="2" s="1"/>
  <c r="FE308" i="2" a="1"/>
  <c r="FE308" i="2" s="1"/>
  <c r="EZ308" i="2" a="1"/>
  <c r="EZ308" i="2" s="1"/>
  <c r="FF306" i="2" a="1"/>
  <c r="FF306" i="2" s="1"/>
  <c r="FB314" i="2" a="1"/>
  <c r="FB314" i="2" s="1"/>
  <c r="EV312" i="2" a="1"/>
  <c r="EV312" i="2" s="1"/>
  <c r="FC310" i="2" a="1"/>
  <c r="FC310" i="2" s="1"/>
  <c r="EW306" i="2" a="1"/>
  <c r="EW306" i="2" s="1"/>
  <c r="FF304" i="2" a="1"/>
  <c r="FF304" i="2" s="1"/>
  <c r="FB304" i="2" a="1"/>
  <c r="FB304" i="2" s="1"/>
  <c r="FC302" i="2" a="1"/>
  <c r="FC302" i="2" s="1"/>
  <c r="EY302" i="2" a="1"/>
  <c r="EY302" i="2" s="1"/>
  <c r="FF296" i="2" a="1"/>
  <c r="FF296" i="2" s="1"/>
  <c r="FB296" i="2" a="1"/>
  <c r="FB296" i="2" s="1"/>
  <c r="FC294" i="2" a="1"/>
  <c r="FC294" i="2" s="1"/>
  <c r="EY294" i="2" a="1"/>
  <c r="EY294" i="2" s="1"/>
  <c r="EZ292" i="2" a="1"/>
  <c r="EZ292" i="2" s="1"/>
  <c r="EV292" i="2" a="1"/>
  <c r="EV292" i="2" s="1"/>
  <c r="EN292" i="2" a="1"/>
  <c r="EN292" i="2" s="1"/>
  <c r="FE290" i="2" a="1"/>
  <c r="FE290" i="2" s="1"/>
  <c r="EW290" i="2" a="1"/>
  <c r="EW290" i="2" s="1"/>
  <c r="FF312" i="2" a="1"/>
  <c r="FF312" i="2" s="1"/>
  <c r="EW310" i="2" a="1"/>
  <c r="EW310" i="2" s="1"/>
  <c r="EN308" i="2" a="1"/>
  <c r="EN308" i="2" s="1"/>
  <c r="FE306" i="2" a="1"/>
  <c r="FE306" i="2" s="1"/>
  <c r="EZ312" i="2" a="1"/>
  <c r="EZ312" i="2" s="1"/>
  <c r="EV310" i="2" a="1"/>
  <c r="EV310" i="2" s="1"/>
  <c r="EZ306" i="2" a="1"/>
  <c r="EZ306" i="2" s="1"/>
  <c r="EV306" i="2" a="1"/>
  <c r="EV306" i="2" s="1"/>
  <c r="EN306" i="2" a="1"/>
  <c r="EN306" i="2" s="1"/>
  <c r="FE304" i="2" a="1"/>
  <c r="FE304" i="2" s="1"/>
  <c r="EW304" i="2" a="1"/>
  <c r="EW304" i="2" s="1"/>
  <c r="FF302" i="2" a="1"/>
  <c r="FF302" i="2" s="1"/>
  <c r="FB302" i="2" a="1"/>
  <c r="FB302" i="2" s="1"/>
  <c r="FE296" i="2" a="1"/>
  <c r="FE296" i="2" s="1"/>
  <c r="EW296" i="2" a="1"/>
  <c r="EW296" i="2" s="1"/>
  <c r="FF294" i="2" a="1"/>
  <c r="FF294" i="2" s="1"/>
  <c r="FB294" i="2" a="1"/>
  <c r="FB294" i="2" s="1"/>
  <c r="FC292" i="2" a="1"/>
  <c r="FC292" i="2" s="1"/>
  <c r="EY292" i="2" a="1"/>
  <c r="EY292" i="2" s="1"/>
  <c r="EY312" i="2" a="1"/>
  <c r="EY312" i="2" s="1"/>
  <c r="EW308" i="2" a="1"/>
  <c r="EW308" i="2" s="1"/>
  <c r="EY314" i="2" a="1"/>
  <c r="EY314" i="2" s="1"/>
  <c r="FE314" i="2" a="1"/>
  <c r="FE314" i="2" s="1"/>
  <c r="FC312" i="2" a="1"/>
  <c r="FC312" i="2" s="1"/>
  <c r="EW314" i="2" a="1"/>
  <c r="EW314" i="2" s="1"/>
  <c r="EY310" i="2" a="1"/>
  <c r="EY310" i="2" s="1"/>
  <c r="EN310" i="2" a="1"/>
  <c r="EN310" i="2" s="1"/>
  <c r="EZ302" i="2" a="1"/>
  <c r="EZ302" i="2" s="1"/>
  <c r="EY296" i="2" a="1"/>
  <c r="EY296" i="2" s="1"/>
  <c r="EN296" i="2" a="1"/>
  <c r="EN296" i="2" s="1"/>
  <c r="FB290" i="2" a="1"/>
  <c r="FB290" i="2" s="1"/>
  <c r="EN290" i="2" a="1"/>
  <c r="EN290" i="2" s="1"/>
  <c r="FF308" i="2" a="1"/>
  <c r="FF308" i="2" s="1"/>
  <c r="FC306" i="2" a="1"/>
  <c r="FC306" i="2" s="1"/>
  <c r="EV304" i="2" a="1"/>
  <c r="EV304" i="2" s="1"/>
  <c r="EN304" i="2" a="1"/>
  <c r="EN304" i="2" s="1"/>
  <c r="FE302" i="2" a="1"/>
  <c r="FE302" i="2" s="1"/>
  <c r="EN312" i="2" a="1"/>
  <c r="EN312" i="2" s="1"/>
  <c r="FE310" i="2" a="1"/>
  <c r="FE310" i="2" s="1"/>
  <c r="FB308" i="2" a="1"/>
  <c r="FB308" i="2" s="1"/>
  <c r="FC296" i="2" a="1"/>
  <c r="FC296" i="2" s="1"/>
  <c r="EV290" i="2" a="1"/>
  <c r="EV290" i="2" s="1"/>
  <c r="EZ310" i="2" a="1"/>
  <c r="EZ310" i="2" s="1"/>
  <c r="EY306" i="2" a="1"/>
  <c r="EY306" i="2" s="1"/>
  <c r="EV296" i="2" a="1"/>
  <c r="EV296" i="2" s="1"/>
  <c r="EZ304" i="2" a="1"/>
  <c r="EZ304" i="2" s="1"/>
  <c r="EV302" i="2" a="1"/>
  <c r="EV302" i="2" s="1"/>
  <c r="EW294" i="2" a="1"/>
  <c r="EW294" i="2" s="1"/>
  <c r="EY290" i="2" a="1"/>
  <c r="EY290" i="2" s="1"/>
  <c r="EV308" i="2" a="1"/>
  <c r="EV308" i="2" s="1"/>
  <c r="EZ296" i="2" a="1"/>
  <c r="EZ296" i="2" s="1"/>
  <c r="FC290" i="2" a="1"/>
  <c r="FC290" i="2" s="1"/>
  <c r="EY304" i="2" a="1"/>
  <c r="EY304" i="2" s="1"/>
  <c r="EN302" i="2" a="1"/>
  <c r="EN302" i="2" s="1"/>
  <c r="EV294" i="2" a="1"/>
  <c r="EV294" i="2" s="1"/>
  <c r="FB292" i="2" a="1"/>
  <c r="FB292" i="2" s="1"/>
  <c r="EW292" i="2" a="1"/>
  <c r="EW292" i="2" s="1"/>
  <c r="FF288" i="2" a="1"/>
  <c r="FF288" i="2" s="1"/>
  <c r="FB288" i="2" a="1"/>
  <c r="FB288" i="2" s="1"/>
  <c r="FE294" i="2" a="1"/>
  <c r="FE294" i="2" s="1"/>
  <c r="FF290" i="2" a="1"/>
  <c r="FF290" i="2" s="1"/>
  <c r="FB286" i="2" a="1"/>
  <c r="FB286" i="2" s="1"/>
  <c r="FF284" i="2" a="1"/>
  <c r="FF284" i="2" s="1"/>
  <c r="FF282" i="2" a="1"/>
  <c r="FF282" i="2" s="1"/>
  <c r="EW282" i="2" a="1"/>
  <c r="EW282" i="2" s="1"/>
  <c r="EN282" i="2" a="1"/>
  <c r="EN282" i="2" s="1"/>
  <c r="EZ280" i="2" a="1"/>
  <c r="EZ280" i="2" s="1"/>
  <c r="EV280" i="2" a="1"/>
  <c r="EV280" i="2" s="1"/>
  <c r="EN280" i="2" a="1"/>
  <c r="EN280" i="2" s="1"/>
  <c r="FE278" i="2" a="1"/>
  <c r="FE278" i="2" s="1"/>
  <c r="EW278" i="2" a="1"/>
  <c r="EW278" i="2" s="1"/>
  <c r="FF276" i="2" a="1"/>
  <c r="FF276" i="2" s="1"/>
  <c r="FB276" i="2" a="1"/>
  <c r="FB276" i="2" s="1"/>
  <c r="FC274" i="2" a="1"/>
  <c r="FC274" i="2" s="1"/>
  <c r="EY274" i="2" a="1"/>
  <c r="EY274" i="2" s="1"/>
  <c r="EZ272" i="2" a="1"/>
  <c r="EZ272" i="2" s="1"/>
  <c r="EV272" i="2" a="1"/>
  <c r="EV272" i="2" s="1"/>
  <c r="EN272" i="2" a="1"/>
  <c r="EN272" i="2" s="1"/>
  <c r="FC266" i="2" a="1"/>
  <c r="FC266" i="2" s="1"/>
  <c r="EY266" i="2" a="1"/>
  <c r="EY266" i="2" s="1"/>
  <c r="EZ264" i="2" a="1"/>
  <c r="EZ264" i="2" s="1"/>
  <c r="EV264" i="2" a="1"/>
  <c r="EV264" i="2" s="1"/>
  <c r="EZ288" i="2" a="1"/>
  <c r="EZ288" i="2" s="1"/>
  <c r="FE284" i="2" a="1"/>
  <c r="FE284" i="2" s="1"/>
  <c r="EY284" i="2" a="1"/>
  <c r="EY284" i="2" s="1"/>
  <c r="EZ294" i="2" a="1"/>
  <c r="EZ294" i="2" s="1"/>
  <c r="FF292" i="2" a="1"/>
  <c r="FF292" i="2" s="1"/>
  <c r="EY288" i="2" a="1"/>
  <c r="EY288" i="2" s="1"/>
  <c r="EZ286" i="2" a="1"/>
  <c r="EZ286" i="2" s="1"/>
  <c r="FE282" i="2" a="1"/>
  <c r="FE282" i="2" s="1"/>
  <c r="EV282" i="2" a="1"/>
  <c r="EV282" i="2" s="1"/>
  <c r="FC280" i="2" a="1"/>
  <c r="FC280" i="2" s="1"/>
  <c r="EY280" i="2" a="1"/>
  <c r="EY280" i="2" s="1"/>
  <c r="EZ278" i="2" a="1"/>
  <c r="EZ278" i="2" s="1"/>
  <c r="EV278" i="2" a="1"/>
  <c r="EV278" i="2" s="1"/>
  <c r="EN278" i="2" a="1"/>
  <c r="EN278" i="2" s="1"/>
  <c r="FE276" i="2" a="1"/>
  <c r="FE276" i="2" s="1"/>
  <c r="EW276" i="2" a="1"/>
  <c r="EW276" i="2" s="1"/>
  <c r="FF274" i="2" a="1"/>
  <c r="FF274" i="2" s="1"/>
  <c r="FB274" i="2" a="1"/>
  <c r="FB274" i="2" s="1"/>
  <c r="FC272" i="2" a="1"/>
  <c r="FC272" i="2" s="1"/>
  <c r="EY272" i="2" a="1"/>
  <c r="EY272" i="2" s="1"/>
  <c r="FF266" i="2" a="1"/>
  <c r="FF266" i="2" s="1"/>
  <c r="FB266" i="2" a="1"/>
  <c r="FB266" i="2" s="1"/>
  <c r="FC264" i="2" a="1"/>
  <c r="FC264" i="2" s="1"/>
  <c r="EY264" i="2" a="1"/>
  <c r="EY264" i="2" s="1"/>
  <c r="EW302" i="2" a="1"/>
  <c r="EW302" i="2" s="1"/>
  <c r="FE292" i="2" a="1"/>
  <c r="FE292" i="2" s="1"/>
  <c r="EZ290" i="2" a="1"/>
  <c r="EZ290" i="2" s="1"/>
  <c r="EW288" i="2" a="1"/>
  <c r="EW288" i="2" s="1"/>
  <c r="EY286" i="2" a="1"/>
  <c r="EY286" i="2" s="1"/>
  <c r="EW284" i="2" a="1"/>
  <c r="EW284" i="2" s="1"/>
  <c r="EZ282" i="2" a="1"/>
  <c r="EZ282" i="2" s="1"/>
  <c r="EV288" i="2" a="1"/>
  <c r="EV288" i="2" s="1"/>
  <c r="EN288" i="2" a="1"/>
  <c r="EN288" i="2" s="1"/>
  <c r="FF286" i="2" a="1"/>
  <c r="FF286" i="2" s="1"/>
  <c r="FC284" i="2" a="1"/>
  <c r="FC284" i="2" s="1"/>
  <c r="EV284" i="2" a="1"/>
  <c r="EV284" i="2" s="1"/>
  <c r="FF280" i="2" a="1"/>
  <c r="FF280" i="2" s="1"/>
  <c r="FB280" i="2" a="1"/>
  <c r="FB280" i="2" s="1"/>
  <c r="FC278" i="2" a="1"/>
  <c r="FC278" i="2" s="1"/>
  <c r="EY278" i="2" a="1"/>
  <c r="EY278" i="2" s="1"/>
  <c r="EZ276" i="2" a="1"/>
  <c r="EZ276" i="2" s="1"/>
  <c r="EV276" i="2" a="1"/>
  <c r="EV276" i="2" s="1"/>
  <c r="EN276" i="2" a="1"/>
  <c r="EN276" i="2" s="1"/>
  <c r="FE274" i="2" a="1"/>
  <c r="FE274" i="2" s="1"/>
  <c r="EW274" i="2" a="1"/>
  <c r="EW274" i="2" s="1"/>
  <c r="FF272" i="2" a="1"/>
  <c r="FF272" i="2" s="1"/>
  <c r="FB272" i="2" a="1"/>
  <c r="FB272" i="2" s="1"/>
  <c r="FE266" i="2" a="1"/>
  <c r="FE266" i="2" s="1"/>
  <c r="FC304" i="2" a="1"/>
  <c r="FC304" i="2" s="1"/>
  <c r="EV286" i="2" a="1"/>
  <c r="EV286" i="2" s="1"/>
  <c r="EN286" i="2" a="1"/>
  <c r="EN286" i="2" s="1"/>
  <c r="EN284" i="2" a="1"/>
  <c r="EN284" i="2" s="1"/>
  <c r="FC282" i="2" a="1"/>
  <c r="FC282" i="2" s="1"/>
  <c r="FE280" i="2" a="1"/>
  <c r="FE280" i="2" s="1"/>
  <c r="EW280" i="2" a="1"/>
  <c r="EW280" i="2" s="1"/>
  <c r="FF278" i="2" a="1"/>
  <c r="FF278" i="2" s="1"/>
  <c r="FB278" i="2" a="1"/>
  <c r="FB278" i="2" s="1"/>
  <c r="FC276" i="2" a="1"/>
  <c r="FC276" i="2" s="1"/>
  <c r="EY276" i="2" a="1"/>
  <c r="EY276" i="2" s="1"/>
  <c r="EZ274" i="2" a="1"/>
  <c r="EZ274" i="2" s="1"/>
  <c r="EV274" i="2" a="1"/>
  <c r="EV274" i="2" s="1"/>
  <c r="EN274" i="2" a="1"/>
  <c r="EN274" i="2" s="1"/>
  <c r="FE272" i="2" a="1"/>
  <c r="FE272" i="2" s="1"/>
  <c r="EW272" i="2" a="1"/>
  <c r="EW272" i="2" s="1"/>
  <c r="EZ266" i="2" a="1"/>
  <c r="EZ266" i="2" s="1"/>
  <c r="EV266" i="2" a="1"/>
  <c r="EV266" i="2" s="1"/>
  <c r="EN266" i="2" a="1"/>
  <c r="EN266" i="2" s="1"/>
  <c r="FE264" i="2" a="1"/>
  <c r="FE264" i="2" s="1"/>
  <c r="EW264" i="2" a="1"/>
  <c r="EW264" i="2" s="1"/>
  <c r="EN294" i="2" a="1"/>
  <c r="EN294" i="2" s="1"/>
  <c r="FC288" i="2" a="1"/>
  <c r="FC288" i="2" s="1"/>
  <c r="FC286" i="2" a="1"/>
  <c r="FC286" i="2" s="1"/>
  <c r="EZ284" i="2" a="1"/>
  <c r="EZ284" i="2" s="1"/>
  <c r="FB282" i="2" a="1"/>
  <c r="FB282" i="2" s="1"/>
  <c r="FE286" i="2" a="1"/>
  <c r="FE286" i="2" s="1"/>
  <c r="FC262" i="2" a="1"/>
  <c r="FC262" i="2" s="1"/>
  <c r="EY262" i="2" a="1"/>
  <c r="EY262" i="2" s="1"/>
  <c r="EZ260" i="2" a="1"/>
  <c r="EZ260" i="2" s="1"/>
  <c r="EV260" i="2" a="1"/>
  <c r="EV260" i="2" s="1"/>
  <c r="EN260" i="2" a="1"/>
  <c r="EN260" i="2" s="1"/>
  <c r="FE258" i="2" a="1"/>
  <c r="FE258" i="2" s="1"/>
  <c r="EW258" i="2" a="1"/>
  <c r="EW258" i="2" s="1"/>
  <c r="FF256" i="2" a="1"/>
  <c r="FF256" i="2" s="1"/>
  <c r="FB256" i="2" a="1"/>
  <c r="FB256" i="2" s="1"/>
  <c r="FC254" i="2" a="1"/>
  <c r="FC254" i="2" s="1"/>
  <c r="EY254" i="2" a="1"/>
  <c r="EY254" i="2" s="1"/>
  <c r="EZ252" i="2" a="1"/>
  <c r="EZ252" i="2" s="1"/>
  <c r="EV252" i="2" a="1"/>
  <c r="EV252" i="2" s="1"/>
  <c r="EN252" i="2" a="1"/>
  <c r="EN252" i="2" s="1"/>
  <c r="FE250" i="2" a="1"/>
  <c r="FE250" i="2" s="1"/>
  <c r="EW250" i="2" a="1"/>
  <c r="EW250" i="2" s="1"/>
  <c r="FF248" i="2" a="1"/>
  <c r="FF248" i="2" s="1"/>
  <c r="FB248" i="2" a="1"/>
  <c r="FB248" i="2" s="1"/>
  <c r="EW286" i="2" a="1"/>
  <c r="EW286" i="2" s="1"/>
  <c r="EW266" i="2" a="1"/>
  <c r="EW266" i="2" s="1"/>
  <c r="FB264" i="2" a="1"/>
  <c r="FB264" i="2" s="1"/>
  <c r="FF262" i="2" a="1"/>
  <c r="FF262" i="2" s="1"/>
  <c r="FB262" i="2" a="1"/>
  <c r="FB262" i="2" s="1"/>
  <c r="FC260" i="2" a="1"/>
  <c r="FC260" i="2" s="1"/>
  <c r="EY260" i="2" a="1"/>
  <c r="EY260" i="2" s="1"/>
  <c r="EZ258" i="2" a="1"/>
  <c r="EZ258" i="2" s="1"/>
  <c r="EV258" i="2" a="1"/>
  <c r="EV258" i="2" s="1"/>
  <c r="EN258" i="2" a="1"/>
  <c r="EN258" i="2" s="1"/>
  <c r="FE256" i="2" a="1"/>
  <c r="FE256" i="2" s="1"/>
  <c r="EW256" i="2" a="1"/>
  <c r="EW256" i="2" s="1"/>
  <c r="FF254" i="2" a="1"/>
  <c r="FF254" i="2" s="1"/>
  <c r="FB254" i="2" a="1"/>
  <c r="FB254" i="2" s="1"/>
  <c r="FC252" i="2" a="1"/>
  <c r="FC252" i="2" s="1"/>
  <c r="EY252" i="2" a="1"/>
  <c r="EY252" i="2" s="1"/>
  <c r="EZ250" i="2" a="1"/>
  <c r="EZ250" i="2" s="1"/>
  <c r="EV250" i="2" a="1"/>
  <c r="EV250" i="2" s="1"/>
  <c r="EN250" i="2" a="1"/>
  <c r="EN250" i="2" s="1"/>
  <c r="FE248" i="2" a="1"/>
  <c r="FE248" i="2" s="1"/>
  <c r="EW248" i="2" a="1"/>
  <c r="EW248" i="2" s="1"/>
  <c r="EY282" i="2" a="1"/>
  <c r="EY282" i="2" s="1"/>
  <c r="EN264" i="2" a="1"/>
  <c r="EN264" i="2" s="1"/>
  <c r="FB306" i="2" a="1"/>
  <c r="FB306" i="2" s="1"/>
  <c r="FB284" i="2" a="1"/>
  <c r="FB284" i="2" s="1"/>
  <c r="FF264" i="2" a="1"/>
  <c r="FF264" i="2" s="1"/>
  <c r="FE262" i="2" a="1"/>
  <c r="FE262" i="2" s="1"/>
  <c r="EW262" i="2" a="1"/>
  <c r="EW262" i="2" s="1"/>
  <c r="FF260" i="2" a="1"/>
  <c r="FF260" i="2" s="1"/>
  <c r="FB260" i="2" a="1"/>
  <c r="FB260" i="2" s="1"/>
  <c r="FC258" i="2" a="1"/>
  <c r="FC258" i="2" s="1"/>
  <c r="EY258" i="2" a="1"/>
  <c r="EY258" i="2" s="1"/>
  <c r="EZ256" i="2" a="1"/>
  <c r="EZ256" i="2" s="1"/>
  <c r="EV256" i="2" a="1"/>
  <c r="EV256" i="2" s="1"/>
  <c r="EN256" i="2" a="1"/>
  <c r="EN256" i="2" s="1"/>
  <c r="FE254" i="2" a="1"/>
  <c r="FE254" i="2" s="1"/>
  <c r="EW254" i="2" a="1"/>
  <c r="EW254" i="2" s="1"/>
  <c r="FF252" i="2" a="1"/>
  <c r="FF252" i="2" s="1"/>
  <c r="FB252" i="2" a="1"/>
  <c r="FB252" i="2" s="1"/>
  <c r="FC250" i="2" a="1"/>
  <c r="FC250" i="2" s="1"/>
  <c r="EY250" i="2" a="1"/>
  <c r="EY250" i="2" s="1"/>
  <c r="EZ248" i="2" a="1"/>
  <c r="EZ248" i="2" s="1"/>
  <c r="EV248" i="2" a="1"/>
  <c r="EV248" i="2" s="1"/>
  <c r="FE288" i="2" a="1"/>
  <c r="FE288" i="2" s="1"/>
  <c r="EZ262" i="2" a="1"/>
  <c r="EZ262" i="2" s="1"/>
  <c r="EV262" i="2" a="1"/>
  <c r="EV262" i="2" s="1"/>
  <c r="EN262" i="2" a="1"/>
  <c r="EN262" i="2" s="1"/>
  <c r="FE260" i="2" a="1"/>
  <c r="FE260" i="2" s="1"/>
  <c r="EW260" i="2" a="1"/>
  <c r="EW260" i="2" s="1"/>
  <c r="FF258" i="2" a="1"/>
  <c r="FF258" i="2" s="1"/>
  <c r="FB258" i="2" a="1"/>
  <c r="FB258" i="2" s="1"/>
  <c r="FC256" i="2" a="1"/>
  <c r="FC256" i="2" s="1"/>
  <c r="EY256" i="2" a="1"/>
  <c r="EY256" i="2" s="1"/>
  <c r="EZ254" i="2" a="1"/>
  <c r="EZ254" i="2" s="1"/>
  <c r="EV254" i="2" a="1"/>
  <c r="EV254" i="2" s="1"/>
  <c r="EN254" i="2" a="1"/>
  <c r="EN254" i="2" s="1"/>
  <c r="FE252" i="2" a="1"/>
  <c r="FE252" i="2" s="1"/>
  <c r="EW252" i="2" a="1"/>
  <c r="EW252" i="2" s="1"/>
  <c r="FF250" i="2" a="1"/>
  <c r="FF250" i="2" s="1"/>
  <c r="FB250" i="2" a="1"/>
  <c r="FB250" i="2" s="1"/>
  <c r="FC248" i="2" a="1"/>
  <c r="FC248" i="2" s="1"/>
  <c r="EY248" i="2" a="1"/>
  <c r="EY248" i="2" s="1"/>
  <c r="FC246" i="2" a="1"/>
  <c r="FC246" i="2" s="1"/>
  <c r="FC244" i="2" a="1"/>
  <c r="FC244" i="2" s="1"/>
  <c r="EY244" i="2" a="1"/>
  <c r="EY244" i="2" s="1"/>
  <c r="EZ242" i="2" a="1"/>
  <c r="EZ242" i="2" s="1"/>
  <c r="EV242" i="2" a="1"/>
  <c r="EV242" i="2" s="1"/>
  <c r="EN242" i="2" a="1"/>
  <c r="EN242" i="2" s="1"/>
  <c r="FC236" i="2" a="1"/>
  <c r="FC236" i="2" s="1"/>
  <c r="EY236" i="2" a="1"/>
  <c r="EY236" i="2" s="1"/>
  <c r="EZ234" i="2" a="1"/>
  <c r="EZ234" i="2" s="1"/>
  <c r="EV234" i="2" a="1"/>
  <c r="EV234" i="2" s="1"/>
  <c r="EN234" i="2" a="1"/>
  <c r="EN234" i="2" s="1"/>
  <c r="FE232" i="2" a="1"/>
  <c r="FE232" i="2" s="1"/>
  <c r="EW232" i="2" a="1"/>
  <c r="EW232" i="2" s="1"/>
  <c r="FF230" i="2" a="1"/>
  <c r="FF230" i="2" s="1"/>
  <c r="FB230" i="2" a="1"/>
  <c r="FB230" i="2" s="1"/>
  <c r="FC228" i="2" a="1"/>
  <c r="FC228" i="2" s="1"/>
  <c r="EY228" i="2" a="1"/>
  <c r="EY228" i="2" s="1"/>
  <c r="EZ226" i="2" a="1"/>
  <c r="EZ226" i="2" s="1"/>
  <c r="EV226" i="2" a="1"/>
  <c r="EV226" i="2" s="1"/>
  <c r="EN226" i="2" a="1"/>
  <c r="EN226" i="2" s="1"/>
  <c r="FE224" i="2" a="1"/>
  <c r="FE224" i="2" s="1"/>
  <c r="EW224" i="2" a="1"/>
  <c r="EW224" i="2" s="1"/>
  <c r="FF222" i="2" a="1"/>
  <c r="FF222" i="2" s="1"/>
  <c r="FB222" i="2" a="1"/>
  <c r="FB222" i="2" s="1"/>
  <c r="FB246" i="2" a="1"/>
  <c r="FB246" i="2" s="1"/>
  <c r="EN248" i="2" a="1"/>
  <c r="EN248" i="2" s="1"/>
  <c r="FF246" i="2" a="1"/>
  <c r="FF246" i="2" s="1"/>
  <c r="EW246" i="2" a="1"/>
  <c r="EW246" i="2" s="1"/>
  <c r="FF244" i="2" a="1"/>
  <c r="FF244" i="2" s="1"/>
  <c r="FB244" i="2" a="1"/>
  <c r="FB244" i="2" s="1"/>
  <c r="FC242" i="2" a="1"/>
  <c r="FC242" i="2" s="1"/>
  <c r="EY242" i="2" a="1"/>
  <c r="EY242" i="2" s="1"/>
  <c r="FF236" i="2" a="1"/>
  <c r="FF236" i="2" s="1"/>
  <c r="FB236" i="2" a="1"/>
  <c r="FB236" i="2" s="1"/>
  <c r="FC234" i="2" a="1"/>
  <c r="FC234" i="2" s="1"/>
  <c r="EY234" i="2" a="1"/>
  <c r="EY234" i="2" s="1"/>
  <c r="EZ232" i="2" a="1"/>
  <c r="EZ232" i="2" s="1"/>
  <c r="EV232" i="2" a="1"/>
  <c r="EV232" i="2" s="1"/>
  <c r="EN232" i="2" a="1"/>
  <c r="EN232" i="2" s="1"/>
  <c r="FE230" i="2" a="1"/>
  <c r="FE230" i="2" s="1"/>
  <c r="EW230" i="2" a="1"/>
  <c r="EW230" i="2" s="1"/>
  <c r="FF228" i="2" a="1"/>
  <c r="FF228" i="2" s="1"/>
  <c r="FB228" i="2" a="1"/>
  <c r="FB228" i="2" s="1"/>
  <c r="FC226" i="2" a="1"/>
  <c r="FC226" i="2" s="1"/>
  <c r="EY226" i="2" a="1"/>
  <c r="EY226" i="2" s="1"/>
  <c r="EZ224" i="2" a="1"/>
  <c r="EZ224" i="2" s="1"/>
  <c r="EV224" i="2" a="1"/>
  <c r="EV224" i="2" s="1"/>
  <c r="EN224" i="2" a="1"/>
  <c r="EN224" i="2" s="1"/>
  <c r="FE246" i="2" a="1"/>
  <c r="FE246" i="2" s="1"/>
  <c r="EZ246" i="2" a="1"/>
  <c r="EZ246" i="2" s="1"/>
  <c r="EV246" i="2" a="1"/>
  <c r="EV246" i="2" s="1"/>
  <c r="EN246" i="2" a="1"/>
  <c r="EN246" i="2" s="1"/>
  <c r="FE244" i="2" a="1"/>
  <c r="FE244" i="2" s="1"/>
  <c r="EW244" i="2" a="1"/>
  <c r="EW244" i="2" s="1"/>
  <c r="FF242" i="2" a="1"/>
  <c r="FF242" i="2" s="1"/>
  <c r="FB242" i="2" a="1"/>
  <c r="FB242" i="2" s="1"/>
  <c r="FE236" i="2" a="1"/>
  <c r="FE236" i="2" s="1"/>
  <c r="EW236" i="2" a="1"/>
  <c r="EW236" i="2" s="1"/>
  <c r="FF234" i="2" a="1"/>
  <c r="FF234" i="2" s="1"/>
  <c r="FB234" i="2" a="1"/>
  <c r="FB234" i="2" s="1"/>
  <c r="FC232" i="2" a="1"/>
  <c r="FC232" i="2" s="1"/>
  <c r="EY232" i="2" a="1"/>
  <c r="EY232" i="2" s="1"/>
  <c r="EZ230" i="2" a="1"/>
  <c r="EZ230" i="2" s="1"/>
  <c r="EV230" i="2" a="1"/>
  <c r="EV230" i="2" s="1"/>
  <c r="EN230" i="2" a="1"/>
  <c r="EN230" i="2" s="1"/>
  <c r="FE228" i="2" a="1"/>
  <c r="FE228" i="2" s="1"/>
  <c r="EW228" i="2" a="1"/>
  <c r="EW228" i="2" s="1"/>
  <c r="FF226" i="2" a="1"/>
  <c r="FF226" i="2" s="1"/>
  <c r="FB226" i="2" a="1"/>
  <c r="FB226" i="2" s="1"/>
  <c r="FC224" i="2" a="1"/>
  <c r="FC224" i="2" s="1"/>
  <c r="EY224" i="2" a="1"/>
  <c r="EY224" i="2" s="1"/>
  <c r="EZ222" i="2" a="1"/>
  <c r="EZ222" i="2" s="1"/>
  <c r="EY230" i="2" a="1"/>
  <c r="EY230" i="2" s="1"/>
  <c r="EW222" i="2" a="1"/>
  <c r="EW222" i="2" s="1"/>
  <c r="EN222" i="2" a="1"/>
  <c r="EN222" i="2" s="1"/>
  <c r="FE220" i="2" a="1"/>
  <c r="FE220" i="2" s="1"/>
  <c r="EW220" i="2" a="1"/>
  <c r="EW220" i="2" s="1"/>
  <c r="FF218" i="2" a="1"/>
  <c r="FF218" i="2" s="1"/>
  <c r="FB218" i="2" a="1"/>
  <c r="FB218" i="2" s="1"/>
  <c r="FC216" i="2" a="1"/>
  <c r="FC216" i="2" s="1"/>
  <c r="EY216" i="2" a="1"/>
  <c r="EY216" i="2" s="1"/>
  <c r="EZ214" i="2" a="1"/>
  <c r="EZ214" i="2" s="1"/>
  <c r="EV214" i="2" a="1"/>
  <c r="EV214" i="2" s="1"/>
  <c r="EN214" i="2" a="1"/>
  <c r="EN214" i="2" s="1"/>
  <c r="FE212" i="2" a="1"/>
  <c r="FE212" i="2" s="1"/>
  <c r="EW212" i="2" a="1"/>
  <c r="EW212" i="2" s="1"/>
  <c r="EZ206" i="2" a="1"/>
  <c r="EZ206" i="2" s="1"/>
  <c r="EV206" i="2" a="1"/>
  <c r="EV206" i="2" s="1"/>
  <c r="EN206" i="2" a="1"/>
  <c r="EN206" i="2" s="1"/>
  <c r="FE204" i="2" a="1"/>
  <c r="FE204" i="2" s="1"/>
  <c r="EW204" i="2" a="1"/>
  <c r="EW204" i="2" s="1"/>
  <c r="FF202" i="2" a="1"/>
  <c r="FF202" i="2" s="1"/>
  <c r="FB202" i="2" a="1"/>
  <c r="FB202" i="2" s="1"/>
  <c r="EY246" i="2" a="1"/>
  <c r="EY246" i="2" s="1"/>
  <c r="EZ236" i="2" a="1"/>
  <c r="EZ236" i="2" s="1"/>
  <c r="EZ228" i="2" a="1"/>
  <c r="EZ228" i="2" s="1"/>
  <c r="EV222" i="2" a="1"/>
  <c r="EV222" i="2" s="1"/>
  <c r="EZ220" i="2" a="1"/>
  <c r="EZ220" i="2" s="1"/>
  <c r="EV220" i="2" a="1"/>
  <c r="EV220" i="2" s="1"/>
  <c r="EN220" i="2" a="1"/>
  <c r="EN220" i="2" s="1"/>
  <c r="FE218" i="2" a="1"/>
  <c r="FE218" i="2" s="1"/>
  <c r="EW218" i="2" a="1"/>
  <c r="EW218" i="2" s="1"/>
  <c r="FF216" i="2" a="1"/>
  <c r="FF216" i="2" s="1"/>
  <c r="FB216" i="2" a="1"/>
  <c r="FB216" i="2" s="1"/>
  <c r="FC214" i="2" a="1"/>
  <c r="FC214" i="2" s="1"/>
  <c r="EY214" i="2" a="1"/>
  <c r="EY214" i="2" s="1"/>
  <c r="EZ212" i="2" a="1"/>
  <c r="EZ212" i="2" s="1"/>
  <c r="EV212" i="2" a="1"/>
  <c r="EV212" i="2" s="1"/>
  <c r="EN212" i="2" a="1"/>
  <c r="EN212" i="2" s="1"/>
  <c r="FC206" i="2" a="1"/>
  <c r="FC206" i="2" s="1"/>
  <c r="EY206" i="2" a="1"/>
  <c r="EY206" i="2" s="1"/>
  <c r="EZ204" i="2" a="1"/>
  <c r="EZ204" i="2" s="1"/>
  <c r="EV204" i="2" a="1"/>
  <c r="EV204" i="2" s="1"/>
  <c r="EN204" i="2" a="1"/>
  <c r="EN204" i="2" s="1"/>
  <c r="EV236" i="2" a="1"/>
  <c r="EV236" i="2" s="1"/>
  <c r="FE234" i="2" a="1"/>
  <c r="FE234" i="2" s="1"/>
  <c r="EV228" i="2" a="1"/>
  <c r="EV228" i="2" s="1"/>
  <c r="FE226" i="2" a="1"/>
  <c r="FE226" i="2" s="1"/>
  <c r="EZ244" i="2" a="1"/>
  <c r="EZ244" i="2" s="1"/>
  <c r="FF232" i="2" a="1"/>
  <c r="FF232" i="2" s="1"/>
  <c r="FF224" i="2" a="1"/>
  <c r="FF224" i="2" s="1"/>
  <c r="FE222" i="2" a="1"/>
  <c r="FE222" i="2" s="1"/>
  <c r="FC220" i="2" a="1"/>
  <c r="FC220" i="2" s="1"/>
  <c r="EY220" i="2" a="1"/>
  <c r="EY220" i="2" s="1"/>
  <c r="EZ218" i="2" a="1"/>
  <c r="EZ218" i="2" s="1"/>
  <c r="EV218" i="2" a="1"/>
  <c r="EV218" i="2" s="1"/>
  <c r="EN218" i="2" a="1"/>
  <c r="EN218" i="2" s="1"/>
  <c r="FE216" i="2" a="1"/>
  <c r="FE216" i="2" s="1"/>
  <c r="EW216" i="2" a="1"/>
  <c r="EW216" i="2" s="1"/>
  <c r="FF214" i="2" a="1"/>
  <c r="FF214" i="2" s="1"/>
  <c r="FB214" i="2" a="1"/>
  <c r="FB214" i="2" s="1"/>
  <c r="FC212" i="2" a="1"/>
  <c r="FC212" i="2" s="1"/>
  <c r="EY212" i="2" a="1"/>
  <c r="EY212" i="2" s="1"/>
  <c r="FF206" i="2" a="1"/>
  <c r="FF206" i="2" s="1"/>
  <c r="FB206" i="2" a="1"/>
  <c r="FB206" i="2" s="1"/>
  <c r="FC204" i="2" a="1"/>
  <c r="FC204" i="2" s="1"/>
  <c r="EY204" i="2" a="1"/>
  <c r="EY204" i="2" s="1"/>
  <c r="EZ202" i="2" a="1"/>
  <c r="EZ202" i="2" s="1"/>
  <c r="EV202" i="2" a="1"/>
  <c r="EV202" i="2" s="1"/>
  <c r="EN202" i="2" a="1"/>
  <c r="EN202" i="2" s="1"/>
  <c r="EV244" i="2" a="1"/>
  <c r="EV244" i="2" s="1"/>
  <c r="FE242" i="2" a="1"/>
  <c r="FE242" i="2" s="1"/>
  <c r="EN236" i="2" a="1"/>
  <c r="EN236" i="2" s="1"/>
  <c r="EW234" i="2" a="1"/>
  <c r="EW234" i="2" s="1"/>
  <c r="FB232" i="2" a="1"/>
  <c r="FB232" i="2" s="1"/>
  <c r="EN228" i="2" a="1"/>
  <c r="EN228" i="2" s="1"/>
  <c r="EW226" i="2" a="1"/>
  <c r="EW226" i="2" s="1"/>
  <c r="FB224" i="2" a="1"/>
  <c r="FB224" i="2" s="1"/>
  <c r="EY222" i="2" a="1"/>
  <c r="EY222" i="2" s="1"/>
  <c r="FF220" i="2" a="1"/>
  <c r="FF220" i="2" s="1"/>
  <c r="FB220" i="2" a="1"/>
  <c r="FB220" i="2" s="1"/>
  <c r="FC218" i="2" a="1"/>
  <c r="FC218" i="2" s="1"/>
  <c r="EY218" i="2" a="1"/>
  <c r="EY218" i="2" s="1"/>
  <c r="EZ216" i="2" a="1"/>
  <c r="EZ216" i="2" s="1"/>
  <c r="EV216" i="2" a="1"/>
  <c r="EV216" i="2" s="1"/>
  <c r="EN216" i="2" a="1"/>
  <c r="EN216" i="2" s="1"/>
  <c r="FE214" i="2" a="1"/>
  <c r="FE214" i="2" s="1"/>
  <c r="EW214" i="2" a="1"/>
  <c r="EW214" i="2" s="1"/>
  <c r="FF212" i="2" a="1"/>
  <c r="FF212" i="2" s="1"/>
  <c r="FB212" i="2" a="1"/>
  <c r="FB212" i="2" s="1"/>
  <c r="FE206" i="2" a="1"/>
  <c r="FE206" i="2" s="1"/>
  <c r="EW206" i="2" a="1"/>
  <c r="EW206" i="2" s="1"/>
  <c r="FF204" i="2" a="1"/>
  <c r="FF204" i="2" s="1"/>
  <c r="FB204" i="2" a="1"/>
  <c r="FB204" i="2" s="1"/>
  <c r="FC202" i="2" a="1"/>
  <c r="FC202" i="2" s="1"/>
  <c r="EY202" i="2" a="1"/>
  <c r="EY202" i="2" s="1"/>
  <c r="EW202" i="2" a="1"/>
  <c r="EW202" i="2" s="1"/>
  <c r="FC200" i="2" a="1"/>
  <c r="FC200" i="2" s="1"/>
  <c r="EY200" i="2" a="1"/>
  <c r="EY200" i="2" s="1"/>
  <c r="EZ198" i="2" a="1"/>
  <c r="EZ198" i="2" s="1"/>
  <c r="EV198" i="2" a="1"/>
  <c r="EV198" i="2" s="1"/>
  <c r="EN198" i="2" a="1"/>
  <c r="EN198" i="2" s="1"/>
  <c r="FE196" i="2" a="1"/>
  <c r="FE196" i="2" s="1"/>
  <c r="EW196" i="2" a="1"/>
  <c r="EW196" i="2" s="1"/>
  <c r="FF194" i="2" a="1"/>
  <c r="FF194" i="2" s="1"/>
  <c r="FB194" i="2" a="1"/>
  <c r="FB194" i="2" s="1"/>
  <c r="FC192" i="2" a="1"/>
  <c r="FC192" i="2" s="1"/>
  <c r="EY192" i="2" a="1"/>
  <c r="EY192" i="2" s="1"/>
  <c r="EZ190" i="2" a="1"/>
  <c r="EZ190" i="2" s="1"/>
  <c r="EV190" i="2" a="1"/>
  <c r="EV190" i="2" s="1"/>
  <c r="EN190" i="2" a="1"/>
  <c r="EN190" i="2" s="1"/>
  <c r="FE188" i="2" a="1"/>
  <c r="FE188" i="2" s="1"/>
  <c r="EW188" i="2" a="1"/>
  <c r="EW188" i="2" s="1"/>
  <c r="FF186" i="2" a="1"/>
  <c r="FF186" i="2" s="1"/>
  <c r="FB186" i="2" a="1"/>
  <c r="FB186" i="2" s="1"/>
  <c r="FC184" i="2" a="1"/>
  <c r="FC184" i="2" s="1"/>
  <c r="EY184" i="2" a="1"/>
  <c r="EY184" i="2" s="1"/>
  <c r="EW242" i="2" a="1"/>
  <c r="EW242" i="2" s="1"/>
  <c r="FC230" i="2" a="1"/>
  <c r="FC230" i="2" s="1"/>
  <c r="FF200" i="2" a="1"/>
  <c r="FF200" i="2" s="1"/>
  <c r="FB200" i="2" a="1"/>
  <c r="FB200" i="2" s="1"/>
  <c r="FC198" i="2" a="1"/>
  <c r="FC198" i="2" s="1"/>
  <c r="EY198" i="2" a="1"/>
  <c r="EY198" i="2" s="1"/>
  <c r="EZ196" i="2" a="1"/>
  <c r="EZ196" i="2" s="1"/>
  <c r="EV196" i="2" a="1"/>
  <c r="EV196" i="2" s="1"/>
  <c r="EN196" i="2" a="1"/>
  <c r="EN196" i="2" s="1"/>
  <c r="FE194" i="2" a="1"/>
  <c r="FE194" i="2" s="1"/>
  <c r="EW194" i="2" a="1"/>
  <c r="EW194" i="2" s="1"/>
  <c r="FF192" i="2" a="1"/>
  <c r="FF192" i="2" s="1"/>
  <c r="FB192" i="2" a="1"/>
  <c r="FB192" i="2" s="1"/>
  <c r="FC190" i="2" a="1"/>
  <c r="FC190" i="2" s="1"/>
  <c r="EY190" i="2" a="1"/>
  <c r="EY190" i="2" s="1"/>
  <c r="EZ188" i="2" a="1"/>
  <c r="EZ188" i="2" s="1"/>
  <c r="EV188" i="2" a="1"/>
  <c r="EV188" i="2" s="1"/>
  <c r="EN188" i="2" a="1"/>
  <c r="EN188" i="2" s="1"/>
  <c r="FE186" i="2" a="1"/>
  <c r="FE186" i="2" s="1"/>
  <c r="EW186" i="2" a="1"/>
  <c r="EW186" i="2" s="1"/>
  <c r="FF184" i="2" a="1"/>
  <c r="FF184" i="2" s="1"/>
  <c r="FB184" i="2" a="1"/>
  <c r="FB184" i="2" s="1"/>
  <c r="FE200" i="2" a="1"/>
  <c r="FE200" i="2" s="1"/>
  <c r="EW200" i="2" a="1"/>
  <c r="EW200" i="2" s="1"/>
  <c r="FF198" i="2" a="1"/>
  <c r="FF198" i="2" s="1"/>
  <c r="FB198" i="2" a="1"/>
  <c r="FB198" i="2" s="1"/>
  <c r="FC196" i="2" a="1"/>
  <c r="FC196" i="2" s="1"/>
  <c r="EY196" i="2" a="1"/>
  <c r="EY196" i="2" s="1"/>
  <c r="EZ194" i="2" a="1"/>
  <c r="EZ194" i="2" s="1"/>
  <c r="EV194" i="2" a="1"/>
  <c r="EV194" i="2" s="1"/>
  <c r="EN194" i="2" a="1"/>
  <c r="EN194" i="2" s="1"/>
  <c r="FE192" i="2" a="1"/>
  <c r="FE192" i="2" s="1"/>
  <c r="EW192" i="2" a="1"/>
  <c r="EW192" i="2" s="1"/>
  <c r="FF190" i="2" a="1"/>
  <c r="FF190" i="2" s="1"/>
  <c r="FB190" i="2" a="1"/>
  <c r="FB190" i="2" s="1"/>
  <c r="FC188" i="2" a="1"/>
  <c r="FC188" i="2" s="1"/>
  <c r="EY188" i="2" a="1"/>
  <c r="EY188" i="2" s="1"/>
  <c r="EZ186" i="2" a="1"/>
  <c r="EZ186" i="2" s="1"/>
  <c r="EV186" i="2" a="1"/>
  <c r="EV186" i="2" s="1"/>
  <c r="EN186" i="2" a="1"/>
  <c r="EN186" i="2" s="1"/>
  <c r="FE184" i="2" a="1"/>
  <c r="FE184" i="2" s="1"/>
  <c r="EW184" i="2" a="1"/>
  <c r="EW184" i="2" s="1"/>
  <c r="FF182" i="2" a="1"/>
  <c r="FF182" i="2" s="1"/>
  <c r="FE202" i="2" a="1"/>
  <c r="FE202" i="2" s="1"/>
  <c r="FC222" i="2" a="1"/>
  <c r="FC222" i="2" s="1"/>
  <c r="EZ200" i="2" a="1"/>
  <c r="EZ200" i="2" s="1"/>
  <c r="EV200" i="2" a="1"/>
  <c r="EV200" i="2" s="1"/>
  <c r="EN200" i="2" a="1"/>
  <c r="EN200" i="2" s="1"/>
  <c r="FE198" i="2" a="1"/>
  <c r="FE198" i="2" s="1"/>
  <c r="EW198" i="2" a="1"/>
  <c r="EW198" i="2" s="1"/>
  <c r="FF196" i="2" a="1"/>
  <c r="FF196" i="2" s="1"/>
  <c r="FB196" i="2" a="1"/>
  <c r="FB196" i="2" s="1"/>
  <c r="FC194" i="2" a="1"/>
  <c r="FC194" i="2" s="1"/>
  <c r="EY194" i="2" a="1"/>
  <c r="EY194" i="2" s="1"/>
  <c r="EZ192" i="2" a="1"/>
  <c r="EZ192" i="2" s="1"/>
  <c r="EV192" i="2" a="1"/>
  <c r="EV192" i="2" s="1"/>
  <c r="EN192" i="2" a="1"/>
  <c r="EN192" i="2" s="1"/>
  <c r="FE190" i="2" a="1"/>
  <c r="FE190" i="2" s="1"/>
  <c r="EW190" i="2" a="1"/>
  <c r="EW190" i="2" s="1"/>
  <c r="FF188" i="2" a="1"/>
  <c r="FF188" i="2" s="1"/>
  <c r="FB188" i="2" a="1"/>
  <c r="FB188" i="2" s="1"/>
  <c r="FC186" i="2" a="1"/>
  <c r="FC186" i="2" s="1"/>
  <c r="EY186" i="2" a="1"/>
  <c r="EY186" i="2" s="1"/>
  <c r="EZ184" i="2" a="1"/>
  <c r="EZ184" i="2" s="1"/>
  <c r="EV184" i="2" a="1"/>
  <c r="EV184" i="2" s="1"/>
  <c r="EN184" i="2" a="1"/>
  <c r="EN184" i="2" s="1"/>
  <c r="FB182" i="2" a="1"/>
  <c r="FB182" i="2" s="1"/>
  <c r="EV182" i="2" a="1"/>
  <c r="EV182" i="2" s="1"/>
  <c r="FE176" i="2" a="1"/>
  <c r="FE176" i="2" s="1"/>
  <c r="EV176" i="2" a="1"/>
  <c r="EV176" i="2" s="1"/>
  <c r="FF174" i="2" a="1"/>
  <c r="FF174" i="2" s="1"/>
  <c r="EW174" i="2" a="1"/>
  <c r="EW174" i="2" s="1"/>
  <c r="EN174" i="2" a="1"/>
  <c r="EN174" i="2" s="1"/>
  <c r="EZ176" i="2" a="1"/>
  <c r="EZ176" i="2" s="1"/>
  <c r="FC172" i="2" a="1"/>
  <c r="FC172" i="2" s="1"/>
  <c r="EY172" i="2" a="1"/>
  <c r="EY172" i="2" s="1"/>
  <c r="EZ170" i="2" a="1"/>
  <c r="EZ170" i="2" s="1"/>
  <c r="EV170" i="2" a="1"/>
  <c r="EV170" i="2" s="1"/>
  <c r="EN170" i="2" a="1"/>
  <c r="EN170" i="2" s="1"/>
  <c r="FE168" i="2" a="1"/>
  <c r="FE168" i="2" s="1"/>
  <c r="EW168" i="2" a="1"/>
  <c r="EW168" i="2" s="1"/>
  <c r="FF166" i="2" a="1"/>
  <c r="FF166" i="2" s="1"/>
  <c r="FB166" i="2" a="1"/>
  <c r="FB166" i="2" s="1"/>
  <c r="FC164" i="2" a="1"/>
  <c r="FC164" i="2" s="1"/>
  <c r="EY164" i="2" a="1"/>
  <c r="EY164" i="2" s="1"/>
  <c r="EZ162" i="2" a="1"/>
  <c r="EZ162" i="2" s="1"/>
  <c r="EV162" i="2" a="1"/>
  <c r="EV162" i="2" s="1"/>
  <c r="EN162" i="2" a="1"/>
  <c r="EN162" i="2" s="1"/>
  <c r="FE160" i="2" a="1"/>
  <c r="FE160" i="2" s="1"/>
  <c r="EW160" i="2" a="1"/>
  <c r="EW160" i="2" s="1"/>
  <c r="FF158" i="2" a="1"/>
  <c r="FF158" i="2" s="1"/>
  <c r="FB158" i="2" a="1"/>
  <c r="FB158" i="2" s="1"/>
  <c r="EN182" i="2" a="1"/>
  <c r="EN182" i="2" s="1"/>
  <c r="FE174" i="2" a="1"/>
  <c r="FE174" i="2" s="1"/>
  <c r="EV174" i="2" a="1"/>
  <c r="EV174" i="2" s="1"/>
  <c r="EZ182" i="2" a="1"/>
  <c r="EZ182" i="2" s="1"/>
  <c r="EY176" i="2" a="1"/>
  <c r="EY176" i="2" s="1"/>
  <c r="EZ174" i="2" a="1"/>
  <c r="EZ174" i="2" s="1"/>
  <c r="FF172" i="2" a="1"/>
  <c r="FF172" i="2" s="1"/>
  <c r="FB172" i="2" a="1"/>
  <c r="FB172" i="2" s="1"/>
  <c r="FC170" i="2" a="1"/>
  <c r="FC170" i="2" s="1"/>
  <c r="EY170" i="2" a="1"/>
  <c r="EY170" i="2" s="1"/>
  <c r="EZ168" i="2" a="1"/>
  <c r="EZ168" i="2" s="1"/>
  <c r="EV168" i="2" a="1"/>
  <c r="EV168" i="2" s="1"/>
  <c r="EN168" i="2" a="1"/>
  <c r="EN168" i="2" s="1"/>
  <c r="FE166" i="2" a="1"/>
  <c r="FE166" i="2" s="1"/>
  <c r="EW166" i="2" a="1"/>
  <c r="EW166" i="2" s="1"/>
  <c r="FF164" i="2" a="1"/>
  <c r="FF164" i="2" s="1"/>
  <c r="FB164" i="2" a="1"/>
  <c r="FB164" i="2" s="1"/>
  <c r="FC162" i="2" a="1"/>
  <c r="FC162" i="2" s="1"/>
  <c r="EY162" i="2" a="1"/>
  <c r="EY162" i="2" s="1"/>
  <c r="EN244" i="2" a="1"/>
  <c r="EN244" i="2" s="1"/>
  <c r="FE182" i="2" a="1"/>
  <c r="FE182" i="2" s="1"/>
  <c r="EY182" i="2" a="1"/>
  <c r="EY182" i="2" s="1"/>
  <c r="FC176" i="2" a="1"/>
  <c r="FC176" i="2" s="1"/>
  <c r="EY174" i="2" a="1"/>
  <c r="EY174" i="2" s="1"/>
  <c r="FB176" i="2" a="1"/>
  <c r="FB176" i="2" s="1"/>
  <c r="FC174" i="2" a="1"/>
  <c r="FC174" i="2" s="1"/>
  <c r="FE172" i="2" a="1"/>
  <c r="FE172" i="2" s="1"/>
  <c r="EW172" i="2" a="1"/>
  <c r="EW172" i="2" s="1"/>
  <c r="FF170" i="2" a="1"/>
  <c r="FF170" i="2" s="1"/>
  <c r="FB170" i="2" a="1"/>
  <c r="FB170" i="2" s="1"/>
  <c r="FC168" i="2" a="1"/>
  <c r="FC168" i="2" s="1"/>
  <c r="EY168" i="2" a="1"/>
  <c r="EY168" i="2" s="1"/>
  <c r="EZ166" i="2" a="1"/>
  <c r="EZ166" i="2" s="1"/>
  <c r="EV166" i="2" a="1"/>
  <c r="EV166" i="2" s="1"/>
  <c r="EN166" i="2" a="1"/>
  <c r="EN166" i="2" s="1"/>
  <c r="FE164" i="2" a="1"/>
  <c r="FE164" i="2" s="1"/>
  <c r="EW164" i="2" a="1"/>
  <c r="EW164" i="2" s="1"/>
  <c r="FF162" i="2" a="1"/>
  <c r="FF162" i="2" s="1"/>
  <c r="FB162" i="2" a="1"/>
  <c r="FB162" i="2" s="1"/>
  <c r="FC160" i="2" a="1"/>
  <c r="FC160" i="2" s="1"/>
  <c r="EY160" i="2" a="1"/>
  <c r="EY160" i="2" s="1"/>
  <c r="EW182" i="2" a="1"/>
  <c r="EW182" i="2" s="1"/>
  <c r="FF176" i="2" a="1"/>
  <c r="FF176" i="2" s="1"/>
  <c r="EW176" i="2" a="1"/>
  <c r="EW176" i="2" s="1"/>
  <c r="EN176" i="2" a="1"/>
  <c r="EN176" i="2" s="1"/>
  <c r="EV172" i="2" a="1"/>
  <c r="EV172" i="2" s="1"/>
  <c r="FE170" i="2" a="1"/>
  <c r="FE170" i="2" s="1"/>
  <c r="EV164" i="2" a="1"/>
  <c r="EV164" i="2" s="1"/>
  <c r="FE162" i="2" a="1"/>
  <c r="FE162" i="2" s="1"/>
  <c r="EZ156" i="2" a="1"/>
  <c r="EZ156" i="2" s="1"/>
  <c r="EV156" i="2" a="1"/>
  <c r="EV156" i="2" s="1"/>
  <c r="EN156" i="2" a="1"/>
  <c r="EN156" i="2" s="1"/>
  <c r="FE154" i="2" a="1"/>
  <c r="FE154" i="2" s="1"/>
  <c r="EW154" i="2" a="1"/>
  <c r="EW154" i="2" s="1"/>
  <c r="FF152" i="2" a="1"/>
  <c r="FF152" i="2" s="1"/>
  <c r="FB152" i="2" a="1"/>
  <c r="FB152" i="2" s="1"/>
  <c r="FE146" i="2" a="1"/>
  <c r="FE146" i="2" s="1"/>
  <c r="EW146" i="2" a="1"/>
  <c r="EW146" i="2" s="1"/>
  <c r="FF144" i="2" a="1"/>
  <c r="FF144" i="2" s="1"/>
  <c r="FB144" i="2" a="1"/>
  <c r="FB144" i="2" s="1"/>
  <c r="FC142" i="2" a="1"/>
  <c r="FC142" i="2" s="1"/>
  <c r="EY142" i="2" a="1"/>
  <c r="EY142" i="2" s="1"/>
  <c r="EZ140" i="2" a="1"/>
  <c r="EZ140" i="2" s="1"/>
  <c r="EV140" i="2" a="1"/>
  <c r="EV140" i="2" s="1"/>
  <c r="EN140" i="2" a="1"/>
  <c r="EN140" i="2" s="1"/>
  <c r="FE138" i="2" a="1"/>
  <c r="FE138" i="2" s="1"/>
  <c r="EW138" i="2" a="1"/>
  <c r="EW138" i="2" s="1"/>
  <c r="FF136" i="2" a="1"/>
  <c r="FF136" i="2" s="1"/>
  <c r="FB136" i="2" a="1"/>
  <c r="FB136" i="2" s="1"/>
  <c r="FC134" i="2" a="1"/>
  <c r="FC134" i="2" s="1"/>
  <c r="EY134" i="2" a="1"/>
  <c r="EY134" i="2" s="1"/>
  <c r="EZ132" i="2" a="1"/>
  <c r="EZ132" i="2" s="1"/>
  <c r="EV132" i="2" a="1"/>
  <c r="EV132" i="2" s="1"/>
  <c r="EN132" i="2" a="1"/>
  <c r="EN132" i="2" s="1"/>
  <c r="FE130" i="2" a="1"/>
  <c r="FE130" i="2" s="1"/>
  <c r="EW130" i="2" a="1"/>
  <c r="EW130" i="2" s="1"/>
  <c r="FF128" i="2" a="1"/>
  <c r="FF128" i="2" s="1"/>
  <c r="FB128" i="2" a="1"/>
  <c r="FB128" i="2" s="1"/>
  <c r="FF168" i="2" a="1"/>
  <c r="FF168" i="2" s="1"/>
  <c r="EZ160" i="2" a="1"/>
  <c r="EZ160" i="2" s="1"/>
  <c r="EN160" i="2" a="1"/>
  <c r="EN160" i="2" s="1"/>
  <c r="EY158" i="2" a="1"/>
  <c r="EY158" i="2" s="1"/>
  <c r="EN172" i="2" a="1"/>
  <c r="EN172" i="2" s="1"/>
  <c r="EW170" i="2" a="1"/>
  <c r="EW170" i="2" s="1"/>
  <c r="FB168" i="2" a="1"/>
  <c r="FB168" i="2" s="1"/>
  <c r="EN164" i="2" a="1"/>
  <c r="EN164" i="2" s="1"/>
  <c r="EW162" i="2" a="1"/>
  <c r="EW162" i="2" s="1"/>
  <c r="FC158" i="2" a="1"/>
  <c r="FC158" i="2" s="1"/>
  <c r="FC156" i="2" a="1"/>
  <c r="FC156" i="2" s="1"/>
  <c r="EY156" i="2" a="1"/>
  <c r="EY156" i="2" s="1"/>
  <c r="EZ154" i="2" a="1"/>
  <c r="EZ154" i="2" s="1"/>
  <c r="EV154" i="2" a="1"/>
  <c r="EV154" i="2" s="1"/>
  <c r="EN154" i="2" a="1"/>
  <c r="EN154" i="2" s="1"/>
  <c r="FE152" i="2" a="1"/>
  <c r="FE152" i="2" s="1"/>
  <c r="EW152" i="2" a="1"/>
  <c r="EW152" i="2" s="1"/>
  <c r="EZ146" i="2" a="1"/>
  <c r="EZ146" i="2" s="1"/>
  <c r="EV146" i="2" a="1"/>
  <c r="EV146" i="2" s="1"/>
  <c r="EN146" i="2" a="1"/>
  <c r="EN146" i="2" s="1"/>
  <c r="FE144" i="2" a="1"/>
  <c r="FE144" i="2" s="1"/>
  <c r="EW144" i="2" a="1"/>
  <c r="EW144" i="2" s="1"/>
  <c r="FF142" i="2" a="1"/>
  <c r="FF142" i="2" s="1"/>
  <c r="FB142" i="2" a="1"/>
  <c r="FB142" i="2" s="1"/>
  <c r="FC140" i="2" a="1"/>
  <c r="FC140" i="2" s="1"/>
  <c r="EY140" i="2" a="1"/>
  <c r="EY140" i="2" s="1"/>
  <c r="EZ138" i="2" a="1"/>
  <c r="EZ138" i="2" s="1"/>
  <c r="EV138" i="2" a="1"/>
  <c r="EV138" i="2" s="1"/>
  <c r="EN138" i="2" a="1"/>
  <c r="EN138" i="2" s="1"/>
  <c r="FE136" i="2" a="1"/>
  <c r="FE136" i="2" s="1"/>
  <c r="EW136" i="2" a="1"/>
  <c r="EW136" i="2" s="1"/>
  <c r="FF134" i="2" a="1"/>
  <c r="FF134" i="2" s="1"/>
  <c r="FB134" i="2" a="1"/>
  <c r="FB134" i="2" s="1"/>
  <c r="FC132" i="2" a="1"/>
  <c r="FC132" i="2" s="1"/>
  <c r="EY132" i="2" a="1"/>
  <c r="EY132" i="2" s="1"/>
  <c r="EZ130" i="2" a="1"/>
  <c r="EZ130" i="2" s="1"/>
  <c r="EV130" i="2" a="1"/>
  <c r="EV130" i="2" s="1"/>
  <c r="EN130" i="2" a="1"/>
  <c r="EN130" i="2" s="1"/>
  <c r="FE128" i="2" a="1"/>
  <c r="FE128" i="2" s="1"/>
  <c r="EW128" i="2" a="1"/>
  <c r="EW128" i="2" s="1"/>
  <c r="FF126" i="2" a="1"/>
  <c r="FF126" i="2" s="1"/>
  <c r="FB126" i="2" a="1"/>
  <c r="FB126" i="2" s="1"/>
  <c r="FF160" i="2" a="1"/>
  <c r="FF160" i="2" s="1"/>
  <c r="FC182" i="2" a="1"/>
  <c r="FC182" i="2" s="1"/>
  <c r="FC166" i="2" a="1"/>
  <c r="FC166" i="2" s="1"/>
  <c r="EW158" i="2" a="1"/>
  <c r="EW158" i="2" s="1"/>
  <c r="FF156" i="2" a="1"/>
  <c r="FF156" i="2" s="1"/>
  <c r="FB156" i="2" a="1"/>
  <c r="FB156" i="2" s="1"/>
  <c r="FC154" i="2" a="1"/>
  <c r="FC154" i="2" s="1"/>
  <c r="EY154" i="2" a="1"/>
  <c r="EY154" i="2" s="1"/>
  <c r="EZ152" i="2" a="1"/>
  <c r="EZ152" i="2" s="1"/>
  <c r="EV152" i="2" a="1"/>
  <c r="EV152" i="2" s="1"/>
  <c r="EN152" i="2" a="1"/>
  <c r="EN152" i="2" s="1"/>
  <c r="FC146" i="2" a="1"/>
  <c r="FC146" i="2" s="1"/>
  <c r="EY146" i="2" a="1"/>
  <c r="EY146" i="2" s="1"/>
  <c r="EZ144" i="2" a="1"/>
  <c r="EZ144" i="2" s="1"/>
  <c r="EV144" i="2" a="1"/>
  <c r="EV144" i="2" s="1"/>
  <c r="EN144" i="2" a="1"/>
  <c r="EN144" i="2" s="1"/>
  <c r="FE142" i="2" a="1"/>
  <c r="FE142" i="2" s="1"/>
  <c r="EW142" i="2" a="1"/>
  <c r="EW142" i="2" s="1"/>
  <c r="FF140" i="2" a="1"/>
  <c r="FF140" i="2" s="1"/>
  <c r="FB140" i="2" a="1"/>
  <c r="FB140" i="2" s="1"/>
  <c r="FC138" i="2" a="1"/>
  <c r="FC138" i="2" s="1"/>
  <c r="EY138" i="2" a="1"/>
  <c r="EY138" i="2" s="1"/>
  <c r="EZ136" i="2" a="1"/>
  <c r="EZ136" i="2" s="1"/>
  <c r="EV136" i="2" a="1"/>
  <c r="EV136" i="2" s="1"/>
  <c r="EN136" i="2" a="1"/>
  <c r="EN136" i="2" s="1"/>
  <c r="FE134" i="2" a="1"/>
  <c r="FE134" i="2" s="1"/>
  <c r="EW134" i="2" a="1"/>
  <c r="EW134" i="2" s="1"/>
  <c r="FF132" i="2" a="1"/>
  <c r="FF132" i="2" s="1"/>
  <c r="FB132" i="2" a="1"/>
  <c r="FB132" i="2" s="1"/>
  <c r="FC130" i="2" a="1"/>
  <c r="FC130" i="2" s="1"/>
  <c r="EY130" i="2" a="1"/>
  <c r="EY130" i="2" s="1"/>
  <c r="EZ128" i="2" a="1"/>
  <c r="EZ128" i="2" s="1"/>
  <c r="EV128" i="2" a="1"/>
  <c r="EV128" i="2" s="1"/>
  <c r="EN128" i="2" a="1"/>
  <c r="EN128" i="2" s="1"/>
  <c r="FE126" i="2" a="1"/>
  <c r="FE126" i="2" s="1"/>
  <c r="EW126" i="2" a="1"/>
  <c r="EW126" i="2" s="1"/>
  <c r="FF124" i="2" a="1"/>
  <c r="FF124" i="2" s="1"/>
  <c r="FB124" i="2" a="1"/>
  <c r="FB124" i="2" s="1"/>
  <c r="FB174" i="2" a="1"/>
  <c r="FB174" i="2" s="1"/>
  <c r="EY166" i="2" a="1"/>
  <c r="EY166" i="2" s="1"/>
  <c r="EV160" i="2" a="1"/>
  <c r="EV160" i="2" s="1"/>
  <c r="FE158" i="2" a="1"/>
  <c r="FE158" i="2" s="1"/>
  <c r="EV158" i="2" a="1"/>
  <c r="EV158" i="2" s="1"/>
  <c r="EN158" i="2" a="1"/>
  <c r="EN158" i="2" s="1"/>
  <c r="FE156" i="2" a="1"/>
  <c r="FE156" i="2" s="1"/>
  <c r="EW156" i="2" a="1"/>
  <c r="EW156" i="2" s="1"/>
  <c r="FF154" i="2" a="1"/>
  <c r="FF154" i="2" s="1"/>
  <c r="FB154" i="2" a="1"/>
  <c r="FB154" i="2" s="1"/>
  <c r="FC152" i="2" a="1"/>
  <c r="FC152" i="2" s="1"/>
  <c r="EY152" i="2" a="1"/>
  <c r="EY152" i="2" s="1"/>
  <c r="FF146" i="2" a="1"/>
  <c r="FF146" i="2" s="1"/>
  <c r="FB146" i="2" a="1"/>
  <c r="FB146" i="2" s="1"/>
  <c r="EZ172" i="2" a="1"/>
  <c r="EZ172" i="2" s="1"/>
  <c r="EZ164" i="2" a="1"/>
  <c r="EZ164" i="2" s="1"/>
  <c r="FB160" i="2" a="1"/>
  <c r="FB160" i="2" s="1"/>
  <c r="EZ158" i="2" a="1"/>
  <c r="EZ158" i="2" s="1"/>
  <c r="EZ142" i="2" a="1"/>
  <c r="EZ142" i="2" s="1"/>
  <c r="FC136" i="2" a="1"/>
  <c r="FC136" i="2" s="1"/>
  <c r="EW132" i="2" a="1"/>
  <c r="EW132" i="2" s="1"/>
  <c r="FC128" i="2" a="1"/>
  <c r="FC128" i="2" s="1"/>
  <c r="EN126" i="2" a="1"/>
  <c r="EN126" i="2" s="1"/>
  <c r="FE124" i="2" a="1"/>
  <c r="FE124" i="2" s="1"/>
  <c r="EZ124" i="2" a="1"/>
  <c r="EZ124" i="2" s="1"/>
  <c r="EV142" i="2" a="1"/>
  <c r="EV142" i="2" s="1"/>
  <c r="FE140" i="2" a="1"/>
  <c r="FE140" i="2" s="1"/>
  <c r="FC126" i="2" a="1"/>
  <c r="FC126" i="2" s="1"/>
  <c r="FC122" i="2" a="1"/>
  <c r="FC122" i="2" s="1"/>
  <c r="EY122" i="2" a="1"/>
  <c r="EY122" i="2" s="1"/>
  <c r="FF116" i="2" a="1"/>
  <c r="FF116" i="2" s="1"/>
  <c r="FB116" i="2" a="1"/>
  <c r="FB116" i="2" s="1"/>
  <c r="FC114" i="2" a="1"/>
  <c r="FC114" i="2" s="1"/>
  <c r="EY114" i="2" a="1"/>
  <c r="EY114" i="2" s="1"/>
  <c r="EZ112" i="2" a="1"/>
  <c r="EZ112" i="2" s="1"/>
  <c r="EV112" i="2" a="1"/>
  <c r="EV112" i="2" s="1"/>
  <c r="EN112" i="2" a="1"/>
  <c r="EN112" i="2" s="1"/>
  <c r="FE110" i="2" a="1"/>
  <c r="FE110" i="2" s="1"/>
  <c r="EW110" i="2" a="1"/>
  <c r="EW110" i="2" s="1"/>
  <c r="FF108" i="2" a="1"/>
  <c r="FF108" i="2" s="1"/>
  <c r="FB108" i="2" a="1"/>
  <c r="FB108" i="2" s="1"/>
  <c r="FC106" i="2" a="1"/>
  <c r="FC106" i="2" s="1"/>
  <c r="EY106" i="2" a="1"/>
  <c r="EY106" i="2" s="1"/>
  <c r="EZ104" i="2" a="1"/>
  <c r="EZ104" i="2" s="1"/>
  <c r="EV104" i="2" a="1"/>
  <c r="EV104" i="2" s="1"/>
  <c r="EN104" i="2" a="1"/>
  <c r="EN104" i="2" s="1"/>
  <c r="FE102" i="2" a="1"/>
  <c r="FE102" i="2" s="1"/>
  <c r="EW102" i="2" a="1"/>
  <c r="EW102" i="2" s="1"/>
  <c r="FF100" i="2" a="1"/>
  <c r="FF100" i="2" s="1"/>
  <c r="FB100" i="2" a="1"/>
  <c r="FB100" i="2" s="1"/>
  <c r="FC98" i="2" a="1"/>
  <c r="FC98" i="2" s="1"/>
  <c r="EY98" i="2" a="1"/>
  <c r="EY98" i="2" s="1"/>
  <c r="EZ96" i="2" a="1"/>
  <c r="EZ96" i="2" s="1"/>
  <c r="EV96" i="2" a="1"/>
  <c r="EV96" i="2" s="1"/>
  <c r="EN96" i="2" a="1"/>
  <c r="EN96" i="2" s="1"/>
  <c r="FE94" i="2" a="1"/>
  <c r="FE94" i="2" s="1"/>
  <c r="EW94" i="2" a="1"/>
  <c r="EW94" i="2" s="1"/>
  <c r="FF92" i="2" a="1"/>
  <c r="FF92" i="2" s="1"/>
  <c r="FB92" i="2" a="1"/>
  <c r="FB92" i="2" s="1"/>
  <c r="FE86" i="2" a="1"/>
  <c r="FE86" i="2" s="1"/>
  <c r="EW86" i="2" a="1"/>
  <c r="EW86" i="2" s="1"/>
  <c r="FF84" i="2" a="1"/>
  <c r="FF84" i="2" s="1"/>
  <c r="FB84" i="2" a="1"/>
  <c r="FB84" i="2" s="1"/>
  <c r="FC82" i="2" a="1"/>
  <c r="FC82" i="2" s="1"/>
  <c r="EY82" i="2" a="1"/>
  <c r="EY82" i="2" s="1"/>
  <c r="EZ80" i="2" a="1"/>
  <c r="EZ80" i="2" s="1"/>
  <c r="EV80" i="2" a="1"/>
  <c r="EV80" i="2" s="1"/>
  <c r="EN80" i="2" a="1"/>
  <c r="EN80" i="2" s="1"/>
  <c r="FF138" i="2" a="1"/>
  <c r="FF138" i="2" s="1"/>
  <c r="EY136" i="2" a="1"/>
  <c r="EY136" i="2" s="1"/>
  <c r="EN134" i="2" a="1"/>
  <c r="EN134" i="2" s="1"/>
  <c r="EY128" i="2" a="1"/>
  <c r="EY128" i="2" s="1"/>
  <c r="EY124" i="2" a="1"/>
  <c r="EY124" i="2" s="1"/>
  <c r="EN124" i="2" a="1"/>
  <c r="EN124" i="2" s="1"/>
  <c r="EN142" i="2" a="1"/>
  <c r="EN142" i="2" s="1"/>
  <c r="EW140" i="2" a="1"/>
  <c r="EW140" i="2" s="1"/>
  <c r="FB138" i="2" a="1"/>
  <c r="FB138" i="2" s="1"/>
  <c r="EZ126" i="2" a="1"/>
  <c r="EZ126" i="2" s="1"/>
  <c r="FF122" i="2" a="1"/>
  <c r="FF122" i="2" s="1"/>
  <c r="FB122" i="2" a="1"/>
  <c r="FB122" i="2" s="1"/>
  <c r="FE116" i="2" a="1"/>
  <c r="FE116" i="2" s="1"/>
  <c r="EW116" i="2" a="1"/>
  <c r="EW116" i="2" s="1"/>
  <c r="FF114" i="2" a="1"/>
  <c r="FF114" i="2" s="1"/>
  <c r="FB114" i="2" a="1"/>
  <c r="FB114" i="2" s="1"/>
  <c r="FC112" i="2" a="1"/>
  <c r="FC112" i="2" s="1"/>
  <c r="EY112" i="2" a="1"/>
  <c r="EY112" i="2" s="1"/>
  <c r="EZ110" i="2" a="1"/>
  <c r="EZ110" i="2" s="1"/>
  <c r="EV110" i="2" a="1"/>
  <c r="EV110" i="2" s="1"/>
  <c r="EN110" i="2" a="1"/>
  <c r="EN110" i="2" s="1"/>
  <c r="FE108" i="2" a="1"/>
  <c r="FE108" i="2" s="1"/>
  <c r="EW108" i="2" a="1"/>
  <c r="EW108" i="2" s="1"/>
  <c r="FF106" i="2" a="1"/>
  <c r="FF106" i="2" s="1"/>
  <c r="FB106" i="2" a="1"/>
  <c r="FB106" i="2" s="1"/>
  <c r="FC104" i="2" a="1"/>
  <c r="FC104" i="2" s="1"/>
  <c r="EY104" i="2" a="1"/>
  <c r="EY104" i="2" s="1"/>
  <c r="EZ102" i="2" a="1"/>
  <c r="EZ102" i="2" s="1"/>
  <c r="EV102" i="2" a="1"/>
  <c r="EV102" i="2" s="1"/>
  <c r="EN102" i="2" a="1"/>
  <c r="EN102" i="2" s="1"/>
  <c r="FE100" i="2" a="1"/>
  <c r="FE100" i="2" s="1"/>
  <c r="EW100" i="2" a="1"/>
  <c r="EW100" i="2" s="1"/>
  <c r="FF98" i="2" a="1"/>
  <c r="FF98" i="2" s="1"/>
  <c r="FB98" i="2" a="1"/>
  <c r="FB98" i="2" s="1"/>
  <c r="FC96" i="2" a="1"/>
  <c r="FC96" i="2" s="1"/>
  <c r="EY96" i="2" a="1"/>
  <c r="EY96" i="2" s="1"/>
  <c r="EZ94" i="2" a="1"/>
  <c r="EZ94" i="2" s="1"/>
  <c r="EV94" i="2" a="1"/>
  <c r="EV94" i="2" s="1"/>
  <c r="EN94" i="2" a="1"/>
  <c r="EN94" i="2" s="1"/>
  <c r="FE92" i="2" a="1"/>
  <c r="FE92" i="2" s="1"/>
  <c r="EW92" i="2" a="1"/>
  <c r="EW92" i="2" s="1"/>
  <c r="EZ86" i="2" a="1"/>
  <c r="EZ86" i="2" s="1"/>
  <c r="EV86" i="2" a="1"/>
  <c r="EV86" i="2" s="1"/>
  <c r="EZ134" i="2" a="1"/>
  <c r="EZ134" i="2" s="1"/>
  <c r="FE132" i="2" a="1"/>
  <c r="FE132" i="2" s="1"/>
  <c r="FF130" i="2" a="1"/>
  <c r="FF130" i="2" s="1"/>
  <c r="FC124" i="2" a="1"/>
  <c r="FC124" i="2" s="1"/>
  <c r="EW124" i="2" a="1"/>
  <c r="EW124" i="2" s="1"/>
  <c r="FC144" i="2" a="1"/>
  <c r="FC144" i="2" s="1"/>
  <c r="EY126" i="2" a="1"/>
  <c r="EY126" i="2" s="1"/>
  <c r="FE122" i="2" a="1"/>
  <c r="FE122" i="2" s="1"/>
  <c r="EW122" i="2" a="1"/>
  <c r="EW122" i="2" s="1"/>
  <c r="EZ116" i="2" a="1"/>
  <c r="EZ116" i="2" s="1"/>
  <c r="EV116" i="2" a="1"/>
  <c r="EV116" i="2" s="1"/>
  <c r="EN116" i="2" a="1"/>
  <c r="EN116" i="2" s="1"/>
  <c r="FE114" i="2" a="1"/>
  <c r="FE114" i="2" s="1"/>
  <c r="EW114" i="2" a="1"/>
  <c r="EW114" i="2" s="1"/>
  <c r="FF112" i="2" a="1"/>
  <c r="FF112" i="2" s="1"/>
  <c r="FB112" i="2" a="1"/>
  <c r="FB112" i="2" s="1"/>
  <c r="FC110" i="2" a="1"/>
  <c r="FC110" i="2" s="1"/>
  <c r="EY110" i="2" a="1"/>
  <c r="EY110" i="2" s="1"/>
  <c r="EZ108" i="2" a="1"/>
  <c r="EZ108" i="2" s="1"/>
  <c r="EV108" i="2" a="1"/>
  <c r="EV108" i="2" s="1"/>
  <c r="EN108" i="2" a="1"/>
  <c r="EN108" i="2" s="1"/>
  <c r="FE106" i="2" a="1"/>
  <c r="FE106" i="2" s="1"/>
  <c r="EW106" i="2" a="1"/>
  <c r="EW106" i="2" s="1"/>
  <c r="FF104" i="2" a="1"/>
  <c r="FF104" i="2" s="1"/>
  <c r="FB104" i="2" a="1"/>
  <c r="FB104" i="2" s="1"/>
  <c r="FC102" i="2" a="1"/>
  <c r="FC102" i="2" s="1"/>
  <c r="EY102" i="2" a="1"/>
  <c r="EY102" i="2" s="1"/>
  <c r="EZ100" i="2" a="1"/>
  <c r="EZ100" i="2" s="1"/>
  <c r="EV100" i="2" a="1"/>
  <c r="EV100" i="2" s="1"/>
  <c r="EN100" i="2" a="1"/>
  <c r="EN100" i="2" s="1"/>
  <c r="FE98" i="2" a="1"/>
  <c r="FE98" i="2" s="1"/>
  <c r="EW98" i="2" a="1"/>
  <c r="EW98" i="2" s="1"/>
  <c r="FF96" i="2" a="1"/>
  <c r="FF96" i="2" s="1"/>
  <c r="FB96" i="2" a="1"/>
  <c r="FB96" i="2" s="1"/>
  <c r="FC94" i="2" a="1"/>
  <c r="FC94" i="2" s="1"/>
  <c r="EY94" i="2" a="1"/>
  <c r="EY94" i="2" s="1"/>
  <c r="EZ92" i="2" a="1"/>
  <c r="EZ92" i="2" s="1"/>
  <c r="EV92" i="2" a="1"/>
  <c r="EV92" i="2" s="1"/>
  <c r="EN92" i="2" a="1"/>
  <c r="EN92" i="2" s="1"/>
  <c r="FC86" i="2" a="1"/>
  <c r="FC86" i="2" s="1"/>
  <c r="EY86" i="2" a="1"/>
  <c r="EY86" i="2" s="1"/>
  <c r="EZ84" i="2" a="1"/>
  <c r="EZ84" i="2" s="1"/>
  <c r="EV84" i="2" a="1"/>
  <c r="EV84" i="2" s="1"/>
  <c r="EN84" i="2" a="1"/>
  <c r="EN84" i="2" s="1"/>
  <c r="FE82" i="2" a="1"/>
  <c r="FE82" i="2" s="1"/>
  <c r="EW82" i="2" a="1"/>
  <c r="EW82" i="2" s="1"/>
  <c r="FF80" i="2" a="1"/>
  <c r="FF80" i="2" s="1"/>
  <c r="FB80" i="2" a="1"/>
  <c r="FB80" i="2" s="1"/>
  <c r="EY144" i="2" a="1"/>
  <c r="EY144" i="2" s="1"/>
  <c r="EV134" i="2" a="1"/>
  <c r="EV134" i="2" s="1"/>
  <c r="FB130" i="2" a="1"/>
  <c r="FB130" i="2" s="1"/>
  <c r="EV124" i="2" a="1"/>
  <c r="EV124" i="2" s="1"/>
  <c r="EV126" i="2" a="1"/>
  <c r="EV126" i="2" s="1"/>
  <c r="EZ122" i="2" a="1"/>
  <c r="EZ122" i="2" s="1"/>
  <c r="EV122" i="2" a="1"/>
  <c r="EV122" i="2" s="1"/>
  <c r="EN122" i="2" a="1"/>
  <c r="EN122" i="2" s="1"/>
  <c r="FC116" i="2" a="1"/>
  <c r="FC116" i="2" s="1"/>
  <c r="EY116" i="2" a="1"/>
  <c r="EY116" i="2" s="1"/>
  <c r="EZ114" i="2" a="1"/>
  <c r="EZ114" i="2" s="1"/>
  <c r="EV114" i="2" a="1"/>
  <c r="EV114" i="2" s="1"/>
  <c r="EN114" i="2" a="1"/>
  <c r="EN114" i="2" s="1"/>
  <c r="FE112" i="2" a="1"/>
  <c r="FE112" i="2" s="1"/>
  <c r="EW112" i="2" a="1"/>
  <c r="EW112" i="2" s="1"/>
  <c r="FF110" i="2" a="1"/>
  <c r="FF110" i="2" s="1"/>
  <c r="FB110" i="2" a="1"/>
  <c r="FB110" i="2" s="1"/>
  <c r="FC108" i="2" a="1"/>
  <c r="FC108" i="2" s="1"/>
  <c r="EY108" i="2" a="1"/>
  <c r="EY108" i="2" s="1"/>
  <c r="EZ106" i="2" a="1"/>
  <c r="EZ106" i="2" s="1"/>
  <c r="EV106" i="2" a="1"/>
  <c r="EV106" i="2" s="1"/>
  <c r="EN106" i="2" a="1"/>
  <c r="EN106" i="2" s="1"/>
  <c r="FE104" i="2" a="1"/>
  <c r="FE104" i="2" s="1"/>
  <c r="EW104" i="2" a="1"/>
  <c r="EW104" i="2" s="1"/>
  <c r="FF102" i="2" a="1"/>
  <c r="FF102" i="2" s="1"/>
  <c r="FB102" i="2" a="1"/>
  <c r="FB102" i="2" s="1"/>
  <c r="FE96" i="2" a="1"/>
  <c r="FE96" i="2" s="1"/>
  <c r="FE84" i="2" a="1"/>
  <c r="FE84" i="2" s="1"/>
  <c r="EY84" i="2" a="1"/>
  <c r="EY84" i="2" s="1"/>
  <c r="FF82" i="2" a="1"/>
  <c r="FF82" i="2" s="1"/>
  <c r="EZ82" i="2" a="1"/>
  <c r="EZ82" i="2" s="1"/>
  <c r="FC80" i="2" a="1"/>
  <c r="FC80" i="2" s="1"/>
  <c r="EZ64" i="2" a="1"/>
  <c r="EZ64" i="2" s="1"/>
  <c r="EV64" i="2" a="1"/>
  <c r="EV64" i="2" s="1"/>
  <c r="EN64" i="2" a="1"/>
  <c r="EN64" i="2" s="1"/>
  <c r="FF56" i="2" a="1"/>
  <c r="FF56" i="2" s="1"/>
  <c r="FB56" i="2" a="1"/>
  <c r="FB56" i="2" s="1"/>
  <c r="FC52" i="2" a="1"/>
  <c r="FC52" i="2" s="1"/>
  <c r="EY52" i="2" a="1"/>
  <c r="EY52" i="2" s="1"/>
  <c r="EZ98" i="2" a="1"/>
  <c r="EZ98" i="2" s="1"/>
  <c r="FB94" i="2" a="1"/>
  <c r="FB94" i="2" s="1"/>
  <c r="EN86" i="2" a="1"/>
  <c r="EN86" i="2" s="1"/>
  <c r="EW80" i="2" a="1"/>
  <c r="EW80" i="2" s="1"/>
  <c r="FE78" i="2" a="1"/>
  <c r="FE78" i="2" s="1"/>
  <c r="EW78" i="2" a="1"/>
  <c r="EW78" i="2" s="1"/>
  <c r="FF76" i="2" a="1"/>
  <c r="FF76" i="2" s="1"/>
  <c r="FB76" i="2" a="1"/>
  <c r="FB76" i="2" s="1"/>
  <c r="FC74" i="2" a="1"/>
  <c r="FC74" i="2" s="1"/>
  <c r="EY74" i="2" a="1"/>
  <c r="EY74" i="2" s="1"/>
  <c r="EZ72" i="2" a="1"/>
  <c r="EZ72" i="2" s="1"/>
  <c r="EV72" i="2" a="1"/>
  <c r="EV72" i="2" s="1"/>
  <c r="EN72" i="2" a="1"/>
  <c r="EN72" i="2" s="1"/>
  <c r="FE70" i="2" a="1"/>
  <c r="FE70" i="2" s="1"/>
  <c r="EW70" i="2" a="1"/>
  <c r="EW70" i="2" s="1"/>
  <c r="FF68" i="2" a="1"/>
  <c r="FF68" i="2" s="1"/>
  <c r="FB68" i="2" a="1"/>
  <c r="FB68" i="2" s="1"/>
  <c r="FC66" i="2" a="1"/>
  <c r="FC66" i="2" s="1"/>
  <c r="EY66" i="2" a="1"/>
  <c r="EY66" i="2" s="1"/>
  <c r="FF62" i="2" a="1"/>
  <c r="FF62" i="2" s="1"/>
  <c r="FB62" i="2" a="1"/>
  <c r="FB62" i="2" s="1"/>
  <c r="EZ54" i="2" a="1"/>
  <c r="EZ54" i="2" s="1"/>
  <c r="EV54" i="2" a="1"/>
  <c r="EV54" i="2" s="1"/>
  <c r="EN54" i="2" a="1"/>
  <c r="EN54" i="2" s="1"/>
  <c r="FE50" i="2" a="1"/>
  <c r="FE50" i="2" s="1"/>
  <c r="EW50" i="2" a="1"/>
  <c r="EW50" i="2" s="1"/>
  <c r="FC92" i="2" a="1"/>
  <c r="FC92" i="2" s="1"/>
  <c r="FF86" i="2" a="1"/>
  <c r="FF86" i="2" s="1"/>
  <c r="EW84" i="2" a="1"/>
  <c r="EW84" i="2" s="1"/>
  <c r="FC64" i="2" a="1"/>
  <c r="FC64" i="2" s="1"/>
  <c r="EY64" i="2" a="1"/>
  <c r="EY64" i="2" s="1"/>
  <c r="FE56" i="2" a="1"/>
  <c r="FE56" i="2" s="1"/>
  <c r="EW56" i="2" a="1"/>
  <c r="EW56" i="2" s="1"/>
  <c r="FF52" i="2" a="1"/>
  <c r="FF52" i="2" s="1"/>
  <c r="FB52" i="2" a="1"/>
  <c r="FB52" i="2" s="1"/>
  <c r="FC100" i="2" a="1"/>
  <c r="FC100" i="2" s="1"/>
  <c r="EV98" i="2" a="1"/>
  <c r="EV98" i="2" s="1"/>
  <c r="FC84" i="2" a="1"/>
  <c r="FC84" i="2" s="1"/>
  <c r="EZ78" i="2" a="1"/>
  <c r="EZ78" i="2" s="1"/>
  <c r="EV78" i="2" a="1"/>
  <c r="EV78" i="2" s="1"/>
  <c r="EN78" i="2" a="1"/>
  <c r="EN78" i="2" s="1"/>
  <c r="FE76" i="2" a="1"/>
  <c r="FE76" i="2" s="1"/>
  <c r="EW76" i="2" a="1"/>
  <c r="EW76" i="2" s="1"/>
  <c r="FF74" i="2" a="1"/>
  <c r="FF74" i="2" s="1"/>
  <c r="FB74" i="2" a="1"/>
  <c r="FB74" i="2" s="1"/>
  <c r="FC72" i="2" a="1"/>
  <c r="FC72" i="2" s="1"/>
  <c r="EY72" i="2" a="1"/>
  <c r="EY72" i="2" s="1"/>
  <c r="EZ70" i="2" a="1"/>
  <c r="EZ70" i="2" s="1"/>
  <c r="EV70" i="2" a="1"/>
  <c r="EV70" i="2" s="1"/>
  <c r="EN70" i="2" a="1"/>
  <c r="EN70" i="2" s="1"/>
  <c r="FE68" i="2" a="1"/>
  <c r="FE68" i="2" s="1"/>
  <c r="EW68" i="2" a="1"/>
  <c r="EW68" i="2" s="1"/>
  <c r="FF66" i="2" a="1"/>
  <c r="FF66" i="2" s="1"/>
  <c r="FB66" i="2" a="1"/>
  <c r="FB66" i="2" s="1"/>
  <c r="FE62" i="2" a="1"/>
  <c r="FE62" i="2" s="1"/>
  <c r="EW62" i="2" a="1"/>
  <c r="EW62" i="2" s="1"/>
  <c r="FC54" i="2" a="1"/>
  <c r="FC54" i="2" s="1"/>
  <c r="EY54" i="2" a="1"/>
  <c r="EY54" i="2" s="1"/>
  <c r="EY100" i="2" a="1"/>
  <c r="EY100" i="2" s="1"/>
  <c r="EW96" i="2" a="1"/>
  <c r="EW96" i="2" s="1"/>
  <c r="FF64" i="2" a="1"/>
  <c r="FF64" i="2" s="1"/>
  <c r="FB64" i="2" a="1"/>
  <c r="FB64" i="2" s="1"/>
  <c r="EZ56" i="2" a="1"/>
  <c r="EZ56" i="2" s="1"/>
  <c r="EV56" i="2" a="1"/>
  <c r="EV56" i="2" s="1"/>
  <c r="EN56" i="2" a="1"/>
  <c r="EN56" i="2" s="1"/>
  <c r="FE52" i="2" a="1"/>
  <c r="FE52" i="2" s="1"/>
  <c r="EW52" i="2" a="1"/>
  <c r="EW52" i="2" s="1"/>
  <c r="FF48" i="2" a="1"/>
  <c r="FF48" i="2" s="1"/>
  <c r="FB48" i="2" a="1"/>
  <c r="FB48" i="2" s="1"/>
  <c r="FF94" i="2" a="1"/>
  <c r="FF94" i="2" s="1"/>
  <c r="EY80" i="2" a="1"/>
  <c r="EY80" i="2" s="1"/>
  <c r="FE64" i="2" a="1"/>
  <c r="FE64" i="2" s="1"/>
  <c r="EW64" i="2" a="1"/>
  <c r="EW64" i="2" s="1"/>
  <c r="FC56" i="2" a="1"/>
  <c r="FC56" i="2" s="1"/>
  <c r="EY56" i="2" a="1"/>
  <c r="EY56" i="2" s="1"/>
  <c r="EZ52" i="2" a="1"/>
  <c r="EZ52" i="2" s="1"/>
  <c r="EV52" i="2" a="1"/>
  <c r="EV52" i="2" s="1"/>
  <c r="EN52" i="2" a="1"/>
  <c r="EN52" i="2" s="1"/>
  <c r="EN98" i="2" a="1"/>
  <c r="EN98" i="2" s="1"/>
  <c r="EN82" i="2" a="1"/>
  <c r="EN82" i="2" s="1"/>
  <c r="FF78" i="2" a="1"/>
  <c r="FF78" i="2" s="1"/>
  <c r="FB78" i="2" a="1"/>
  <c r="FB78" i="2" s="1"/>
  <c r="FC76" i="2" a="1"/>
  <c r="FC76" i="2" s="1"/>
  <c r="EY76" i="2" a="1"/>
  <c r="EY76" i="2" s="1"/>
  <c r="EZ74" i="2" a="1"/>
  <c r="EZ74" i="2" s="1"/>
  <c r="EV74" i="2" a="1"/>
  <c r="EV74" i="2" s="1"/>
  <c r="EN74" i="2" a="1"/>
  <c r="EN74" i="2" s="1"/>
  <c r="FE72" i="2" a="1"/>
  <c r="FE72" i="2" s="1"/>
  <c r="EW72" i="2" a="1"/>
  <c r="EW72" i="2" s="1"/>
  <c r="FF70" i="2" a="1"/>
  <c r="FF70" i="2" s="1"/>
  <c r="FB70" i="2" a="1"/>
  <c r="FB70" i="2" s="1"/>
  <c r="FC68" i="2" a="1"/>
  <c r="FC68" i="2" s="1"/>
  <c r="EY68" i="2" a="1"/>
  <c r="EY68" i="2" s="1"/>
  <c r="EZ66" i="2" a="1"/>
  <c r="EZ66" i="2" s="1"/>
  <c r="EV66" i="2" a="1"/>
  <c r="EV66" i="2" s="1"/>
  <c r="EN66" i="2" a="1"/>
  <c r="EN66" i="2" s="1"/>
  <c r="FC62" i="2" a="1"/>
  <c r="FC62" i="2" s="1"/>
  <c r="EY62" i="2" a="1"/>
  <c r="EY62" i="2" s="1"/>
  <c r="FE54" i="2" a="1"/>
  <c r="FE54" i="2" s="1"/>
  <c r="EW54" i="2" a="1"/>
  <c r="EW54" i="2" s="1"/>
  <c r="FF50" i="2" a="1"/>
  <c r="FF50" i="2" s="1"/>
  <c r="FB50" i="2" a="1"/>
  <c r="FB50" i="2" s="1"/>
  <c r="FC78" i="2" a="1"/>
  <c r="FC78" i="2" s="1"/>
  <c r="FC70" i="2" a="1"/>
  <c r="FC70" i="2" s="1"/>
  <c r="EZ62" i="2" a="1"/>
  <c r="EZ62" i="2" s="1"/>
  <c r="EV48" i="2" a="1"/>
  <c r="EV48" i="2" s="1"/>
  <c r="FE46" i="2" a="1"/>
  <c r="FE46" i="2" s="1"/>
  <c r="EW46" i="2" a="1"/>
  <c r="EW46" i="2" s="1"/>
  <c r="FF42" i="2" a="1"/>
  <c r="FF42" i="2" s="1"/>
  <c r="FB42" i="2" a="1"/>
  <c r="FB42" i="2" s="1"/>
  <c r="FC38" i="2" a="1"/>
  <c r="FC38" i="2" s="1"/>
  <c r="EY38" i="2" a="1"/>
  <c r="EY38" i="2" s="1"/>
  <c r="EZ34" i="2" a="1"/>
  <c r="EZ34" i="2" s="1"/>
  <c r="EV34" i="2" a="1"/>
  <c r="EV34" i="2" s="1"/>
  <c r="EN34" i="2" a="1"/>
  <c r="EN34" i="2" s="1"/>
  <c r="EY78" i="2" a="1"/>
  <c r="EY78" i="2" s="1"/>
  <c r="EY70" i="2" a="1"/>
  <c r="EY70" i="2" s="1"/>
  <c r="EV62" i="2" a="1"/>
  <c r="EV62" i="2" s="1"/>
  <c r="EZ48" i="2" a="1"/>
  <c r="EZ48" i="2" s="1"/>
  <c r="FC44" i="2" a="1"/>
  <c r="FC44" i="2" s="1"/>
  <c r="EY44" i="2" a="1"/>
  <c r="EY44" i="2" s="1"/>
  <c r="EZ40" i="2" a="1"/>
  <c r="EZ40" i="2" s="1"/>
  <c r="EV40" i="2" a="1"/>
  <c r="EV40" i="2" s="1"/>
  <c r="EN40" i="2" a="1"/>
  <c r="EN40" i="2" s="1"/>
  <c r="FE36" i="2" a="1"/>
  <c r="FE36" i="2" s="1"/>
  <c r="EW36" i="2" a="1"/>
  <c r="EW36" i="2" s="1"/>
  <c r="EZ32" i="2" a="1"/>
  <c r="EZ32" i="2" s="1"/>
  <c r="EV32" i="2" a="1"/>
  <c r="EV32" i="2" s="1"/>
  <c r="EY92" i="2" a="1"/>
  <c r="EY92" i="2" s="1"/>
  <c r="FB82" i="2" a="1"/>
  <c r="FB82" i="2" s="1"/>
  <c r="FE48" i="2" a="1"/>
  <c r="FE48" i="2" s="1"/>
  <c r="EZ46" i="2" a="1"/>
  <c r="EZ46" i="2" s="1"/>
  <c r="EV46" i="2" a="1"/>
  <c r="EV46" i="2" s="1"/>
  <c r="EN46" i="2" a="1"/>
  <c r="EN46" i="2" s="1"/>
  <c r="FE42" i="2" a="1"/>
  <c r="FE42" i="2" s="1"/>
  <c r="EW42" i="2" a="1"/>
  <c r="EW42" i="2" s="1"/>
  <c r="FF38" i="2" a="1"/>
  <c r="FF38" i="2" s="1"/>
  <c r="FB38" i="2" a="1"/>
  <c r="FB38" i="2" s="1"/>
  <c r="FC34" i="2" a="1"/>
  <c r="FC34" i="2" s="1"/>
  <c r="EY34" i="2" a="1"/>
  <c r="EY34" i="2" s="1"/>
  <c r="FB86" i="2" a="1"/>
  <c r="FB86" i="2" s="1"/>
  <c r="EV82" i="2" a="1"/>
  <c r="EV82" i="2" s="1"/>
  <c r="EZ76" i="2" a="1"/>
  <c r="EZ76" i="2" s="1"/>
  <c r="EZ68" i="2" a="1"/>
  <c r="EZ68" i="2" s="1"/>
  <c r="EN62" i="2" a="1"/>
  <c r="EN62" i="2" s="1"/>
  <c r="FF54" i="2" a="1"/>
  <c r="FF54" i="2" s="1"/>
  <c r="FC50" i="2" a="1"/>
  <c r="FC50" i="2" s="1"/>
  <c r="EN50" i="2" a="1"/>
  <c r="EN50" i="2" s="1"/>
  <c r="EY48" i="2" a="1"/>
  <c r="EY48" i="2" s="1"/>
  <c r="FF44" i="2" a="1"/>
  <c r="FF44" i="2" s="1"/>
  <c r="FB44" i="2" a="1"/>
  <c r="FB44" i="2" s="1"/>
  <c r="FC40" i="2" a="1"/>
  <c r="FC40" i="2" s="1"/>
  <c r="EY40" i="2" a="1"/>
  <c r="EY40" i="2" s="1"/>
  <c r="EZ36" i="2" a="1"/>
  <c r="EZ36" i="2" s="1"/>
  <c r="EV36" i="2" a="1"/>
  <c r="EV36" i="2" s="1"/>
  <c r="EN36" i="2" a="1"/>
  <c r="EN36" i="2" s="1"/>
  <c r="EV76" i="2" a="1"/>
  <c r="EV76" i="2" s="1"/>
  <c r="FE74" i="2" a="1"/>
  <c r="FE74" i="2" s="1"/>
  <c r="EV68" i="2" a="1"/>
  <c r="EV68" i="2" s="1"/>
  <c r="FE66" i="2" a="1"/>
  <c r="FE66" i="2" s="1"/>
  <c r="FB54" i="2" a="1"/>
  <c r="FB54" i="2" s="1"/>
  <c r="EZ50" i="2" a="1"/>
  <c r="EZ50" i="2" s="1"/>
  <c r="FC46" i="2" a="1"/>
  <c r="FC46" i="2" s="1"/>
  <c r="EY46" i="2" a="1"/>
  <c r="EY46" i="2" s="1"/>
  <c r="EZ42" i="2" a="1"/>
  <c r="EZ42" i="2" s="1"/>
  <c r="EV42" i="2" a="1"/>
  <c r="EV42" i="2" s="1"/>
  <c r="EN42" i="2" a="1"/>
  <c r="EN42" i="2" s="1"/>
  <c r="FE38" i="2" a="1"/>
  <c r="FE38" i="2" s="1"/>
  <c r="EW38" i="2" a="1"/>
  <c r="EW38" i="2" s="1"/>
  <c r="FF34" i="2" a="1"/>
  <c r="FF34" i="2" s="1"/>
  <c r="FB34" i="2" a="1"/>
  <c r="FB34" i="2" s="1"/>
  <c r="EN76" i="2" a="1"/>
  <c r="EN76" i="2" s="1"/>
  <c r="EW74" i="2" a="1"/>
  <c r="EW74" i="2" s="1"/>
  <c r="FB72" i="2" a="1"/>
  <c r="FB72" i="2" s="1"/>
  <c r="EN68" i="2" a="1"/>
  <c r="EN68" i="2" s="1"/>
  <c r="EW66" i="2" a="1"/>
  <c r="EW66" i="2" s="1"/>
  <c r="EV50" i="2" a="1"/>
  <c r="EV50" i="2" s="1"/>
  <c r="EN48" i="2" a="1"/>
  <c r="EN48" i="2" s="1"/>
  <c r="FF46" i="2" a="1"/>
  <c r="FF46" i="2" s="1"/>
  <c r="FB46" i="2" a="1"/>
  <c r="FB46" i="2" s="1"/>
  <c r="FC42" i="2" a="1"/>
  <c r="FC42" i="2" s="1"/>
  <c r="EY42" i="2" a="1"/>
  <c r="EY42" i="2" s="1"/>
  <c r="EZ38" i="2" a="1"/>
  <c r="EZ38" i="2" s="1"/>
  <c r="EV38" i="2" a="1"/>
  <c r="EV38" i="2" s="1"/>
  <c r="EN38" i="2" a="1"/>
  <c r="EN38" i="2" s="1"/>
  <c r="FE34" i="2" a="1"/>
  <c r="FE34" i="2" s="1"/>
  <c r="EW34" i="2" a="1"/>
  <c r="EW34" i="2" s="1"/>
  <c r="FE80" i="2" a="1"/>
  <c r="FE80" i="2" s="1"/>
  <c r="EW48" i="2" a="1"/>
  <c r="EW48" i="2" s="1"/>
  <c r="EZ44" i="2" a="1"/>
  <c r="EZ44" i="2" s="1"/>
  <c r="EV44" i="2" a="1"/>
  <c r="EV44" i="2" s="1"/>
  <c r="EN44" i="2" a="1"/>
  <c r="EN44" i="2" s="1"/>
  <c r="FE40" i="2" a="1"/>
  <c r="FE40" i="2" s="1"/>
  <c r="EW40" i="2" a="1"/>
  <c r="EW40" i="2" s="1"/>
  <c r="FF36" i="2" a="1"/>
  <c r="FF36" i="2" s="1"/>
  <c r="FB36" i="2" a="1"/>
  <c r="FB36" i="2" s="1"/>
  <c r="EY50" i="2" a="1"/>
  <c r="EY50" i="2" s="1"/>
  <c r="FF40" i="2" a="1"/>
  <c r="FF40" i="2" s="1"/>
  <c r="EY36" i="2" a="1"/>
  <c r="EY36" i="2" s="1"/>
  <c r="FI26" i="2" a="1"/>
  <c r="FI26" i="2" s="1"/>
  <c r="FI27" i="2" s="1"/>
  <c r="FD26" i="2" a="1"/>
  <c r="FD26" i="2" s="1"/>
  <c r="FD27" i="2" s="1"/>
  <c r="EU26" i="2" a="1"/>
  <c r="EU26" i="2" s="1"/>
  <c r="EU27" i="2" s="1"/>
  <c r="EJ26" i="2" a="1"/>
  <c r="EJ26" i="2" s="1"/>
  <c r="FI22" i="2" a="1"/>
  <c r="FI22" i="2" s="1"/>
  <c r="FI23" i="2" s="1"/>
  <c r="FE22" i="2" a="1"/>
  <c r="FE22" i="2" s="1"/>
  <c r="FA22" i="2" a="1"/>
  <c r="FA22" i="2" s="1"/>
  <c r="FA23" i="2" s="1"/>
  <c r="EW22" i="2" a="1"/>
  <c r="EW22" i="2" s="1"/>
  <c r="ES22" i="2" a="1"/>
  <c r="ES22" i="2" s="1"/>
  <c r="ES23" i="2" s="1"/>
  <c r="EO22" i="2" a="1"/>
  <c r="EO22" i="2" s="1"/>
  <c r="EO23" i="2" s="1"/>
  <c r="FG18" i="2" a="1"/>
  <c r="FG18" i="2" s="1"/>
  <c r="FG19" i="2" s="1"/>
  <c r="FC18" i="2" a="1"/>
  <c r="FC18" i="2" s="1"/>
  <c r="EY18" i="2" a="1"/>
  <c r="EY18" i="2" s="1"/>
  <c r="EU18" i="2" a="1"/>
  <c r="EU18" i="2" s="1"/>
  <c r="EU19" i="2" s="1"/>
  <c r="EQ18" i="2" a="1"/>
  <c r="EQ18" i="2" s="1"/>
  <c r="EQ19" i="2" s="1"/>
  <c r="EM18" i="2" a="1"/>
  <c r="EM18" i="2" s="1"/>
  <c r="EM19" i="2" s="1"/>
  <c r="FH16" i="2" a="1"/>
  <c r="FH16" i="2" s="1"/>
  <c r="FH17" i="2" s="1"/>
  <c r="FD16" i="2" a="1"/>
  <c r="FD16" i="2" s="1"/>
  <c r="FD17" i="2" s="1"/>
  <c r="EZ16" i="2" a="1"/>
  <c r="EZ16" i="2" s="1"/>
  <c r="EV16" i="2" a="1"/>
  <c r="EV16" i="2" s="1"/>
  <c r="ER16" i="2" a="1"/>
  <c r="ER16" i="2" s="1"/>
  <c r="ER17" i="2" s="1"/>
  <c r="EN16" i="2" a="1"/>
  <c r="EN16" i="2" s="1"/>
  <c r="FI14" i="2" a="1"/>
  <c r="FI14" i="2" s="1"/>
  <c r="FI15" i="2" s="1"/>
  <c r="FE14" i="2" a="1"/>
  <c r="FE14" i="2" s="1"/>
  <c r="FA14" i="2" a="1"/>
  <c r="FA14" i="2" s="1"/>
  <c r="FA15" i="2" s="1"/>
  <c r="EW14" i="2" a="1"/>
  <c r="EW14" i="2" s="1"/>
  <c r="ES14" i="2" a="1"/>
  <c r="ES14" i="2" s="1"/>
  <c r="ES15" i="2" s="1"/>
  <c r="EO14" i="2" a="1"/>
  <c r="EO14" i="2" s="1"/>
  <c r="EO15" i="2" s="1"/>
  <c r="FB40" i="2" a="1"/>
  <c r="FB40" i="2" s="1"/>
  <c r="EI28" i="2"/>
  <c r="FH26" i="2" a="1"/>
  <c r="FH26" i="2" s="1"/>
  <c r="FH27" i="2" s="1"/>
  <c r="EY26" i="2" a="1"/>
  <c r="EY26" i="2" s="1"/>
  <c r="EP26" i="2" a="1"/>
  <c r="EP26" i="2" s="1"/>
  <c r="EP27" i="2" s="1"/>
  <c r="FI24" i="2" a="1"/>
  <c r="FI24" i="2" s="1"/>
  <c r="FI25" i="2" s="1"/>
  <c r="FE24" i="2" a="1"/>
  <c r="FE24" i="2" s="1"/>
  <c r="FA24" i="2" a="1"/>
  <c r="FA24" i="2" s="1"/>
  <c r="FA25" i="2" s="1"/>
  <c r="EW24" i="2" a="1"/>
  <c r="EW24" i="2" s="1"/>
  <c r="ES24" i="2" a="1"/>
  <c r="ES24" i="2" s="1"/>
  <c r="ES25" i="2" s="1"/>
  <c r="EO24" i="2" a="1"/>
  <c r="EO24" i="2" s="1"/>
  <c r="EO25" i="2" s="1"/>
  <c r="FI20" i="2" a="1"/>
  <c r="FI20" i="2" s="1"/>
  <c r="FI21" i="2" s="1"/>
  <c r="FE20" i="2" a="1"/>
  <c r="FE20" i="2" s="1"/>
  <c r="FA20" i="2" a="1"/>
  <c r="FA20" i="2" s="1"/>
  <c r="FA21" i="2" s="1"/>
  <c r="EW20" i="2" a="1"/>
  <c r="EW20" i="2" s="1"/>
  <c r="ES20" i="2" a="1"/>
  <c r="ES20" i="2" s="1"/>
  <c r="ES21" i="2" s="1"/>
  <c r="EO20" i="2" a="1"/>
  <c r="EO20" i="2" s="1"/>
  <c r="EO21" i="2" s="1"/>
  <c r="FE44" i="2" a="1"/>
  <c r="FE44" i="2" s="1"/>
  <c r="EY32" i="2" a="1"/>
  <c r="EY32" i="2" s="1"/>
  <c r="FC26" i="2" a="1"/>
  <c r="FC26" i="2" s="1"/>
  <c r="ET26" i="2" a="1"/>
  <c r="ET26" i="2" s="1"/>
  <c r="ET27" i="2" s="1"/>
  <c r="FH22" i="2" a="1"/>
  <c r="FH22" i="2" s="1"/>
  <c r="FH23" i="2" s="1"/>
  <c r="FD22" i="2" a="1"/>
  <c r="FD22" i="2" s="1"/>
  <c r="FD23" i="2" s="1"/>
  <c r="EZ22" i="2" a="1"/>
  <c r="EZ22" i="2" s="1"/>
  <c r="EV22" i="2" a="1"/>
  <c r="EV22" i="2" s="1"/>
  <c r="ER22" i="2" a="1"/>
  <c r="ER22" i="2" s="1"/>
  <c r="ER23" i="2" s="1"/>
  <c r="EN22" i="2" a="1"/>
  <c r="EN22" i="2" s="1"/>
  <c r="FF18" i="2" a="1"/>
  <c r="FF18" i="2" s="1"/>
  <c r="FB18" i="2" a="1"/>
  <c r="FB18" i="2" s="1"/>
  <c r="EX18" i="2" a="1"/>
  <c r="EX18" i="2" s="1"/>
  <c r="EX19" i="2" s="1"/>
  <c r="ET18" i="2" a="1"/>
  <c r="ET18" i="2" s="1"/>
  <c r="ET19" i="2" s="1"/>
  <c r="EP18" i="2" a="1"/>
  <c r="EP18" i="2" s="1"/>
  <c r="EP19" i="2" s="1"/>
  <c r="EJ18" i="2" a="1"/>
  <c r="EJ18" i="2" s="1"/>
  <c r="FF32" i="2" a="1"/>
  <c r="FF32" i="2" s="1"/>
  <c r="FG26" i="2" a="1"/>
  <c r="FG26" i="2" s="1"/>
  <c r="FG27" i="2" s="1"/>
  <c r="EX26" i="2" a="1"/>
  <c r="EX26" i="2" s="1"/>
  <c r="EX27" i="2" s="1"/>
  <c r="EO26" i="2" a="1"/>
  <c r="EO26" i="2" s="1"/>
  <c r="EO27" i="2" s="1"/>
  <c r="FH24" i="2" a="1"/>
  <c r="FH24" i="2" s="1"/>
  <c r="FH25" i="2" s="1"/>
  <c r="FD24" i="2" a="1"/>
  <c r="FD24" i="2" s="1"/>
  <c r="FD25" i="2" s="1"/>
  <c r="EZ24" i="2" a="1"/>
  <c r="EZ24" i="2" s="1"/>
  <c r="EV24" i="2" a="1"/>
  <c r="EV24" i="2" s="1"/>
  <c r="ER24" i="2" a="1"/>
  <c r="ER24" i="2" s="1"/>
  <c r="ER25" i="2" s="1"/>
  <c r="EN24" i="2" a="1"/>
  <c r="EN24" i="2" s="1"/>
  <c r="FH20" i="2" a="1"/>
  <c r="FH20" i="2" s="1"/>
  <c r="FH21" i="2" s="1"/>
  <c r="FD20" i="2" a="1"/>
  <c r="FD20" i="2" s="1"/>
  <c r="FD21" i="2" s="1"/>
  <c r="EZ20" i="2" a="1"/>
  <c r="EZ20" i="2" s="1"/>
  <c r="EV20" i="2" a="1"/>
  <c r="EV20" i="2" s="1"/>
  <c r="ER20" i="2" a="1"/>
  <c r="ER20" i="2" s="1"/>
  <c r="ER21" i="2" s="1"/>
  <c r="EN20" i="2" a="1"/>
  <c r="EN20" i="2" s="1"/>
  <c r="EW44" i="2" a="1"/>
  <c r="EW44" i="2" s="1"/>
  <c r="FB26" i="2" a="1"/>
  <c r="FB26" i="2" s="1"/>
  <c r="ES26" i="2" a="1"/>
  <c r="ES26" i="2" s="1"/>
  <c r="ES27" i="2" s="1"/>
  <c r="EN26" i="2" a="1"/>
  <c r="EN26" i="2" s="1"/>
  <c r="FG22" i="2" a="1"/>
  <c r="FG22" i="2" s="1"/>
  <c r="FG23" i="2" s="1"/>
  <c r="FC22" i="2" a="1"/>
  <c r="FC22" i="2" s="1"/>
  <c r="EY22" i="2" a="1"/>
  <c r="EY22" i="2" s="1"/>
  <c r="EU22" i="2" a="1"/>
  <c r="EU22" i="2" s="1"/>
  <c r="EU23" i="2" s="1"/>
  <c r="EQ22" i="2" a="1"/>
  <c r="EQ22" i="2" s="1"/>
  <c r="EQ23" i="2" s="1"/>
  <c r="EM22" i="2" a="1"/>
  <c r="EM22" i="2" s="1"/>
  <c r="EM23" i="2" s="1"/>
  <c r="FI18" i="2" a="1"/>
  <c r="FI18" i="2" s="1"/>
  <c r="FI19" i="2" s="1"/>
  <c r="FE18" i="2" a="1"/>
  <c r="FE18" i="2" s="1"/>
  <c r="FA18" i="2" a="1"/>
  <c r="FA18" i="2" s="1"/>
  <c r="FA19" i="2" s="1"/>
  <c r="EW18" i="2" a="1"/>
  <c r="EW18" i="2" s="1"/>
  <c r="ES18" i="2" a="1"/>
  <c r="ES18" i="2" s="1"/>
  <c r="ES19" i="2" s="1"/>
  <c r="EO18" i="2" a="1"/>
  <c r="EO18" i="2" s="1"/>
  <c r="EO19" i="2" s="1"/>
  <c r="FC48" i="2" a="1"/>
  <c r="FC48" i="2" s="1"/>
  <c r="FE32" i="2" a="1"/>
  <c r="FE32" i="2" s="1"/>
  <c r="EW32" i="2" a="1"/>
  <c r="EW32" i="2" s="1"/>
  <c r="FF26" i="2" a="1"/>
  <c r="FF26" i="2" s="1"/>
  <c r="EW26" i="2" a="1"/>
  <c r="EW26" i="2" s="1"/>
  <c r="ER26" i="2" a="1"/>
  <c r="ER26" i="2" s="1"/>
  <c r="ER27" i="2" s="1"/>
  <c r="FG24" i="2" a="1"/>
  <c r="FG24" i="2" s="1"/>
  <c r="FG25" i="2" s="1"/>
  <c r="FC24" i="2" a="1"/>
  <c r="FC24" i="2" s="1"/>
  <c r="EY24" i="2" a="1"/>
  <c r="EY24" i="2" s="1"/>
  <c r="EU24" i="2" a="1"/>
  <c r="EU24" i="2" s="1"/>
  <c r="EU25" i="2" s="1"/>
  <c r="EQ24" i="2" a="1"/>
  <c r="EQ24" i="2" s="1"/>
  <c r="EQ25" i="2" s="1"/>
  <c r="EM24" i="2" a="1"/>
  <c r="EM24" i="2" s="1"/>
  <c r="EM25" i="2" s="1"/>
  <c r="FG20" i="2" a="1"/>
  <c r="FG20" i="2" s="1"/>
  <c r="FG21" i="2" s="1"/>
  <c r="FC20" i="2" a="1"/>
  <c r="FC20" i="2" s="1"/>
  <c r="EY20" i="2" a="1"/>
  <c r="EY20" i="2" s="1"/>
  <c r="EU20" i="2" a="1"/>
  <c r="EU20" i="2" s="1"/>
  <c r="EU21" i="2" s="1"/>
  <c r="EQ20" i="2" a="1"/>
  <c r="EQ20" i="2" s="1"/>
  <c r="EQ21" i="2" s="1"/>
  <c r="EM20" i="2" a="1"/>
  <c r="EM20" i="2" s="1"/>
  <c r="EM21" i="2" s="1"/>
  <c r="FF72" i="2" a="1"/>
  <c r="FF72" i="2" s="1"/>
  <c r="FC32" i="2" a="1"/>
  <c r="FC32" i="2" s="1"/>
  <c r="FA26" i="2" a="1"/>
  <c r="FA26" i="2" s="1"/>
  <c r="FA27" i="2" s="1"/>
  <c r="EV26" i="2" a="1"/>
  <c r="EV26" i="2" s="1"/>
  <c r="EM26" i="2" a="1"/>
  <c r="EM26" i="2" s="1"/>
  <c r="EM27" i="2" s="1"/>
  <c r="FF22" i="2" a="1"/>
  <c r="FF22" i="2" s="1"/>
  <c r="FB22" i="2" a="1"/>
  <c r="FB22" i="2" s="1"/>
  <c r="EX22" i="2" a="1"/>
  <c r="EX22" i="2" s="1"/>
  <c r="EX23" i="2" s="1"/>
  <c r="ET22" i="2" a="1"/>
  <c r="ET22" i="2" s="1"/>
  <c r="ET23" i="2" s="1"/>
  <c r="EP22" i="2" a="1"/>
  <c r="EP22" i="2" s="1"/>
  <c r="EP23" i="2" s="1"/>
  <c r="EJ22" i="2" a="1"/>
  <c r="EJ22" i="2" s="1"/>
  <c r="FH18" i="2" a="1"/>
  <c r="FH18" i="2" s="1"/>
  <c r="FH19" i="2" s="1"/>
  <c r="FD18" i="2" a="1"/>
  <c r="FD18" i="2" s="1"/>
  <c r="FD19" i="2" s="1"/>
  <c r="EZ18" i="2" a="1"/>
  <c r="EZ18" i="2" s="1"/>
  <c r="EV18" i="2" a="1"/>
  <c r="EV18" i="2" s="1"/>
  <c r="ER18" i="2" a="1"/>
  <c r="ER18" i="2" s="1"/>
  <c r="ER19" i="2" s="1"/>
  <c r="EN18" i="2" a="1"/>
  <c r="EN18" i="2" s="1"/>
  <c r="FI16" i="2" a="1"/>
  <c r="FI16" i="2" s="1"/>
  <c r="FI17" i="2" s="1"/>
  <c r="FE16" i="2" a="1"/>
  <c r="FE16" i="2" s="1"/>
  <c r="FA16" i="2" a="1"/>
  <c r="FA16" i="2" s="1"/>
  <c r="FA17" i="2" s="1"/>
  <c r="EW16" i="2" a="1"/>
  <c r="EW16" i="2" s="1"/>
  <c r="ES16" i="2" a="1"/>
  <c r="ES16" i="2" s="1"/>
  <c r="ES17" i="2" s="1"/>
  <c r="EO16" i="2" a="1"/>
  <c r="EO16" i="2" s="1"/>
  <c r="EO17" i="2" s="1"/>
  <c r="FC36" i="2" a="1"/>
  <c r="FC36" i="2" s="1"/>
  <c r="FB32" i="2" a="1"/>
  <c r="FB32" i="2" s="1"/>
  <c r="EN32" i="2" a="1"/>
  <c r="EN32" i="2" s="1"/>
  <c r="FE26" i="2" a="1"/>
  <c r="FE26" i="2" s="1"/>
  <c r="EZ26" i="2" a="1"/>
  <c r="EZ26" i="2" s="1"/>
  <c r="EQ26" i="2" a="1"/>
  <c r="EQ26" i="2" s="1"/>
  <c r="EQ27" i="2" s="1"/>
  <c r="FF24" i="2" a="1"/>
  <c r="FF24" i="2" s="1"/>
  <c r="FB24" i="2" a="1"/>
  <c r="FB24" i="2" s="1"/>
  <c r="EX24" i="2" a="1"/>
  <c r="EX24" i="2" s="1"/>
  <c r="EX25" i="2" s="1"/>
  <c r="ET24" i="2" a="1"/>
  <c r="ET24" i="2" s="1"/>
  <c r="ET25" i="2" s="1"/>
  <c r="EP24" i="2" a="1"/>
  <c r="EP24" i="2" s="1"/>
  <c r="EP25" i="2" s="1"/>
  <c r="EJ24" i="2" a="1"/>
  <c r="EJ24" i="2" s="1"/>
  <c r="FF20" i="2" a="1"/>
  <c r="FF20" i="2" s="1"/>
  <c r="FB20" i="2" a="1"/>
  <c r="FB20" i="2" s="1"/>
  <c r="EX20" i="2" a="1"/>
  <c r="EX20" i="2" s="1"/>
  <c r="EX21" i="2" s="1"/>
  <c r="EL21" i="2" s="1"/>
  <c r="AJ36" i="1" s="1"/>
  <c r="ET20" i="2" a="1"/>
  <c r="ET20" i="2" s="1"/>
  <c r="ET21" i="2" s="1"/>
  <c r="EP20" i="2" a="1"/>
  <c r="EP20" i="2" s="1"/>
  <c r="EP21" i="2" s="1"/>
  <c r="EJ20" i="2" a="1"/>
  <c r="EJ20" i="2" s="1"/>
  <c r="ET16" i="2" a="1"/>
  <c r="ET16" i="2" s="1"/>
  <c r="ET17" i="2" s="1"/>
  <c r="FD14" i="2" a="1"/>
  <c r="FD14" i="2" s="1"/>
  <c r="FD15" i="2" s="1"/>
  <c r="EY14" i="2" a="1"/>
  <c r="EY14" i="2" s="1"/>
  <c r="ET14" i="2" a="1"/>
  <c r="ET14" i="2" s="1"/>
  <c r="ET15" i="2" s="1"/>
  <c r="EN14" i="2" a="1"/>
  <c r="EN14" i="2" s="1"/>
  <c r="FF12" i="2" a="1"/>
  <c r="FF12" i="2" s="1"/>
  <c r="FB12" i="2" a="1"/>
  <c r="FB12" i="2" s="1"/>
  <c r="EX12" i="2" a="1"/>
  <c r="EX12" i="2" s="1"/>
  <c r="EX13" i="2" s="1"/>
  <c r="ET12" i="2" a="1"/>
  <c r="ET12" i="2" s="1"/>
  <c r="ET13" i="2" s="1"/>
  <c r="EP12" i="2" a="1"/>
  <c r="EP12" i="2" s="1"/>
  <c r="EP13" i="2" s="1"/>
  <c r="EJ12" i="2" a="1"/>
  <c r="EJ12" i="2" s="1"/>
  <c r="FG10" i="2" a="1"/>
  <c r="FG10" i="2" s="1"/>
  <c r="FG11" i="2" s="1"/>
  <c r="FC10" i="2" a="1"/>
  <c r="FC10" i="2" s="1"/>
  <c r="EY10" i="2" a="1"/>
  <c r="EY10" i="2" s="1"/>
  <c r="EU10" i="2" a="1"/>
  <c r="EU10" i="2" s="1"/>
  <c r="EU11" i="2" s="1"/>
  <c r="EQ10" i="2" a="1"/>
  <c r="EQ10" i="2" s="1"/>
  <c r="EQ11" i="2" s="1"/>
  <c r="EM10" i="2" a="1"/>
  <c r="EM10" i="2" s="1"/>
  <c r="EM11" i="2" s="1"/>
  <c r="FH8" i="2" a="1"/>
  <c r="FH8" i="2" s="1"/>
  <c r="FH9" i="2" s="1"/>
  <c r="FD8" i="2" a="1"/>
  <c r="FD8" i="2" s="1"/>
  <c r="FD9" i="2" s="1"/>
  <c r="EZ8" i="2" a="1"/>
  <c r="EZ8" i="2" s="1"/>
  <c r="EV8" i="2" a="1"/>
  <c r="EV8" i="2" s="1"/>
  <c r="ER8" i="2" a="1"/>
  <c r="ER8" i="2" s="1"/>
  <c r="ER9" i="2" s="1"/>
  <c r="EN8" i="2" a="1"/>
  <c r="EN8" i="2" s="1"/>
  <c r="FI6" i="2" a="1"/>
  <c r="FI6" i="2" s="1"/>
  <c r="FI7" i="2" s="1"/>
  <c r="FE6" i="2" a="1"/>
  <c r="FE6" i="2" s="1"/>
  <c r="FA6" i="2" a="1"/>
  <c r="FA6" i="2" s="1"/>
  <c r="FA7" i="2" s="1"/>
  <c r="EW6" i="2" a="1"/>
  <c r="EW6" i="2" s="1"/>
  <c r="ES6" i="2" a="1"/>
  <c r="ES6" i="2" s="1"/>
  <c r="ES7" i="2" s="1"/>
  <c r="EO6" i="2" a="1"/>
  <c r="EO6" i="2" s="1"/>
  <c r="EO7" i="2" s="1"/>
  <c r="FC16" i="2" a="1"/>
  <c r="FC16" i="2" s="1"/>
  <c r="FB16" i="2" a="1"/>
  <c r="FB16" i="2" s="1"/>
  <c r="EQ16" i="2" a="1"/>
  <c r="EQ16" i="2" s="1"/>
  <c r="EQ17" i="2" s="1"/>
  <c r="FH14" i="2" a="1"/>
  <c r="FH14" i="2" s="1"/>
  <c r="FH15" i="2" s="1"/>
  <c r="FC14" i="2" a="1"/>
  <c r="FC14" i="2" s="1"/>
  <c r="EX14" i="2" a="1"/>
  <c r="EX14" i="2" s="1"/>
  <c r="EX15" i="2" s="1"/>
  <c r="ER14" i="2" a="1"/>
  <c r="ER14" i="2" s="1"/>
  <c r="ER15" i="2" s="1"/>
  <c r="EM14" i="2" a="1"/>
  <c r="EM14" i="2" s="1"/>
  <c r="EM15" i="2" s="1"/>
  <c r="EK15" i="2" s="1"/>
  <c r="AG33" i="1" s="1"/>
  <c r="FI12" i="2" a="1"/>
  <c r="FI12" i="2" s="1"/>
  <c r="FI13" i="2" s="1"/>
  <c r="FE12" i="2" a="1"/>
  <c r="FE12" i="2" s="1"/>
  <c r="FA12" i="2" a="1"/>
  <c r="FA12" i="2" s="1"/>
  <c r="FA13" i="2" s="1"/>
  <c r="EW12" i="2" a="1"/>
  <c r="EW12" i="2" s="1"/>
  <c r="ES12" i="2" a="1"/>
  <c r="ES12" i="2" s="1"/>
  <c r="ES13" i="2" s="1"/>
  <c r="EO12" i="2" a="1"/>
  <c r="EO12" i="2" s="1"/>
  <c r="EO13" i="2" s="1"/>
  <c r="FF10" i="2" a="1"/>
  <c r="FF10" i="2" s="1"/>
  <c r="FB10" i="2" a="1"/>
  <c r="FB10" i="2" s="1"/>
  <c r="EX10" i="2" a="1"/>
  <c r="EX10" i="2" s="1"/>
  <c r="EX11" i="2" s="1"/>
  <c r="EL11" i="2" s="1"/>
  <c r="AJ28" i="1" s="1"/>
  <c r="ET10" i="2" a="1"/>
  <c r="ET10" i="2" s="1"/>
  <c r="ET11" i="2" s="1"/>
  <c r="EP10" i="2" a="1"/>
  <c r="EP10" i="2" s="1"/>
  <c r="EP11" i="2" s="1"/>
  <c r="EJ10" i="2" a="1"/>
  <c r="EJ10" i="2" s="1"/>
  <c r="FG8" i="2" a="1"/>
  <c r="FG8" i="2" s="1"/>
  <c r="FG9" i="2" s="1"/>
  <c r="FC8" i="2" a="1"/>
  <c r="FC8" i="2" s="1"/>
  <c r="EY8" i="2" a="1"/>
  <c r="EY8" i="2" s="1"/>
  <c r="EU8" i="2" a="1"/>
  <c r="EU8" i="2" s="1"/>
  <c r="EU9" i="2" s="1"/>
  <c r="EQ8" i="2" a="1"/>
  <c r="EQ8" i="2" s="1"/>
  <c r="EQ9" i="2" s="1"/>
  <c r="EM8" i="2" a="1"/>
  <c r="EM8" i="2" s="1"/>
  <c r="EM9" i="2" s="1"/>
  <c r="FH6" i="2" a="1"/>
  <c r="FH6" i="2" s="1"/>
  <c r="FH7" i="2" s="1"/>
  <c r="FD6" i="2" a="1"/>
  <c r="FD6" i="2" s="1"/>
  <c r="FD7" i="2" s="1"/>
  <c r="EZ6" i="2" a="1"/>
  <c r="EZ6" i="2" s="1"/>
  <c r="EV6" i="2" a="1"/>
  <c r="EV6" i="2" s="1"/>
  <c r="ER6" i="2" a="1"/>
  <c r="ER6" i="2" s="1"/>
  <c r="ER7" i="2" s="1"/>
  <c r="EN6" i="2" a="1"/>
  <c r="EN6" i="2" s="1"/>
  <c r="FI4" i="2" a="1"/>
  <c r="FI4" i="2" s="1"/>
  <c r="FI5" i="2" s="1"/>
  <c r="FE4" i="2" a="1"/>
  <c r="FE4" i="2" s="1"/>
  <c r="FA4" i="2" a="1"/>
  <c r="FA4" i="2" s="1"/>
  <c r="FA5" i="2" s="1"/>
  <c r="EW4" i="2" a="1"/>
  <c r="EW4" i="2" s="1"/>
  <c r="ES4" i="2" a="1"/>
  <c r="ES4" i="2" s="1"/>
  <c r="ES5" i="2" s="1"/>
  <c r="EO4" i="2" a="1"/>
  <c r="EO4" i="2" s="1"/>
  <c r="EO5" i="2" s="1"/>
  <c r="EP16" i="2" a="1"/>
  <c r="EP16" i="2" s="1"/>
  <c r="EP17" i="2" s="1"/>
  <c r="EY16" i="2" a="1"/>
  <c r="EY16" i="2" s="1"/>
  <c r="FG14" i="2" a="1"/>
  <c r="FG14" i="2" s="1"/>
  <c r="FG15" i="2" s="1"/>
  <c r="FB14" i="2" a="1"/>
  <c r="FB14" i="2" s="1"/>
  <c r="EV14" i="2" a="1"/>
  <c r="EV14" i="2" s="1"/>
  <c r="EQ14" i="2" a="1"/>
  <c r="EQ14" i="2" s="1"/>
  <c r="EQ15" i="2" s="1"/>
  <c r="EJ14" i="2" a="1"/>
  <c r="EJ14" i="2" s="1"/>
  <c r="FH12" i="2" a="1"/>
  <c r="FH12" i="2" s="1"/>
  <c r="FH13" i="2" s="1"/>
  <c r="FD12" i="2" a="1"/>
  <c r="FD12" i="2" s="1"/>
  <c r="FD13" i="2" s="1"/>
  <c r="EZ12" i="2" a="1"/>
  <c r="EZ12" i="2" s="1"/>
  <c r="EV12" i="2" a="1"/>
  <c r="EV12" i="2" s="1"/>
  <c r="ER12" i="2" a="1"/>
  <c r="ER12" i="2" s="1"/>
  <c r="ER13" i="2" s="1"/>
  <c r="EN12" i="2" a="1"/>
  <c r="EN12" i="2" s="1"/>
  <c r="FI10" i="2" a="1"/>
  <c r="FI10" i="2" s="1"/>
  <c r="FI11" i="2" s="1"/>
  <c r="FE10" i="2" a="1"/>
  <c r="FE10" i="2" s="1"/>
  <c r="FA10" i="2" a="1"/>
  <c r="FA10" i="2" s="1"/>
  <c r="FA11" i="2" s="1"/>
  <c r="EW10" i="2" a="1"/>
  <c r="EW10" i="2" s="1"/>
  <c r="ES10" i="2" a="1"/>
  <c r="ES10" i="2" s="1"/>
  <c r="ES11" i="2" s="1"/>
  <c r="EO10" i="2" a="1"/>
  <c r="EO10" i="2" s="1"/>
  <c r="EO11" i="2" s="1"/>
  <c r="FF8" i="2" a="1"/>
  <c r="FF8" i="2" s="1"/>
  <c r="FB8" i="2" a="1"/>
  <c r="FB8" i="2" s="1"/>
  <c r="EX8" i="2" a="1"/>
  <c r="EX8" i="2" s="1"/>
  <c r="EX9" i="2" s="1"/>
  <c r="ET8" i="2" a="1"/>
  <c r="ET8" i="2" s="1"/>
  <c r="ET9" i="2" s="1"/>
  <c r="EP8" i="2" a="1"/>
  <c r="EP8" i="2" s="1"/>
  <c r="EP9" i="2" s="1"/>
  <c r="EJ8" i="2" a="1"/>
  <c r="EJ8" i="2" s="1"/>
  <c r="FG6" i="2" a="1"/>
  <c r="FG6" i="2" s="1"/>
  <c r="FG7" i="2" s="1"/>
  <c r="FC6" i="2" a="1"/>
  <c r="FC6" i="2" s="1"/>
  <c r="EY6" i="2" a="1"/>
  <c r="EY6" i="2" s="1"/>
  <c r="EU6" i="2" a="1"/>
  <c r="EU6" i="2" s="1"/>
  <c r="EU7" i="2" s="1"/>
  <c r="EQ6" i="2" a="1"/>
  <c r="EQ6" i="2" s="1"/>
  <c r="EQ7" i="2" s="1"/>
  <c r="EM6" i="2" a="1"/>
  <c r="EM6" i="2" s="1"/>
  <c r="EM7" i="2" s="1"/>
  <c r="EK7" i="2" s="1"/>
  <c r="AG26" i="1" s="1"/>
  <c r="FH4" i="2" a="1"/>
  <c r="FH4" i="2" s="1"/>
  <c r="FH5" i="2" s="1"/>
  <c r="FD4" i="2" a="1"/>
  <c r="FD4" i="2" s="1"/>
  <c r="FD5" i="2" s="1"/>
  <c r="EZ4" i="2" a="1"/>
  <c r="EZ4" i="2" s="1"/>
  <c r="EV4" i="2" a="1"/>
  <c r="EV4" i="2" s="1"/>
  <c r="ER4" i="2" a="1"/>
  <c r="ER4" i="2" s="1"/>
  <c r="ER5" i="2" s="1"/>
  <c r="EN4" i="2" a="1"/>
  <c r="EN4" i="2" s="1"/>
  <c r="EX16" i="2" a="1"/>
  <c r="EX16" i="2" s="1"/>
  <c r="EX17" i="2" s="1"/>
  <c r="EM16" i="2" a="1"/>
  <c r="EM16" i="2" s="1"/>
  <c r="EM17" i="2" s="1"/>
  <c r="FG16" i="2" a="1"/>
  <c r="FG16" i="2" s="1"/>
  <c r="FG17" i="2" s="1"/>
  <c r="EJ16" i="2" a="1"/>
  <c r="EJ16" i="2" s="1"/>
  <c r="FF14" i="2" a="1"/>
  <c r="FF14" i="2" s="1"/>
  <c r="EZ14" i="2" a="1"/>
  <c r="EZ14" i="2" s="1"/>
  <c r="EU14" i="2" a="1"/>
  <c r="EU14" i="2" s="1"/>
  <c r="EU15" i="2" s="1"/>
  <c r="EP14" i="2" a="1"/>
  <c r="EP14" i="2" s="1"/>
  <c r="EP15" i="2" s="1"/>
  <c r="FG12" i="2" a="1"/>
  <c r="FG12" i="2" s="1"/>
  <c r="FG13" i="2" s="1"/>
  <c r="FC12" i="2" a="1"/>
  <c r="FC12" i="2" s="1"/>
  <c r="EY12" i="2" a="1"/>
  <c r="EY12" i="2" s="1"/>
  <c r="EU12" i="2" a="1"/>
  <c r="EU12" i="2" s="1"/>
  <c r="EU13" i="2" s="1"/>
  <c r="EQ12" i="2" a="1"/>
  <c r="EQ12" i="2" s="1"/>
  <c r="EQ13" i="2" s="1"/>
  <c r="EM12" i="2" a="1"/>
  <c r="EM12" i="2" s="1"/>
  <c r="EM13" i="2" s="1"/>
  <c r="FH10" i="2" a="1"/>
  <c r="FH10" i="2" s="1"/>
  <c r="FH11" i="2" s="1"/>
  <c r="FD10" i="2" a="1"/>
  <c r="FD10" i="2" s="1"/>
  <c r="FD11" i="2" s="1"/>
  <c r="EZ10" i="2" a="1"/>
  <c r="EZ10" i="2" s="1"/>
  <c r="EV10" i="2" a="1"/>
  <c r="EV10" i="2" s="1"/>
  <c r="ER10" i="2" a="1"/>
  <c r="ER10" i="2" s="1"/>
  <c r="ER11" i="2" s="1"/>
  <c r="EN10" i="2" a="1"/>
  <c r="EN10" i="2" s="1"/>
  <c r="FI8" i="2" a="1"/>
  <c r="FI8" i="2" s="1"/>
  <c r="FI9" i="2" s="1"/>
  <c r="FE8" i="2" a="1"/>
  <c r="FE8" i="2" s="1"/>
  <c r="FA8" i="2" a="1"/>
  <c r="FA8" i="2" s="1"/>
  <c r="FA9" i="2" s="1"/>
  <c r="EW8" i="2" a="1"/>
  <c r="EW8" i="2" s="1"/>
  <c r="ES8" i="2" a="1"/>
  <c r="ES8" i="2" s="1"/>
  <c r="ES9" i="2" s="1"/>
  <c r="EO8" i="2" a="1"/>
  <c r="EO8" i="2" s="1"/>
  <c r="EO9" i="2" s="1"/>
  <c r="FF6" i="2" a="1"/>
  <c r="FF6" i="2" s="1"/>
  <c r="FB6" i="2" a="1"/>
  <c r="FB6" i="2" s="1"/>
  <c r="EX6" i="2" a="1"/>
  <c r="EX6" i="2" s="1"/>
  <c r="EX7" i="2" s="1"/>
  <c r="EL7" i="2" s="1"/>
  <c r="AJ26" i="1" s="1"/>
  <c r="ET6" i="2" a="1"/>
  <c r="ET6" i="2" s="1"/>
  <c r="ET7" i="2" s="1"/>
  <c r="EP6" i="2" a="1"/>
  <c r="EP6" i="2" s="1"/>
  <c r="EP7" i="2" s="1"/>
  <c r="EJ6" i="2" a="1"/>
  <c r="EJ6" i="2" s="1"/>
  <c r="FF16" i="2" a="1"/>
  <c r="FF16" i="2" s="1"/>
  <c r="EU16" i="2" a="1"/>
  <c r="EU16" i="2" s="1"/>
  <c r="EU17" i="2" s="1"/>
  <c r="EY4" i="2" a="1"/>
  <c r="EY4" i="2" s="1"/>
  <c r="FE2" i="2" a="1"/>
  <c r="FE2" i="2" s="1"/>
  <c r="EZ2" i="2" a="1"/>
  <c r="EZ2" i="2" s="1"/>
  <c r="EQ2" i="2" a="1"/>
  <c r="EQ2" i="2" s="1"/>
  <c r="EQ3" i="2" s="1"/>
  <c r="FI2" i="2" a="1"/>
  <c r="FI2" i="2" s="1"/>
  <c r="FI3" i="2" s="1"/>
  <c r="EU2" i="2" a="1"/>
  <c r="EU2" i="2" s="1"/>
  <c r="EU3" i="2" s="1"/>
  <c r="EU4" i="2" a="1"/>
  <c r="EU4" i="2" s="1"/>
  <c r="EU5" i="2" s="1"/>
  <c r="ET4" i="2" a="1"/>
  <c r="ET4" i="2" s="1"/>
  <c r="ET5" i="2" s="1"/>
  <c r="FH2" i="2" a="1"/>
  <c r="FH2" i="2" s="1"/>
  <c r="FH3" i="2" s="1"/>
  <c r="EY2" i="2" a="1"/>
  <c r="EY2" i="2" s="1"/>
  <c r="EP2" i="2" a="1"/>
  <c r="EP2" i="2" s="1"/>
  <c r="EP3" i="2" s="1"/>
  <c r="FC2" i="2" a="1"/>
  <c r="FC2" i="2" s="1"/>
  <c r="ET2" i="2" a="1"/>
  <c r="ET2" i="2" s="1"/>
  <c r="ET3" i="2" s="1"/>
  <c r="FG4" i="2" a="1"/>
  <c r="FG4" i="2" s="1"/>
  <c r="FG5" i="2" s="1"/>
  <c r="EQ4" i="2" a="1"/>
  <c r="EQ4" i="2" s="1"/>
  <c r="EQ5" i="2" s="1"/>
  <c r="FF4" i="2" a="1"/>
  <c r="FF4" i="2" s="1"/>
  <c r="EP4" i="2" a="1"/>
  <c r="EP4" i="2" s="1"/>
  <c r="EP5" i="2" s="1"/>
  <c r="FG2" i="2" a="1"/>
  <c r="FG2" i="2" s="1"/>
  <c r="FG3" i="2" s="1"/>
  <c r="EX2" i="2" a="1"/>
  <c r="EX2" i="2" s="1"/>
  <c r="EX3" i="2" s="1"/>
  <c r="EO2" i="2" a="1"/>
  <c r="EO2" i="2" s="1"/>
  <c r="EO3" i="2" s="1"/>
  <c r="FC4" i="2" a="1"/>
  <c r="FC4" i="2" s="1"/>
  <c r="EM4" i="2" a="1"/>
  <c r="EM4" i="2" s="1"/>
  <c r="EM5" i="2" s="1"/>
  <c r="FB2" i="2" a="1"/>
  <c r="FB2" i="2" s="1"/>
  <c r="ES2" i="2" a="1"/>
  <c r="ES2" i="2" s="1"/>
  <c r="ES3" i="2" s="1"/>
  <c r="EN2" i="2" a="1"/>
  <c r="EN2" i="2" s="1"/>
  <c r="FF2" i="2" a="1"/>
  <c r="FF2" i="2" s="1"/>
  <c r="FA2" i="2" a="1"/>
  <c r="FA2" i="2" s="1"/>
  <c r="FA3" i="2" s="1"/>
  <c r="EV2" i="2" a="1"/>
  <c r="EV2" i="2" s="1"/>
  <c r="EM2" i="2" a="1"/>
  <c r="EM2" i="2" s="1"/>
  <c r="EM3" i="2" s="1"/>
  <c r="EX4" i="2" a="1"/>
  <c r="EX4" i="2" s="1"/>
  <c r="EX5" i="2" s="1"/>
  <c r="FD2" i="2" a="1"/>
  <c r="FD2" i="2" s="1"/>
  <c r="FD3" i="2" s="1"/>
  <c r="EJ2" i="2" a="1"/>
  <c r="EJ2" i="2" s="1"/>
  <c r="FB4" i="2" a="1"/>
  <c r="FB4" i="2" s="1"/>
  <c r="EJ4" i="2" a="1"/>
  <c r="EJ4" i="2" s="1"/>
  <c r="EW2" i="2" a="1"/>
  <c r="EW2" i="2" s="1"/>
  <c r="ER2" i="2" a="1"/>
  <c r="ER2" i="2" s="1"/>
  <c r="ER3" i="2" s="1"/>
  <c r="CF23" i="2"/>
  <c r="CK23" i="2"/>
  <c r="DO268" i="2"/>
  <c r="ED266" i="2" a="1"/>
  <c r="ED266" i="2" s="1"/>
  <c r="ED267" i="2" s="1"/>
  <c r="DR266" i="2" a="1"/>
  <c r="DR266" i="2" s="1"/>
  <c r="DR267" i="2" s="1"/>
  <c r="DJ268" i="2"/>
  <c r="DF268" i="2"/>
  <c r="DQ266" i="2" a="1"/>
  <c r="DQ266" i="2" s="1"/>
  <c r="DQ267" i="2" s="1"/>
  <c r="DX264" i="2" a="1"/>
  <c r="DX264" i="2" s="1"/>
  <c r="DX265" i="2" s="1"/>
  <c r="DO264" i="2" a="1"/>
  <c r="DO264" i="2" s="1"/>
  <c r="DO265" i="2" s="1"/>
  <c r="DJ266" i="2" a="1"/>
  <c r="DJ266" i="2" s="1"/>
  <c r="DJ267" i="2" s="1"/>
  <c r="DJ264" i="2" a="1"/>
  <c r="DJ264" i="2" s="1"/>
  <c r="DJ265" i="2" s="1"/>
  <c r="ED262" i="2" a="1"/>
  <c r="ED262" i="2" s="1"/>
  <c r="ED263" i="2" s="1"/>
  <c r="DR262" i="2" a="1"/>
  <c r="DR262" i="2" s="1"/>
  <c r="DR263" i="2" s="1"/>
  <c r="DN262" i="2" a="1"/>
  <c r="DN262" i="2" s="1"/>
  <c r="DN263" i="2" s="1"/>
  <c r="DJ262" i="2" a="1"/>
  <c r="DJ262" i="2" s="1"/>
  <c r="DJ263" i="2" s="1"/>
  <c r="EE260" i="2" a="1"/>
  <c r="EE260" i="2" s="1"/>
  <c r="EE261" i="2" s="1"/>
  <c r="EA260" i="2" a="1"/>
  <c r="EA260" i="2" s="1"/>
  <c r="EA261" i="2" s="1"/>
  <c r="DO260" i="2" a="1"/>
  <c r="DO260" i="2" s="1"/>
  <c r="DO261" i="2" s="1"/>
  <c r="EF258" i="2" a="1"/>
  <c r="EF258" i="2" s="1"/>
  <c r="EF259" i="2" s="1"/>
  <c r="DX258" i="2" a="1"/>
  <c r="DX258" i="2" s="1"/>
  <c r="DX259" i="2" s="1"/>
  <c r="DP258" i="2" a="1"/>
  <c r="DP258" i="2" s="1"/>
  <c r="DP259" i="2" s="1"/>
  <c r="DL258" i="2" a="1"/>
  <c r="DL258" i="2" s="1"/>
  <c r="DL259" i="2" s="1"/>
  <c r="DU256" i="2" a="1"/>
  <c r="DU256" i="2" s="1"/>
  <c r="DU257" i="2" s="1"/>
  <c r="DQ256" i="2" a="1"/>
  <c r="DQ256" i="2" s="1"/>
  <c r="DQ257" i="2" s="1"/>
  <c r="DM256" i="2" a="1"/>
  <c r="DM256" i="2" s="1"/>
  <c r="DM257" i="2" s="1"/>
  <c r="DG256" i="2" a="1"/>
  <c r="DG256" i="2" s="1"/>
  <c r="ED254" i="2" a="1"/>
  <c r="ED254" i="2" s="1"/>
  <c r="ED255" i="2" s="1"/>
  <c r="DR254" i="2" a="1"/>
  <c r="DR254" i="2" s="1"/>
  <c r="DR255" i="2" s="1"/>
  <c r="DN254" i="2" a="1"/>
  <c r="DN254" i="2" s="1"/>
  <c r="DN255" i="2" s="1"/>
  <c r="DJ254" i="2" a="1"/>
  <c r="DJ254" i="2" s="1"/>
  <c r="DJ255" i="2" s="1"/>
  <c r="EE252" i="2" a="1"/>
  <c r="EE252" i="2" s="1"/>
  <c r="EE253" i="2" s="1"/>
  <c r="EA252" i="2" a="1"/>
  <c r="EA252" i="2" s="1"/>
  <c r="EA253" i="2" s="1"/>
  <c r="DO252" i="2" a="1"/>
  <c r="DO252" i="2" s="1"/>
  <c r="DO253" i="2" s="1"/>
  <c r="EF250" i="2" a="1"/>
  <c r="EF250" i="2" s="1"/>
  <c r="EF251" i="2" s="1"/>
  <c r="DX250" i="2" a="1"/>
  <c r="DX250" i="2" s="1"/>
  <c r="DX251" i="2" s="1"/>
  <c r="DP250" i="2" a="1"/>
  <c r="DP250" i="2" s="1"/>
  <c r="DP251" i="2" s="1"/>
  <c r="DL250" i="2" a="1"/>
  <c r="DL250" i="2" s="1"/>
  <c r="DL251" i="2" s="1"/>
  <c r="DU248" i="2" a="1"/>
  <c r="DU248" i="2" s="1"/>
  <c r="DU249" i="2" s="1"/>
  <c r="DX266" i="2" a="1"/>
  <c r="DX266" i="2" s="1"/>
  <c r="DX267" i="2" s="1"/>
  <c r="DP266" i="2" a="1"/>
  <c r="DP266" i="2" s="1"/>
  <c r="DP267" i="2" s="1"/>
  <c r="DG266" i="2" a="1"/>
  <c r="DG266" i="2" s="1"/>
  <c r="EF264" i="2" a="1"/>
  <c r="EF264" i="2" s="1"/>
  <c r="EF265" i="2" s="1"/>
  <c r="DN264" i="2" a="1"/>
  <c r="DN264" i="2" s="1"/>
  <c r="DN265" i="2" s="1"/>
  <c r="EF266" i="2" a="1"/>
  <c r="EF266" i="2" s="1"/>
  <c r="EF267" i="2" s="1"/>
  <c r="DO266" i="2" a="1"/>
  <c r="DO266" i="2" s="1"/>
  <c r="DO267" i="2" s="1"/>
  <c r="EA264" i="2" a="1"/>
  <c r="EA264" i="2" s="1"/>
  <c r="EA265" i="2" s="1"/>
  <c r="DR264" i="2" a="1"/>
  <c r="DR264" i="2" s="1"/>
  <c r="DR265" i="2" s="1"/>
  <c r="DG264" i="2" a="1"/>
  <c r="DG264" i="2" s="1"/>
  <c r="DU262" i="2" a="1"/>
  <c r="DU262" i="2" s="1"/>
  <c r="DU263" i="2" s="1"/>
  <c r="DQ262" i="2" a="1"/>
  <c r="DQ262" i="2" s="1"/>
  <c r="DQ263" i="2" s="1"/>
  <c r="DM262" i="2" a="1"/>
  <c r="DM262" i="2" s="1"/>
  <c r="DM263" i="2" s="1"/>
  <c r="DG262" i="2" a="1"/>
  <c r="DG262" i="2" s="1"/>
  <c r="ED260" i="2" a="1"/>
  <c r="ED260" i="2" s="1"/>
  <c r="ED261" i="2" s="1"/>
  <c r="DR260" i="2" a="1"/>
  <c r="DR260" i="2" s="1"/>
  <c r="DR261" i="2" s="1"/>
  <c r="DN260" i="2" a="1"/>
  <c r="DN260" i="2" s="1"/>
  <c r="DN261" i="2" s="1"/>
  <c r="DJ260" i="2" a="1"/>
  <c r="DJ260" i="2" s="1"/>
  <c r="DJ261" i="2" s="1"/>
  <c r="EE258" i="2" a="1"/>
  <c r="EE258" i="2" s="1"/>
  <c r="EE259" i="2" s="1"/>
  <c r="EA258" i="2" a="1"/>
  <c r="EA258" i="2" s="1"/>
  <c r="EA259" i="2" s="1"/>
  <c r="DO258" i="2" a="1"/>
  <c r="DO258" i="2" s="1"/>
  <c r="DO259" i="2" s="1"/>
  <c r="EF256" i="2" a="1"/>
  <c r="EF256" i="2" s="1"/>
  <c r="EF257" i="2" s="1"/>
  <c r="DX256" i="2" a="1"/>
  <c r="DX256" i="2" s="1"/>
  <c r="DX257" i="2" s="1"/>
  <c r="DP256" i="2" a="1"/>
  <c r="DP256" i="2" s="1"/>
  <c r="DP257" i="2" s="1"/>
  <c r="DL256" i="2" a="1"/>
  <c r="DL256" i="2" s="1"/>
  <c r="DL257" i="2" s="1"/>
  <c r="DU254" i="2" a="1"/>
  <c r="DU254" i="2" s="1"/>
  <c r="DU255" i="2" s="1"/>
  <c r="DQ254" i="2" a="1"/>
  <c r="DQ254" i="2" s="1"/>
  <c r="DQ255" i="2" s="1"/>
  <c r="DM254" i="2" a="1"/>
  <c r="DM254" i="2" s="1"/>
  <c r="DM255" i="2" s="1"/>
  <c r="DG254" i="2" a="1"/>
  <c r="DG254" i="2" s="1"/>
  <c r="ED252" i="2" a="1"/>
  <c r="ED252" i="2" s="1"/>
  <c r="ED253" i="2" s="1"/>
  <c r="DR252" i="2" a="1"/>
  <c r="DR252" i="2" s="1"/>
  <c r="DR253" i="2" s="1"/>
  <c r="DN252" i="2" a="1"/>
  <c r="DN252" i="2" s="1"/>
  <c r="DN253" i="2" s="1"/>
  <c r="DJ252" i="2" a="1"/>
  <c r="DJ252" i="2" s="1"/>
  <c r="DJ253" i="2" s="1"/>
  <c r="EE250" i="2" a="1"/>
  <c r="EE250" i="2" s="1"/>
  <c r="EE251" i="2" s="1"/>
  <c r="EA250" i="2" a="1"/>
  <c r="EA250" i="2" s="1"/>
  <c r="EA251" i="2" s="1"/>
  <c r="DO250" i="2" a="1"/>
  <c r="DO250" i="2" s="1"/>
  <c r="DO251" i="2" s="1"/>
  <c r="EF248" i="2" a="1"/>
  <c r="EF248" i="2" s="1"/>
  <c r="EF249" i="2" s="1"/>
  <c r="DX248" i="2" a="1"/>
  <c r="DX248" i="2" s="1"/>
  <c r="DX249" i="2" s="1"/>
  <c r="EE266" i="2" a="1"/>
  <c r="EE266" i="2" s="1"/>
  <c r="EE267" i="2" s="1"/>
  <c r="DU266" i="2" a="1"/>
  <c r="DU266" i="2" s="1"/>
  <c r="DU267" i="2" s="1"/>
  <c r="DN266" i="2" a="1"/>
  <c r="DN266" i="2" s="1"/>
  <c r="DN267" i="2" s="1"/>
  <c r="EE264" i="2" a="1"/>
  <c r="EE264" i="2" s="1"/>
  <c r="EE265" i="2" s="1"/>
  <c r="DM264" i="2" a="1"/>
  <c r="DM264" i="2" s="1"/>
  <c r="DM265" i="2" s="1"/>
  <c r="DM266" i="2" a="1"/>
  <c r="DM266" i="2" s="1"/>
  <c r="DM267" i="2" s="1"/>
  <c r="DQ264" i="2" a="1"/>
  <c r="DQ264" i="2" s="1"/>
  <c r="DQ265" i="2" s="1"/>
  <c r="DL264" i="2" a="1"/>
  <c r="DL264" i="2" s="1"/>
  <c r="DL265" i="2" s="1"/>
  <c r="EF262" i="2" a="1"/>
  <c r="EF262" i="2" s="1"/>
  <c r="EF263" i="2" s="1"/>
  <c r="DX262" i="2" a="1"/>
  <c r="DX262" i="2" s="1"/>
  <c r="DX263" i="2" s="1"/>
  <c r="DP262" i="2" a="1"/>
  <c r="DP262" i="2" s="1"/>
  <c r="DP263" i="2" s="1"/>
  <c r="DL262" i="2" a="1"/>
  <c r="DL262" i="2" s="1"/>
  <c r="DL263" i="2" s="1"/>
  <c r="DU260" i="2" a="1"/>
  <c r="DU260" i="2" s="1"/>
  <c r="DU261" i="2" s="1"/>
  <c r="DQ260" i="2" a="1"/>
  <c r="DQ260" i="2" s="1"/>
  <c r="DQ261" i="2" s="1"/>
  <c r="DM260" i="2" a="1"/>
  <c r="DM260" i="2" s="1"/>
  <c r="DM261" i="2" s="1"/>
  <c r="DG260" i="2" a="1"/>
  <c r="DG260" i="2" s="1"/>
  <c r="ED258" i="2" a="1"/>
  <c r="ED258" i="2" s="1"/>
  <c r="ED259" i="2" s="1"/>
  <c r="DR258" i="2" a="1"/>
  <c r="DR258" i="2" s="1"/>
  <c r="DR259" i="2" s="1"/>
  <c r="DN258" i="2" a="1"/>
  <c r="DN258" i="2" s="1"/>
  <c r="DN259" i="2" s="1"/>
  <c r="DJ258" i="2" a="1"/>
  <c r="DJ258" i="2" s="1"/>
  <c r="DJ259" i="2" s="1"/>
  <c r="EE256" i="2" a="1"/>
  <c r="EE256" i="2" s="1"/>
  <c r="EE257" i="2" s="1"/>
  <c r="EA256" i="2" a="1"/>
  <c r="EA256" i="2" s="1"/>
  <c r="EA257" i="2" s="1"/>
  <c r="DO256" i="2" a="1"/>
  <c r="DO256" i="2" s="1"/>
  <c r="DO257" i="2" s="1"/>
  <c r="EF254" i="2" a="1"/>
  <c r="EF254" i="2" s="1"/>
  <c r="EF255" i="2" s="1"/>
  <c r="DX254" i="2" a="1"/>
  <c r="DX254" i="2" s="1"/>
  <c r="DX255" i="2" s="1"/>
  <c r="DP254" i="2" a="1"/>
  <c r="DP254" i="2" s="1"/>
  <c r="DP255" i="2" s="1"/>
  <c r="DL254" i="2" a="1"/>
  <c r="DL254" i="2" s="1"/>
  <c r="DL255" i="2" s="1"/>
  <c r="DU252" i="2" a="1"/>
  <c r="DU252" i="2" s="1"/>
  <c r="DU253" i="2" s="1"/>
  <c r="DQ252" i="2" a="1"/>
  <c r="DQ252" i="2" s="1"/>
  <c r="DQ253" i="2" s="1"/>
  <c r="DM252" i="2" a="1"/>
  <c r="DM252" i="2" s="1"/>
  <c r="DM253" i="2" s="1"/>
  <c r="DG252" i="2" a="1"/>
  <c r="DG252" i="2" s="1"/>
  <c r="ED250" i="2" a="1"/>
  <c r="ED250" i="2" s="1"/>
  <c r="ED251" i="2" s="1"/>
  <c r="DR250" i="2" a="1"/>
  <c r="DR250" i="2" s="1"/>
  <c r="DR251" i="2" s="1"/>
  <c r="DN250" i="2" a="1"/>
  <c r="DN250" i="2" s="1"/>
  <c r="DN251" i="2" s="1"/>
  <c r="DJ250" i="2" a="1"/>
  <c r="DJ250" i="2" s="1"/>
  <c r="DJ251" i="2" s="1"/>
  <c r="EE248" i="2" a="1"/>
  <c r="EE248" i="2" s="1"/>
  <c r="EE249" i="2" s="1"/>
  <c r="EA248" i="2" a="1"/>
  <c r="EA248" i="2" s="1"/>
  <c r="EA249" i="2" s="1"/>
  <c r="DO248" i="2" a="1"/>
  <c r="DO248" i="2" s="1"/>
  <c r="DO249" i="2" s="1"/>
  <c r="ED264" i="2" a="1"/>
  <c r="ED264" i="2" s="1"/>
  <c r="ED265" i="2" s="1"/>
  <c r="DU264" i="2" a="1"/>
  <c r="DU264" i="2" s="1"/>
  <c r="DU265" i="2" s="1"/>
  <c r="DP264" i="2" a="1"/>
  <c r="DP264" i="2" s="1"/>
  <c r="DP265" i="2" s="1"/>
  <c r="EA266" i="2" a="1"/>
  <c r="EA266" i="2" s="1"/>
  <c r="EA267" i="2" s="1"/>
  <c r="DL266" i="2" a="1"/>
  <c r="DL266" i="2" s="1"/>
  <c r="DL267" i="2" s="1"/>
  <c r="EE262" i="2" a="1"/>
  <c r="EE262" i="2" s="1"/>
  <c r="EE263" i="2" s="1"/>
  <c r="EA262" i="2" a="1"/>
  <c r="EA262" i="2" s="1"/>
  <c r="EA263" i="2" s="1"/>
  <c r="DO262" i="2" a="1"/>
  <c r="DO262" i="2" s="1"/>
  <c r="DO263" i="2" s="1"/>
  <c r="EF260" i="2" a="1"/>
  <c r="EF260" i="2" s="1"/>
  <c r="EF261" i="2" s="1"/>
  <c r="DX260" i="2" a="1"/>
  <c r="DX260" i="2" s="1"/>
  <c r="DX261" i="2" s="1"/>
  <c r="DP260" i="2" a="1"/>
  <c r="DP260" i="2" s="1"/>
  <c r="DP261" i="2" s="1"/>
  <c r="DL260" i="2" a="1"/>
  <c r="DL260" i="2" s="1"/>
  <c r="DL261" i="2" s="1"/>
  <c r="DU258" i="2" a="1"/>
  <c r="DU258" i="2" s="1"/>
  <c r="DU259" i="2" s="1"/>
  <c r="DI259" i="2" s="1"/>
  <c r="DQ258" i="2" a="1"/>
  <c r="DQ258" i="2" s="1"/>
  <c r="DQ259" i="2" s="1"/>
  <c r="DM258" i="2" a="1"/>
  <c r="DM258" i="2" s="1"/>
  <c r="DM259" i="2" s="1"/>
  <c r="DG258" i="2" a="1"/>
  <c r="DG258" i="2" s="1"/>
  <c r="ED256" i="2" a="1"/>
  <c r="ED256" i="2" s="1"/>
  <c r="ED257" i="2" s="1"/>
  <c r="DR256" i="2" a="1"/>
  <c r="DR256" i="2" s="1"/>
  <c r="DR257" i="2" s="1"/>
  <c r="DN256" i="2" a="1"/>
  <c r="DN256" i="2" s="1"/>
  <c r="DN257" i="2" s="1"/>
  <c r="DJ256" i="2" a="1"/>
  <c r="DJ256" i="2" s="1"/>
  <c r="DJ257" i="2" s="1"/>
  <c r="EE254" i="2" a="1"/>
  <c r="EE254" i="2" s="1"/>
  <c r="EE255" i="2" s="1"/>
  <c r="EA254" i="2" a="1"/>
  <c r="EA254" i="2" s="1"/>
  <c r="EA255" i="2" s="1"/>
  <c r="DO254" i="2" a="1"/>
  <c r="DO254" i="2" s="1"/>
  <c r="DO255" i="2" s="1"/>
  <c r="EF252" i="2" a="1"/>
  <c r="EF252" i="2" s="1"/>
  <c r="EF253" i="2" s="1"/>
  <c r="DX252" i="2" a="1"/>
  <c r="DX252" i="2" s="1"/>
  <c r="DX253" i="2" s="1"/>
  <c r="DP252" i="2" a="1"/>
  <c r="DP252" i="2" s="1"/>
  <c r="DP253" i="2" s="1"/>
  <c r="DL252" i="2" a="1"/>
  <c r="DL252" i="2" s="1"/>
  <c r="DL253" i="2" s="1"/>
  <c r="DU250" i="2" a="1"/>
  <c r="DU250" i="2" s="1"/>
  <c r="DU251" i="2" s="1"/>
  <c r="DI251" i="2" s="1"/>
  <c r="DQ250" i="2" a="1"/>
  <c r="DQ250" i="2" s="1"/>
  <c r="DQ251" i="2" s="1"/>
  <c r="DM250" i="2" a="1"/>
  <c r="DM250" i="2" s="1"/>
  <c r="DM251" i="2" s="1"/>
  <c r="DG250" i="2" a="1"/>
  <c r="DG250" i="2" s="1"/>
  <c r="ED248" i="2" a="1"/>
  <c r="ED248" i="2" s="1"/>
  <c r="ED249" i="2" s="1"/>
  <c r="DR248" i="2" a="1"/>
  <c r="DR248" i="2" s="1"/>
  <c r="DR249" i="2" s="1"/>
  <c r="DN248" i="2" a="1"/>
  <c r="DN248" i="2" s="1"/>
  <c r="DN249" i="2" s="1"/>
  <c r="DL248" i="2" a="1"/>
  <c r="DL248" i="2" s="1"/>
  <c r="DL249" i="2" s="1"/>
  <c r="ED246" i="2" a="1"/>
  <c r="ED246" i="2" s="1"/>
  <c r="ED247" i="2" s="1"/>
  <c r="DR246" i="2" a="1"/>
  <c r="DR246" i="2" s="1"/>
  <c r="DR247" i="2" s="1"/>
  <c r="DN246" i="2" a="1"/>
  <c r="DN246" i="2" s="1"/>
  <c r="DN247" i="2" s="1"/>
  <c r="DJ246" i="2" a="1"/>
  <c r="DJ246" i="2" s="1"/>
  <c r="DJ247" i="2" s="1"/>
  <c r="EE244" i="2" a="1"/>
  <c r="EE244" i="2" s="1"/>
  <c r="EE245" i="2" s="1"/>
  <c r="EA244" i="2" a="1"/>
  <c r="EA244" i="2" s="1"/>
  <c r="EA245" i="2" s="1"/>
  <c r="DO244" i="2" a="1"/>
  <c r="DO244" i="2" s="1"/>
  <c r="DO245" i="2" s="1"/>
  <c r="EF242" i="2" a="1"/>
  <c r="EF242" i="2" s="1"/>
  <c r="EF243" i="2" s="1"/>
  <c r="DX242" i="2" a="1"/>
  <c r="DX242" i="2" s="1"/>
  <c r="DX243" i="2" s="1"/>
  <c r="DP242" i="2" a="1"/>
  <c r="DP242" i="2" s="1"/>
  <c r="DP243" i="2" s="1"/>
  <c r="DL242" i="2" a="1"/>
  <c r="DL242" i="2" s="1"/>
  <c r="DL243" i="2" s="1"/>
  <c r="DQ248" i="2" a="1"/>
  <c r="DQ248" i="2" s="1"/>
  <c r="DQ249" i="2" s="1"/>
  <c r="DJ248" i="2" a="1"/>
  <c r="DJ248" i="2" s="1"/>
  <c r="DJ249" i="2" s="1"/>
  <c r="DU246" i="2" a="1"/>
  <c r="DU246" i="2" s="1"/>
  <c r="DU247" i="2" s="1"/>
  <c r="DI247" i="2" s="1"/>
  <c r="DQ246" i="2" a="1"/>
  <c r="DQ246" i="2" s="1"/>
  <c r="DQ247" i="2" s="1"/>
  <c r="DM246" i="2" a="1"/>
  <c r="DM246" i="2" s="1"/>
  <c r="DM247" i="2" s="1"/>
  <c r="DG246" i="2" a="1"/>
  <c r="DG246" i="2" s="1"/>
  <c r="ED244" i="2" a="1"/>
  <c r="ED244" i="2" s="1"/>
  <c r="ED245" i="2" s="1"/>
  <c r="DR244" i="2" a="1"/>
  <c r="DR244" i="2" s="1"/>
  <c r="DR245" i="2" s="1"/>
  <c r="DN244" i="2" a="1"/>
  <c r="DN244" i="2" s="1"/>
  <c r="DN245" i="2" s="1"/>
  <c r="DJ244" i="2" a="1"/>
  <c r="DJ244" i="2" s="1"/>
  <c r="DJ245" i="2" s="1"/>
  <c r="EE242" i="2" a="1"/>
  <c r="EE242" i="2" s="1"/>
  <c r="EE243" i="2" s="1"/>
  <c r="EA242" i="2" a="1"/>
  <c r="EA242" i="2" s="1"/>
  <c r="EA243" i="2" s="1"/>
  <c r="DO242" i="2" a="1"/>
  <c r="DO242" i="2" s="1"/>
  <c r="DO243" i="2" s="1"/>
  <c r="DP248" i="2" a="1"/>
  <c r="DP248" i="2" s="1"/>
  <c r="DP249" i="2" s="1"/>
  <c r="DG248" i="2" a="1"/>
  <c r="DG248" i="2" s="1"/>
  <c r="EF246" i="2" a="1"/>
  <c r="EF246" i="2" s="1"/>
  <c r="EF247" i="2" s="1"/>
  <c r="DX246" i="2" a="1"/>
  <c r="DX246" i="2" s="1"/>
  <c r="DX247" i="2" s="1"/>
  <c r="DP246" i="2" a="1"/>
  <c r="DP246" i="2" s="1"/>
  <c r="DP247" i="2" s="1"/>
  <c r="DL246" i="2" a="1"/>
  <c r="DL246" i="2" s="1"/>
  <c r="DL247" i="2" s="1"/>
  <c r="DU244" i="2" a="1"/>
  <c r="DU244" i="2" s="1"/>
  <c r="DU245" i="2" s="1"/>
  <c r="DQ244" i="2" a="1"/>
  <c r="DQ244" i="2" s="1"/>
  <c r="DQ245" i="2" s="1"/>
  <c r="DM244" i="2" a="1"/>
  <c r="DM244" i="2" s="1"/>
  <c r="DM245" i="2" s="1"/>
  <c r="DG244" i="2" a="1"/>
  <c r="DG244" i="2" s="1"/>
  <c r="ED242" i="2" a="1"/>
  <c r="ED242" i="2" s="1"/>
  <c r="ED243" i="2" s="1"/>
  <c r="DR242" i="2" a="1"/>
  <c r="DR242" i="2" s="1"/>
  <c r="DR243" i="2" s="1"/>
  <c r="DN242" i="2" a="1"/>
  <c r="DN242" i="2" s="1"/>
  <c r="DN243" i="2" s="1"/>
  <c r="DJ242" i="2" a="1"/>
  <c r="DJ242" i="2" s="1"/>
  <c r="DJ243" i="2" s="1"/>
  <c r="DH243" i="2" s="1"/>
  <c r="DM248" i="2" a="1"/>
  <c r="DM248" i="2" s="1"/>
  <c r="DM249" i="2" s="1"/>
  <c r="EE246" i="2" a="1"/>
  <c r="EE246" i="2" s="1"/>
  <c r="EE247" i="2" s="1"/>
  <c r="EA246" i="2" a="1"/>
  <c r="EA246" i="2" s="1"/>
  <c r="EA247" i="2" s="1"/>
  <c r="DO246" i="2" a="1"/>
  <c r="DO246" i="2" s="1"/>
  <c r="DO247" i="2" s="1"/>
  <c r="EF244" i="2" a="1"/>
  <c r="EF244" i="2" s="1"/>
  <c r="EF245" i="2" s="1"/>
  <c r="DX244" i="2" a="1"/>
  <c r="DX244" i="2" s="1"/>
  <c r="DX245" i="2" s="1"/>
  <c r="DP244" i="2" a="1"/>
  <c r="DP244" i="2" s="1"/>
  <c r="DP245" i="2" s="1"/>
  <c r="DL244" i="2" a="1"/>
  <c r="DL244" i="2" s="1"/>
  <c r="DL245" i="2" s="1"/>
  <c r="DU242" i="2" a="1"/>
  <c r="DU242" i="2" s="1"/>
  <c r="DU243" i="2" s="1"/>
  <c r="DQ242" i="2" a="1"/>
  <c r="DQ242" i="2" s="1"/>
  <c r="DQ243" i="2" s="1"/>
  <c r="DM242" i="2" a="1"/>
  <c r="DM242" i="2" s="1"/>
  <c r="DM243" i="2" s="1"/>
  <c r="DG242" i="2" a="1"/>
  <c r="DG242" i="2" s="1"/>
  <c r="CJ49" i="2"/>
  <c r="M47" i="1"/>
  <c r="T47" i="1"/>
  <c r="T5" i="1"/>
  <c r="CK3" i="2"/>
  <c r="N14" i="1" s="1"/>
  <c r="L14" i="1"/>
  <c r="CF49" i="2"/>
  <c r="EX56" i="2" a="1"/>
  <c r="EX56" i="2" s="1"/>
  <c r="EX57" i="2" s="1"/>
  <c r="ET56" i="2" a="1"/>
  <c r="ET56" i="2" s="1"/>
  <c r="ET57" i="2" s="1"/>
  <c r="EP56" i="2" a="1"/>
  <c r="EP56" i="2" s="1"/>
  <c r="EP57" i="2" s="1"/>
  <c r="EJ56" i="2" a="1"/>
  <c r="EJ56" i="2" s="1"/>
  <c r="FG52" i="2" a="1"/>
  <c r="FG52" i="2" s="1"/>
  <c r="FG53" i="2" s="1"/>
  <c r="EU52" i="2" a="1"/>
  <c r="EU52" i="2" s="1"/>
  <c r="EU53" i="2" s="1"/>
  <c r="EQ52" i="2" a="1"/>
  <c r="EQ52" i="2" s="1"/>
  <c r="EQ53" i="2" s="1"/>
  <c r="EM52" i="2" a="1"/>
  <c r="EM52" i="2" s="1"/>
  <c r="EM53" i="2" s="1"/>
  <c r="ER58" i="2"/>
  <c r="FH54" i="2" a="1"/>
  <c r="FH54" i="2" s="1"/>
  <c r="FH55" i="2" s="1"/>
  <c r="FD54" i="2" a="1"/>
  <c r="FD54" i="2" s="1"/>
  <c r="FD55" i="2" s="1"/>
  <c r="ER54" i="2" a="1"/>
  <c r="ER54" i="2" s="1"/>
  <c r="ER55" i="2" s="1"/>
  <c r="FI50" i="2" a="1"/>
  <c r="FI50" i="2" s="1"/>
  <c r="FI51" i="2" s="1"/>
  <c r="FA50" i="2" a="1"/>
  <c r="FA50" i="2" s="1"/>
  <c r="FA51" i="2" s="1"/>
  <c r="ES50" i="2" a="1"/>
  <c r="ES50" i="2" s="1"/>
  <c r="ES51" i="2" s="1"/>
  <c r="EM58" i="2"/>
  <c r="FI56" i="2" a="1"/>
  <c r="FI56" i="2" s="1"/>
  <c r="FI57" i="2" s="1"/>
  <c r="FA56" i="2" a="1"/>
  <c r="FA56" i="2" s="1"/>
  <c r="FA57" i="2" s="1"/>
  <c r="ES56" i="2" a="1"/>
  <c r="ES56" i="2" s="1"/>
  <c r="ES57" i="2" s="1"/>
  <c r="EO56" i="2" a="1"/>
  <c r="EO56" i="2" s="1"/>
  <c r="EO57" i="2" s="1"/>
  <c r="EX52" i="2" a="1"/>
  <c r="EX52" i="2" s="1"/>
  <c r="EX53" i="2" s="1"/>
  <c r="ET52" i="2" a="1"/>
  <c r="ET52" i="2" s="1"/>
  <c r="ET53" i="2" s="1"/>
  <c r="EP52" i="2" a="1"/>
  <c r="EP52" i="2" s="1"/>
  <c r="EP53" i="2" s="1"/>
  <c r="EJ52" i="2" a="1"/>
  <c r="EJ52" i="2" s="1"/>
  <c r="EI58" i="2"/>
  <c r="Q76" i="1" s="1"/>
  <c r="FG54" i="2" a="1"/>
  <c r="FG54" i="2" s="1"/>
  <c r="FG55" i="2" s="1"/>
  <c r="EU54" i="2" a="1"/>
  <c r="EU54" i="2" s="1"/>
  <c r="EU55" i="2" s="1"/>
  <c r="EQ54" i="2" a="1"/>
  <c r="EQ54" i="2" s="1"/>
  <c r="EQ55" i="2" s="1"/>
  <c r="EM54" i="2" a="1"/>
  <c r="EM54" i="2" s="1"/>
  <c r="EM55" i="2" s="1"/>
  <c r="FH50" i="2" a="1"/>
  <c r="FH50" i="2" s="1"/>
  <c r="FH51" i="2" s="1"/>
  <c r="FH56" i="2" a="1"/>
  <c r="FH56" i="2" s="1"/>
  <c r="FH57" i="2" s="1"/>
  <c r="FD56" i="2" a="1"/>
  <c r="FD56" i="2" s="1"/>
  <c r="FD57" i="2" s="1"/>
  <c r="ER56" i="2" a="1"/>
  <c r="ER56" i="2" s="1"/>
  <c r="ER57" i="2" s="1"/>
  <c r="FI52" i="2" a="1"/>
  <c r="FI52" i="2" s="1"/>
  <c r="FI53" i="2" s="1"/>
  <c r="FA52" i="2" a="1"/>
  <c r="FA52" i="2" s="1"/>
  <c r="FA53" i="2" s="1"/>
  <c r="ES52" i="2" a="1"/>
  <c r="ES52" i="2" s="1"/>
  <c r="ES53" i="2" s="1"/>
  <c r="EO52" i="2" a="1"/>
  <c r="EO52" i="2" s="1"/>
  <c r="EO53" i="2" s="1"/>
  <c r="FG56" i="2" a="1"/>
  <c r="FG56" i="2" s="1"/>
  <c r="FG57" i="2" s="1"/>
  <c r="EU56" i="2" a="1"/>
  <c r="EU56" i="2" s="1"/>
  <c r="EU57" i="2" s="1"/>
  <c r="EQ56" i="2" a="1"/>
  <c r="EQ56" i="2" s="1"/>
  <c r="EQ57" i="2" s="1"/>
  <c r="EM56" i="2" a="1"/>
  <c r="EM56" i="2" s="1"/>
  <c r="EM57" i="2" s="1"/>
  <c r="FH52" i="2" a="1"/>
  <c r="FH52" i="2" s="1"/>
  <c r="FH53" i="2" s="1"/>
  <c r="FD52" i="2" a="1"/>
  <c r="FD52" i="2" s="1"/>
  <c r="FD53" i="2" s="1"/>
  <c r="ER52" i="2" a="1"/>
  <c r="ER52" i="2" s="1"/>
  <c r="ER53" i="2" s="1"/>
  <c r="FI54" i="2" a="1"/>
  <c r="FI54" i="2" s="1"/>
  <c r="FI55" i="2" s="1"/>
  <c r="FA54" i="2" a="1"/>
  <c r="FA54" i="2" s="1"/>
  <c r="FA55" i="2" s="1"/>
  <c r="ES54" i="2" a="1"/>
  <c r="ES54" i="2" s="1"/>
  <c r="ES55" i="2" s="1"/>
  <c r="EO54" i="2" a="1"/>
  <c r="EO54" i="2" s="1"/>
  <c r="EO55" i="2" s="1"/>
  <c r="EX50" i="2" a="1"/>
  <c r="EX50" i="2" s="1"/>
  <c r="EX51" i="2" s="1"/>
  <c r="ET50" i="2" a="1"/>
  <c r="ET50" i="2" s="1"/>
  <c r="ET51" i="2" s="1"/>
  <c r="EP50" i="2" a="1"/>
  <c r="EP50" i="2" s="1"/>
  <c r="EP51" i="2" s="1"/>
  <c r="EJ50" i="2" a="1"/>
  <c r="EJ50" i="2" s="1"/>
  <c r="EJ54" i="2" a="1"/>
  <c r="EJ54" i="2" s="1"/>
  <c r="ER50" i="2" a="1"/>
  <c r="ER50" i="2" s="1"/>
  <c r="ER51" i="2" s="1"/>
  <c r="FA48" i="2" a="1"/>
  <c r="FA48" i="2" s="1"/>
  <c r="FA49" i="2" s="1"/>
  <c r="EM48" i="2" a="1"/>
  <c r="EM48" i="2" s="1"/>
  <c r="EM49" i="2" s="1"/>
  <c r="FI46" i="2" a="1"/>
  <c r="FI46" i="2" s="1"/>
  <c r="FI47" i="2" s="1"/>
  <c r="FA46" i="2" a="1"/>
  <c r="FA46" i="2" s="1"/>
  <c r="FA47" i="2" s="1"/>
  <c r="ES46" i="2" a="1"/>
  <c r="ES46" i="2" s="1"/>
  <c r="ES47" i="2" s="1"/>
  <c r="EO46" i="2" a="1"/>
  <c r="EO46" i="2" s="1"/>
  <c r="EO47" i="2" s="1"/>
  <c r="EX42" i="2" a="1"/>
  <c r="EX42" i="2" s="1"/>
  <c r="EX43" i="2" s="1"/>
  <c r="EL43" i="2" s="1"/>
  <c r="ET42" i="2" a="1"/>
  <c r="ET42" i="2" s="1"/>
  <c r="ET43" i="2" s="1"/>
  <c r="EP42" i="2" a="1"/>
  <c r="EP42" i="2" s="1"/>
  <c r="EP43" i="2" s="1"/>
  <c r="EJ42" i="2" a="1"/>
  <c r="EJ42" i="2" s="1"/>
  <c r="FG38" i="2" a="1"/>
  <c r="FG38" i="2" s="1"/>
  <c r="FG39" i="2" s="1"/>
  <c r="EU38" i="2" a="1"/>
  <c r="EU38" i="2" s="1"/>
  <c r="EU39" i="2" s="1"/>
  <c r="EQ38" i="2" a="1"/>
  <c r="EQ38" i="2" s="1"/>
  <c r="EQ39" i="2" s="1"/>
  <c r="EM38" i="2" a="1"/>
  <c r="EM38" i="2" s="1"/>
  <c r="EM39" i="2" s="1"/>
  <c r="FH34" i="2" a="1"/>
  <c r="FH34" i="2" s="1"/>
  <c r="FH35" i="2" s="1"/>
  <c r="FD34" i="2" a="1"/>
  <c r="FD34" i="2" s="1"/>
  <c r="FD35" i="2" s="1"/>
  <c r="ER34" i="2" a="1"/>
  <c r="ER34" i="2" s="1"/>
  <c r="ER35" i="2" s="1"/>
  <c r="FG50" i="2" a="1"/>
  <c r="FG50" i="2" s="1"/>
  <c r="FG51" i="2" s="1"/>
  <c r="EQ50" i="2" a="1"/>
  <c r="EQ50" i="2" s="1"/>
  <c r="EQ51" i="2" s="1"/>
  <c r="EQ48" i="2" a="1"/>
  <c r="EQ48" i="2" s="1"/>
  <c r="EQ49" i="2" s="1"/>
  <c r="FG44" i="2" a="1"/>
  <c r="FG44" i="2" s="1"/>
  <c r="FG45" i="2" s="1"/>
  <c r="EU44" i="2" a="1"/>
  <c r="EU44" i="2" s="1"/>
  <c r="EU45" i="2" s="1"/>
  <c r="EQ44" i="2" a="1"/>
  <c r="EQ44" i="2" s="1"/>
  <c r="EQ45" i="2" s="1"/>
  <c r="EM44" i="2" a="1"/>
  <c r="EM44" i="2" s="1"/>
  <c r="EM45" i="2" s="1"/>
  <c r="FH40" i="2" a="1"/>
  <c r="FH40" i="2" s="1"/>
  <c r="FH41" i="2" s="1"/>
  <c r="FD40" i="2" a="1"/>
  <c r="FD40" i="2" s="1"/>
  <c r="FD41" i="2" s="1"/>
  <c r="ER40" i="2" a="1"/>
  <c r="ER40" i="2" s="1"/>
  <c r="ER41" i="2" s="1"/>
  <c r="FI36" i="2" a="1"/>
  <c r="FI36" i="2" s="1"/>
  <c r="FI37" i="2" s="1"/>
  <c r="FA36" i="2" a="1"/>
  <c r="FA36" i="2" s="1"/>
  <c r="FA37" i="2" s="1"/>
  <c r="ES36" i="2" a="1"/>
  <c r="ES36" i="2" s="1"/>
  <c r="ES37" i="2" s="1"/>
  <c r="EO36" i="2" a="1"/>
  <c r="EO36" i="2" s="1"/>
  <c r="EO37" i="2" s="1"/>
  <c r="FH32" i="2" a="1"/>
  <c r="FH32" i="2" s="1"/>
  <c r="FH33" i="2" s="1"/>
  <c r="FD32" i="2" a="1"/>
  <c r="FD32" i="2" s="1"/>
  <c r="FD33" i="2" s="1"/>
  <c r="FD50" i="2" a="1"/>
  <c r="FD50" i="2" s="1"/>
  <c r="FD51" i="2" s="1"/>
  <c r="EO50" i="2" a="1"/>
  <c r="EO50" i="2" s="1"/>
  <c r="EO51" i="2" s="1"/>
  <c r="EU48" i="2" a="1"/>
  <c r="EU48" i="2" s="1"/>
  <c r="EU49" i="2" s="1"/>
  <c r="EJ48" i="2" a="1"/>
  <c r="EJ48" i="2" s="1"/>
  <c r="FH46" i="2" a="1"/>
  <c r="FH46" i="2" s="1"/>
  <c r="FH47" i="2" s="1"/>
  <c r="FD46" i="2" a="1"/>
  <c r="FD46" i="2" s="1"/>
  <c r="FD47" i="2" s="1"/>
  <c r="ER46" i="2" a="1"/>
  <c r="ER46" i="2" s="1"/>
  <c r="ER47" i="2" s="1"/>
  <c r="FI42" i="2" a="1"/>
  <c r="FI42" i="2" s="1"/>
  <c r="FI43" i="2" s="1"/>
  <c r="FA42" i="2" a="1"/>
  <c r="FA42" i="2" s="1"/>
  <c r="FA43" i="2" s="1"/>
  <c r="ES42" i="2" a="1"/>
  <c r="ES42" i="2" s="1"/>
  <c r="ES43" i="2" s="1"/>
  <c r="EO42" i="2" a="1"/>
  <c r="EO42" i="2" s="1"/>
  <c r="EO43" i="2" s="1"/>
  <c r="EX38" i="2" a="1"/>
  <c r="EX38" i="2" s="1"/>
  <c r="EX39" i="2" s="1"/>
  <c r="ET38" i="2" a="1"/>
  <c r="ET38" i="2" s="1"/>
  <c r="ET39" i="2" s="1"/>
  <c r="EP38" i="2" a="1"/>
  <c r="EP38" i="2" s="1"/>
  <c r="EP39" i="2" s="1"/>
  <c r="EJ38" i="2" a="1"/>
  <c r="EJ38" i="2" s="1"/>
  <c r="FG34" i="2" a="1"/>
  <c r="FG34" i="2" s="1"/>
  <c r="FG35" i="2" s="1"/>
  <c r="EU34" i="2" a="1"/>
  <c r="EU34" i="2" s="1"/>
  <c r="EU35" i="2" s="1"/>
  <c r="EQ34" i="2" a="1"/>
  <c r="EQ34" i="2" s="1"/>
  <c r="EQ35" i="2" s="1"/>
  <c r="EM34" i="2" a="1"/>
  <c r="EM34" i="2" s="1"/>
  <c r="EM35" i="2" s="1"/>
  <c r="FD48" i="2" a="1"/>
  <c r="FD48" i="2" s="1"/>
  <c r="FD49" i="2" s="1"/>
  <c r="EP48" i="2" a="1"/>
  <c r="EP48" i="2" s="1"/>
  <c r="EP49" i="2" s="1"/>
  <c r="EX44" i="2" a="1"/>
  <c r="EX44" i="2" s="1"/>
  <c r="EX45" i="2" s="1"/>
  <c r="ET44" i="2" a="1"/>
  <c r="ET44" i="2" s="1"/>
  <c r="ET45" i="2" s="1"/>
  <c r="EP44" i="2" a="1"/>
  <c r="EP44" i="2" s="1"/>
  <c r="EP45" i="2" s="1"/>
  <c r="EJ44" i="2" a="1"/>
  <c r="EJ44" i="2" s="1"/>
  <c r="FG40" i="2" a="1"/>
  <c r="FG40" i="2" s="1"/>
  <c r="FG41" i="2" s="1"/>
  <c r="EU40" i="2" a="1"/>
  <c r="EU40" i="2" s="1"/>
  <c r="EU41" i="2" s="1"/>
  <c r="EQ40" i="2" a="1"/>
  <c r="EQ40" i="2" s="1"/>
  <c r="EQ41" i="2" s="1"/>
  <c r="EM40" i="2" a="1"/>
  <c r="EM40" i="2" s="1"/>
  <c r="EM41" i="2" s="1"/>
  <c r="FH36" i="2" a="1"/>
  <c r="FH36" i="2" s="1"/>
  <c r="FH37" i="2" s="1"/>
  <c r="FD36" i="2" a="1"/>
  <c r="FD36" i="2" s="1"/>
  <c r="FD37" i="2" s="1"/>
  <c r="ER36" i="2" a="1"/>
  <c r="ER36" i="2" s="1"/>
  <c r="ER37" i="2" s="1"/>
  <c r="EM50" i="2" a="1"/>
  <c r="EM50" i="2" s="1"/>
  <c r="EM51" i="2" s="1"/>
  <c r="FI48" i="2" a="1"/>
  <c r="FI48" i="2" s="1"/>
  <c r="FI49" i="2" s="1"/>
  <c r="ET48" i="2" a="1"/>
  <c r="ET48" i="2" s="1"/>
  <c r="ET49" i="2" s="1"/>
  <c r="FG46" i="2" a="1"/>
  <c r="FG46" i="2" s="1"/>
  <c r="FG47" i="2" s="1"/>
  <c r="EU46" i="2" a="1"/>
  <c r="EU46" i="2" s="1"/>
  <c r="EU47" i="2" s="1"/>
  <c r="EQ46" i="2" a="1"/>
  <c r="EQ46" i="2" s="1"/>
  <c r="EQ47" i="2" s="1"/>
  <c r="EM46" i="2" a="1"/>
  <c r="EM46" i="2" s="1"/>
  <c r="EM47" i="2" s="1"/>
  <c r="FH42" i="2" a="1"/>
  <c r="FH42" i="2" s="1"/>
  <c r="FH43" i="2" s="1"/>
  <c r="FD42" i="2" a="1"/>
  <c r="FD42" i="2" s="1"/>
  <c r="FD43" i="2" s="1"/>
  <c r="ER42" i="2" a="1"/>
  <c r="ER42" i="2" s="1"/>
  <c r="ER43" i="2" s="1"/>
  <c r="FI38" i="2" a="1"/>
  <c r="FI38" i="2" s="1"/>
  <c r="FI39" i="2" s="1"/>
  <c r="FA38" i="2" a="1"/>
  <c r="FA38" i="2" s="1"/>
  <c r="FA39" i="2" s="1"/>
  <c r="ES38" i="2" a="1"/>
  <c r="ES38" i="2" s="1"/>
  <c r="ES39" i="2" s="1"/>
  <c r="EO38" i="2" a="1"/>
  <c r="EO38" i="2" s="1"/>
  <c r="EO39" i="2" s="1"/>
  <c r="EX34" i="2" a="1"/>
  <c r="EX34" i="2" s="1"/>
  <c r="EX35" i="2" s="1"/>
  <c r="EL35" i="2" s="1"/>
  <c r="ET34" i="2" a="1"/>
  <c r="ET34" i="2" s="1"/>
  <c r="ET35" i="2" s="1"/>
  <c r="EP34" i="2" a="1"/>
  <c r="EP34" i="2" s="1"/>
  <c r="EP35" i="2" s="1"/>
  <c r="EJ34" i="2" a="1"/>
  <c r="EJ34" i="2" s="1"/>
  <c r="ET54" i="2" a="1"/>
  <c r="ET54" i="2" s="1"/>
  <c r="ET55" i="2" s="1"/>
  <c r="ES48" i="2" a="1"/>
  <c r="ES48" i="2" s="1"/>
  <c r="ES49" i="2" s="1"/>
  <c r="EX46" i="2" a="1"/>
  <c r="EX46" i="2" s="1"/>
  <c r="EX47" i="2" s="1"/>
  <c r="ET46" i="2" a="1"/>
  <c r="ET46" i="2" s="1"/>
  <c r="ET47" i="2" s="1"/>
  <c r="EP46" i="2" a="1"/>
  <c r="EP46" i="2" s="1"/>
  <c r="EP47" i="2" s="1"/>
  <c r="EJ46" i="2" a="1"/>
  <c r="EJ46" i="2" s="1"/>
  <c r="FG42" i="2" a="1"/>
  <c r="FG42" i="2" s="1"/>
  <c r="FG43" i="2" s="1"/>
  <c r="EU42" i="2" a="1"/>
  <c r="EU42" i="2" s="1"/>
  <c r="EU43" i="2" s="1"/>
  <c r="EQ42" i="2" a="1"/>
  <c r="EQ42" i="2" s="1"/>
  <c r="EQ43" i="2" s="1"/>
  <c r="EM42" i="2" a="1"/>
  <c r="EM42" i="2" s="1"/>
  <c r="EM43" i="2" s="1"/>
  <c r="FH38" i="2" a="1"/>
  <c r="FH38" i="2" s="1"/>
  <c r="FH39" i="2" s="1"/>
  <c r="FD38" i="2" a="1"/>
  <c r="FD38" i="2" s="1"/>
  <c r="FD39" i="2" s="1"/>
  <c r="ER38" i="2" a="1"/>
  <c r="ER38" i="2" s="1"/>
  <c r="ER39" i="2" s="1"/>
  <c r="FI34" i="2" a="1"/>
  <c r="FI34" i="2" s="1"/>
  <c r="FI35" i="2" s="1"/>
  <c r="FA34" i="2" a="1"/>
  <c r="FA34" i="2" s="1"/>
  <c r="FA35" i="2" s="1"/>
  <c r="ES34" i="2" a="1"/>
  <c r="ES34" i="2" s="1"/>
  <c r="ES35" i="2" s="1"/>
  <c r="EO34" i="2" a="1"/>
  <c r="EO34" i="2" s="1"/>
  <c r="EO35" i="2" s="1"/>
  <c r="EP54" i="2" a="1"/>
  <c r="EP54" i="2" s="1"/>
  <c r="EP55" i="2" s="1"/>
  <c r="EU50" i="2" a="1"/>
  <c r="EU50" i="2" s="1"/>
  <c r="EU51" i="2" s="1"/>
  <c r="FG48" i="2" a="1"/>
  <c r="FG48" i="2" s="1"/>
  <c r="FG49" i="2" s="1"/>
  <c r="ER48" i="2" a="1"/>
  <c r="ER48" i="2" s="1"/>
  <c r="ER49" i="2" s="1"/>
  <c r="FH44" i="2" a="1"/>
  <c r="FH44" i="2" s="1"/>
  <c r="FH45" i="2" s="1"/>
  <c r="FD44" i="2" a="1"/>
  <c r="FD44" i="2" s="1"/>
  <c r="FD45" i="2" s="1"/>
  <c r="ER44" i="2" a="1"/>
  <c r="ER44" i="2" s="1"/>
  <c r="ER45" i="2" s="1"/>
  <c r="FI40" i="2" a="1"/>
  <c r="FI40" i="2" s="1"/>
  <c r="FI41" i="2" s="1"/>
  <c r="FA40" i="2" a="1"/>
  <c r="FA40" i="2" s="1"/>
  <c r="FA41" i="2" s="1"/>
  <c r="ES40" i="2" a="1"/>
  <c r="ES40" i="2" s="1"/>
  <c r="ES41" i="2" s="1"/>
  <c r="EO40" i="2" a="1"/>
  <c r="EO40" i="2" s="1"/>
  <c r="EO41" i="2" s="1"/>
  <c r="EX36" i="2" a="1"/>
  <c r="EX36" i="2" s="1"/>
  <c r="EX37" i="2" s="1"/>
  <c r="EL37" i="2" s="1"/>
  <c r="ET36" i="2" a="1"/>
  <c r="ET36" i="2" s="1"/>
  <c r="ET37" i="2" s="1"/>
  <c r="EP36" i="2" a="1"/>
  <c r="EP36" i="2" s="1"/>
  <c r="EP37" i="2" s="1"/>
  <c r="EJ36" i="2" a="1"/>
  <c r="EJ36" i="2" s="1"/>
  <c r="FI32" i="2" a="1"/>
  <c r="FI32" i="2" s="1"/>
  <c r="FI33" i="2" s="1"/>
  <c r="EO48" i="2" a="1"/>
  <c r="EO48" i="2" s="1"/>
  <c r="EO49" i="2" s="1"/>
  <c r="EM32" i="2" a="1"/>
  <c r="EM32" i="2" s="1"/>
  <c r="EM33" i="2" s="1"/>
  <c r="FI44" i="2" a="1"/>
  <c r="FI44" i="2" s="1"/>
  <c r="FI45" i="2" s="1"/>
  <c r="EU36" i="2" a="1"/>
  <c r="EU36" i="2" s="1"/>
  <c r="EU37" i="2" s="1"/>
  <c r="FA32" i="2" a="1"/>
  <c r="FA32" i="2" s="1"/>
  <c r="FA33" i="2" s="1"/>
  <c r="ES32" i="2" a="1"/>
  <c r="ES32" i="2" s="1"/>
  <c r="ES33" i="2" s="1"/>
  <c r="EJ32" i="2" a="1"/>
  <c r="EJ32" i="2" s="1"/>
  <c r="EX40" i="2" a="1"/>
  <c r="EX40" i="2" s="1"/>
  <c r="EX41" i="2" s="1"/>
  <c r="EL41" i="2" s="1"/>
  <c r="EQ36" i="2" a="1"/>
  <c r="EQ36" i="2" s="1"/>
  <c r="EQ37" i="2" s="1"/>
  <c r="FG32" i="2" a="1"/>
  <c r="FG32" i="2" s="1"/>
  <c r="FG33" i="2" s="1"/>
  <c r="ER32" i="2" a="1"/>
  <c r="ER32" i="2" s="1"/>
  <c r="ER33" i="2" s="1"/>
  <c r="FA44" i="2" a="1"/>
  <c r="FA44" i="2" s="1"/>
  <c r="FA45" i="2" s="1"/>
  <c r="ET40" i="2" a="1"/>
  <c r="ET40" i="2" s="1"/>
  <c r="ET41" i="2" s="1"/>
  <c r="EM36" i="2" a="1"/>
  <c r="EM36" i="2" s="1"/>
  <c r="EM37" i="2" s="1"/>
  <c r="EX32" i="2" a="1"/>
  <c r="EX32" i="2" s="1"/>
  <c r="EX33" i="2" s="1"/>
  <c r="EQ32" i="2" a="1"/>
  <c r="EQ32" i="2" s="1"/>
  <c r="EQ33" i="2" s="1"/>
  <c r="FH48" i="2" a="1"/>
  <c r="FH48" i="2" s="1"/>
  <c r="FH49" i="2" s="1"/>
  <c r="EP40" i="2" a="1"/>
  <c r="EP40" i="2" s="1"/>
  <c r="EP41" i="2" s="1"/>
  <c r="EP32" i="2" a="1"/>
  <c r="EP32" i="2" s="1"/>
  <c r="EP33" i="2" s="1"/>
  <c r="ES44" i="2" a="1"/>
  <c r="ES44" i="2" s="1"/>
  <c r="ES45" i="2" s="1"/>
  <c r="EJ40" i="2" a="1"/>
  <c r="EJ40" i="2" s="1"/>
  <c r="EX54" i="2" a="1"/>
  <c r="EX54" i="2" s="1"/>
  <c r="EX55" i="2" s="1"/>
  <c r="EX48" i="2" a="1"/>
  <c r="EX48" i="2" s="1"/>
  <c r="EX49" i="2" s="1"/>
  <c r="EO44" i="2" a="1"/>
  <c r="EO44" i="2" s="1"/>
  <c r="EO45" i="2" s="1"/>
  <c r="FG36" i="2" a="1"/>
  <c r="FG36" i="2" s="1"/>
  <c r="FG37" i="2" s="1"/>
  <c r="EU32" i="2" a="1"/>
  <c r="EU32" i="2" s="1"/>
  <c r="EU33" i="2" s="1"/>
  <c r="EO32" i="2" a="1"/>
  <c r="EO32" i="2" s="1"/>
  <c r="EO33" i="2" s="1"/>
  <c r="ET32" i="2" a="1"/>
  <c r="ET32" i="2" s="1"/>
  <c r="ET33" i="2" s="1"/>
  <c r="CM55" i="2"/>
  <c r="CC43" i="2"/>
  <c r="AJ22" i="2" s="1"/>
  <c r="AK22" i="2" s="1"/>
  <c r="DO358" i="2"/>
  <c r="ED356" i="2" a="1"/>
  <c r="ED356" i="2" s="1"/>
  <c r="ED357" i="2" s="1"/>
  <c r="DR356" i="2" a="1"/>
  <c r="DR356" i="2" s="1"/>
  <c r="DR357" i="2" s="1"/>
  <c r="DN356" i="2" a="1"/>
  <c r="DN356" i="2" s="1"/>
  <c r="DN357" i="2" s="1"/>
  <c r="DJ356" i="2" a="1"/>
  <c r="DJ356" i="2" s="1"/>
  <c r="DJ357" i="2" s="1"/>
  <c r="EE354" i="2" a="1"/>
  <c r="EE354" i="2" s="1"/>
  <c r="EE355" i="2" s="1"/>
  <c r="EA354" i="2" a="1"/>
  <c r="EA354" i="2" s="1"/>
  <c r="EA355" i="2" s="1"/>
  <c r="DO354" i="2" a="1"/>
  <c r="DO354" i="2" s="1"/>
  <c r="DO355" i="2" s="1"/>
  <c r="EF352" i="2" a="1"/>
  <c r="EF352" i="2" s="1"/>
  <c r="EF353" i="2" s="1"/>
  <c r="DX352" i="2" a="1"/>
  <c r="DX352" i="2" s="1"/>
  <c r="DX353" i="2" s="1"/>
  <c r="DP352" i="2" a="1"/>
  <c r="DP352" i="2" s="1"/>
  <c r="DP353" i="2" s="1"/>
  <c r="DL352" i="2" a="1"/>
  <c r="DL352" i="2" s="1"/>
  <c r="DL353" i="2" s="1"/>
  <c r="DU350" i="2" a="1"/>
  <c r="DU350" i="2" s="1"/>
  <c r="DU351" i="2" s="1"/>
  <c r="DI351" i="2" s="1"/>
  <c r="DQ350" i="2" a="1"/>
  <c r="DQ350" i="2" s="1"/>
  <c r="DQ351" i="2" s="1"/>
  <c r="DF358" i="2"/>
  <c r="DU356" i="2" a="1"/>
  <c r="DU356" i="2" s="1"/>
  <c r="DU357" i="2" s="1"/>
  <c r="DQ356" i="2" a="1"/>
  <c r="DQ356" i="2" s="1"/>
  <c r="DQ357" i="2" s="1"/>
  <c r="DM356" i="2" a="1"/>
  <c r="DM356" i="2" s="1"/>
  <c r="DM357" i="2" s="1"/>
  <c r="DG356" i="2" a="1"/>
  <c r="DG356" i="2" s="1"/>
  <c r="ED354" i="2" a="1"/>
  <c r="ED354" i="2" s="1"/>
  <c r="ED355" i="2" s="1"/>
  <c r="DR354" i="2" a="1"/>
  <c r="DR354" i="2" s="1"/>
  <c r="DR355" i="2" s="1"/>
  <c r="DN354" i="2" a="1"/>
  <c r="DN354" i="2" s="1"/>
  <c r="DN355" i="2" s="1"/>
  <c r="DJ354" i="2" a="1"/>
  <c r="DJ354" i="2" s="1"/>
  <c r="DJ355" i="2" s="1"/>
  <c r="EE352" i="2" a="1"/>
  <c r="EE352" i="2" s="1"/>
  <c r="EE353" i="2" s="1"/>
  <c r="EA352" i="2" a="1"/>
  <c r="EA352" i="2" s="1"/>
  <c r="EA353" i="2" s="1"/>
  <c r="DO352" i="2" a="1"/>
  <c r="DO352" i="2" s="1"/>
  <c r="DO353" i="2" s="1"/>
  <c r="EF350" i="2" a="1"/>
  <c r="EF350" i="2" s="1"/>
  <c r="EF351" i="2" s="1"/>
  <c r="DX350" i="2" a="1"/>
  <c r="DX350" i="2" s="1"/>
  <c r="DX351" i="2" s="1"/>
  <c r="DP350" i="2" a="1"/>
  <c r="DP350" i="2" s="1"/>
  <c r="DP351" i="2" s="1"/>
  <c r="DL350" i="2" a="1"/>
  <c r="DL350" i="2" s="1"/>
  <c r="DL351" i="2" s="1"/>
  <c r="EF356" i="2" a="1"/>
  <c r="EF356" i="2" s="1"/>
  <c r="EF357" i="2" s="1"/>
  <c r="DX356" i="2" a="1"/>
  <c r="DX356" i="2" s="1"/>
  <c r="DX357" i="2" s="1"/>
  <c r="DP356" i="2" a="1"/>
  <c r="DP356" i="2" s="1"/>
  <c r="DP357" i="2" s="1"/>
  <c r="DL356" i="2" a="1"/>
  <c r="DL356" i="2" s="1"/>
  <c r="DL357" i="2" s="1"/>
  <c r="DU354" i="2" a="1"/>
  <c r="DU354" i="2" s="1"/>
  <c r="DU355" i="2" s="1"/>
  <c r="DQ354" i="2" a="1"/>
  <c r="DQ354" i="2" s="1"/>
  <c r="DQ355" i="2" s="1"/>
  <c r="DM354" i="2" a="1"/>
  <c r="DM354" i="2" s="1"/>
  <c r="DM355" i="2" s="1"/>
  <c r="DG354" i="2" a="1"/>
  <c r="DG354" i="2" s="1"/>
  <c r="ED352" i="2" a="1"/>
  <c r="ED352" i="2" s="1"/>
  <c r="ED353" i="2" s="1"/>
  <c r="DR352" i="2" a="1"/>
  <c r="DR352" i="2" s="1"/>
  <c r="DR353" i="2" s="1"/>
  <c r="DN352" i="2" a="1"/>
  <c r="DN352" i="2" s="1"/>
  <c r="DN353" i="2" s="1"/>
  <c r="DJ352" i="2" a="1"/>
  <c r="DJ352" i="2" s="1"/>
  <c r="DJ353" i="2" s="1"/>
  <c r="DH353" i="2" s="1"/>
  <c r="EE350" i="2" a="1"/>
  <c r="EE350" i="2" s="1"/>
  <c r="EE351" i="2" s="1"/>
  <c r="EA350" i="2" a="1"/>
  <c r="EA350" i="2" s="1"/>
  <c r="EA351" i="2" s="1"/>
  <c r="EE356" i="2" a="1"/>
  <c r="EE356" i="2" s="1"/>
  <c r="EE357" i="2" s="1"/>
  <c r="EA356" i="2" a="1"/>
  <c r="EA356" i="2" s="1"/>
  <c r="EA357" i="2" s="1"/>
  <c r="DO356" i="2" a="1"/>
  <c r="DO356" i="2" s="1"/>
  <c r="DO357" i="2" s="1"/>
  <c r="EF354" i="2" a="1"/>
  <c r="EF354" i="2" s="1"/>
  <c r="EF355" i="2" s="1"/>
  <c r="DX354" i="2" a="1"/>
  <c r="DX354" i="2" s="1"/>
  <c r="DX355" i="2" s="1"/>
  <c r="DP354" i="2" a="1"/>
  <c r="DP354" i="2" s="1"/>
  <c r="DP355" i="2" s="1"/>
  <c r="DL354" i="2" a="1"/>
  <c r="DL354" i="2" s="1"/>
  <c r="DL355" i="2" s="1"/>
  <c r="DU352" i="2" a="1"/>
  <c r="DU352" i="2" s="1"/>
  <c r="DU353" i="2" s="1"/>
  <c r="DQ352" i="2" a="1"/>
  <c r="DQ352" i="2" s="1"/>
  <c r="DQ353" i="2" s="1"/>
  <c r="DM352" i="2" a="1"/>
  <c r="DM352" i="2" s="1"/>
  <c r="DM353" i="2" s="1"/>
  <c r="DG352" i="2" a="1"/>
  <c r="DG352" i="2" s="1"/>
  <c r="DJ350" i="2" a="1"/>
  <c r="DJ350" i="2" s="1"/>
  <c r="DJ351" i="2" s="1"/>
  <c r="DN350" i="2" a="1"/>
  <c r="DN350" i="2" s="1"/>
  <c r="DN351" i="2" s="1"/>
  <c r="DU348" i="2" a="1"/>
  <c r="DU348" i="2" s="1"/>
  <c r="DU349" i="2" s="1"/>
  <c r="DQ348" i="2" a="1"/>
  <c r="DQ348" i="2" s="1"/>
  <c r="DQ349" i="2" s="1"/>
  <c r="DM348" i="2" a="1"/>
  <c r="DM348" i="2" s="1"/>
  <c r="DM349" i="2" s="1"/>
  <c r="DG348" i="2" a="1"/>
  <c r="DG348" i="2" s="1"/>
  <c r="ED346" i="2" a="1"/>
  <c r="ED346" i="2" s="1"/>
  <c r="ED347" i="2" s="1"/>
  <c r="DR346" i="2" a="1"/>
  <c r="DR346" i="2" s="1"/>
  <c r="DR347" i="2" s="1"/>
  <c r="DN346" i="2" a="1"/>
  <c r="DN346" i="2" s="1"/>
  <c r="DN347" i="2" s="1"/>
  <c r="DJ346" i="2" a="1"/>
  <c r="DJ346" i="2" s="1"/>
  <c r="DJ347" i="2" s="1"/>
  <c r="EE344" i="2" a="1"/>
  <c r="EE344" i="2" s="1"/>
  <c r="EE345" i="2" s="1"/>
  <c r="EA344" i="2" a="1"/>
  <c r="EA344" i="2" s="1"/>
  <c r="EA345" i="2" s="1"/>
  <c r="DO344" i="2" a="1"/>
  <c r="DO344" i="2" s="1"/>
  <c r="DO345" i="2" s="1"/>
  <c r="DG350" i="2" a="1"/>
  <c r="DG350" i="2" s="1"/>
  <c r="ED350" i="2" a="1"/>
  <c r="ED350" i="2" s="1"/>
  <c r="ED351" i="2" s="1"/>
  <c r="DR350" i="2" a="1"/>
  <c r="DR350" i="2" s="1"/>
  <c r="DR351" i="2" s="1"/>
  <c r="DM350" i="2" a="1"/>
  <c r="DM350" i="2" s="1"/>
  <c r="DM351" i="2" s="1"/>
  <c r="EF348" i="2" a="1"/>
  <c r="EF348" i="2" s="1"/>
  <c r="EF349" i="2" s="1"/>
  <c r="DX348" i="2" a="1"/>
  <c r="DX348" i="2" s="1"/>
  <c r="DX349" i="2" s="1"/>
  <c r="DP348" i="2" a="1"/>
  <c r="DP348" i="2" s="1"/>
  <c r="DP349" i="2" s="1"/>
  <c r="DL348" i="2" a="1"/>
  <c r="DL348" i="2" s="1"/>
  <c r="DL349" i="2" s="1"/>
  <c r="DU346" i="2" a="1"/>
  <c r="DU346" i="2" s="1"/>
  <c r="DU347" i="2" s="1"/>
  <c r="DQ346" i="2" a="1"/>
  <c r="DQ346" i="2" s="1"/>
  <c r="DQ347" i="2" s="1"/>
  <c r="DM346" i="2" a="1"/>
  <c r="DM346" i="2" s="1"/>
  <c r="DM347" i="2" s="1"/>
  <c r="DG346" i="2" a="1"/>
  <c r="DG346" i="2" s="1"/>
  <c r="ED344" i="2" a="1"/>
  <c r="ED344" i="2" s="1"/>
  <c r="ED345" i="2" s="1"/>
  <c r="EE348" i="2" a="1"/>
  <c r="EE348" i="2" s="1"/>
  <c r="EE349" i="2" s="1"/>
  <c r="EA348" i="2" a="1"/>
  <c r="EA348" i="2" s="1"/>
  <c r="EA349" i="2" s="1"/>
  <c r="DO348" i="2" a="1"/>
  <c r="DO348" i="2" s="1"/>
  <c r="DO349" i="2" s="1"/>
  <c r="EF346" i="2" a="1"/>
  <c r="EF346" i="2" s="1"/>
  <c r="EF347" i="2" s="1"/>
  <c r="DJ348" i="2" a="1"/>
  <c r="DJ348" i="2" s="1"/>
  <c r="DJ349" i="2" s="1"/>
  <c r="DU344" i="2" a="1"/>
  <c r="DU344" i="2" s="1"/>
  <c r="DU345" i="2" s="1"/>
  <c r="DP344" i="2" a="1"/>
  <c r="DP344" i="2" s="1"/>
  <c r="DP345" i="2" s="1"/>
  <c r="DJ344" i="2" a="1"/>
  <c r="DJ344" i="2" s="1"/>
  <c r="DJ345" i="2" s="1"/>
  <c r="ED342" i="2" a="1"/>
  <c r="ED342" i="2" s="1"/>
  <c r="ED343" i="2" s="1"/>
  <c r="DR342" i="2" a="1"/>
  <c r="DR342" i="2" s="1"/>
  <c r="DR343" i="2" s="1"/>
  <c r="DN342" i="2" a="1"/>
  <c r="DN342" i="2" s="1"/>
  <c r="DN343" i="2" s="1"/>
  <c r="DJ342" i="2" a="1"/>
  <c r="DJ342" i="2" s="1"/>
  <c r="DJ343" i="2" s="1"/>
  <c r="EE340" i="2" a="1"/>
  <c r="EE340" i="2" s="1"/>
  <c r="EE341" i="2" s="1"/>
  <c r="EA340" i="2" a="1"/>
  <c r="EA340" i="2" s="1"/>
  <c r="EA341" i="2" s="1"/>
  <c r="DO340" i="2" a="1"/>
  <c r="DO340" i="2" s="1"/>
  <c r="DO341" i="2" s="1"/>
  <c r="EF338" i="2" a="1"/>
  <c r="EF338" i="2" s="1"/>
  <c r="EF339" i="2" s="1"/>
  <c r="DJ358" i="2"/>
  <c r="DL346" i="2" a="1"/>
  <c r="DL346" i="2" s="1"/>
  <c r="DL347" i="2" s="1"/>
  <c r="EE346" i="2" a="1"/>
  <c r="EE346" i="2" s="1"/>
  <c r="EE347" i="2" s="1"/>
  <c r="DX346" i="2" a="1"/>
  <c r="DX346" i="2" s="1"/>
  <c r="DX347" i="2" s="1"/>
  <c r="EF344" i="2" a="1"/>
  <c r="EF344" i="2" s="1"/>
  <c r="EF345" i="2" s="1"/>
  <c r="DN344" i="2" a="1"/>
  <c r="DN344" i="2" s="1"/>
  <c r="DN345" i="2" s="1"/>
  <c r="DG344" i="2" a="1"/>
  <c r="DG344" i="2" s="1"/>
  <c r="DU342" i="2" a="1"/>
  <c r="DU342" i="2" s="1"/>
  <c r="DU343" i="2" s="1"/>
  <c r="DQ342" i="2" a="1"/>
  <c r="DQ342" i="2" s="1"/>
  <c r="DQ343" i="2" s="1"/>
  <c r="DM342" i="2" a="1"/>
  <c r="DM342" i="2" s="1"/>
  <c r="DM343" i="2" s="1"/>
  <c r="DG342" i="2" a="1"/>
  <c r="DG342" i="2" s="1"/>
  <c r="ED340" i="2" a="1"/>
  <c r="ED340" i="2" s="1"/>
  <c r="ED341" i="2" s="1"/>
  <c r="DO350" i="2" a="1"/>
  <c r="DO350" i="2" s="1"/>
  <c r="DO351" i="2" s="1"/>
  <c r="DR348" i="2" a="1"/>
  <c r="DR348" i="2" s="1"/>
  <c r="DR349" i="2" s="1"/>
  <c r="DP346" i="2" a="1"/>
  <c r="DP346" i="2" s="1"/>
  <c r="DP347" i="2" s="1"/>
  <c r="DX344" i="2" a="1"/>
  <c r="DX344" i="2" s="1"/>
  <c r="DX345" i="2" s="1"/>
  <c r="DR344" i="2" a="1"/>
  <c r="DR344" i="2" s="1"/>
  <c r="DR345" i="2" s="1"/>
  <c r="DM344" i="2" a="1"/>
  <c r="DM344" i="2" s="1"/>
  <c r="DM345" i="2" s="1"/>
  <c r="EF342" i="2" a="1"/>
  <c r="EF342" i="2" s="1"/>
  <c r="EF343" i="2" s="1"/>
  <c r="DX342" i="2" a="1"/>
  <c r="DX342" i="2" s="1"/>
  <c r="DX343" i="2" s="1"/>
  <c r="DP342" i="2" a="1"/>
  <c r="DP342" i="2" s="1"/>
  <c r="DP343" i="2" s="1"/>
  <c r="DL342" i="2" a="1"/>
  <c r="DL342" i="2" s="1"/>
  <c r="DL343" i="2" s="1"/>
  <c r="DU340" i="2" a="1"/>
  <c r="DU340" i="2" s="1"/>
  <c r="DU341" i="2" s="1"/>
  <c r="DQ340" i="2" a="1"/>
  <c r="DQ340" i="2" s="1"/>
  <c r="DQ341" i="2" s="1"/>
  <c r="DM340" i="2" a="1"/>
  <c r="DM340" i="2" s="1"/>
  <c r="DM341" i="2" s="1"/>
  <c r="DG340" i="2" a="1"/>
  <c r="DG340" i="2" s="1"/>
  <c r="ED338" i="2" a="1"/>
  <c r="ED338" i="2" s="1"/>
  <c r="ED339" i="2" s="1"/>
  <c r="ED348" i="2" a="1"/>
  <c r="ED348" i="2" s="1"/>
  <c r="ED349" i="2" s="1"/>
  <c r="DN348" i="2" a="1"/>
  <c r="DN348" i="2" s="1"/>
  <c r="DN349" i="2" s="1"/>
  <c r="DO346" i="2" a="1"/>
  <c r="DO346" i="2" s="1"/>
  <c r="DO347" i="2" s="1"/>
  <c r="EA346" i="2" a="1"/>
  <c r="EA346" i="2" s="1"/>
  <c r="EA347" i="2" s="1"/>
  <c r="DN338" i="2" a="1"/>
  <c r="DN338" i="2" s="1"/>
  <c r="DN339" i="2" s="1"/>
  <c r="DG338" i="2" a="1"/>
  <c r="DG338" i="2" s="1"/>
  <c r="EE336" i="2" a="1"/>
  <c r="EE336" i="2" s="1"/>
  <c r="EE337" i="2" s="1"/>
  <c r="EA336" i="2" a="1"/>
  <c r="EA336" i="2" s="1"/>
  <c r="EA337" i="2" s="1"/>
  <c r="DO336" i="2" a="1"/>
  <c r="DO336" i="2" s="1"/>
  <c r="DO337" i="2" s="1"/>
  <c r="EF334" i="2" a="1"/>
  <c r="EF334" i="2" s="1"/>
  <c r="EF335" i="2" s="1"/>
  <c r="DX334" i="2" a="1"/>
  <c r="DX334" i="2" s="1"/>
  <c r="DX335" i="2" s="1"/>
  <c r="DP334" i="2" a="1"/>
  <c r="DP334" i="2" s="1"/>
  <c r="DP335" i="2" s="1"/>
  <c r="DL334" i="2" a="1"/>
  <c r="DL334" i="2" s="1"/>
  <c r="DL335" i="2" s="1"/>
  <c r="DU332" i="2" a="1"/>
  <c r="DU332" i="2" s="1"/>
  <c r="DU333" i="2" s="1"/>
  <c r="DQ332" i="2" a="1"/>
  <c r="DQ332" i="2" s="1"/>
  <c r="DQ333" i="2" s="1"/>
  <c r="DM332" i="2" a="1"/>
  <c r="DM332" i="2" s="1"/>
  <c r="DM333" i="2" s="1"/>
  <c r="DG332" i="2" a="1"/>
  <c r="DG332" i="2" s="1"/>
  <c r="DR340" i="2" a="1"/>
  <c r="DR340" i="2" s="1"/>
  <c r="DR341" i="2" s="1"/>
  <c r="EE338" i="2" a="1"/>
  <c r="EE338" i="2" s="1"/>
  <c r="EE339" i="2" s="1"/>
  <c r="EE342" i="2" a="1"/>
  <c r="EE342" i="2" s="1"/>
  <c r="EE343" i="2" s="1"/>
  <c r="DP340" i="2" a="1"/>
  <c r="DP340" i="2" s="1"/>
  <c r="DP341" i="2" s="1"/>
  <c r="DX338" i="2" a="1"/>
  <c r="DX338" i="2" s="1"/>
  <c r="DX339" i="2" s="1"/>
  <c r="DR338" i="2" a="1"/>
  <c r="DR338" i="2" s="1"/>
  <c r="DR339" i="2" s="1"/>
  <c r="DM338" i="2" a="1"/>
  <c r="DM338" i="2" s="1"/>
  <c r="DM339" i="2" s="1"/>
  <c r="ED336" i="2" a="1"/>
  <c r="ED336" i="2" s="1"/>
  <c r="ED337" i="2" s="1"/>
  <c r="DR336" i="2" a="1"/>
  <c r="DR336" i="2" s="1"/>
  <c r="DR337" i="2" s="1"/>
  <c r="DN336" i="2" a="1"/>
  <c r="DN336" i="2" s="1"/>
  <c r="DN337" i="2" s="1"/>
  <c r="DJ336" i="2" a="1"/>
  <c r="DJ336" i="2" s="1"/>
  <c r="DJ337" i="2" s="1"/>
  <c r="EE334" i="2" a="1"/>
  <c r="EE334" i="2" s="1"/>
  <c r="EE335" i="2" s="1"/>
  <c r="EA334" i="2" a="1"/>
  <c r="EA334" i="2" s="1"/>
  <c r="EA335" i="2" s="1"/>
  <c r="DO334" i="2" a="1"/>
  <c r="DO334" i="2" s="1"/>
  <c r="DO335" i="2" s="1"/>
  <c r="EF332" i="2" a="1"/>
  <c r="EF332" i="2" s="1"/>
  <c r="EF333" i="2" s="1"/>
  <c r="DX332" i="2" a="1"/>
  <c r="DX332" i="2" s="1"/>
  <c r="DX333" i="2" s="1"/>
  <c r="DP332" i="2" a="1"/>
  <c r="DP332" i="2" s="1"/>
  <c r="DP333" i="2" s="1"/>
  <c r="DL332" i="2" a="1"/>
  <c r="DL332" i="2" s="1"/>
  <c r="DL333" i="2" s="1"/>
  <c r="EA342" i="2" a="1"/>
  <c r="EA342" i="2" s="1"/>
  <c r="EA343" i="2" s="1"/>
  <c r="DN340" i="2" a="1"/>
  <c r="DN340" i="2" s="1"/>
  <c r="DN341" i="2" s="1"/>
  <c r="DQ344" i="2" a="1"/>
  <c r="DQ344" i="2" s="1"/>
  <c r="DQ345" i="2" s="1"/>
  <c r="EF340" i="2" a="1"/>
  <c r="EF340" i="2" s="1"/>
  <c r="EF341" i="2" s="1"/>
  <c r="DL340" i="2" a="1"/>
  <c r="DL340" i="2" s="1"/>
  <c r="DL341" i="2" s="1"/>
  <c r="DQ338" i="2" a="1"/>
  <c r="DQ338" i="2" s="1"/>
  <c r="DQ339" i="2" s="1"/>
  <c r="DL338" i="2" a="1"/>
  <c r="DL338" i="2" s="1"/>
  <c r="DL339" i="2" s="1"/>
  <c r="DU336" i="2" a="1"/>
  <c r="DU336" i="2" s="1"/>
  <c r="DU337" i="2" s="1"/>
  <c r="DQ336" i="2" a="1"/>
  <c r="DQ336" i="2" s="1"/>
  <c r="DQ337" i="2" s="1"/>
  <c r="DM336" i="2" a="1"/>
  <c r="DM336" i="2" s="1"/>
  <c r="DM337" i="2" s="1"/>
  <c r="DG336" i="2" a="1"/>
  <c r="DG336" i="2" s="1"/>
  <c r="ED334" i="2" a="1"/>
  <c r="ED334" i="2" s="1"/>
  <c r="ED335" i="2" s="1"/>
  <c r="DR334" i="2" a="1"/>
  <c r="DR334" i="2" s="1"/>
  <c r="DR335" i="2" s="1"/>
  <c r="DN334" i="2" a="1"/>
  <c r="DN334" i="2" s="1"/>
  <c r="DN335" i="2" s="1"/>
  <c r="DJ334" i="2" a="1"/>
  <c r="DJ334" i="2" s="1"/>
  <c r="DJ335" i="2" s="1"/>
  <c r="EE332" i="2" a="1"/>
  <c r="EE332" i="2" s="1"/>
  <c r="EE333" i="2" s="1"/>
  <c r="EA332" i="2" a="1"/>
  <c r="EA332" i="2" s="1"/>
  <c r="EA333" i="2" s="1"/>
  <c r="DO332" i="2" a="1"/>
  <c r="DO332" i="2" s="1"/>
  <c r="DO333" i="2" s="1"/>
  <c r="DL344" i="2" a="1"/>
  <c r="DL344" i="2" s="1"/>
  <c r="DL345" i="2" s="1"/>
  <c r="DJ340" i="2" a="1"/>
  <c r="DJ340" i="2" s="1"/>
  <c r="DJ341" i="2" s="1"/>
  <c r="EA338" i="2" a="1"/>
  <c r="EA338" i="2" s="1"/>
  <c r="EA339" i="2" s="1"/>
  <c r="DO342" i="2" a="1"/>
  <c r="DO342" i="2" s="1"/>
  <c r="DO343" i="2" s="1"/>
  <c r="DX340" i="2" a="1"/>
  <c r="DX340" i="2" s="1"/>
  <c r="DX341" i="2" s="1"/>
  <c r="DU338" i="2" a="1"/>
  <c r="DU338" i="2" s="1"/>
  <c r="DU339" i="2" s="1"/>
  <c r="DP338" i="2" a="1"/>
  <c r="DP338" i="2" s="1"/>
  <c r="DP339" i="2" s="1"/>
  <c r="DJ338" i="2" a="1"/>
  <c r="DJ338" i="2" s="1"/>
  <c r="DJ339" i="2" s="1"/>
  <c r="EF336" i="2" a="1"/>
  <c r="EF336" i="2" s="1"/>
  <c r="EF337" i="2" s="1"/>
  <c r="DX336" i="2" a="1"/>
  <c r="DX336" i="2" s="1"/>
  <c r="DX337" i="2" s="1"/>
  <c r="DP336" i="2" a="1"/>
  <c r="DP336" i="2" s="1"/>
  <c r="DP337" i="2" s="1"/>
  <c r="DL336" i="2" a="1"/>
  <c r="DL336" i="2" s="1"/>
  <c r="DL337" i="2" s="1"/>
  <c r="DU334" i="2" a="1"/>
  <c r="DU334" i="2" s="1"/>
  <c r="DU335" i="2" s="1"/>
  <c r="DQ334" i="2" a="1"/>
  <c r="DQ334" i="2" s="1"/>
  <c r="DQ335" i="2" s="1"/>
  <c r="DM334" i="2" a="1"/>
  <c r="DM334" i="2" s="1"/>
  <c r="DM335" i="2" s="1"/>
  <c r="DG334" i="2" a="1"/>
  <c r="DG334" i="2" s="1"/>
  <c r="ED332" i="2" a="1"/>
  <c r="ED332" i="2" s="1"/>
  <c r="ED333" i="2" s="1"/>
  <c r="DR332" i="2" a="1"/>
  <c r="DR332" i="2" s="1"/>
  <c r="DR333" i="2" s="1"/>
  <c r="DN332" i="2" a="1"/>
  <c r="DN332" i="2" s="1"/>
  <c r="DN333" i="2" s="1"/>
  <c r="DJ332" i="2" a="1"/>
  <c r="DJ332" i="2" s="1"/>
  <c r="DJ333" i="2" s="1"/>
  <c r="DH333" i="2" s="1"/>
  <c r="DO338" i="2" a="1"/>
  <c r="DO338" i="2" s="1"/>
  <c r="DO339" i="2" s="1"/>
  <c r="CK33" i="2"/>
  <c r="CJ11" i="2"/>
  <c r="EE206" i="2" a="1"/>
  <c r="EE206" i="2" s="1"/>
  <c r="EE207" i="2" s="1"/>
  <c r="EA206" i="2" a="1"/>
  <c r="EA206" i="2" s="1"/>
  <c r="EA207" i="2" s="1"/>
  <c r="DO206" i="2" a="1"/>
  <c r="DO206" i="2" s="1"/>
  <c r="DO207" i="2" s="1"/>
  <c r="EF204" i="2" a="1"/>
  <c r="EF204" i="2" s="1"/>
  <c r="EF205" i="2" s="1"/>
  <c r="DX204" i="2" a="1"/>
  <c r="DX204" i="2" s="1"/>
  <c r="DX205" i="2" s="1"/>
  <c r="DO208" i="2"/>
  <c r="ED206" i="2" a="1"/>
  <c r="ED206" i="2" s="1"/>
  <c r="ED207" i="2" s="1"/>
  <c r="DR206" i="2" a="1"/>
  <c r="DR206" i="2" s="1"/>
  <c r="DR207" i="2" s="1"/>
  <c r="DN206" i="2" a="1"/>
  <c r="DN206" i="2" s="1"/>
  <c r="DN207" i="2" s="1"/>
  <c r="DJ206" i="2" a="1"/>
  <c r="DJ206" i="2" s="1"/>
  <c r="DJ207" i="2" s="1"/>
  <c r="EE204" i="2" a="1"/>
  <c r="EE204" i="2" s="1"/>
  <c r="EE205" i="2" s="1"/>
  <c r="EA204" i="2" a="1"/>
  <c r="EA204" i="2" s="1"/>
  <c r="EA205" i="2" s="1"/>
  <c r="DO204" i="2" a="1"/>
  <c r="DO204" i="2" s="1"/>
  <c r="DO205" i="2" s="1"/>
  <c r="DJ208" i="2"/>
  <c r="DF208" i="2"/>
  <c r="DU206" i="2" a="1"/>
  <c r="DU206" i="2" s="1"/>
  <c r="DU207" i="2" s="1"/>
  <c r="DQ206" i="2" a="1"/>
  <c r="DQ206" i="2" s="1"/>
  <c r="DQ207" i="2" s="1"/>
  <c r="DM206" i="2" a="1"/>
  <c r="DM206" i="2" s="1"/>
  <c r="DM207" i="2" s="1"/>
  <c r="DG206" i="2" a="1"/>
  <c r="DG206" i="2" s="1"/>
  <c r="ED204" i="2" a="1"/>
  <c r="ED204" i="2" s="1"/>
  <c r="ED205" i="2" s="1"/>
  <c r="DR204" i="2" a="1"/>
  <c r="DR204" i="2" s="1"/>
  <c r="DR205" i="2" s="1"/>
  <c r="DP202" i="2" a="1"/>
  <c r="DP202" i="2" s="1"/>
  <c r="DP203" i="2" s="1"/>
  <c r="EF206" i="2" a="1"/>
  <c r="EF206" i="2" s="1"/>
  <c r="EF207" i="2" s="1"/>
  <c r="DQ204" i="2" a="1"/>
  <c r="DQ204" i="2" s="1"/>
  <c r="DQ205" i="2" s="1"/>
  <c r="DO202" i="2" a="1"/>
  <c r="DO202" i="2" s="1"/>
  <c r="DO203" i="2" s="1"/>
  <c r="ED200" i="2" a="1"/>
  <c r="ED200" i="2" s="1"/>
  <c r="ED201" i="2" s="1"/>
  <c r="DR200" i="2" a="1"/>
  <c r="DR200" i="2" s="1"/>
  <c r="DR201" i="2" s="1"/>
  <c r="DN200" i="2" a="1"/>
  <c r="DN200" i="2" s="1"/>
  <c r="DN201" i="2" s="1"/>
  <c r="DJ200" i="2" a="1"/>
  <c r="DJ200" i="2" s="1"/>
  <c r="DJ201" i="2" s="1"/>
  <c r="EE198" i="2" a="1"/>
  <c r="EE198" i="2" s="1"/>
  <c r="EE199" i="2" s="1"/>
  <c r="EA198" i="2" a="1"/>
  <c r="EA198" i="2" s="1"/>
  <c r="EA199" i="2" s="1"/>
  <c r="DO198" i="2" a="1"/>
  <c r="DO198" i="2" s="1"/>
  <c r="DO199" i="2" s="1"/>
  <c r="EF196" i="2" a="1"/>
  <c r="EF196" i="2" s="1"/>
  <c r="EF197" i="2" s="1"/>
  <c r="DX196" i="2" a="1"/>
  <c r="DX196" i="2" s="1"/>
  <c r="DX197" i="2" s="1"/>
  <c r="DP196" i="2" a="1"/>
  <c r="DP196" i="2" s="1"/>
  <c r="DP197" i="2" s="1"/>
  <c r="DL196" i="2" a="1"/>
  <c r="DL196" i="2" s="1"/>
  <c r="DL197" i="2" s="1"/>
  <c r="DU194" i="2" a="1"/>
  <c r="DU194" i="2" s="1"/>
  <c r="DU195" i="2" s="1"/>
  <c r="DQ194" i="2" a="1"/>
  <c r="DQ194" i="2" s="1"/>
  <c r="DQ195" i="2" s="1"/>
  <c r="DM194" i="2" a="1"/>
  <c r="DM194" i="2" s="1"/>
  <c r="DM195" i="2" s="1"/>
  <c r="DG194" i="2" a="1"/>
  <c r="DG194" i="2" s="1"/>
  <c r="ED192" i="2" a="1"/>
  <c r="ED192" i="2" s="1"/>
  <c r="ED193" i="2" s="1"/>
  <c r="DR192" i="2" a="1"/>
  <c r="DR192" i="2" s="1"/>
  <c r="DR193" i="2" s="1"/>
  <c r="DN192" i="2" a="1"/>
  <c r="DN192" i="2" s="1"/>
  <c r="DN193" i="2" s="1"/>
  <c r="DJ192" i="2" a="1"/>
  <c r="DJ192" i="2" s="1"/>
  <c r="DJ193" i="2" s="1"/>
  <c r="EE190" i="2" a="1"/>
  <c r="EE190" i="2" s="1"/>
  <c r="EE191" i="2" s="1"/>
  <c r="EA190" i="2" a="1"/>
  <c r="EA190" i="2" s="1"/>
  <c r="EA191" i="2" s="1"/>
  <c r="DO190" i="2" a="1"/>
  <c r="DO190" i="2" s="1"/>
  <c r="DO191" i="2" s="1"/>
  <c r="EF188" i="2" a="1"/>
  <c r="EF188" i="2" s="1"/>
  <c r="EF189" i="2" s="1"/>
  <c r="DX188" i="2" a="1"/>
  <c r="DX188" i="2" s="1"/>
  <c r="DX189" i="2" s="1"/>
  <c r="DP188" i="2" a="1"/>
  <c r="DP188" i="2" s="1"/>
  <c r="DP189" i="2" s="1"/>
  <c r="DL188" i="2" a="1"/>
  <c r="DL188" i="2" s="1"/>
  <c r="DL189" i="2" s="1"/>
  <c r="DU186" i="2" a="1"/>
  <c r="DU186" i="2" s="1"/>
  <c r="DU187" i="2" s="1"/>
  <c r="DQ186" i="2" a="1"/>
  <c r="DQ186" i="2" s="1"/>
  <c r="DQ187" i="2" s="1"/>
  <c r="DM186" i="2" a="1"/>
  <c r="DM186" i="2" s="1"/>
  <c r="DM187" i="2" s="1"/>
  <c r="DG186" i="2" a="1"/>
  <c r="DG186" i="2" s="1"/>
  <c r="ED184" i="2" a="1"/>
  <c r="ED184" i="2" s="1"/>
  <c r="ED185" i="2" s="1"/>
  <c r="DR184" i="2" a="1"/>
  <c r="DR184" i="2" s="1"/>
  <c r="DR185" i="2" s="1"/>
  <c r="DN184" i="2" a="1"/>
  <c r="DN184" i="2" s="1"/>
  <c r="DN185" i="2" s="1"/>
  <c r="DJ184" i="2" a="1"/>
  <c r="DJ184" i="2" s="1"/>
  <c r="DJ185" i="2" s="1"/>
  <c r="EE182" i="2" a="1"/>
  <c r="EE182" i="2" s="1"/>
  <c r="EE183" i="2" s="1"/>
  <c r="EA182" i="2" a="1"/>
  <c r="EA182" i="2" s="1"/>
  <c r="EA183" i="2" s="1"/>
  <c r="DO182" i="2" a="1"/>
  <c r="DO182" i="2" s="1"/>
  <c r="DO183" i="2" s="1"/>
  <c r="DP204" i="2" a="1"/>
  <c r="DP204" i="2" s="1"/>
  <c r="DP205" i="2" s="1"/>
  <c r="DX202" i="2" a="1"/>
  <c r="DX202" i="2" s="1"/>
  <c r="DX203" i="2" s="1"/>
  <c r="DJ202" i="2" a="1"/>
  <c r="DJ202" i="2" s="1"/>
  <c r="DJ203" i="2" s="1"/>
  <c r="DX206" i="2" a="1"/>
  <c r="DX206" i="2" s="1"/>
  <c r="DX207" i="2" s="1"/>
  <c r="DN204" i="2" a="1"/>
  <c r="DN204" i="2" s="1"/>
  <c r="DN205" i="2" s="1"/>
  <c r="DN202" i="2" a="1"/>
  <c r="DN202" i="2" s="1"/>
  <c r="DN203" i="2" s="1"/>
  <c r="DU200" i="2" a="1"/>
  <c r="DU200" i="2" s="1"/>
  <c r="DU201" i="2" s="1"/>
  <c r="DQ200" i="2" a="1"/>
  <c r="DQ200" i="2" s="1"/>
  <c r="DQ201" i="2" s="1"/>
  <c r="DM200" i="2" a="1"/>
  <c r="DM200" i="2" s="1"/>
  <c r="DM201" i="2" s="1"/>
  <c r="DG200" i="2" a="1"/>
  <c r="DG200" i="2" s="1"/>
  <c r="ED198" i="2" a="1"/>
  <c r="ED198" i="2" s="1"/>
  <c r="ED199" i="2" s="1"/>
  <c r="DR198" i="2" a="1"/>
  <c r="DR198" i="2" s="1"/>
  <c r="DR199" i="2" s="1"/>
  <c r="DN198" i="2" a="1"/>
  <c r="DN198" i="2" s="1"/>
  <c r="DN199" i="2" s="1"/>
  <c r="DJ198" i="2" a="1"/>
  <c r="DJ198" i="2" s="1"/>
  <c r="DJ199" i="2" s="1"/>
  <c r="EE196" i="2" a="1"/>
  <c r="EE196" i="2" s="1"/>
  <c r="EE197" i="2" s="1"/>
  <c r="EA196" i="2" a="1"/>
  <c r="EA196" i="2" s="1"/>
  <c r="EA197" i="2" s="1"/>
  <c r="DO196" i="2" a="1"/>
  <c r="DO196" i="2" s="1"/>
  <c r="DO197" i="2" s="1"/>
  <c r="EF194" i="2" a="1"/>
  <c r="EF194" i="2" s="1"/>
  <c r="EF195" i="2" s="1"/>
  <c r="DX194" i="2" a="1"/>
  <c r="DX194" i="2" s="1"/>
  <c r="DX195" i="2" s="1"/>
  <c r="DP194" i="2" a="1"/>
  <c r="DP194" i="2" s="1"/>
  <c r="DP195" i="2" s="1"/>
  <c r="DL194" i="2" a="1"/>
  <c r="DL194" i="2" s="1"/>
  <c r="DL195" i="2" s="1"/>
  <c r="DU192" i="2" a="1"/>
  <c r="DU192" i="2" s="1"/>
  <c r="DU193" i="2" s="1"/>
  <c r="DI193" i="2" s="1"/>
  <c r="DQ192" i="2" a="1"/>
  <c r="DQ192" i="2" s="1"/>
  <c r="DQ193" i="2" s="1"/>
  <c r="DM192" i="2" a="1"/>
  <c r="DM192" i="2" s="1"/>
  <c r="DM193" i="2" s="1"/>
  <c r="DG192" i="2" a="1"/>
  <c r="DG192" i="2" s="1"/>
  <c r="ED190" i="2" a="1"/>
  <c r="ED190" i="2" s="1"/>
  <c r="ED191" i="2" s="1"/>
  <c r="DR190" i="2" a="1"/>
  <c r="DR190" i="2" s="1"/>
  <c r="DR191" i="2" s="1"/>
  <c r="DN190" i="2" a="1"/>
  <c r="DN190" i="2" s="1"/>
  <c r="DN191" i="2" s="1"/>
  <c r="DJ190" i="2" a="1"/>
  <c r="DJ190" i="2" s="1"/>
  <c r="DJ191" i="2" s="1"/>
  <c r="EE188" i="2" a="1"/>
  <c r="EE188" i="2" s="1"/>
  <c r="EE189" i="2" s="1"/>
  <c r="EA188" i="2" a="1"/>
  <c r="EA188" i="2" s="1"/>
  <c r="EA189" i="2" s="1"/>
  <c r="DO188" i="2" a="1"/>
  <c r="DO188" i="2" s="1"/>
  <c r="DO189" i="2" s="1"/>
  <c r="EF186" i="2" a="1"/>
  <c r="EF186" i="2" s="1"/>
  <c r="EF187" i="2" s="1"/>
  <c r="DX186" i="2" a="1"/>
  <c r="DX186" i="2" s="1"/>
  <c r="DX187" i="2" s="1"/>
  <c r="DP186" i="2" a="1"/>
  <c r="DP186" i="2" s="1"/>
  <c r="DP187" i="2" s="1"/>
  <c r="DL186" i="2" a="1"/>
  <c r="DL186" i="2" s="1"/>
  <c r="DL187" i="2" s="1"/>
  <c r="DU184" i="2" a="1"/>
  <c r="DU184" i="2" s="1"/>
  <c r="DU185" i="2" s="1"/>
  <c r="DQ184" i="2" a="1"/>
  <c r="DQ184" i="2" s="1"/>
  <c r="DQ185" i="2" s="1"/>
  <c r="DM184" i="2" a="1"/>
  <c r="DM184" i="2" s="1"/>
  <c r="DM185" i="2" s="1"/>
  <c r="DG184" i="2" a="1"/>
  <c r="DG184" i="2" s="1"/>
  <c r="ED182" i="2" a="1"/>
  <c r="ED182" i="2" s="1"/>
  <c r="ED183" i="2" s="1"/>
  <c r="DM204" i="2" a="1"/>
  <c r="DM204" i="2" s="1"/>
  <c r="DM205" i="2" s="1"/>
  <c r="EF202" i="2" a="1"/>
  <c r="EF202" i="2" s="1"/>
  <c r="EF203" i="2" s="1"/>
  <c r="EA202" i="2" a="1"/>
  <c r="EA202" i="2" s="1"/>
  <c r="EA203" i="2" s="1"/>
  <c r="DR202" i="2" a="1"/>
  <c r="DR202" i="2" s="1"/>
  <c r="DR203" i="2" s="1"/>
  <c r="DG202" i="2" a="1"/>
  <c r="DG202" i="2" s="1"/>
  <c r="DP206" i="2" a="1"/>
  <c r="DP206" i="2" s="1"/>
  <c r="DP207" i="2" s="1"/>
  <c r="DL204" i="2" a="1"/>
  <c r="DL204" i="2" s="1"/>
  <c r="DL205" i="2" s="1"/>
  <c r="EE202" i="2" a="1"/>
  <c r="EE202" i="2" s="1"/>
  <c r="EE203" i="2" s="1"/>
  <c r="DM202" i="2" a="1"/>
  <c r="DM202" i="2" s="1"/>
  <c r="DM203" i="2" s="1"/>
  <c r="EF200" i="2" a="1"/>
  <c r="EF200" i="2" s="1"/>
  <c r="EF201" i="2" s="1"/>
  <c r="DX200" i="2" a="1"/>
  <c r="DX200" i="2" s="1"/>
  <c r="DX201" i="2" s="1"/>
  <c r="DP200" i="2" a="1"/>
  <c r="DP200" i="2" s="1"/>
  <c r="DP201" i="2" s="1"/>
  <c r="DL200" i="2" a="1"/>
  <c r="DL200" i="2" s="1"/>
  <c r="DL201" i="2" s="1"/>
  <c r="DU198" i="2" a="1"/>
  <c r="DU198" i="2" s="1"/>
  <c r="DU199" i="2" s="1"/>
  <c r="DI199" i="2" s="1"/>
  <c r="DQ198" i="2" a="1"/>
  <c r="DQ198" i="2" s="1"/>
  <c r="DQ199" i="2" s="1"/>
  <c r="DM198" i="2" a="1"/>
  <c r="DM198" i="2" s="1"/>
  <c r="DM199" i="2" s="1"/>
  <c r="DG198" i="2" a="1"/>
  <c r="DG198" i="2" s="1"/>
  <c r="ED196" i="2" a="1"/>
  <c r="ED196" i="2" s="1"/>
  <c r="ED197" i="2" s="1"/>
  <c r="DR196" i="2" a="1"/>
  <c r="DR196" i="2" s="1"/>
  <c r="DR197" i="2" s="1"/>
  <c r="DN196" i="2" a="1"/>
  <c r="DN196" i="2" s="1"/>
  <c r="DN197" i="2" s="1"/>
  <c r="DJ196" i="2" a="1"/>
  <c r="DJ196" i="2" s="1"/>
  <c r="DJ197" i="2" s="1"/>
  <c r="EE194" i="2" a="1"/>
  <c r="EE194" i="2" s="1"/>
  <c r="EE195" i="2" s="1"/>
  <c r="EA194" i="2" a="1"/>
  <c r="EA194" i="2" s="1"/>
  <c r="EA195" i="2" s="1"/>
  <c r="DO194" i="2" a="1"/>
  <c r="DO194" i="2" s="1"/>
  <c r="DO195" i="2" s="1"/>
  <c r="EF192" i="2" a="1"/>
  <c r="EF192" i="2" s="1"/>
  <c r="EF193" i="2" s="1"/>
  <c r="DX192" i="2" a="1"/>
  <c r="DX192" i="2" s="1"/>
  <c r="DX193" i="2" s="1"/>
  <c r="DP192" i="2" a="1"/>
  <c r="DP192" i="2" s="1"/>
  <c r="DP193" i="2" s="1"/>
  <c r="DL192" i="2" a="1"/>
  <c r="DL192" i="2" s="1"/>
  <c r="DL193" i="2" s="1"/>
  <c r="DU190" i="2" a="1"/>
  <c r="DU190" i="2" s="1"/>
  <c r="DU191" i="2" s="1"/>
  <c r="DI191" i="2" s="1"/>
  <c r="DQ190" i="2" a="1"/>
  <c r="DQ190" i="2" s="1"/>
  <c r="DQ191" i="2" s="1"/>
  <c r="DM190" i="2" a="1"/>
  <c r="DM190" i="2" s="1"/>
  <c r="DM191" i="2" s="1"/>
  <c r="DG190" i="2" a="1"/>
  <c r="DG190" i="2" s="1"/>
  <c r="ED188" i="2" a="1"/>
  <c r="ED188" i="2" s="1"/>
  <c r="ED189" i="2" s="1"/>
  <c r="DR188" i="2" a="1"/>
  <c r="DR188" i="2" s="1"/>
  <c r="DR189" i="2" s="1"/>
  <c r="DN188" i="2" a="1"/>
  <c r="DN188" i="2" s="1"/>
  <c r="DN189" i="2" s="1"/>
  <c r="DJ188" i="2" a="1"/>
  <c r="DJ188" i="2" s="1"/>
  <c r="DJ189" i="2" s="1"/>
  <c r="EE186" i="2" a="1"/>
  <c r="EE186" i="2" s="1"/>
  <c r="EE187" i="2" s="1"/>
  <c r="EA186" i="2" a="1"/>
  <c r="EA186" i="2" s="1"/>
  <c r="EA187" i="2" s="1"/>
  <c r="DO186" i="2" a="1"/>
  <c r="DO186" i="2" s="1"/>
  <c r="DO187" i="2" s="1"/>
  <c r="EF184" i="2" a="1"/>
  <c r="EF184" i="2" s="1"/>
  <c r="EF185" i="2" s="1"/>
  <c r="DX184" i="2" a="1"/>
  <c r="DX184" i="2" s="1"/>
  <c r="DX185" i="2" s="1"/>
  <c r="DP184" i="2" a="1"/>
  <c r="DP184" i="2" s="1"/>
  <c r="DP185" i="2" s="1"/>
  <c r="DL184" i="2" a="1"/>
  <c r="DL184" i="2" s="1"/>
  <c r="DL185" i="2" s="1"/>
  <c r="DL206" i="2" a="1"/>
  <c r="DL206" i="2" s="1"/>
  <c r="DL207" i="2" s="1"/>
  <c r="DJ204" i="2" a="1"/>
  <c r="DJ204" i="2" s="1"/>
  <c r="DJ205" i="2" s="1"/>
  <c r="DH205" i="2" s="1"/>
  <c r="DQ202" i="2" a="1"/>
  <c r="DQ202" i="2" s="1"/>
  <c r="DQ203" i="2" s="1"/>
  <c r="EE200" i="2" a="1"/>
  <c r="EE200" i="2" s="1"/>
  <c r="EE201" i="2" s="1"/>
  <c r="DM196" i="2" a="1"/>
  <c r="DM196" i="2" s="1"/>
  <c r="DM197" i="2" s="1"/>
  <c r="EE192" i="2" a="1"/>
  <c r="EE192" i="2" s="1"/>
  <c r="EE193" i="2" s="1"/>
  <c r="DM188" i="2" a="1"/>
  <c r="DM188" i="2" s="1"/>
  <c r="DM189" i="2" s="1"/>
  <c r="DO184" i="2" a="1"/>
  <c r="DO184" i="2" s="1"/>
  <c r="DO185" i="2" s="1"/>
  <c r="DX182" i="2" a="1"/>
  <c r="DX182" i="2" s="1"/>
  <c r="DX183" i="2" s="1"/>
  <c r="DN182" i="2" a="1"/>
  <c r="DN182" i="2" s="1"/>
  <c r="DN183" i="2" s="1"/>
  <c r="DU202" i="2" a="1"/>
  <c r="DU202" i="2" s="1"/>
  <c r="DU203" i="2" s="1"/>
  <c r="DI203" i="2" s="1"/>
  <c r="EA200" i="2" a="1"/>
  <c r="EA200" i="2" s="1"/>
  <c r="EA201" i="2" s="1"/>
  <c r="DG196" i="2" a="1"/>
  <c r="DG196" i="2" s="1"/>
  <c r="DR194" i="2" a="1"/>
  <c r="DR194" i="2" s="1"/>
  <c r="DR195" i="2" s="1"/>
  <c r="EA192" i="2" a="1"/>
  <c r="EA192" i="2" s="1"/>
  <c r="EA193" i="2" s="1"/>
  <c r="DG188" i="2" a="1"/>
  <c r="DG188" i="2" s="1"/>
  <c r="DR186" i="2" a="1"/>
  <c r="DR186" i="2" s="1"/>
  <c r="DR187" i="2" s="1"/>
  <c r="EE184" i="2" a="1"/>
  <c r="EE184" i="2" s="1"/>
  <c r="EE185" i="2" s="1"/>
  <c r="DR182" i="2" a="1"/>
  <c r="DR182" i="2" s="1"/>
  <c r="DR183" i="2" s="1"/>
  <c r="DG182" i="2" a="1"/>
  <c r="DG182" i="2" s="1"/>
  <c r="EF198" i="2" a="1"/>
  <c r="EF198" i="2" s="1"/>
  <c r="EF199" i="2" s="1"/>
  <c r="DN194" i="2" a="1"/>
  <c r="DN194" i="2" s="1"/>
  <c r="DN195" i="2" s="1"/>
  <c r="EF190" i="2" a="1"/>
  <c r="EF190" i="2" s="1"/>
  <c r="EF191" i="2" s="1"/>
  <c r="DN186" i="2" a="1"/>
  <c r="DN186" i="2" s="1"/>
  <c r="DN187" i="2" s="1"/>
  <c r="DM182" i="2" a="1"/>
  <c r="DM182" i="2" s="1"/>
  <c r="DM183" i="2" s="1"/>
  <c r="DL202" i="2" a="1"/>
  <c r="DL202" i="2" s="1"/>
  <c r="DL203" i="2" s="1"/>
  <c r="DJ194" i="2" a="1"/>
  <c r="DJ194" i="2" s="1"/>
  <c r="DJ195" i="2" s="1"/>
  <c r="DH195" i="2" s="1"/>
  <c r="DJ186" i="2" a="1"/>
  <c r="DJ186" i="2" s="1"/>
  <c r="DJ187" i="2" s="1"/>
  <c r="DQ182" i="2" a="1"/>
  <c r="DQ182" i="2" s="1"/>
  <c r="DQ183" i="2" s="1"/>
  <c r="DO200" i="2" a="1"/>
  <c r="DO200" i="2" s="1"/>
  <c r="DO201" i="2" s="1"/>
  <c r="DX198" i="2" a="1"/>
  <c r="DX198" i="2" s="1"/>
  <c r="DX199" i="2" s="1"/>
  <c r="DO192" i="2" a="1"/>
  <c r="DO192" i="2" s="1"/>
  <c r="DO193" i="2" s="1"/>
  <c r="DX190" i="2" a="1"/>
  <c r="DX190" i="2" s="1"/>
  <c r="DX191" i="2" s="1"/>
  <c r="EA184" i="2" a="1"/>
  <c r="EA184" i="2" s="1"/>
  <c r="EA185" i="2" s="1"/>
  <c r="DU182" i="2" a="1"/>
  <c r="DU182" i="2" s="1"/>
  <c r="DU183" i="2" s="1"/>
  <c r="DI183" i="2" s="1"/>
  <c r="DL182" i="2" a="1"/>
  <c r="DL182" i="2" s="1"/>
  <c r="DL183" i="2" s="1"/>
  <c r="DU204" i="2" a="1"/>
  <c r="DU204" i="2" s="1"/>
  <c r="DU205" i="2" s="1"/>
  <c r="DP182" i="2" a="1"/>
  <c r="DP182" i="2" s="1"/>
  <c r="DP183" i="2" s="1"/>
  <c r="DG204" i="2" a="1"/>
  <c r="DG204" i="2" s="1"/>
  <c r="DP198" i="2" a="1"/>
  <c r="DP198" i="2" s="1"/>
  <c r="DP199" i="2" s="1"/>
  <c r="DU196" i="2" a="1"/>
  <c r="DU196" i="2" s="1"/>
  <c r="DU197" i="2" s="1"/>
  <c r="ED194" i="2" a="1"/>
  <c r="ED194" i="2" s="1"/>
  <c r="ED195" i="2" s="1"/>
  <c r="DP190" i="2" a="1"/>
  <c r="DP190" i="2" s="1"/>
  <c r="DP191" i="2" s="1"/>
  <c r="DU188" i="2" a="1"/>
  <c r="DU188" i="2" s="1"/>
  <c r="DU189" i="2" s="1"/>
  <c r="DI189" i="2" s="1"/>
  <c r="ED186" i="2" a="1"/>
  <c r="ED186" i="2" s="1"/>
  <c r="ED187" i="2" s="1"/>
  <c r="EF182" i="2" a="1"/>
  <c r="EF182" i="2" s="1"/>
  <c r="EF183" i="2" s="1"/>
  <c r="ED202" i="2" a="1"/>
  <c r="ED202" i="2" s="1"/>
  <c r="ED203" i="2" s="1"/>
  <c r="DL198" i="2" a="1"/>
  <c r="DL198" i="2" s="1"/>
  <c r="DL199" i="2" s="1"/>
  <c r="DL190" i="2" a="1"/>
  <c r="DL190" i="2" s="1"/>
  <c r="DL191" i="2" s="1"/>
  <c r="DJ182" i="2" a="1"/>
  <c r="DJ182" i="2" s="1"/>
  <c r="DJ183" i="2" s="1"/>
  <c r="DQ196" i="2" a="1"/>
  <c r="DQ196" i="2" s="1"/>
  <c r="DQ197" i="2" s="1"/>
  <c r="DQ188" i="2" a="1"/>
  <c r="DQ188" i="2" s="1"/>
  <c r="DQ189" i="2" s="1"/>
  <c r="L13" i="1"/>
  <c r="CJ3" i="2"/>
  <c r="N13" i="1" s="1"/>
  <c r="CK29" i="2"/>
  <c r="CF29" i="2"/>
  <c r="CO49" i="2"/>
  <c r="V50" i="1"/>
  <c r="V52" i="1"/>
  <c r="CF51" i="2"/>
  <c r="CJ7" i="2"/>
  <c r="N55" i="1" s="1"/>
  <c r="L55" i="1"/>
  <c r="CJ53" i="2"/>
  <c r="CK53" i="2"/>
  <c r="V11" i="1"/>
  <c r="V8" i="1"/>
  <c r="V10" i="1"/>
  <c r="CJ23" i="2"/>
  <c r="CO23" i="2"/>
  <c r="T4" i="1"/>
  <c r="DZ356" i="2" a="1"/>
  <c r="DZ356" i="2" s="1"/>
  <c r="DV356" i="2" a="1"/>
  <c r="DV356" i="2" s="1"/>
  <c r="DW354" i="2" a="1"/>
  <c r="DW354" i="2" s="1"/>
  <c r="DS354" i="2" a="1"/>
  <c r="DS354" i="2" s="1"/>
  <c r="DK354" i="2" a="1"/>
  <c r="DK354" i="2" s="1"/>
  <c r="EB352" i="2" a="1"/>
  <c r="EB352" i="2" s="1"/>
  <c r="DT352" i="2" a="1"/>
  <c r="DT352" i="2" s="1"/>
  <c r="EC350" i="2" a="1"/>
  <c r="EC350" i="2" s="1"/>
  <c r="DY350" i="2" a="1"/>
  <c r="DY350" i="2" s="1"/>
  <c r="EC356" i="2" a="1"/>
  <c r="EC356" i="2" s="1"/>
  <c r="DY356" i="2" a="1"/>
  <c r="DY356" i="2" s="1"/>
  <c r="DZ354" i="2" a="1"/>
  <c r="DZ354" i="2" s="1"/>
  <c r="DV354" i="2" a="1"/>
  <c r="DV354" i="2" s="1"/>
  <c r="DW352" i="2" a="1"/>
  <c r="DW352" i="2" s="1"/>
  <c r="DS352" i="2" a="1"/>
  <c r="DS352" i="2" s="1"/>
  <c r="DK352" i="2" a="1"/>
  <c r="DK352" i="2" s="1"/>
  <c r="EB350" i="2" a="1"/>
  <c r="EB350" i="2" s="1"/>
  <c r="DT350" i="2" a="1"/>
  <c r="DT350" i="2" s="1"/>
  <c r="EB356" i="2" a="1"/>
  <c r="EB356" i="2" s="1"/>
  <c r="DT356" i="2" a="1"/>
  <c r="DT356" i="2" s="1"/>
  <c r="EC354" i="2" a="1"/>
  <c r="EC354" i="2" s="1"/>
  <c r="DY354" i="2" a="1"/>
  <c r="DY354" i="2" s="1"/>
  <c r="DZ352" i="2" a="1"/>
  <c r="DZ352" i="2" s="1"/>
  <c r="DV352" i="2" a="1"/>
  <c r="DV352" i="2" s="1"/>
  <c r="DW350" i="2" a="1"/>
  <c r="DW350" i="2" s="1"/>
  <c r="DW356" i="2" a="1"/>
  <c r="DW356" i="2" s="1"/>
  <c r="DS356" i="2" a="1"/>
  <c r="DS356" i="2" s="1"/>
  <c r="DK356" i="2" a="1"/>
  <c r="DK356" i="2" s="1"/>
  <c r="EB354" i="2" a="1"/>
  <c r="EB354" i="2" s="1"/>
  <c r="DT354" i="2" a="1"/>
  <c r="DT354" i="2" s="1"/>
  <c r="EC352" i="2" a="1"/>
  <c r="EC352" i="2" s="1"/>
  <c r="DY352" i="2" a="1"/>
  <c r="DY352" i="2" s="1"/>
  <c r="DZ350" i="2" a="1"/>
  <c r="DZ350" i="2" s="1"/>
  <c r="DS350" i="2" a="1"/>
  <c r="DS350" i="2" s="1"/>
  <c r="EC348" i="2" a="1"/>
  <c r="EC348" i="2" s="1"/>
  <c r="DY348" i="2" a="1"/>
  <c r="DY348" i="2" s="1"/>
  <c r="DZ346" i="2" a="1"/>
  <c r="DZ346" i="2" s="1"/>
  <c r="DV346" i="2" a="1"/>
  <c r="DV346" i="2" s="1"/>
  <c r="DW344" i="2" a="1"/>
  <c r="DW344" i="2" s="1"/>
  <c r="DS344" i="2" a="1"/>
  <c r="DS344" i="2" s="1"/>
  <c r="DK344" i="2" a="1"/>
  <c r="DK344" i="2" s="1"/>
  <c r="EB348" i="2" a="1"/>
  <c r="EB348" i="2" s="1"/>
  <c r="DT348" i="2" a="1"/>
  <c r="DT348" i="2" s="1"/>
  <c r="EC346" i="2" a="1"/>
  <c r="EC346" i="2" s="1"/>
  <c r="DY346" i="2" a="1"/>
  <c r="DY346" i="2" s="1"/>
  <c r="DZ344" i="2" a="1"/>
  <c r="DZ344" i="2" s="1"/>
  <c r="DV350" i="2" a="1"/>
  <c r="DV350" i="2" s="1"/>
  <c r="DW348" i="2" a="1"/>
  <c r="DW348" i="2" s="1"/>
  <c r="DS348" i="2" a="1"/>
  <c r="DS348" i="2" s="1"/>
  <c r="DK348" i="2" a="1"/>
  <c r="DK348" i="2" s="1"/>
  <c r="DZ348" i="2" a="1"/>
  <c r="DZ348" i="2" s="1"/>
  <c r="DZ342" i="2" a="1"/>
  <c r="DZ342" i="2" s="1"/>
  <c r="DV342" i="2" a="1"/>
  <c r="DV342" i="2" s="1"/>
  <c r="DW340" i="2" a="1"/>
  <c r="DW340" i="2" s="1"/>
  <c r="DS340" i="2" a="1"/>
  <c r="DS340" i="2" s="1"/>
  <c r="DK340" i="2" a="1"/>
  <c r="DK340" i="2" s="1"/>
  <c r="EB338" i="2" a="1"/>
  <c r="EB338" i="2" s="1"/>
  <c r="DS346" i="2" a="1"/>
  <c r="DS346" i="2" s="1"/>
  <c r="DV348" i="2" a="1"/>
  <c r="DV348" i="2" s="1"/>
  <c r="DY344" i="2" a="1"/>
  <c r="DY344" i="2" s="1"/>
  <c r="DT344" i="2" a="1"/>
  <c r="DT344" i="2" s="1"/>
  <c r="EC342" i="2" a="1"/>
  <c r="EC342" i="2" s="1"/>
  <c r="DY342" i="2" a="1"/>
  <c r="DY342" i="2" s="1"/>
  <c r="DZ340" i="2" a="1"/>
  <c r="DZ340" i="2" s="1"/>
  <c r="DK346" i="2" a="1"/>
  <c r="DK346" i="2" s="1"/>
  <c r="DW346" i="2" a="1"/>
  <c r="DW346" i="2" s="1"/>
  <c r="EB342" i="2" a="1"/>
  <c r="EB342" i="2" s="1"/>
  <c r="DT342" i="2" a="1"/>
  <c r="DT342" i="2" s="1"/>
  <c r="EC340" i="2" a="1"/>
  <c r="EC340" i="2" s="1"/>
  <c r="DY340" i="2" a="1"/>
  <c r="DY340" i="2" s="1"/>
  <c r="DK350" i="2" a="1"/>
  <c r="DK350" i="2" s="1"/>
  <c r="EB346" i="2" a="1"/>
  <c r="EB346" i="2" s="1"/>
  <c r="EC344" i="2" a="1"/>
  <c r="EC344" i="2" s="1"/>
  <c r="DV344" i="2" a="1"/>
  <c r="DV344" i="2" s="1"/>
  <c r="DT346" i="2" a="1"/>
  <c r="DT346" i="2" s="1"/>
  <c r="EB344" i="2" a="1"/>
  <c r="EB344" i="2" s="1"/>
  <c r="DT340" i="2" a="1"/>
  <c r="DT340" i="2" s="1"/>
  <c r="DY338" i="2" a="1"/>
  <c r="DY338" i="2" s="1"/>
  <c r="DT338" i="2" a="1"/>
  <c r="DT338" i="2" s="1"/>
  <c r="DW336" i="2" a="1"/>
  <c r="DW336" i="2" s="1"/>
  <c r="DS336" i="2" a="1"/>
  <c r="DS336" i="2" s="1"/>
  <c r="DK336" i="2" a="1"/>
  <c r="DK336" i="2" s="1"/>
  <c r="EB334" i="2" a="1"/>
  <c r="EB334" i="2" s="1"/>
  <c r="DT334" i="2" a="1"/>
  <c r="DT334" i="2" s="1"/>
  <c r="EC332" i="2" a="1"/>
  <c r="EC332" i="2" s="1"/>
  <c r="DY332" i="2" a="1"/>
  <c r="DY332" i="2" s="1"/>
  <c r="EB326" i="2" a="1"/>
  <c r="EB326" i="2" s="1"/>
  <c r="DT326" i="2" a="1"/>
  <c r="DT326" i="2" s="1"/>
  <c r="DS338" i="2" a="1"/>
  <c r="DS338" i="2" s="1"/>
  <c r="DZ336" i="2" a="1"/>
  <c r="DZ336" i="2" s="1"/>
  <c r="DV336" i="2" a="1"/>
  <c r="DV336" i="2" s="1"/>
  <c r="DW334" i="2" a="1"/>
  <c r="DW334" i="2" s="1"/>
  <c r="DS334" i="2" a="1"/>
  <c r="DS334" i="2" s="1"/>
  <c r="DK334" i="2" a="1"/>
  <c r="DK334" i="2" s="1"/>
  <c r="EB332" i="2" a="1"/>
  <c r="EB332" i="2" s="1"/>
  <c r="DT332" i="2" a="1"/>
  <c r="DT332" i="2" s="1"/>
  <c r="DW326" i="2" a="1"/>
  <c r="DW326" i="2" s="1"/>
  <c r="DS326" i="2" a="1"/>
  <c r="DS326" i="2" s="1"/>
  <c r="DK326" i="2" a="1"/>
  <c r="DK326" i="2" s="1"/>
  <c r="EC338" i="2" a="1"/>
  <c r="EC338" i="2" s="1"/>
  <c r="DW338" i="2" a="1"/>
  <c r="DW338" i="2" s="1"/>
  <c r="DW342" i="2" a="1"/>
  <c r="DW342" i="2" s="1"/>
  <c r="DV338" i="2" a="1"/>
  <c r="DV338" i="2" s="1"/>
  <c r="EC336" i="2" a="1"/>
  <c r="EC336" i="2" s="1"/>
  <c r="DY336" i="2" a="1"/>
  <c r="DY336" i="2" s="1"/>
  <c r="DZ334" i="2" a="1"/>
  <c r="DZ334" i="2" s="1"/>
  <c r="DV334" i="2" a="1"/>
  <c r="DV334" i="2" s="1"/>
  <c r="DW332" i="2" a="1"/>
  <c r="DW332" i="2" s="1"/>
  <c r="DS332" i="2" a="1"/>
  <c r="DS332" i="2" s="1"/>
  <c r="DK332" i="2" a="1"/>
  <c r="DK332" i="2" s="1"/>
  <c r="DZ326" i="2" a="1"/>
  <c r="DZ326" i="2" s="1"/>
  <c r="DV326" i="2" a="1"/>
  <c r="DV326" i="2" s="1"/>
  <c r="DS342" i="2" a="1"/>
  <c r="DS342" i="2" s="1"/>
  <c r="EB340" i="2" a="1"/>
  <c r="EB340" i="2" s="1"/>
  <c r="DK338" i="2" a="1"/>
  <c r="DK338" i="2" s="1"/>
  <c r="DZ338" i="2" a="1"/>
  <c r="DZ338" i="2" s="1"/>
  <c r="EB336" i="2" a="1"/>
  <c r="EB336" i="2" s="1"/>
  <c r="DT336" i="2" a="1"/>
  <c r="DT336" i="2" s="1"/>
  <c r="EC334" i="2" a="1"/>
  <c r="EC334" i="2" s="1"/>
  <c r="DY334" i="2" a="1"/>
  <c r="DY334" i="2" s="1"/>
  <c r="DZ332" i="2" a="1"/>
  <c r="DZ332" i="2" s="1"/>
  <c r="DV332" i="2" a="1"/>
  <c r="DV332" i="2" s="1"/>
  <c r="EC326" i="2" a="1"/>
  <c r="EC326" i="2" s="1"/>
  <c r="DY326" i="2" a="1"/>
  <c r="DY326" i="2" s="1"/>
  <c r="DK342" i="2" a="1"/>
  <c r="DK342" i="2" s="1"/>
  <c r="DW324" i="2" a="1"/>
  <c r="DW324" i="2" s="1"/>
  <c r="DS324" i="2" a="1"/>
  <c r="DS324" i="2" s="1"/>
  <c r="DK324" i="2" a="1"/>
  <c r="DK324" i="2" s="1"/>
  <c r="EB322" i="2" a="1"/>
  <c r="EB322" i="2" s="1"/>
  <c r="DT322" i="2" a="1"/>
  <c r="DT322" i="2" s="1"/>
  <c r="EC320" i="2" a="1"/>
  <c r="EC320" i="2" s="1"/>
  <c r="DY320" i="2" a="1"/>
  <c r="DY320" i="2" s="1"/>
  <c r="DZ324" i="2" a="1"/>
  <c r="DZ324" i="2" s="1"/>
  <c r="DV324" i="2" a="1"/>
  <c r="DV324" i="2" s="1"/>
  <c r="DW322" i="2" a="1"/>
  <c r="DW322" i="2" s="1"/>
  <c r="DS322" i="2" a="1"/>
  <c r="DS322" i="2" s="1"/>
  <c r="DK322" i="2" a="1"/>
  <c r="DK322" i="2" s="1"/>
  <c r="EB320" i="2" a="1"/>
  <c r="EB320" i="2" s="1"/>
  <c r="DT320" i="2" a="1"/>
  <c r="DT320" i="2" s="1"/>
  <c r="EC318" i="2" a="1"/>
  <c r="EC318" i="2" s="1"/>
  <c r="DY318" i="2" a="1"/>
  <c r="DY318" i="2" s="1"/>
  <c r="DV340" i="2" a="1"/>
  <c r="DV340" i="2" s="1"/>
  <c r="EC324" i="2" a="1"/>
  <c r="EC324" i="2" s="1"/>
  <c r="DY324" i="2" a="1"/>
  <c r="DY324" i="2" s="1"/>
  <c r="DZ322" i="2" a="1"/>
  <c r="DZ322" i="2" s="1"/>
  <c r="DT324" i="2" a="1"/>
  <c r="DT324" i="2" s="1"/>
  <c r="DY322" i="2" a="1"/>
  <c r="DY322" i="2" s="1"/>
  <c r="DV322" i="2" a="1"/>
  <c r="DV322" i="2" s="1"/>
  <c r="DK320" i="2" a="1"/>
  <c r="DK320" i="2" s="1"/>
  <c r="DZ318" i="2" a="1"/>
  <c r="DZ318" i="2" s="1"/>
  <c r="DZ316" i="2" a="1"/>
  <c r="DZ316" i="2" s="1"/>
  <c r="EC314" i="2" a="1"/>
  <c r="EC314" i="2" s="1"/>
  <c r="DY314" i="2" a="1"/>
  <c r="DY314" i="2" s="1"/>
  <c r="DZ320" i="2" a="1"/>
  <c r="DZ320" i="2" s="1"/>
  <c r="DY316" i="2" a="1"/>
  <c r="DY316" i="2" s="1"/>
  <c r="DT316" i="2" a="1"/>
  <c r="DT316" i="2" s="1"/>
  <c r="DV320" i="2" a="1"/>
  <c r="DV320" i="2" s="1"/>
  <c r="DV318" i="2" a="1"/>
  <c r="DV318" i="2" s="1"/>
  <c r="DK318" i="2" a="1"/>
  <c r="DK318" i="2" s="1"/>
  <c r="EC316" i="2" a="1"/>
  <c r="EC316" i="2" s="1"/>
  <c r="EB324" i="2" a="1"/>
  <c r="EB324" i="2" s="1"/>
  <c r="DS318" i="2" a="1"/>
  <c r="DS318" i="2" s="1"/>
  <c r="EC322" i="2" a="1"/>
  <c r="EC322" i="2" s="1"/>
  <c r="EB318" i="2" a="1"/>
  <c r="EB318" i="2" s="1"/>
  <c r="DV316" i="2" a="1"/>
  <c r="DV316" i="2" s="1"/>
  <c r="DK316" i="2" a="1"/>
  <c r="DK316" i="2" s="1"/>
  <c r="DZ314" i="2" a="1"/>
  <c r="DZ314" i="2" s="1"/>
  <c r="DV314" i="2" a="1"/>
  <c r="DV314" i="2" s="1"/>
  <c r="DW312" i="2" a="1"/>
  <c r="DW312" i="2" s="1"/>
  <c r="DS312" i="2" a="1"/>
  <c r="DS312" i="2" s="1"/>
  <c r="DK312" i="2" a="1"/>
  <c r="DK312" i="2" s="1"/>
  <c r="EB310" i="2" a="1"/>
  <c r="EB310" i="2" s="1"/>
  <c r="DT310" i="2" a="1"/>
  <c r="DT310" i="2" s="1"/>
  <c r="EC308" i="2" a="1"/>
  <c r="EC308" i="2" s="1"/>
  <c r="DY308" i="2" a="1"/>
  <c r="DY308" i="2" s="1"/>
  <c r="DS316" i="2" a="1"/>
  <c r="DS316" i="2" s="1"/>
  <c r="EC312" i="2" a="1"/>
  <c r="EC312" i="2" s="1"/>
  <c r="DS310" i="2" a="1"/>
  <c r="DS310" i="2" s="1"/>
  <c r="DZ308" i="2" a="1"/>
  <c r="DZ308" i="2" s="1"/>
  <c r="EC306" i="2" a="1"/>
  <c r="EC306" i="2" s="1"/>
  <c r="DY306" i="2" a="1"/>
  <c r="DY306" i="2" s="1"/>
  <c r="DK314" i="2" a="1"/>
  <c r="DK314" i="2" s="1"/>
  <c r="EB312" i="2" a="1"/>
  <c r="EB312" i="2" s="1"/>
  <c r="EC310" i="2" a="1"/>
  <c r="EC310" i="2" s="1"/>
  <c r="DT308" i="2" a="1"/>
  <c r="DT308" i="2" s="1"/>
  <c r="DK308" i="2" a="1"/>
  <c r="DK308" i="2" s="1"/>
  <c r="DW320" i="2" a="1"/>
  <c r="DW320" i="2" s="1"/>
  <c r="EB316" i="2" a="1"/>
  <c r="EB316" i="2" s="1"/>
  <c r="DW314" i="2" a="1"/>
  <c r="DW314" i="2" s="1"/>
  <c r="DV312" i="2" a="1"/>
  <c r="DV312" i="2" s="1"/>
  <c r="DW310" i="2" a="1"/>
  <c r="DW310" i="2" s="1"/>
  <c r="EB306" i="2" a="1"/>
  <c r="EB306" i="2" s="1"/>
  <c r="DT306" i="2" a="1"/>
  <c r="DT306" i="2" s="1"/>
  <c r="EC304" i="2" a="1"/>
  <c r="EC304" i="2" s="1"/>
  <c r="DY304" i="2" a="1"/>
  <c r="DY304" i="2" s="1"/>
  <c r="DS320" i="2" a="1"/>
  <c r="DS320" i="2" s="1"/>
  <c r="DS308" i="2" a="1"/>
  <c r="DS308" i="2" s="1"/>
  <c r="EB314" i="2" a="1"/>
  <c r="EB314" i="2" s="1"/>
  <c r="DZ312" i="2" a="1"/>
  <c r="DZ312" i="2" s="1"/>
  <c r="DV310" i="2" a="1"/>
  <c r="DV310" i="2" s="1"/>
  <c r="DK310" i="2" a="1"/>
  <c r="DK310" i="2" s="1"/>
  <c r="DW306" i="2" a="1"/>
  <c r="DW306" i="2" s="1"/>
  <c r="DS306" i="2" a="1"/>
  <c r="DS306" i="2" s="1"/>
  <c r="DK306" i="2" a="1"/>
  <c r="DK306" i="2" s="1"/>
  <c r="EB304" i="2" a="1"/>
  <c r="EB304" i="2" s="1"/>
  <c r="DT304" i="2" a="1"/>
  <c r="DT304" i="2" s="1"/>
  <c r="EC302" i="2" a="1"/>
  <c r="EC302" i="2" s="1"/>
  <c r="DY302" i="2" a="1"/>
  <c r="DY302" i="2" s="1"/>
  <c r="DW318" i="2" a="1"/>
  <c r="DW318" i="2" s="1"/>
  <c r="DW316" i="2" a="1"/>
  <c r="DW316" i="2" s="1"/>
  <c r="DT318" i="2" a="1"/>
  <c r="DT318" i="2" s="1"/>
  <c r="DT314" i="2" a="1"/>
  <c r="DT314" i="2" s="1"/>
  <c r="DY312" i="2" a="1"/>
  <c r="DY312" i="2" s="1"/>
  <c r="DS314" i="2" a="1"/>
  <c r="DS314" i="2" s="1"/>
  <c r="DY310" i="2" a="1"/>
  <c r="DY310" i="2" s="1"/>
  <c r="DV306" i="2" a="1"/>
  <c r="DV306" i="2" s="1"/>
  <c r="EB302" i="2" a="1"/>
  <c r="EB302" i="2" s="1"/>
  <c r="DV302" i="2" a="1"/>
  <c r="DV302" i="2" s="1"/>
  <c r="DZ296" i="2" a="1"/>
  <c r="DZ296" i="2" s="1"/>
  <c r="DT296" i="2" a="1"/>
  <c r="DT296" i="2" s="1"/>
  <c r="DK294" i="2" a="1"/>
  <c r="DK294" i="2" s="1"/>
  <c r="EC288" i="2" a="1"/>
  <c r="EC288" i="2" s="1"/>
  <c r="DY288" i="2" a="1"/>
  <c r="DY288" i="2" s="1"/>
  <c r="DW308" i="2" a="1"/>
  <c r="DW308" i="2" s="1"/>
  <c r="DV304" i="2" a="1"/>
  <c r="DV304" i="2" s="1"/>
  <c r="DV308" i="2" a="1"/>
  <c r="DV308" i="2" s="1"/>
  <c r="DT302" i="2" a="1"/>
  <c r="DT302" i="2" s="1"/>
  <c r="DS296" i="2" a="1"/>
  <c r="DS296" i="2" s="1"/>
  <c r="DY294" i="2" a="1"/>
  <c r="DY294" i="2" s="1"/>
  <c r="DT294" i="2" a="1"/>
  <c r="DT294" i="2" s="1"/>
  <c r="EC292" i="2" a="1"/>
  <c r="EC292" i="2" s="1"/>
  <c r="DT292" i="2" a="1"/>
  <c r="DT292" i="2" s="1"/>
  <c r="DZ290" i="2" a="1"/>
  <c r="DZ290" i="2" s="1"/>
  <c r="EB288" i="2" a="1"/>
  <c r="EB288" i="2" s="1"/>
  <c r="DT288" i="2" a="1"/>
  <c r="DT288" i="2" s="1"/>
  <c r="EC286" i="2" a="1"/>
  <c r="EC286" i="2" s="1"/>
  <c r="DY286" i="2" a="1"/>
  <c r="DY286" i="2" s="1"/>
  <c r="DZ284" i="2" a="1"/>
  <c r="DZ284" i="2" s="1"/>
  <c r="DV284" i="2" a="1"/>
  <c r="DV284" i="2" s="1"/>
  <c r="DS302" i="2" a="1"/>
  <c r="DS302" i="2" s="1"/>
  <c r="EB296" i="2" a="1"/>
  <c r="EB296" i="2" s="1"/>
  <c r="DW296" i="2" a="1"/>
  <c r="DW296" i="2" s="1"/>
  <c r="EC294" i="2" a="1"/>
  <c r="EC294" i="2" s="1"/>
  <c r="DS294" i="2" a="1"/>
  <c r="DS294" i="2" s="1"/>
  <c r="EB292" i="2" a="1"/>
  <c r="EB292" i="2" s="1"/>
  <c r="DW292" i="2" a="1"/>
  <c r="DW292" i="2" s="1"/>
  <c r="DY290" i="2" a="1"/>
  <c r="DY290" i="2" s="1"/>
  <c r="DT290" i="2" a="1"/>
  <c r="DT290" i="2" s="1"/>
  <c r="DK290" i="2" a="1"/>
  <c r="DK290" i="2" s="1"/>
  <c r="DW288" i="2" a="1"/>
  <c r="DW288" i="2" s="1"/>
  <c r="DS288" i="2" a="1"/>
  <c r="DS288" i="2" s="1"/>
  <c r="DK288" i="2" a="1"/>
  <c r="DK288" i="2" s="1"/>
  <c r="EB286" i="2" a="1"/>
  <c r="EB286" i="2" s="1"/>
  <c r="DT286" i="2" a="1"/>
  <c r="DT286" i="2" s="1"/>
  <c r="EC284" i="2" a="1"/>
  <c r="EC284" i="2" s="1"/>
  <c r="DY284" i="2" a="1"/>
  <c r="DY284" i="2" s="1"/>
  <c r="DZ282" i="2" a="1"/>
  <c r="DZ282" i="2" s="1"/>
  <c r="DV282" i="2" a="1"/>
  <c r="DV282" i="2" s="1"/>
  <c r="DZ310" i="2" a="1"/>
  <c r="DZ310" i="2" s="1"/>
  <c r="DZ306" i="2" a="1"/>
  <c r="DZ306" i="2" s="1"/>
  <c r="DZ304" i="2" a="1"/>
  <c r="DZ304" i="2" s="1"/>
  <c r="EC290" i="2" a="1"/>
  <c r="EC290" i="2" s="1"/>
  <c r="DT312" i="2" a="1"/>
  <c r="DT312" i="2" s="1"/>
  <c r="EB308" i="2" a="1"/>
  <c r="EB308" i="2" s="1"/>
  <c r="DK302" i="2" a="1"/>
  <c r="DK302" i="2" s="1"/>
  <c r="DV296" i="2" a="1"/>
  <c r="DV296" i="2" s="1"/>
  <c r="DK296" i="2" a="1"/>
  <c r="DK296" i="2" s="1"/>
  <c r="EB294" i="2" a="1"/>
  <c r="EB294" i="2" s="1"/>
  <c r="DW294" i="2" a="1"/>
  <c r="DW294" i="2" s="1"/>
  <c r="DV292" i="2" a="1"/>
  <c r="DV292" i="2" s="1"/>
  <c r="EB290" i="2" a="1"/>
  <c r="EB290" i="2" s="1"/>
  <c r="DS290" i="2" a="1"/>
  <c r="DS290" i="2" s="1"/>
  <c r="DZ288" i="2" a="1"/>
  <c r="DZ288" i="2" s="1"/>
  <c r="DV288" i="2" a="1"/>
  <c r="DV288" i="2" s="1"/>
  <c r="DW286" i="2" a="1"/>
  <c r="DW286" i="2" s="1"/>
  <c r="DS286" i="2" a="1"/>
  <c r="DS286" i="2" s="1"/>
  <c r="DK286" i="2" a="1"/>
  <c r="DK286" i="2" s="1"/>
  <c r="EB284" i="2" a="1"/>
  <c r="EB284" i="2" s="1"/>
  <c r="DT284" i="2" a="1"/>
  <c r="DT284" i="2" s="1"/>
  <c r="DW304" i="2" a="1"/>
  <c r="DW304" i="2" s="1"/>
  <c r="DW302" i="2" a="1"/>
  <c r="DW302" i="2" s="1"/>
  <c r="DV294" i="2" a="1"/>
  <c r="DV294" i="2" s="1"/>
  <c r="DZ292" i="2" a="1"/>
  <c r="DZ292" i="2" s="1"/>
  <c r="DW290" i="2" a="1"/>
  <c r="DW290" i="2" s="1"/>
  <c r="EC296" i="2" a="1"/>
  <c r="EC296" i="2" s="1"/>
  <c r="DZ286" i="2" a="1"/>
  <c r="DZ286" i="2" s="1"/>
  <c r="DY296" i="2" a="1"/>
  <c r="DY296" i="2" s="1"/>
  <c r="DK284" i="2" a="1"/>
  <c r="DK284" i="2" s="1"/>
  <c r="DW280" i="2" a="1"/>
  <c r="DW280" i="2" s="1"/>
  <c r="DS280" i="2" a="1"/>
  <c r="DS280" i="2" s="1"/>
  <c r="DK280" i="2" a="1"/>
  <c r="DK280" i="2" s="1"/>
  <c r="EB278" i="2" a="1"/>
  <c r="EB278" i="2" s="1"/>
  <c r="DT278" i="2" a="1"/>
  <c r="DT278" i="2" s="1"/>
  <c r="EC276" i="2" a="1"/>
  <c r="EC276" i="2" s="1"/>
  <c r="DY276" i="2" a="1"/>
  <c r="DY276" i="2" s="1"/>
  <c r="DZ274" i="2" a="1"/>
  <c r="DZ274" i="2" s="1"/>
  <c r="DV274" i="2" a="1"/>
  <c r="DV274" i="2" s="1"/>
  <c r="DW272" i="2" a="1"/>
  <c r="DW272" i="2" s="1"/>
  <c r="DS272" i="2" a="1"/>
  <c r="DS272" i="2" s="1"/>
  <c r="DK272" i="2" a="1"/>
  <c r="DK272" i="2" s="1"/>
  <c r="DZ266" i="2" a="1"/>
  <c r="DZ266" i="2" s="1"/>
  <c r="DV266" i="2" a="1"/>
  <c r="DV266" i="2" s="1"/>
  <c r="DS292" i="2" a="1"/>
  <c r="DS292" i="2" s="1"/>
  <c r="DY282" i="2" a="1"/>
  <c r="DY282" i="2" s="1"/>
  <c r="DS304" i="2" a="1"/>
  <c r="DS304" i="2" s="1"/>
  <c r="DZ294" i="2" a="1"/>
  <c r="DZ294" i="2" s="1"/>
  <c r="DS284" i="2" a="1"/>
  <c r="DS284" i="2" s="1"/>
  <c r="EC282" i="2" a="1"/>
  <c r="EC282" i="2" s="1"/>
  <c r="DT282" i="2" a="1"/>
  <c r="DT282" i="2" s="1"/>
  <c r="DK282" i="2" a="1"/>
  <c r="DK282" i="2" s="1"/>
  <c r="DZ280" i="2" a="1"/>
  <c r="DZ280" i="2" s="1"/>
  <c r="DV280" i="2" a="1"/>
  <c r="DV280" i="2" s="1"/>
  <c r="DW278" i="2" a="1"/>
  <c r="DW278" i="2" s="1"/>
  <c r="DS278" i="2" a="1"/>
  <c r="DS278" i="2" s="1"/>
  <c r="DK278" i="2" a="1"/>
  <c r="DK278" i="2" s="1"/>
  <c r="EB276" i="2" a="1"/>
  <c r="EB276" i="2" s="1"/>
  <c r="DT276" i="2" a="1"/>
  <c r="DT276" i="2" s="1"/>
  <c r="EC274" i="2" a="1"/>
  <c r="EC274" i="2" s="1"/>
  <c r="DY274" i="2" a="1"/>
  <c r="DY274" i="2" s="1"/>
  <c r="DZ272" i="2" a="1"/>
  <c r="DZ272" i="2" s="1"/>
  <c r="DV272" i="2" a="1"/>
  <c r="DV272" i="2" s="1"/>
  <c r="EC266" i="2" a="1"/>
  <c r="EC266" i="2" s="1"/>
  <c r="DK304" i="2" a="1"/>
  <c r="DK304" i="2" s="1"/>
  <c r="DW284" i="2" a="1"/>
  <c r="DW284" i="2" s="1"/>
  <c r="DW282" i="2" a="1"/>
  <c r="DW282" i="2" s="1"/>
  <c r="DZ302" i="2" a="1"/>
  <c r="DZ302" i="2" s="1"/>
  <c r="DY292" i="2" a="1"/>
  <c r="DY292" i="2" s="1"/>
  <c r="DV290" i="2" a="1"/>
  <c r="DV290" i="2" s="1"/>
  <c r="EB280" i="2" a="1"/>
  <c r="EB280" i="2" s="1"/>
  <c r="DT280" i="2" a="1"/>
  <c r="DT280" i="2" s="1"/>
  <c r="EC278" i="2" a="1"/>
  <c r="EC278" i="2" s="1"/>
  <c r="DY278" i="2" a="1"/>
  <c r="DY278" i="2" s="1"/>
  <c r="DZ276" i="2" a="1"/>
  <c r="DZ276" i="2" s="1"/>
  <c r="DV276" i="2" a="1"/>
  <c r="DV276" i="2" s="1"/>
  <c r="DW274" i="2" a="1"/>
  <c r="DW274" i="2" s="1"/>
  <c r="DS274" i="2" a="1"/>
  <c r="DS274" i="2" s="1"/>
  <c r="DK274" i="2" a="1"/>
  <c r="DK274" i="2" s="1"/>
  <c r="EB272" i="2" a="1"/>
  <c r="EB272" i="2" s="1"/>
  <c r="DT272" i="2" a="1"/>
  <c r="DT272" i="2" s="1"/>
  <c r="EC280" i="2" a="1"/>
  <c r="EC280" i="2" s="1"/>
  <c r="EC272" i="2" a="1"/>
  <c r="EC272" i="2" s="1"/>
  <c r="DY266" i="2" a="1"/>
  <c r="DY266" i="2" s="1"/>
  <c r="DK266" i="2" a="1"/>
  <c r="DK266" i="2" s="1"/>
  <c r="EC264" i="2" a="1"/>
  <c r="EC264" i="2" s="1"/>
  <c r="DS282" i="2" a="1"/>
  <c r="DS282" i="2" s="1"/>
  <c r="DY280" i="2" a="1"/>
  <c r="DY280" i="2" s="1"/>
  <c r="DK276" i="2" a="1"/>
  <c r="DK276" i="2" s="1"/>
  <c r="DT274" i="2" a="1"/>
  <c r="DT274" i="2" s="1"/>
  <c r="DY272" i="2" a="1"/>
  <c r="DY272" i="2" s="1"/>
  <c r="EB264" i="2" a="1"/>
  <c r="EB264" i="2" s="1"/>
  <c r="DS264" i="2" a="1"/>
  <c r="DS264" i="2" s="1"/>
  <c r="DZ262" i="2" a="1"/>
  <c r="DZ262" i="2" s="1"/>
  <c r="DV262" i="2" a="1"/>
  <c r="DV262" i="2" s="1"/>
  <c r="DW260" i="2" a="1"/>
  <c r="DW260" i="2" s="1"/>
  <c r="DS260" i="2" a="1"/>
  <c r="DS260" i="2" s="1"/>
  <c r="DK260" i="2" a="1"/>
  <c r="DK260" i="2" s="1"/>
  <c r="EB258" i="2" a="1"/>
  <c r="EB258" i="2" s="1"/>
  <c r="DT258" i="2" a="1"/>
  <c r="DT258" i="2" s="1"/>
  <c r="EC256" i="2" a="1"/>
  <c r="EC256" i="2" s="1"/>
  <c r="DY256" i="2" a="1"/>
  <c r="DY256" i="2" s="1"/>
  <c r="DZ254" i="2" a="1"/>
  <c r="DZ254" i="2" s="1"/>
  <c r="DV254" i="2" a="1"/>
  <c r="DV254" i="2" s="1"/>
  <c r="DW252" i="2" a="1"/>
  <c r="DW252" i="2" s="1"/>
  <c r="DS252" i="2" a="1"/>
  <c r="DS252" i="2" s="1"/>
  <c r="DK252" i="2" a="1"/>
  <c r="DK252" i="2" s="1"/>
  <c r="EB250" i="2" a="1"/>
  <c r="EB250" i="2" s="1"/>
  <c r="DT250" i="2" a="1"/>
  <c r="DT250" i="2" s="1"/>
  <c r="EC248" i="2" a="1"/>
  <c r="EC248" i="2" s="1"/>
  <c r="DY248" i="2" a="1"/>
  <c r="DY248" i="2" s="1"/>
  <c r="DW264" i="2" a="1"/>
  <c r="DW264" i="2" s="1"/>
  <c r="DZ278" i="2" a="1"/>
  <c r="DZ278" i="2" s="1"/>
  <c r="DW266" i="2" a="1"/>
  <c r="DW266" i="2" s="1"/>
  <c r="EC262" i="2" a="1"/>
  <c r="EC262" i="2" s="1"/>
  <c r="DY262" i="2" a="1"/>
  <c r="DY262" i="2" s="1"/>
  <c r="DZ260" i="2" a="1"/>
  <c r="DZ260" i="2" s="1"/>
  <c r="DV260" i="2" a="1"/>
  <c r="DV260" i="2" s="1"/>
  <c r="DW258" i="2" a="1"/>
  <c r="DW258" i="2" s="1"/>
  <c r="DS258" i="2" a="1"/>
  <c r="DS258" i="2" s="1"/>
  <c r="DK258" i="2" a="1"/>
  <c r="DK258" i="2" s="1"/>
  <c r="EB256" i="2" a="1"/>
  <c r="EB256" i="2" s="1"/>
  <c r="DT256" i="2" a="1"/>
  <c r="DT256" i="2" s="1"/>
  <c r="EC254" i="2" a="1"/>
  <c r="EC254" i="2" s="1"/>
  <c r="DY254" i="2" a="1"/>
  <c r="DY254" i="2" s="1"/>
  <c r="DZ252" i="2" a="1"/>
  <c r="DZ252" i="2" s="1"/>
  <c r="DV252" i="2" a="1"/>
  <c r="DV252" i="2" s="1"/>
  <c r="DW250" i="2" a="1"/>
  <c r="DW250" i="2" s="1"/>
  <c r="DS250" i="2" a="1"/>
  <c r="DS250" i="2" s="1"/>
  <c r="DK250" i="2" a="1"/>
  <c r="DK250" i="2" s="1"/>
  <c r="EB248" i="2" a="1"/>
  <c r="EB248" i="2" s="1"/>
  <c r="DT248" i="2" a="1"/>
  <c r="DT248" i="2" s="1"/>
  <c r="DV278" i="2" a="1"/>
  <c r="DV278" i="2" s="1"/>
  <c r="DV264" i="2" a="1"/>
  <c r="DV264" i="2" s="1"/>
  <c r="DK292" i="2" a="1"/>
  <c r="DK292" i="2" s="1"/>
  <c r="DV286" i="2" a="1"/>
  <c r="DV286" i="2" s="1"/>
  <c r="DZ264" i="2" a="1"/>
  <c r="DZ264" i="2" s="1"/>
  <c r="EB262" i="2" a="1"/>
  <c r="EB262" i="2" s="1"/>
  <c r="DT262" i="2" a="1"/>
  <c r="DT262" i="2" s="1"/>
  <c r="EC260" i="2" a="1"/>
  <c r="EC260" i="2" s="1"/>
  <c r="DY260" i="2" a="1"/>
  <c r="DY260" i="2" s="1"/>
  <c r="DZ258" i="2" a="1"/>
  <c r="DZ258" i="2" s="1"/>
  <c r="DV258" i="2" a="1"/>
  <c r="DV258" i="2" s="1"/>
  <c r="DW256" i="2" a="1"/>
  <c r="DW256" i="2" s="1"/>
  <c r="DS256" i="2" a="1"/>
  <c r="DS256" i="2" s="1"/>
  <c r="DK256" i="2" a="1"/>
  <c r="DK256" i="2" s="1"/>
  <c r="EB254" i="2" a="1"/>
  <c r="EB254" i="2" s="1"/>
  <c r="DT254" i="2" a="1"/>
  <c r="DT254" i="2" s="1"/>
  <c r="EC252" i="2" a="1"/>
  <c r="EC252" i="2" s="1"/>
  <c r="DY252" i="2" a="1"/>
  <c r="DY252" i="2" s="1"/>
  <c r="DZ250" i="2" a="1"/>
  <c r="DZ250" i="2" s="1"/>
  <c r="DV250" i="2" a="1"/>
  <c r="DV250" i="2" s="1"/>
  <c r="DW248" i="2" a="1"/>
  <c r="DW248" i="2" s="1"/>
  <c r="DS248" i="2" a="1"/>
  <c r="DS248" i="2" s="1"/>
  <c r="DK248" i="2" a="1"/>
  <c r="DK248" i="2" s="1"/>
  <c r="DW276" i="2" a="1"/>
  <c r="DW276" i="2" s="1"/>
  <c r="EB266" i="2" a="1"/>
  <c r="EB266" i="2" s="1"/>
  <c r="DT266" i="2" a="1"/>
  <c r="DT266" i="2" s="1"/>
  <c r="EB282" i="2" a="1"/>
  <c r="EB282" i="2" s="1"/>
  <c r="DS276" i="2" a="1"/>
  <c r="DS276" i="2" s="1"/>
  <c r="EB274" i="2" a="1"/>
  <c r="EB274" i="2" s="1"/>
  <c r="DS266" i="2" a="1"/>
  <c r="DS266" i="2" s="1"/>
  <c r="DY264" i="2" a="1"/>
  <c r="DY264" i="2" s="1"/>
  <c r="DT264" i="2" a="1"/>
  <c r="DT264" i="2" s="1"/>
  <c r="DK264" i="2" a="1"/>
  <c r="DK264" i="2" s="1"/>
  <c r="DW262" i="2" a="1"/>
  <c r="DW262" i="2" s="1"/>
  <c r="DS262" i="2" a="1"/>
  <c r="DS262" i="2" s="1"/>
  <c r="DK262" i="2" a="1"/>
  <c r="DK262" i="2" s="1"/>
  <c r="EB260" i="2" a="1"/>
  <c r="EB260" i="2" s="1"/>
  <c r="DT260" i="2" a="1"/>
  <c r="DT260" i="2" s="1"/>
  <c r="EC258" i="2" a="1"/>
  <c r="EC258" i="2" s="1"/>
  <c r="DY258" i="2" a="1"/>
  <c r="DY258" i="2" s="1"/>
  <c r="DZ256" i="2" a="1"/>
  <c r="DZ256" i="2" s="1"/>
  <c r="DV256" i="2" a="1"/>
  <c r="DV256" i="2" s="1"/>
  <c r="DW254" i="2" a="1"/>
  <c r="DW254" i="2" s="1"/>
  <c r="DS254" i="2" a="1"/>
  <c r="DS254" i="2" s="1"/>
  <c r="DK254" i="2" a="1"/>
  <c r="DK254" i="2" s="1"/>
  <c r="EB252" i="2" a="1"/>
  <c r="EB252" i="2" s="1"/>
  <c r="DT252" i="2" a="1"/>
  <c r="DT252" i="2" s="1"/>
  <c r="EC250" i="2" a="1"/>
  <c r="EC250" i="2" s="1"/>
  <c r="DY250" i="2" a="1"/>
  <c r="DY250" i="2" s="1"/>
  <c r="DZ248" i="2" a="1"/>
  <c r="DZ248" i="2" s="1"/>
  <c r="DV248" i="2" a="1"/>
  <c r="DV248" i="2" s="1"/>
  <c r="DZ246" i="2" a="1"/>
  <c r="DZ246" i="2" s="1"/>
  <c r="DV246" i="2" a="1"/>
  <c r="DV246" i="2" s="1"/>
  <c r="DW244" i="2" a="1"/>
  <c r="DW244" i="2" s="1"/>
  <c r="DS244" i="2" a="1"/>
  <c r="DS244" i="2" s="1"/>
  <c r="DK244" i="2" a="1"/>
  <c r="DK244" i="2" s="1"/>
  <c r="EB242" i="2" a="1"/>
  <c r="EB242" i="2" s="1"/>
  <c r="DT242" i="2" a="1"/>
  <c r="DT242" i="2" s="1"/>
  <c r="DW236" i="2" a="1"/>
  <c r="DW236" i="2" s="1"/>
  <c r="DS236" i="2" a="1"/>
  <c r="DS236" i="2" s="1"/>
  <c r="DK236" i="2" a="1"/>
  <c r="DK236" i="2" s="1"/>
  <c r="EB234" i="2" a="1"/>
  <c r="EB234" i="2" s="1"/>
  <c r="DT234" i="2" a="1"/>
  <c r="DT234" i="2" s="1"/>
  <c r="EC232" i="2" a="1"/>
  <c r="EC232" i="2" s="1"/>
  <c r="DY232" i="2" a="1"/>
  <c r="DY232" i="2" s="1"/>
  <c r="DZ230" i="2" a="1"/>
  <c r="DZ230" i="2" s="1"/>
  <c r="DV230" i="2" a="1"/>
  <c r="DV230" i="2" s="1"/>
  <c r="DW228" i="2" a="1"/>
  <c r="DW228" i="2" s="1"/>
  <c r="DS228" i="2" a="1"/>
  <c r="DS228" i="2" s="1"/>
  <c r="DK228" i="2" a="1"/>
  <c r="DK228" i="2" s="1"/>
  <c r="EB226" i="2" a="1"/>
  <c r="EB226" i="2" s="1"/>
  <c r="DT226" i="2" a="1"/>
  <c r="DT226" i="2" s="1"/>
  <c r="EC224" i="2" a="1"/>
  <c r="EC224" i="2" s="1"/>
  <c r="DY224" i="2" a="1"/>
  <c r="DY224" i="2" s="1"/>
  <c r="EC246" i="2" a="1"/>
  <c r="EC246" i="2" s="1"/>
  <c r="DY246" i="2" a="1"/>
  <c r="DY246" i="2" s="1"/>
  <c r="DZ244" i="2" a="1"/>
  <c r="DZ244" i="2" s="1"/>
  <c r="DV244" i="2" a="1"/>
  <c r="DV244" i="2" s="1"/>
  <c r="DW242" i="2" a="1"/>
  <c r="DW242" i="2" s="1"/>
  <c r="DS242" i="2" a="1"/>
  <c r="DS242" i="2" s="1"/>
  <c r="DK242" i="2" a="1"/>
  <c r="DK242" i="2" s="1"/>
  <c r="DZ236" i="2" a="1"/>
  <c r="DZ236" i="2" s="1"/>
  <c r="DV236" i="2" a="1"/>
  <c r="DV236" i="2" s="1"/>
  <c r="DW234" i="2" a="1"/>
  <c r="DW234" i="2" s="1"/>
  <c r="DS234" i="2" a="1"/>
  <c r="DS234" i="2" s="1"/>
  <c r="DK234" i="2" a="1"/>
  <c r="DK234" i="2" s="1"/>
  <c r="EB232" i="2" a="1"/>
  <c r="EB232" i="2" s="1"/>
  <c r="DT232" i="2" a="1"/>
  <c r="DT232" i="2" s="1"/>
  <c r="EC230" i="2" a="1"/>
  <c r="EC230" i="2" s="1"/>
  <c r="DY230" i="2" a="1"/>
  <c r="DY230" i="2" s="1"/>
  <c r="DZ228" i="2" a="1"/>
  <c r="DZ228" i="2" s="1"/>
  <c r="DV228" i="2" a="1"/>
  <c r="DV228" i="2" s="1"/>
  <c r="DW226" i="2" a="1"/>
  <c r="DW226" i="2" s="1"/>
  <c r="DS226" i="2" a="1"/>
  <c r="DS226" i="2" s="1"/>
  <c r="DK226" i="2" a="1"/>
  <c r="DK226" i="2" s="1"/>
  <c r="EB224" i="2" a="1"/>
  <c r="EB224" i="2" s="1"/>
  <c r="EB246" i="2" a="1"/>
  <c r="EB246" i="2" s="1"/>
  <c r="DT246" i="2" a="1"/>
  <c r="DT246" i="2" s="1"/>
  <c r="EC244" i="2" a="1"/>
  <c r="EC244" i="2" s="1"/>
  <c r="DY244" i="2" a="1"/>
  <c r="DY244" i="2" s="1"/>
  <c r="DZ242" i="2" a="1"/>
  <c r="DZ242" i="2" s="1"/>
  <c r="DV242" i="2" a="1"/>
  <c r="DV242" i="2" s="1"/>
  <c r="EC236" i="2" a="1"/>
  <c r="EC236" i="2" s="1"/>
  <c r="DY236" i="2" a="1"/>
  <c r="DY236" i="2" s="1"/>
  <c r="DZ234" i="2" a="1"/>
  <c r="DZ234" i="2" s="1"/>
  <c r="DV234" i="2" a="1"/>
  <c r="DV234" i="2" s="1"/>
  <c r="DW232" i="2" a="1"/>
  <c r="DW232" i="2" s="1"/>
  <c r="DS232" i="2" a="1"/>
  <c r="DS232" i="2" s="1"/>
  <c r="DK232" i="2" a="1"/>
  <c r="DK232" i="2" s="1"/>
  <c r="EB230" i="2" a="1"/>
  <c r="EB230" i="2" s="1"/>
  <c r="DT230" i="2" a="1"/>
  <c r="DT230" i="2" s="1"/>
  <c r="EC228" i="2" a="1"/>
  <c r="EC228" i="2" s="1"/>
  <c r="DY228" i="2" a="1"/>
  <c r="DY228" i="2" s="1"/>
  <c r="DZ226" i="2" a="1"/>
  <c r="DZ226" i="2" s="1"/>
  <c r="DV226" i="2" a="1"/>
  <c r="DV226" i="2" s="1"/>
  <c r="DW224" i="2" a="1"/>
  <c r="DW224" i="2" s="1"/>
  <c r="DS224" i="2" a="1"/>
  <c r="DS224" i="2" s="1"/>
  <c r="DW246" i="2" a="1"/>
  <c r="DW246" i="2" s="1"/>
  <c r="DS246" i="2" a="1"/>
  <c r="DS246" i="2" s="1"/>
  <c r="DK246" i="2" a="1"/>
  <c r="DK246" i="2" s="1"/>
  <c r="EB244" i="2" a="1"/>
  <c r="EB244" i="2" s="1"/>
  <c r="DT244" i="2" a="1"/>
  <c r="DT244" i="2" s="1"/>
  <c r="EC242" i="2" a="1"/>
  <c r="EC242" i="2" s="1"/>
  <c r="DY242" i="2" a="1"/>
  <c r="DY242" i="2" s="1"/>
  <c r="EB236" i="2" a="1"/>
  <c r="EB236" i="2" s="1"/>
  <c r="DT236" i="2" a="1"/>
  <c r="DT236" i="2" s="1"/>
  <c r="EC234" i="2" a="1"/>
  <c r="EC234" i="2" s="1"/>
  <c r="DY234" i="2" a="1"/>
  <c r="DY234" i="2" s="1"/>
  <c r="DZ232" i="2" a="1"/>
  <c r="DZ232" i="2" s="1"/>
  <c r="DV232" i="2" a="1"/>
  <c r="DV232" i="2" s="1"/>
  <c r="DW230" i="2" a="1"/>
  <c r="DW230" i="2" s="1"/>
  <c r="DS230" i="2" a="1"/>
  <c r="DS230" i="2" s="1"/>
  <c r="DK230" i="2" a="1"/>
  <c r="DK230" i="2" s="1"/>
  <c r="EB228" i="2" a="1"/>
  <c r="EB228" i="2" s="1"/>
  <c r="DT228" i="2" a="1"/>
  <c r="DT228" i="2" s="1"/>
  <c r="EC226" i="2" a="1"/>
  <c r="EC226" i="2" s="1"/>
  <c r="DY226" i="2" a="1"/>
  <c r="DY226" i="2" s="1"/>
  <c r="DZ224" i="2" a="1"/>
  <c r="DZ224" i="2" s="1"/>
  <c r="DV224" i="2" a="1"/>
  <c r="DV224" i="2" s="1"/>
  <c r="DT224" i="2" a="1"/>
  <c r="DT224" i="2" s="1"/>
  <c r="DW222" i="2" a="1"/>
  <c r="DW222" i="2" s="1"/>
  <c r="DS222" i="2" a="1"/>
  <c r="DS222" i="2" s="1"/>
  <c r="DK222" i="2" a="1"/>
  <c r="DK222" i="2" s="1"/>
  <c r="EB220" i="2" a="1"/>
  <c r="EB220" i="2" s="1"/>
  <c r="DT220" i="2" a="1"/>
  <c r="DT220" i="2" s="1"/>
  <c r="EC218" i="2" a="1"/>
  <c r="EC218" i="2" s="1"/>
  <c r="DY218" i="2" a="1"/>
  <c r="DY218" i="2" s="1"/>
  <c r="DZ216" i="2" a="1"/>
  <c r="DZ216" i="2" s="1"/>
  <c r="DV216" i="2" a="1"/>
  <c r="DV216" i="2" s="1"/>
  <c r="DW214" i="2" a="1"/>
  <c r="DW214" i="2" s="1"/>
  <c r="DS214" i="2" a="1"/>
  <c r="DS214" i="2" s="1"/>
  <c r="DK214" i="2" a="1"/>
  <c r="DK214" i="2" s="1"/>
  <c r="EB212" i="2" a="1"/>
  <c r="EB212" i="2" s="1"/>
  <c r="DT212" i="2" a="1"/>
  <c r="DT212" i="2" s="1"/>
  <c r="DW206" i="2" a="1"/>
  <c r="DW206" i="2" s="1"/>
  <c r="DS206" i="2" a="1"/>
  <c r="DS206" i="2" s="1"/>
  <c r="DK206" i="2" a="1"/>
  <c r="DK206" i="2" s="1"/>
  <c r="EB204" i="2" a="1"/>
  <c r="EB204" i="2" s="1"/>
  <c r="DT204" i="2" a="1"/>
  <c r="DT204" i="2" s="1"/>
  <c r="DZ222" i="2" a="1"/>
  <c r="DZ222" i="2" s="1"/>
  <c r="DV222" i="2" a="1"/>
  <c r="DV222" i="2" s="1"/>
  <c r="DW220" i="2" a="1"/>
  <c r="DW220" i="2" s="1"/>
  <c r="DS220" i="2" a="1"/>
  <c r="DS220" i="2" s="1"/>
  <c r="DK220" i="2" a="1"/>
  <c r="DK220" i="2" s="1"/>
  <c r="EB218" i="2" a="1"/>
  <c r="EB218" i="2" s="1"/>
  <c r="DT218" i="2" a="1"/>
  <c r="DT218" i="2" s="1"/>
  <c r="EC216" i="2" a="1"/>
  <c r="EC216" i="2" s="1"/>
  <c r="DY216" i="2" a="1"/>
  <c r="DY216" i="2" s="1"/>
  <c r="DZ214" i="2" a="1"/>
  <c r="DZ214" i="2" s="1"/>
  <c r="DV214" i="2" a="1"/>
  <c r="DV214" i="2" s="1"/>
  <c r="DW212" i="2" a="1"/>
  <c r="DW212" i="2" s="1"/>
  <c r="DS212" i="2" a="1"/>
  <c r="DS212" i="2" s="1"/>
  <c r="DK212" i="2" a="1"/>
  <c r="DK212" i="2" s="1"/>
  <c r="DZ206" i="2" a="1"/>
  <c r="DZ206" i="2" s="1"/>
  <c r="DV206" i="2" a="1"/>
  <c r="DV206" i="2" s="1"/>
  <c r="DW204" i="2" a="1"/>
  <c r="DW204" i="2" s="1"/>
  <c r="DS204" i="2" a="1"/>
  <c r="DS204" i="2" s="1"/>
  <c r="DK204" i="2" a="1"/>
  <c r="DK204" i="2" s="1"/>
  <c r="EC222" i="2" a="1"/>
  <c r="EC222" i="2" s="1"/>
  <c r="DY222" i="2" a="1"/>
  <c r="DY222" i="2" s="1"/>
  <c r="DZ220" i="2" a="1"/>
  <c r="DZ220" i="2" s="1"/>
  <c r="DV220" i="2" a="1"/>
  <c r="DV220" i="2" s="1"/>
  <c r="DW218" i="2" a="1"/>
  <c r="DW218" i="2" s="1"/>
  <c r="DS218" i="2" a="1"/>
  <c r="DS218" i="2" s="1"/>
  <c r="DK218" i="2" a="1"/>
  <c r="DK218" i="2" s="1"/>
  <c r="EB216" i="2" a="1"/>
  <c r="EB216" i="2" s="1"/>
  <c r="DT216" i="2" a="1"/>
  <c r="DT216" i="2" s="1"/>
  <c r="EC214" i="2" a="1"/>
  <c r="EC214" i="2" s="1"/>
  <c r="DY214" i="2" a="1"/>
  <c r="DY214" i="2" s="1"/>
  <c r="DZ212" i="2" a="1"/>
  <c r="DZ212" i="2" s="1"/>
  <c r="DV212" i="2" a="1"/>
  <c r="DV212" i="2" s="1"/>
  <c r="EC206" i="2" a="1"/>
  <c r="EC206" i="2" s="1"/>
  <c r="DY206" i="2" a="1"/>
  <c r="DY206" i="2" s="1"/>
  <c r="DZ218" i="2" a="1"/>
  <c r="DZ218" i="2" s="1"/>
  <c r="DY202" i="2" a="1"/>
  <c r="DY202" i="2" s="1"/>
  <c r="DK202" i="2" a="1"/>
  <c r="DK202" i="2" s="1"/>
  <c r="DK224" i="2" a="1"/>
  <c r="DK224" i="2" s="1"/>
  <c r="DV218" i="2" a="1"/>
  <c r="DV218" i="2" s="1"/>
  <c r="EC202" i="2" a="1"/>
  <c r="EC202" i="2" s="1"/>
  <c r="DT202" i="2" a="1"/>
  <c r="DT202" i="2" s="1"/>
  <c r="DZ200" i="2" a="1"/>
  <c r="DZ200" i="2" s="1"/>
  <c r="DV200" i="2" a="1"/>
  <c r="DV200" i="2" s="1"/>
  <c r="DW198" i="2" a="1"/>
  <c r="DW198" i="2" s="1"/>
  <c r="DS198" i="2" a="1"/>
  <c r="DS198" i="2" s="1"/>
  <c r="DK198" i="2" a="1"/>
  <c r="DK198" i="2" s="1"/>
  <c r="EB196" i="2" a="1"/>
  <c r="EB196" i="2" s="1"/>
  <c r="DT196" i="2" a="1"/>
  <c r="DT196" i="2" s="1"/>
  <c r="EC194" i="2" a="1"/>
  <c r="EC194" i="2" s="1"/>
  <c r="DY194" i="2" a="1"/>
  <c r="DY194" i="2" s="1"/>
  <c r="DZ192" i="2" a="1"/>
  <c r="DZ192" i="2" s="1"/>
  <c r="DV192" i="2" a="1"/>
  <c r="DV192" i="2" s="1"/>
  <c r="DW190" i="2" a="1"/>
  <c r="DW190" i="2" s="1"/>
  <c r="DS190" i="2" a="1"/>
  <c r="DS190" i="2" s="1"/>
  <c r="DK190" i="2" a="1"/>
  <c r="DK190" i="2" s="1"/>
  <c r="EB188" i="2" a="1"/>
  <c r="EB188" i="2" s="1"/>
  <c r="DT188" i="2" a="1"/>
  <c r="DT188" i="2" s="1"/>
  <c r="EC186" i="2" a="1"/>
  <c r="EC186" i="2" s="1"/>
  <c r="DY186" i="2" a="1"/>
  <c r="DY186" i="2" s="1"/>
  <c r="DZ184" i="2" a="1"/>
  <c r="DZ184" i="2" s="1"/>
  <c r="DV184" i="2" a="1"/>
  <c r="DV184" i="2" s="1"/>
  <c r="DW182" i="2" a="1"/>
  <c r="DW182" i="2" s="1"/>
  <c r="DS182" i="2" a="1"/>
  <c r="DS182" i="2" s="1"/>
  <c r="DK182" i="2" a="1"/>
  <c r="DK182" i="2" s="1"/>
  <c r="DZ176" i="2" a="1"/>
  <c r="DZ176" i="2" s="1"/>
  <c r="DV176" i="2" a="1"/>
  <c r="DV176" i="2" s="1"/>
  <c r="EB206" i="2" a="1"/>
  <c r="EB206" i="2" s="1"/>
  <c r="DS202" i="2" a="1"/>
  <c r="DS202" i="2" s="1"/>
  <c r="DW216" i="2" a="1"/>
  <c r="DW216" i="2" s="1"/>
  <c r="EC204" i="2" a="1"/>
  <c r="EC204" i="2" s="1"/>
  <c r="EB202" i="2" a="1"/>
  <c r="EB202" i="2" s="1"/>
  <c r="DW202" i="2" a="1"/>
  <c r="DW202" i="2" s="1"/>
  <c r="EC200" i="2" a="1"/>
  <c r="EC200" i="2" s="1"/>
  <c r="DY200" i="2" a="1"/>
  <c r="DY200" i="2" s="1"/>
  <c r="DZ198" i="2" a="1"/>
  <c r="DZ198" i="2" s="1"/>
  <c r="DV198" i="2" a="1"/>
  <c r="DV198" i="2" s="1"/>
  <c r="DW196" i="2" a="1"/>
  <c r="DW196" i="2" s="1"/>
  <c r="DS196" i="2" a="1"/>
  <c r="DS196" i="2" s="1"/>
  <c r="DK196" i="2" a="1"/>
  <c r="DK196" i="2" s="1"/>
  <c r="EB194" i="2" a="1"/>
  <c r="EB194" i="2" s="1"/>
  <c r="DT194" i="2" a="1"/>
  <c r="DT194" i="2" s="1"/>
  <c r="EC192" i="2" a="1"/>
  <c r="EC192" i="2" s="1"/>
  <c r="DY192" i="2" a="1"/>
  <c r="DY192" i="2" s="1"/>
  <c r="DZ190" i="2" a="1"/>
  <c r="DZ190" i="2" s="1"/>
  <c r="DV190" i="2" a="1"/>
  <c r="DV190" i="2" s="1"/>
  <c r="DW188" i="2" a="1"/>
  <c r="DW188" i="2" s="1"/>
  <c r="DS188" i="2" a="1"/>
  <c r="DS188" i="2" s="1"/>
  <c r="DK188" i="2" a="1"/>
  <c r="DK188" i="2" s="1"/>
  <c r="EB186" i="2" a="1"/>
  <c r="EB186" i="2" s="1"/>
  <c r="DT186" i="2" a="1"/>
  <c r="DT186" i="2" s="1"/>
  <c r="EC184" i="2" a="1"/>
  <c r="EC184" i="2" s="1"/>
  <c r="DY184" i="2" a="1"/>
  <c r="DY184" i="2" s="1"/>
  <c r="DZ182" i="2" a="1"/>
  <c r="DZ182" i="2" s="1"/>
  <c r="DV182" i="2" a="1"/>
  <c r="DV182" i="2" s="1"/>
  <c r="EB222" i="2" a="1"/>
  <c r="EB222" i="2" s="1"/>
  <c r="DS216" i="2" a="1"/>
  <c r="DS216" i="2" s="1"/>
  <c r="EB214" i="2" a="1"/>
  <c r="EB214" i="2" s="1"/>
  <c r="DT206" i="2" a="1"/>
  <c r="DT206" i="2" s="1"/>
  <c r="DZ204" i="2" a="1"/>
  <c r="DZ204" i="2" s="1"/>
  <c r="EC220" i="2" a="1"/>
  <c r="EC220" i="2" s="1"/>
  <c r="EC212" i="2" a="1"/>
  <c r="EC212" i="2" s="1"/>
  <c r="DY204" i="2" a="1"/>
  <c r="DY204" i="2" s="1"/>
  <c r="DV202" i="2" a="1"/>
  <c r="DV202" i="2" s="1"/>
  <c r="EB200" i="2" a="1"/>
  <c r="EB200" i="2" s="1"/>
  <c r="DT200" i="2" a="1"/>
  <c r="DT200" i="2" s="1"/>
  <c r="EC198" i="2" a="1"/>
  <c r="EC198" i="2" s="1"/>
  <c r="DY198" i="2" a="1"/>
  <c r="DY198" i="2" s="1"/>
  <c r="DZ196" i="2" a="1"/>
  <c r="DZ196" i="2" s="1"/>
  <c r="DV196" i="2" a="1"/>
  <c r="DV196" i="2" s="1"/>
  <c r="DW194" i="2" a="1"/>
  <c r="DW194" i="2" s="1"/>
  <c r="DS194" i="2" a="1"/>
  <c r="DS194" i="2" s="1"/>
  <c r="DK194" i="2" a="1"/>
  <c r="DK194" i="2" s="1"/>
  <c r="EB192" i="2" a="1"/>
  <c r="EB192" i="2" s="1"/>
  <c r="DT192" i="2" a="1"/>
  <c r="DT192" i="2" s="1"/>
  <c r="EC190" i="2" a="1"/>
  <c r="EC190" i="2" s="1"/>
  <c r="DY190" i="2" a="1"/>
  <c r="DY190" i="2" s="1"/>
  <c r="DZ188" i="2" a="1"/>
  <c r="DZ188" i="2" s="1"/>
  <c r="DV188" i="2" a="1"/>
  <c r="DV188" i="2" s="1"/>
  <c r="DW186" i="2" a="1"/>
  <c r="DW186" i="2" s="1"/>
  <c r="DS186" i="2" a="1"/>
  <c r="DS186" i="2" s="1"/>
  <c r="DK186" i="2" a="1"/>
  <c r="DK186" i="2" s="1"/>
  <c r="EB184" i="2" a="1"/>
  <c r="EB184" i="2" s="1"/>
  <c r="DT184" i="2" a="1"/>
  <c r="DT184" i="2" s="1"/>
  <c r="EC182" i="2" a="1"/>
  <c r="EC182" i="2" s="1"/>
  <c r="DY182" i="2" a="1"/>
  <c r="DY182" i="2" s="1"/>
  <c r="DT222" i="2" a="1"/>
  <c r="DT222" i="2" s="1"/>
  <c r="DY220" i="2" a="1"/>
  <c r="DY220" i="2" s="1"/>
  <c r="DK216" i="2" a="1"/>
  <c r="DK216" i="2" s="1"/>
  <c r="DT214" i="2" a="1"/>
  <c r="DT214" i="2" s="1"/>
  <c r="DY212" i="2" a="1"/>
  <c r="DY212" i="2" s="1"/>
  <c r="DV204" i="2" a="1"/>
  <c r="DV204" i="2" s="1"/>
  <c r="DZ202" i="2" a="1"/>
  <c r="DZ202" i="2" s="1"/>
  <c r="DV194" i="2" a="1"/>
  <c r="DV194" i="2" s="1"/>
  <c r="DV186" i="2" a="1"/>
  <c r="DV186" i="2" s="1"/>
  <c r="DW184" i="2" a="1"/>
  <c r="DW184" i="2" s="1"/>
  <c r="DY176" i="2" a="1"/>
  <c r="DY176" i="2" s="1"/>
  <c r="DZ174" i="2" a="1"/>
  <c r="DZ174" i="2" s="1"/>
  <c r="DV174" i="2" a="1"/>
  <c r="DV174" i="2" s="1"/>
  <c r="DW172" i="2" a="1"/>
  <c r="DW172" i="2" s="1"/>
  <c r="DS172" i="2" a="1"/>
  <c r="DS172" i="2" s="1"/>
  <c r="DK172" i="2" a="1"/>
  <c r="DK172" i="2" s="1"/>
  <c r="EB170" i="2" a="1"/>
  <c r="EB170" i="2" s="1"/>
  <c r="DT170" i="2" a="1"/>
  <c r="DT170" i="2" s="1"/>
  <c r="EC168" i="2" a="1"/>
  <c r="EC168" i="2" s="1"/>
  <c r="DY168" i="2" a="1"/>
  <c r="DY168" i="2" s="1"/>
  <c r="DZ166" i="2" a="1"/>
  <c r="DZ166" i="2" s="1"/>
  <c r="DV166" i="2" a="1"/>
  <c r="DV166" i="2" s="1"/>
  <c r="DW164" i="2" a="1"/>
  <c r="DW164" i="2" s="1"/>
  <c r="DS164" i="2" a="1"/>
  <c r="DS164" i="2" s="1"/>
  <c r="DK164" i="2" a="1"/>
  <c r="DK164" i="2" s="1"/>
  <c r="EB162" i="2" a="1"/>
  <c r="EB162" i="2" s="1"/>
  <c r="EC176" i="2" a="1"/>
  <c r="EC176" i="2" s="1"/>
  <c r="DT176" i="2" a="1"/>
  <c r="DT176" i="2" s="1"/>
  <c r="DK176" i="2" a="1"/>
  <c r="DK176" i="2" s="1"/>
  <c r="DW200" i="2" a="1"/>
  <c r="DW200" i="2" s="1"/>
  <c r="DW192" i="2" a="1"/>
  <c r="DW192" i="2" s="1"/>
  <c r="DY174" i="2" a="1"/>
  <c r="DY174" i="2" s="1"/>
  <c r="DZ172" i="2" a="1"/>
  <c r="DZ172" i="2" s="1"/>
  <c r="DV172" i="2" a="1"/>
  <c r="DV172" i="2" s="1"/>
  <c r="DW170" i="2" a="1"/>
  <c r="DW170" i="2" s="1"/>
  <c r="DS170" i="2" a="1"/>
  <c r="DS170" i="2" s="1"/>
  <c r="DK170" i="2" a="1"/>
  <c r="DK170" i="2" s="1"/>
  <c r="EB168" i="2" a="1"/>
  <c r="EB168" i="2" s="1"/>
  <c r="DT168" i="2" a="1"/>
  <c r="DT168" i="2" s="1"/>
  <c r="EC166" i="2" a="1"/>
  <c r="EC166" i="2" s="1"/>
  <c r="DY166" i="2" a="1"/>
  <c r="DY166" i="2" s="1"/>
  <c r="DZ164" i="2" a="1"/>
  <c r="DZ164" i="2" s="1"/>
  <c r="DV164" i="2" a="1"/>
  <c r="DV164" i="2" s="1"/>
  <c r="DW162" i="2" a="1"/>
  <c r="DW162" i="2" s="1"/>
  <c r="DS162" i="2" a="1"/>
  <c r="DS162" i="2" s="1"/>
  <c r="DK162" i="2" a="1"/>
  <c r="DK162" i="2" s="1"/>
  <c r="DS200" i="2" a="1"/>
  <c r="DS200" i="2" s="1"/>
  <c r="EB198" i="2" a="1"/>
  <c r="EB198" i="2" s="1"/>
  <c r="DS192" i="2" a="1"/>
  <c r="DS192" i="2" s="1"/>
  <c r="EB190" i="2" a="1"/>
  <c r="EB190" i="2" s="1"/>
  <c r="EB182" i="2" a="1"/>
  <c r="EB182" i="2" s="1"/>
  <c r="EB176" i="2" a="1"/>
  <c r="EB176" i="2" s="1"/>
  <c r="DS176" i="2" a="1"/>
  <c r="DS176" i="2" s="1"/>
  <c r="EC174" i="2" a="1"/>
  <c r="EC174" i="2" s="1"/>
  <c r="EC196" i="2" a="1"/>
  <c r="EC196" i="2" s="1"/>
  <c r="EC188" i="2" a="1"/>
  <c r="EC188" i="2" s="1"/>
  <c r="DS184" i="2" a="1"/>
  <c r="DS184" i="2" s="1"/>
  <c r="DK184" i="2" a="1"/>
  <c r="DK184" i="2" s="1"/>
  <c r="DW176" i="2" a="1"/>
  <c r="DW176" i="2" s="1"/>
  <c r="DT174" i="2" a="1"/>
  <c r="DT174" i="2" s="1"/>
  <c r="EC172" i="2" a="1"/>
  <c r="EC172" i="2" s="1"/>
  <c r="DY172" i="2" a="1"/>
  <c r="DY172" i="2" s="1"/>
  <c r="DZ170" i="2" a="1"/>
  <c r="DZ170" i="2" s="1"/>
  <c r="DV170" i="2" a="1"/>
  <c r="DV170" i="2" s="1"/>
  <c r="DW168" i="2" a="1"/>
  <c r="DW168" i="2" s="1"/>
  <c r="DS168" i="2" a="1"/>
  <c r="DS168" i="2" s="1"/>
  <c r="DK168" i="2" a="1"/>
  <c r="DK168" i="2" s="1"/>
  <c r="EB166" i="2" a="1"/>
  <c r="EB166" i="2" s="1"/>
  <c r="DT166" i="2" a="1"/>
  <c r="DT166" i="2" s="1"/>
  <c r="EC164" i="2" a="1"/>
  <c r="EC164" i="2" s="1"/>
  <c r="DY164" i="2" a="1"/>
  <c r="DY164" i="2" s="1"/>
  <c r="DZ162" i="2" a="1"/>
  <c r="DZ162" i="2" s="1"/>
  <c r="DV162" i="2" a="1"/>
  <c r="DV162" i="2" s="1"/>
  <c r="DK200" i="2" a="1"/>
  <c r="DK200" i="2" s="1"/>
  <c r="DT198" i="2" a="1"/>
  <c r="DT198" i="2" s="1"/>
  <c r="DY196" i="2" a="1"/>
  <c r="DY196" i="2" s="1"/>
  <c r="DK192" i="2" a="1"/>
  <c r="DK192" i="2" s="1"/>
  <c r="DT190" i="2" a="1"/>
  <c r="DT190" i="2" s="1"/>
  <c r="DY188" i="2" a="1"/>
  <c r="DY188" i="2" s="1"/>
  <c r="EB174" i="2" a="1"/>
  <c r="EB174" i="2" s="1"/>
  <c r="DT182" i="2" a="1"/>
  <c r="DT182" i="2" s="1"/>
  <c r="DW174" i="2" a="1"/>
  <c r="DW174" i="2" s="1"/>
  <c r="DS174" i="2" a="1"/>
  <c r="DS174" i="2" s="1"/>
  <c r="DK174" i="2" a="1"/>
  <c r="DK174" i="2" s="1"/>
  <c r="EB172" i="2" a="1"/>
  <c r="EB172" i="2" s="1"/>
  <c r="DT172" i="2" a="1"/>
  <c r="DT172" i="2" s="1"/>
  <c r="EC170" i="2" a="1"/>
  <c r="EC170" i="2" s="1"/>
  <c r="DY170" i="2" a="1"/>
  <c r="DY170" i="2" s="1"/>
  <c r="DZ168" i="2" a="1"/>
  <c r="DZ168" i="2" s="1"/>
  <c r="DV168" i="2" a="1"/>
  <c r="DV168" i="2" s="1"/>
  <c r="DW166" i="2" a="1"/>
  <c r="DW166" i="2" s="1"/>
  <c r="DS166" i="2" a="1"/>
  <c r="DS166" i="2" s="1"/>
  <c r="DK166" i="2" a="1"/>
  <c r="DK166" i="2" s="1"/>
  <c r="EB164" i="2" a="1"/>
  <c r="EB164" i="2" s="1"/>
  <c r="DT164" i="2" a="1"/>
  <c r="DT164" i="2" s="1"/>
  <c r="EC162" i="2" a="1"/>
  <c r="EC162" i="2" s="1"/>
  <c r="DY162" i="2" a="1"/>
  <c r="DY162" i="2" s="1"/>
  <c r="DW160" i="2" a="1"/>
  <c r="DW160" i="2" s="1"/>
  <c r="DT162" i="2" a="1"/>
  <c r="DT162" i="2" s="1"/>
  <c r="DZ158" i="2" a="1"/>
  <c r="DZ158" i="2" s="1"/>
  <c r="DV158" i="2" a="1"/>
  <c r="DV158" i="2" s="1"/>
  <c r="DW156" i="2" a="1"/>
  <c r="DW156" i="2" s="1"/>
  <c r="DS156" i="2" a="1"/>
  <c r="DS156" i="2" s="1"/>
  <c r="DK156" i="2" a="1"/>
  <c r="DK156" i="2" s="1"/>
  <c r="EB154" i="2" a="1"/>
  <c r="EB154" i="2" s="1"/>
  <c r="DT154" i="2" a="1"/>
  <c r="DT154" i="2" s="1"/>
  <c r="EC152" i="2" a="1"/>
  <c r="EC152" i="2" s="1"/>
  <c r="DY152" i="2" a="1"/>
  <c r="DY152" i="2" s="1"/>
  <c r="EB146" i="2" a="1"/>
  <c r="EB146" i="2" s="1"/>
  <c r="DT146" i="2" a="1"/>
  <c r="DT146" i="2" s="1"/>
  <c r="EC144" i="2" a="1"/>
  <c r="EC144" i="2" s="1"/>
  <c r="DY144" i="2" a="1"/>
  <c r="DY144" i="2" s="1"/>
  <c r="DZ142" i="2" a="1"/>
  <c r="DZ142" i="2" s="1"/>
  <c r="DV142" i="2" a="1"/>
  <c r="DV142" i="2" s="1"/>
  <c r="DW140" i="2" a="1"/>
  <c r="DW140" i="2" s="1"/>
  <c r="DS140" i="2" a="1"/>
  <c r="DS140" i="2" s="1"/>
  <c r="DK140" i="2" a="1"/>
  <c r="DK140" i="2" s="1"/>
  <c r="EB138" i="2" a="1"/>
  <c r="EB138" i="2" s="1"/>
  <c r="DT138" i="2" a="1"/>
  <c r="DT138" i="2" s="1"/>
  <c r="EC136" i="2" a="1"/>
  <c r="EC136" i="2" s="1"/>
  <c r="DY136" i="2" a="1"/>
  <c r="DY136" i="2" s="1"/>
  <c r="DZ134" i="2" a="1"/>
  <c r="DZ134" i="2" s="1"/>
  <c r="DV134" i="2" a="1"/>
  <c r="DV134" i="2" s="1"/>
  <c r="DW132" i="2" a="1"/>
  <c r="DW132" i="2" s="1"/>
  <c r="DS132" i="2" a="1"/>
  <c r="DS132" i="2" s="1"/>
  <c r="DK132" i="2" a="1"/>
  <c r="DK132" i="2" s="1"/>
  <c r="EB130" i="2" a="1"/>
  <c r="EB130" i="2" s="1"/>
  <c r="DT130" i="2" a="1"/>
  <c r="DT130" i="2" s="1"/>
  <c r="EC128" i="2" a="1"/>
  <c r="EC128" i="2" s="1"/>
  <c r="DY128" i="2" a="1"/>
  <c r="DY128" i="2" s="1"/>
  <c r="DV160" i="2" a="1"/>
  <c r="DV160" i="2" s="1"/>
  <c r="DZ194" i="2" a="1"/>
  <c r="DZ194" i="2" s="1"/>
  <c r="DZ186" i="2" a="1"/>
  <c r="DZ186" i="2" s="1"/>
  <c r="DZ160" i="2" a="1"/>
  <c r="DZ160" i="2" s="1"/>
  <c r="EC158" i="2" a="1"/>
  <c r="EC158" i="2" s="1"/>
  <c r="DY158" i="2" a="1"/>
  <c r="DY158" i="2" s="1"/>
  <c r="DZ156" i="2" a="1"/>
  <c r="DZ156" i="2" s="1"/>
  <c r="DV156" i="2" a="1"/>
  <c r="DV156" i="2" s="1"/>
  <c r="DW154" i="2" a="1"/>
  <c r="DW154" i="2" s="1"/>
  <c r="DS154" i="2" a="1"/>
  <c r="DS154" i="2" s="1"/>
  <c r="DK154" i="2" a="1"/>
  <c r="DK154" i="2" s="1"/>
  <c r="EB152" i="2" a="1"/>
  <c r="EB152" i="2" s="1"/>
  <c r="DT152" i="2" a="1"/>
  <c r="DT152" i="2" s="1"/>
  <c r="DW146" i="2" a="1"/>
  <c r="DW146" i="2" s="1"/>
  <c r="DS146" i="2" a="1"/>
  <c r="DS146" i="2" s="1"/>
  <c r="DK146" i="2" a="1"/>
  <c r="DK146" i="2" s="1"/>
  <c r="EB144" i="2" a="1"/>
  <c r="EB144" i="2" s="1"/>
  <c r="DT144" i="2" a="1"/>
  <c r="DT144" i="2" s="1"/>
  <c r="EC142" i="2" a="1"/>
  <c r="EC142" i="2" s="1"/>
  <c r="DY142" i="2" a="1"/>
  <c r="DY142" i="2" s="1"/>
  <c r="DZ140" i="2" a="1"/>
  <c r="DZ140" i="2" s="1"/>
  <c r="DV140" i="2" a="1"/>
  <c r="DV140" i="2" s="1"/>
  <c r="DW138" i="2" a="1"/>
  <c r="DW138" i="2" s="1"/>
  <c r="DS138" i="2" a="1"/>
  <c r="DS138" i="2" s="1"/>
  <c r="DK138" i="2" a="1"/>
  <c r="DK138" i="2" s="1"/>
  <c r="EB136" i="2" a="1"/>
  <c r="EB136" i="2" s="1"/>
  <c r="DT136" i="2" a="1"/>
  <c r="DT136" i="2" s="1"/>
  <c r="EC134" i="2" a="1"/>
  <c r="EC134" i="2" s="1"/>
  <c r="DY134" i="2" a="1"/>
  <c r="DY134" i="2" s="1"/>
  <c r="DZ132" i="2" a="1"/>
  <c r="DZ132" i="2" s="1"/>
  <c r="DV132" i="2" a="1"/>
  <c r="DV132" i="2" s="1"/>
  <c r="DW130" i="2" a="1"/>
  <c r="DW130" i="2" s="1"/>
  <c r="DS130" i="2" a="1"/>
  <c r="DS130" i="2" s="1"/>
  <c r="DK130" i="2" a="1"/>
  <c r="DK130" i="2" s="1"/>
  <c r="EB128" i="2" a="1"/>
  <c r="EB128" i="2" s="1"/>
  <c r="DT128" i="2" a="1"/>
  <c r="DT128" i="2" s="1"/>
  <c r="EC126" i="2" a="1"/>
  <c r="EC126" i="2" s="1"/>
  <c r="DY126" i="2" a="1"/>
  <c r="DY126" i="2" s="1"/>
  <c r="DZ124" i="2" a="1"/>
  <c r="DZ124" i="2" s="1"/>
  <c r="DV124" i="2" a="1"/>
  <c r="DV124" i="2" s="1"/>
  <c r="DY160" i="2" a="1"/>
  <c r="DY160" i="2" s="1"/>
  <c r="DT160" i="2" a="1"/>
  <c r="DT160" i="2" s="1"/>
  <c r="DK160" i="2" a="1"/>
  <c r="DK160" i="2" s="1"/>
  <c r="EB158" i="2" a="1"/>
  <c r="EB158" i="2" s="1"/>
  <c r="DT158" i="2" a="1"/>
  <c r="DT158" i="2" s="1"/>
  <c r="EC156" i="2" a="1"/>
  <c r="EC156" i="2" s="1"/>
  <c r="DY156" i="2" a="1"/>
  <c r="DY156" i="2" s="1"/>
  <c r="DZ154" i="2" a="1"/>
  <c r="DZ154" i="2" s="1"/>
  <c r="DV154" i="2" a="1"/>
  <c r="DV154" i="2" s="1"/>
  <c r="DW152" i="2" a="1"/>
  <c r="DW152" i="2" s="1"/>
  <c r="DS152" i="2" a="1"/>
  <c r="DS152" i="2" s="1"/>
  <c r="DK152" i="2" a="1"/>
  <c r="DK152" i="2" s="1"/>
  <c r="DZ146" i="2" a="1"/>
  <c r="DZ146" i="2" s="1"/>
  <c r="DV146" i="2" a="1"/>
  <c r="DV146" i="2" s="1"/>
  <c r="DW144" i="2" a="1"/>
  <c r="DW144" i="2" s="1"/>
  <c r="DS144" i="2" a="1"/>
  <c r="DS144" i="2" s="1"/>
  <c r="DK144" i="2" a="1"/>
  <c r="DK144" i="2" s="1"/>
  <c r="EB142" i="2" a="1"/>
  <c r="EB142" i="2" s="1"/>
  <c r="DT142" i="2" a="1"/>
  <c r="DT142" i="2" s="1"/>
  <c r="EC140" i="2" a="1"/>
  <c r="EC140" i="2" s="1"/>
  <c r="DY140" i="2" a="1"/>
  <c r="DY140" i="2" s="1"/>
  <c r="DZ138" i="2" a="1"/>
  <c r="DZ138" i="2" s="1"/>
  <c r="DV138" i="2" a="1"/>
  <c r="DV138" i="2" s="1"/>
  <c r="DW136" i="2" a="1"/>
  <c r="DW136" i="2" s="1"/>
  <c r="DS136" i="2" a="1"/>
  <c r="DS136" i="2" s="1"/>
  <c r="DK136" i="2" a="1"/>
  <c r="DK136" i="2" s="1"/>
  <c r="EB134" i="2" a="1"/>
  <c r="EB134" i="2" s="1"/>
  <c r="DT134" i="2" a="1"/>
  <c r="DT134" i="2" s="1"/>
  <c r="EC132" i="2" a="1"/>
  <c r="EC132" i="2" s="1"/>
  <c r="DY132" i="2" a="1"/>
  <c r="DY132" i="2" s="1"/>
  <c r="DZ130" i="2" a="1"/>
  <c r="DZ130" i="2" s="1"/>
  <c r="DV130" i="2" a="1"/>
  <c r="DV130" i="2" s="1"/>
  <c r="DW128" i="2" a="1"/>
  <c r="DW128" i="2" s="1"/>
  <c r="DS128" i="2" a="1"/>
  <c r="DS128" i="2" s="1"/>
  <c r="DK128" i="2" a="1"/>
  <c r="DK128" i="2" s="1"/>
  <c r="EC160" i="2" a="1"/>
  <c r="EC160" i="2" s="1"/>
  <c r="EB160" i="2" a="1"/>
  <c r="EB160" i="2" s="1"/>
  <c r="DS160" i="2" a="1"/>
  <c r="DS160" i="2" s="1"/>
  <c r="DW158" i="2" a="1"/>
  <c r="DW158" i="2" s="1"/>
  <c r="DS158" i="2" a="1"/>
  <c r="DS158" i="2" s="1"/>
  <c r="DK158" i="2" a="1"/>
  <c r="DK158" i="2" s="1"/>
  <c r="EB156" i="2" a="1"/>
  <c r="EB156" i="2" s="1"/>
  <c r="DT156" i="2" a="1"/>
  <c r="DT156" i="2" s="1"/>
  <c r="EC154" i="2" a="1"/>
  <c r="EC154" i="2" s="1"/>
  <c r="DY154" i="2" a="1"/>
  <c r="DY154" i="2" s="1"/>
  <c r="DZ152" i="2" a="1"/>
  <c r="DZ152" i="2" s="1"/>
  <c r="DV152" i="2" a="1"/>
  <c r="DV152" i="2" s="1"/>
  <c r="EC146" i="2" a="1"/>
  <c r="EC146" i="2" s="1"/>
  <c r="DY146" i="2" a="1"/>
  <c r="DY146" i="2" s="1"/>
  <c r="DZ144" i="2" a="1"/>
  <c r="DZ144" i="2" s="1"/>
  <c r="DV144" i="2" a="1"/>
  <c r="DV144" i="2" s="1"/>
  <c r="DW142" i="2" a="1"/>
  <c r="DW142" i="2" s="1"/>
  <c r="DS142" i="2" a="1"/>
  <c r="DS142" i="2" s="1"/>
  <c r="DK142" i="2" a="1"/>
  <c r="DK142" i="2" s="1"/>
  <c r="EB140" i="2" a="1"/>
  <c r="EB140" i="2" s="1"/>
  <c r="DT140" i="2" a="1"/>
  <c r="DT140" i="2" s="1"/>
  <c r="DV136" i="2" a="1"/>
  <c r="DV136" i="2" s="1"/>
  <c r="DK134" i="2" a="1"/>
  <c r="DK134" i="2" s="1"/>
  <c r="DV128" i="2" a="1"/>
  <c r="DV128" i="2" s="1"/>
  <c r="DW122" i="2" a="1"/>
  <c r="DW122" i="2" s="1"/>
  <c r="DS122" i="2" a="1"/>
  <c r="DS122" i="2" s="1"/>
  <c r="DK122" i="2" a="1"/>
  <c r="DK122" i="2" s="1"/>
  <c r="DZ116" i="2" a="1"/>
  <c r="DZ116" i="2" s="1"/>
  <c r="DV116" i="2" a="1"/>
  <c r="DV116" i="2" s="1"/>
  <c r="DW114" i="2" a="1"/>
  <c r="DW114" i="2" s="1"/>
  <c r="DS114" i="2" a="1"/>
  <c r="DS114" i="2" s="1"/>
  <c r="DK114" i="2" a="1"/>
  <c r="DK114" i="2" s="1"/>
  <c r="EB112" i="2" a="1"/>
  <c r="EB112" i="2" s="1"/>
  <c r="DT112" i="2" a="1"/>
  <c r="DT112" i="2" s="1"/>
  <c r="EC110" i="2" a="1"/>
  <c r="EC110" i="2" s="1"/>
  <c r="DY110" i="2" a="1"/>
  <c r="DY110" i="2" s="1"/>
  <c r="DZ108" i="2" a="1"/>
  <c r="DZ108" i="2" s="1"/>
  <c r="DV108" i="2" a="1"/>
  <c r="DV108" i="2" s="1"/>
  <c r="DW106" i="2" a="1"/>
  <c r="DW106" i="2" s="1"/>
  <c r="DS106" i="2" a="1"/>
  <c r="DS106" i="2" s="1"/>
  <c r="DK106" i="2" a="1"/>
  <c r="DK106" i="2" s="1"/>
  <c r="EB104" i="2" a="1"/>
  <c r="EB104" i="2" s="1"/>
  <c r="DT104" i="2" a="1"/>
  <c r="DT104" i="2" s="1"/>
  <c r="EC102" i="2" a="1"/>
  <c r="EC102" i="2" s="1"/>
  <c r="DY102" i="2" a="1"/>
  <c r="DY102" i="2" s="1"/>
  <c r="DZ100" i="2" a="1"/>
  <c r="DZ100" i="2" s="1"/>
  <c r="DV100" i="2" a="1"/>
  <c r="DV100" i="2" s="1"/>
  <c r="DW98" i="2" a="1"/>
  <c r="DW98" i="2" s="1"/>
  <c r="DS98" i="2" a="1"/>
  <c r="DS98" i="2" s="1"/>
  <c r="DK98" i="2" a="1"/>
  <c r="DK98" i="2" s="1"/>
  <c r="EB96" i="2" a="1"/>
  <c r="EB96" i="2" s="1"/>
  <c r="DT96" i="2" a="1"/>
  <c r="DT96" i="2" s="1"/>
  <c r="EC94" i="2" a="1"/>
  <c r="EC94" i="2" s="1"/>
  <c r="DY94" i="2" a="1"/>
  <c r="DY94" i="2" s="1"/>
  <c r="DZ92" i="2" a="1"/>
  <c r="DZ92" i="2" s="1"/>
  <c r="DV92" i="2" a="1"/>
  <c r="DV92" i="2" s="1"/>
  <c r="EC86" i="2" a="1"/>
  <c r="EC86" i="2" s="1"/>
  <c r="DY86" i="2" a="1"/>
  <c r="DY86" i="2" s="1"/>
  <c r="DZ84" i="2" a="1"/>
  <c r="DZ84" i="2" s="1"/>
  <c r="DV84" i="2" a="1"/>
  <c r="DV84" i="2" s="1"/>
  <c r="EB132" i="2" a="1"/>
  <c r="EB132" i="2" s="1"/>
  <c r="DS126" i="2" a="1"/>
  <c r="DS126" i="2" s="1"/>
  <c r="EC138" i="2" a="1"/>
  <c r="EC138" i="2" s="1"/>
  <c r="DW134" i="2" a="1"/>
  <c r="DW134" i="2" s="1"/>
  <c r="EC130" i="2" a="1"/>
  <c r="EC130" i="2" s="1"/>
  <c r="DZ122" i="2" a="1"/>
  <c r="DZ122" i="2" s="1"/>
  <c r="DV122" i="2" a="1"/>
  <c r="DV122" i="2" s="1"/>
  <c r="EC116" i="2" a="1"/>
  <c r="EC116" i="2" s="1"/>
  <c r="DY116" i="2" a="1"/>
  <c r="DY116" i="2" s="1"/>
  <c r="DZ114" i="2" a="1"/>
  <c r="DZ114" i="2" s="1"/>
  <c r="DV114" i="2" a="1"/>
  <c r="DV114" i="2" s="1"/>
  <c r="DW112" i="2" a="1"/>
  <c r="DW112" i="2" s="1"/>
  <c r="DS112" i="2" a="1"/>
  <c r="DS112" i="2" s="1"/>
  <c r="DK112" i="2" a="1"/>
  <c r="DK112" i="2" s="1"/>
  <c r="EB110" i="2" a="1"/>
  <c r="EB110" i="2" s="1"/>
  <c r="DT110" i="2" a="1"/>
  <c r="DT110" i="2" s="1"/>
  <c r="EC108" i="2" a="1"/>
  <c r="EC108" i="2" s="1"/>
  <c r="DY108" i="2" a="1"/>
  <c r="DY108" i="2" s="1"/>
  <c r="DZ106" i="2" a="1"/>
  <c r="DZ106" i="2" s="1"/>
  <c r="DV106" i="2" a="1"/>
  <c r="DV106" i="2" s="1"/>
  <c r="DW104" i="2" a="1"/>
  <c r="DW104" i="2" s="1"/>
  <c r="DS104" i="2" a="1"/>
  <c r="DS104" i="2" s="1"/>
  <c r="DK104" i="2" a="1"/>
  <c r="DK104" i="2" s="1"/>
  <c r="EB102" i="2" a="1"/>
  <c r="EB102" i="2" s="1"/>
  <c r="DT102" i="2" a="1"/>
  <c r="DT102" i="2" s="1"/>
  <c r="EC100" i="2" a="1"/>
  <c r="EC100" i="2" s="1"/>
  <c r="DY100" i="2" a="1"/>
  <c r="DY100" i="2" s="1"/>
  <c r="DZ98" i="2" a="1"/>
  <c r="DZ98" i="2" s="1"/>
  <c r="DV98" i="2" a="1"/>
  <c r="DV98" i="2" s="1"/>
  <c r="DW96" i="2" a="1"/>
  <c r="DW96" i="2" s="1"/>
  <c r="DS96" i="2" a="1"/>
  <c r="DS96" i="2" s="1"/>
  <c r="DK96" i="2" a="1"/>
  <c r="DK96" i="2" s="1"/>
  <c r="EB126" i="2" a="1"/>
  <c r="EB126" i="2" s="1"/>
  <c r="DW126" i="2" a="1"/>
  <c r="DW126" i="2" s="1"/>
  <c r="DY124" i="2" a="1"/>
  <c r="DY124" i="2" s="1"/>
  <c r="DY138" i="2" a="1"/>
  <c r="DY138" i="2" s="1"/>
  <c r="DS134" i="2" a="1"/>
  <c r="DS134" i="2" s="1"/>
  <c r="DY130" i="2" a="1"/>
  <c r="DY130" i="2" s="1"/>
  <c r="EC124" i="2" a="1"/>
  <c r="EC124" i="2" s="1"/>
  <c r="DT124" i="2" a="1"/>
  <c r="DT124" i="2" s="1"/>
  <c r="EC122" i="2" a="1"/>
  <c r="EC122" i="2" s="1"/>
  <c r="DY122" i="2" a="1"/>
  <c r="DY122" i="2" s="1"/>
  <c r="EB116" i="2" a="1"/>
  <c r="EB116" i="2" s="1"/>
  <c r="DT116" i="2" a="1"/>
  <c r="DT116" i="2" s="1"/>
  <c r="EC114" i="2" a="1"/>
  <c r="EC114" i="2" s="1"/>
  <c r="DY114" i="2" a="1"/>
  <c r="DY114" i="2" s="1"/>
  <c r="DZ112" i="2" a="1"/>
  <c r="DZ112" i="2" s="1"/>
  <c r="DV112" i="2" a="1"/>
  <c r="DV112" i="2" s="1"/>
  <c r="DW110" i="2" a="1"/>
  <c r="DW110" i="2" s="1"/>
  <c r="DS110" i="2" a="1"/>
  <c r="DS110" i="2" s="1"/>
  <c r="DK110" i="2" a="1"/>
  <c r="DK110" i="2" s="1"/>
  <c r="EB108" i="2" a="1"/>
  <c r="EB108" i="2" s="1"/>
  <c r="DT108" i="2" a="1"/>
  <c r="DT108" i="2" s="1"/>
  <c r="EC106" i="2" a="1"/>
  <c r="EC106" i="2" s="1"/>
  <c r="DY106" i="2" a="1"/>
  <c r="DY106" i="2" s="1"/>
  <c r="DZ104" i="2" a="1"/>
  <c r="DZ104" i="2" s="1"/>
  <c r="DV104" i="2" a="1"/>
  <c r="DV104" i="2" s="1"/>
  <c r="DW102" i="2" a="1"/>
  <c r="DW102" i="2" s="1"/>
  <c r="DS102" i="2" a="1"/>
  <c r="DS102" i="2" s="1"/>
  <c r="DK102" i="2" a="1"/>
  <c r="DK102" i="2" s="1"/>
  <c r="EB100" i="2" a="1"/>
  <c r="EB100" i="2" s="1"/>
  <c r="DT100" i="2" a="1"/>
  <c r="DT100" i="2" s="1"/>
  <c r="EC98" i="2" a="1"/>
  <c r="EC98" i="2" s="1"/>
  <c r="DY98" i="2" a="1"/>
  <c r="DY98" i="2" s="1"/>
  <c r="DZ96" i="2" a="1"/>
  <c r="DZ96" i="2" s="1"/>
  <c r="DV96" i="2" a="1"/>
  <c r="DV96" i="2" s="1"/>
  <c r="DW94" i="2" a="1"/>
  <c r="DW94" i="2" s="1"/>
  <c r="DS94" i="2" a="1"/>
  <c r="DS94" i="2" s="1"/>
  <c r="DK94" i="2" a="1"/>
  <c r="DK94" i="2" s="1"/>
  <c r="EB92" i="2" a="1"/>
  <c r="EB92" i="2" s="1"/>
  <c r="DT92" i="2" a="1"/>
  <c r="DT92" i="2" s="1"/>
  <c r="DW86" i="2" a="1"/>
  <c r="DW86" i="2" s="1"/>
  <c r="DS86" i="2" a="1"/>
  <c r="DS86" i="2" s="1"/>
  <c r="DT132" i="2" a="1"/>
  <c r="DT132" i="2" s="1"/>
  <c r="DV126" i="2" a="1"/>
  <c r="DV126" i="2" s="1"/>
  <c r="DK126" i="2" a="1"/>
  <c r="DK126" i="2" s="1"/>
  <c r="DZ136" i="2" a="1"/>
  <c r="DZ136" i="2" s="1"/>
  <c r="DZ128" i="2" a="1"/>
  <c r="DZ128" i="2" s="1"/>
  <c r="EB124" i="2" a="1"/>
  <c r="EB124" i="2" s="1"/>
  <c r="DS124" i="2" a="1"/>
  <c r="DS124" i="2" s="1"/>
  <c r="DK124" i="2" a="1"/>
  <c r="DK124" i="2" s="1"/>
  <c r="EB122" i="2" a="1"/>
  <c r="EB122" i="2" s="1"/>
  <c r="DT122" i="2" a="1"/>
  <c r="DT122" i="2" s="1"/>
  <c r="DW116" i="2" a="1"/>
  <c r="DW116" i="2" s="1"/>
  <c r="DS116" i="2" a="1"/>
  <c r="DS116" i="2" s="1"/>
  <c r="DK116" i="2" a="1"/>
  <c r="DK116" i="2" s="1"/>
  <c r="EB114" i="2" a="1"/>
  <c r="EB114" i="2" s="1"/>
  <c r="DT114" i="2" a="1"/>
  <c r="DT114" i="2" s="1"/>
  <c r="EC112" i="2" a="1"/>
  <c r="EC112" i="2" s="1"/>
  <c r="DY112" i="2" a="1"/>
  <c r="DY112" i="2" s="1"/>
  <c r="DZ110" i="2" a="1"/>
  <c r="DZ110" i="2" s="1"/>
  <c r="DV110" i="2" a="1"/>
  <c r="DV110" i="2" s="1"/>
  <c r="DW108" i="2" a="1"/>
  <c r="DW108" i="2" s="1"/>
  <c r="DS108" i="2" a="1"/>
  <c r="DS108" i="2" s="1"/>
  <c r="DK108" i="2" a="1"/>
  <c r="DK108" i="2" s="1"/>
  <c r="EB106" i="2" a="1"/>
  <c r="EB106" i="2" s="1"/>
  <c r="DT106" i="2" a="1"/>
  <c r="DT106" i="2" s="1"/>
  <c r="EC104" i="2" a="1"/>
  <c r="EC104" i="2" s="1"/>
  <c r="DY104" i="2" a="1"/>
  <c r="DY104" i="2" s="1"/>
  <c r="DZ102" i="2" a="1"/>
  <c r="DZ102" i="2" s="1"/>
  <c r="DV102" i="2" a="1"/>
  <c r="DV102" i="2" s="1"/>
  <c r="DZ126" i="2" a="1"/>
  <c r="DZ126" i="2" s="1"/>
  <c r="DT126" i="2" a="1"/>
  <c r="DT126" i="2" s="1"/>
  <c r="DW124" i="2" a="1"/>
  <c r="DW124" i="2" s="1"/>
  <c r="DT94" i="2" a="1"/>
  <c r="DT94" i="2" s="1"/>
  <c r="DK92" i="2" a="1"/>
  <c r="DK92" i="2" s="1"/>
  <c r="EC82" i="2" a="1"/>
  <c r="EC82" i="2" s="1"/>
  <c r="DW82" i="2" a="1"/>
  <c r="DW82" i="2" s="1"/>
  <c r="DY80" i="2" a="1"/>
  <c r="DY80" i="2" s="1"/>
  <c r="EC78" i="2" a="1"/>
  <c r="EC78" i="2" s="1"/>
  <c r="DY78" i="2" a="1"/>
  <c r="DY78" i="2" s="1"/>
  <c r="DZ76" i="2" a="1"/>
  <c r="DZ76" i="2" s="1"/>
  <c r="DV76" i="2" a="1"/>
  <c r="DV76" i="2" s="1"/>
  <c r="DW74" i="2" a="1"/>
  <c r="DW74" i="2" s="1"/>
  <c r="DS74" i="2" a="1"/>
  <c r="DS74" i="2" s="1"/>
  <c r="DK74" i="2" a="1"/>
  <c r="DK74" i="2" s="1"/>
  <c r="EB72" i="2" a="1"/>
  <c r="EB72" i="2" s="1"/>
  <c r="DT72" i="2" a="1"/>
  <c r="DT72" i="2" s="1"/>
  <c r="EC70" i="2" a="1"/>
  <c r="EC70" i="2" s="1"/>
  <c r="DY70" i="2" a="1"/>
  <c r="DY70" i="2" s="1"/>
  <c r="DZ68" i="2" a="1"/>
  <c r="DZ68" i="2" s="1"/>
  <c r="DV68" i="2" a="1"/>
  <c r="DV68" i="2" s="1"/>
  <c r="DW66" i="2" a="1"/>
  <c r="DW66" i="2" s="1"/>
  <c r="DS66" i="2" a="1"/>
  <c r="DS66" i="2" s="1"/>
  <c r="DK66" i="2" a="1"/>
  <c r="DK66" i="2" s="1"/>
  <c r="DZ62" i="2" a="1"/>
  <c r="DZ62" i="2" s="1"/>
  <c r="DV62" i="2" a="1"/>
  <c r="DV62" i="2" s="1"/>
  <c r="EB54" i="2" a="1"/>
  <c r="EB54" i="2" s="1"/>
  <c r="DT54" i="2" a="1"/>
  <c r="DT54" i="2" s="1"/>
  <c r="EC50" i="2" a="1"/>
  <c r="EC50" i="2" s="1"/>
  <c r="DY50" i="2" a="1"/>
  <c r="DY50" i="2" s="1"/>
  <c r="DK100" i="2" a="1"/>
  <c r="DK100" i="2" s="1"/>
  <c r="EB86" i="2" a="1"/>
  <c r="EB86" i="2" s="1"/>
  <c r="DT86" i="2" a="1"/>
  <c r="DT86" i="2" s="1"/>
  <c r="DT84" i="2" a="1"/>
  <c r="DT84" i="2" s="1"/>
  <c r="EB82" i="2" a="1"/>
  <c r="EB82" i="2" s="1"/>
  <c r="DV82" i="2" a="1"/>
  <c r="DV82" i="2" s="1"/>
  <c r="EC80" i="2" a="1"/>
  <c r="EC80" i="2" s="1"/>
  <c r="DT80" i="2" a="1"/>
  <c r="DT80" i="2" s="1"/>
  <c r="DW64" i="2" a="1"/>
  <c r="DW64" i="2" s="1"/>
  <c r="DS64" i="2" a="1"/>
  <c r="DS64" i="2" s="1"/>
  <c r="DK64" i="2" a="1"/>
  <c r="DK64" i="2" s="1"/>
  <c r="EC56" i="2" a="1"/>
  <c r="EC56" i="2" s="1"/>
  <c r="DY56" i="2" a="1"/>
  <c r="DY56" i="2" s="1"/>
  <c r="DZ52" i="2" a="1"/>
  <c r="DZ52" i="2" s="1"/>
  <c r="DV52" i="2" a="1"/>
  <c r="DV52" i="2" s="1"/>
  <c r="EB94" i="2" a="1"/>
  <c r="EB94" i="2" s="1"/>
  <c r="DS92" i="2" a="1"/>
  <c r="DS92" i="2" s="1"/>
  <c r="DY84" i="2" a="1"/>
  <c r="DY84" i="2" s="1"/>
  <c r="DS84" i="2" a="1"/>
  <c r="DS84" i="2" s="1"/>
  <c r="DK82" i="2" a="1"/>
  <c r="DK82" i="2" s="1"/>
  <c r="DK80" i="2" a="1"/>
  <c r="DK80" i="2" s="1"/>
  <c r="EB78" i="2" a="1"/>
  <c r="EB78" i="2" s="1"/>
  <c r="DT78" i="2" a="1"/>
  <c r="DT78" i="2" s="1"/>
  <c r="EC76" i="2" a="1"/>
  <c r="EC76" i="2" s="1"/>
  <c r="DY76" i="2" a="1"/>
  <c r="DY76" i="2" s="1"/>
  <c r="DZ74" i="2" a="1"/>
  <c r="DZ74" i="2" s="1"/>
  <c r="DV74" i="2" a="1"/>
  <c r="DV74" i="2" s="1"/>
  <c r="DW72" i="2" a="1"/>
  <c r="DW72" i="2" s="1"/>
  <c r="DS72" i="2" a="1"/>
  <c r="DS72" i="2" s="1"/>
  <c r="DK72" i="2" a="1"/>
  <c r="DK72" i="2" s="1"/>
  <c r="EB70" i="2" a="1"/>
  <c r="EB70" i="2" s="1"/>
  <c r="DT70" i="2" a="1"/>
  <c r="DT70" i="2" s="1"/>
  <c r="EC68" i="2" a="1"/>
  <c r="EC68" i="2" s="1"/>
  <c r="DY68" i="2" a="1"/>
  <c r="DY68" i="2" s="1"/>
  <c r="DZ66" i="2" a="1"/>
  <c r="DZ66" i="2" s="1"/>
  <c r="DV66" i="2" a="1"/>
  <c r="DV66" i="2" s="1"/>
  <c r="EC62" i="2" a="1"/>
  <c r="EC62" i="2" s="1"/>
  <c r="DY62" i="2" a="1"/>
  <c r="DY62" i="2" s="1"/>
  <c r="DW54" i="2" a="1"/>
  <c r="DW54" i="2" s="1"/>
  <c r="DS54" i="2" a="1"/>
  <c r="DS54" i="2" s="1"/>
  <c r="DK54" i="2" a="1"/>
  <c r="DK54" i="2" s="1"/>
  <c r="EB50" i="2" a="1"/>
  <c r="EB50" i="2" s="1"/>
  <c r="DT50" i="2" a="1"/>
  <c r="DT50" i="2" s="1"/>
  <c r="DW100" i="2" a="1"/>
  <c r="DW100" i="2" s="1"/>
  <c r="EB98" i="2" a="1"/>
  <c r="EB98" i="2" s="1"/>
  <c r="EC96" i="2" a="1"/>
  <c r="EC96" i="2" s="1"/>
  <c r="DZ94" i="2" a="1"/>
  <c r="DZ94" i="2" s="1"/>
  <c r="EC92" i="2" a="1"/>
  <c r="EC92" i="2" s="1"/>
  <c r="DZ86" i="2" a="1"/>
  <c r="DZ86" i="2" s="1"/>
  <c r="DK86" i="2" a="1"/>
  <c r="DK86" i="2" s="1"/>
  <c r="DZ82" i="2" a="1"/>
  <c r="DZ82" i="2" s="1"/>
  <c r="EB80" i="2" a="1"/>
  <c r="EB80" i="2" s="1"/>
  <c r="DS80" i="2" a="1"/>
  <c r="DS80" i="2" s="1"/>
  <c r="DZ64" i="2" a="1"/>
  <c r="DZ64" i="2" s="1"/>
  <c r="DV64" i="2" a="1"/>
  <c r="DV64" i="2" s="1"/>
  <c r="EB56" i="2" a="1"/>
  <c r="EB56" i="2" s="1"/>
  <c r="DT56" i="2" a="1"/>
  <c r="DT56" i="2" s="1"/>
  <c r="EC52" i="2" a="1"/>
  <c r="EC52" i="2" s="1"/>
  <c r="DY52" i="2" a="1"/>
  <c r="DY52" i="2" s="1"/>
  <c r="DK84" i="2" a="1"/>
  <c r="DK84" i="2" s="1"/>
  <c r="DT82" i="2" a="1"/>
  <c r="DT82" i="2" s="1"/>
  <c r="DW80" i="2" a="1"/>
  <c r="DW80" i="2" s="1"/>
  <c r="DW78" i="2" a="1"/>
  <c r="DW78" i="2" s="1"/>
  <c r="DS78" i="2" a="1"/>
  <c r="DS78" i="2" s="1"/>
  <c r="DK78" i="2" a="1"/>
  <c r="DK78" i="2" s="1"/>
  <c r="EB76" i="2" a="1"/>
  <c r="EB76" i="2" s="1"/>
  <c r="DT76" i="2" a="1"/>
  <c r="DT76" i="2" s="1"/>
  <c r="EC74" i="2" a="1"/>
  <c r="EC74" i="2" s="1"/>
  <c r="DY74" i="2" a="1"/>
  <c r="DY74" i="2" s="1"/>
  <c r="DZ72" i="2" a="1"/>
  <c r="DZ72" i="2" s="1"/>
  <c r="DV72" i="2" a="1"/>
  <c r="DV72" i="2" s="1"/>
  <c r="DW70" i="2" a="1"/>
  <c r="DW70" i="2" s="1"/>
  <c r="DS70" i="2" a="1"/>
  <c r="DS70" i="2" s="1"/>
  <c r="DK70" i="2" a="1"/>
  <c r="DK70" i="2" s="1"/>
  <c r="EB68" i="2" a="1"/>
  <c r="EB68" i="2" s="1"/>
  <c r="DT68" i="2" a="1"/>
  <c r="DT68" i="2" s="1"/>
  <c r="EC66" i="2" a="1"/>
  <c r="EC66" i="2" s="1"/>
  <c r="DY66" i="2" a="1"/>
  <c r="DY66" i="2" s="1"/>
  <c r="EB62" i="2" a="1"/>
  <c r="EB62" i="2" s="1"/>
  <c r="DT62" i="2" a="1"/>
  <c r="DT62" i="2" s="1"/>
  <c r="DZ54" i="2" a="1"/>
  <c r="DZ54" i="2" s="1"/>
  <c r="DV54" i="2" a="1"/>
  <c r="DV54" i="2" s="1"/>
  <c r="DW50" i="2" a="1"/>
  <c r="DW50" i="2" s="1"/>
  <c r="DS50" i="2" a="1"/>
  <c r="DS50" i="2" s="1"/>
  <c r="DK50" i="2" a="1"/>
  <c r="DK50" i="2" s="1"/>
  <c r="DV94" i="2" a="1"/>
  <c r="DV94" i="2" s="1"/>
  <c r="DY92" i="2" a="1"/>
  <c r="DY92" i="2" s="1"/>
  <c r="DS82" i="2" a="1"/>
  <c r="DS82" i="2" s="1"/>
  <c r="DV80" i="2" a="1"/>
  <c r="DV80" i="2" s="1"/>
  <c r="DZ78" i="2" a="1"/>
  <c r="DZ78" i="2" s="1"/>
  <c r="DV78" i="2" a="1"/>
  <c r="DV78" i="2" s="1"/>
  <c r="DW76" i="2" a="1"/>
  <c r="DW76" i="2" s="1"/>
  <c r="DS76" i="2" a="1"/>
  <c r="DS76" i="2" s="1"/>
  <c r="DK76" i="2" a="1"/>
  <c r="DK76" i="2" s="1"/>
  <c r="EB74" i="2" a="1"/>
  <c r="EB74" i="2" s="1"/>
  <c r="DT74" i="2" a="1"/>
  <c r="DT74" i="2" s="1"/>
  <c r="EC72" i="2" a="1"/>
  <c r="EC72" i="2" s="1"/>
  <c r="DY72" i="2" a="1"/>
  <c r="DY72" i="2" s="1"/>
  <c r="DZ70" i="2" a="1"/>
  <c r="DZ70" i="2" s="1"/>
  <c r="DV70" i="2" a="1"/>
  <c r="DV70" i="2" s="1"/>
  <c r="DW68" i="2" a="1"/>
  <c r="DW68" i="2" s="1"/>
  <c r="DS68" i="2" a="1"/>
  <c r="DS68" i="2" s="1"/>
  <c r="DK68" i="2" a="1"/>
  <c r="DK68" i="2" s="1"/>
  <c r="EB66" i="2" a="1"/>
  <c r="EB66" i="2" s="1"/>
  <c r="DT66" i="2" a="1"/>
  <c r="DT66" i="2" s="1"/>
  <c r="DW62" i="2" a="1"/>
  <c r="DW62" i="2" s="1"/>
  <c r="DS62" i="2" a="1"/>
  <c r="DS62" i="2" s="1"/>
  <c r="DK62" i="2" a="1"/>
  <c r="DK62" i="2" s="1"/>
  <c r="EC54" i="2" a="1"/>
  <c r="EC54" i="2" s="1"/>
  <c r="DY54" i="2" a="1"/>
  <c r="DY54" i="2" s="1"/>
  <c r="DZ50" i="2" a="1"/>
  <c r="DZ50" i="2" s="1"/>
  <c r="DV50" i="2" a="1"/>
  <c r="DV50" i="2" s="1"/>
  <c r="DT98" i="2" a="1"/>
  <c r="DT98" i="2" s="1"/>
  <c r="DW92" i="2" a="1"/>
  <c r="DW92" i="2" s="1"/>
  <c r="DV86" i="2" a="1"/>
  <c r="DV86" i="2" s="1"/>
  <c r="EB84" i="2" a="1"/>
  <c r="EB84" i="2" s="1"/>
  <c r="DZ80" i="2" a="1"/>
  <c r="DZ80" i="2" s="1"/>
  <c r="EB64" i="2" a="1"/>
  <c r="EB64" i="2" s="1"/>
  <c r="DT64" i="2" a="1"/>
  <c r="DT64" i="2" s="1"/>
  <c r="DZ56" i="2" a="1"/>
  <c r="DZ56" i="2" s="1"/>
  <c r="DV56" i="2" a="1"/>
  <c r="DV56" i="2" s="1"/>
  <c r="DW52" i="2" a="1"/>
  <c r="DW52" i="2" s="1"/>
  <c r="DS52" i="2" a="1"/>
  <c r="DS52" i="2" s="1"/>
  <c r="DK52" i="2" a="1"/>
  <c r="DK52" i="2" s="1"/>
  <c r="EB48" i="2" a="1"/>
  <c r="EB48" i="2" s="1"/>
  <c r="DT48" i="2" a="1"/>
  <c r="DT48" i="2" s="1"/>
  <c r="DW44" i="2" a="1"/>
  <c r="DW44" i="2" s="1"/>
  <c r="DS44" i="2" a="1"/>
  <c r="DS44" i="2" s="1"/>
  <c r="DK44" i="2" a="1"/>
  <c r="DK44" i="2" s="1"/>
  <c r="EB40" i="2" a="1"/>
  <c r="EB40" i="2" s="1"/>
  <c r="DT40" i="2" a="1"/>
  <c r="DT40" i="2" s="1"/>
  <c r="EC36" i="2" a="1"/>
  <c r="EC36" i="2" s="1"/>
  <c r="DY36" i="2" a="1"/>
  <c r="DY36" i="2" s="1"/>
  <c r="EB32" i="2" a="1"/>
  <c r="EB32" i="2" s="1"/>
  <c r="DY48" i="2" a="1"/>
  <c r="DY48" i="2" s="1"/>
  <c r="DK48" i="2" a="1"/>
  <c r="DK48" i="2" s="1"/>
  <c r="EB46" i="2" a="1"/>
  <c r="EB46" i="2" s="1"/>
  <c r="DT46" i="2" a="1"/>
  <c r="DT46" i="2" s="1"/>
  <c r="EC42" i="2" a="1"/>
  <c r="EC42" i="2" s="1"/>
  <c r="DY42" i="2" a="1"/>
  <c r="DY42" i="2" s="1"/>
  <c r="DZ38" i="2" a="1"/>
  <c r="DZ38" i="2" s="1"/>
  <c r="DV38" i="2" a="1"/>
  <c r="DV38" i="2" s="1"/>
  <c r="DW34" i="2" a="1"/>
  <c r="DW34" i="2" s="1"/>
  <c r="DS34" i="2" a="1"/>
  <c r="DS34" i="2" s="1"/>
  <c r="DK34" i="2" a="1"/>
  <c r="DK34" i="2" s="1"/>
  <c r="DS100" i="2" a="1"/>
  <c r="DS100" i="2" s="1"/>
  <c r="EC84" i="2" a="1"/>
  <c r="EC84" i="2" s="1"/>
  <c r="EB52" i="2" a="1"/>
  <c r="EB52" i="2" s="1"/>
  <c r="EC48" i="2" a="1"/>
  <c r="EC48" i="2" s="1"/>
  <c r="DZ44" i="2" a="1"/>
  <c r="DZ44" i="2" s="1"/>
  <c r="DV44" i="2" a="1"/>
  <c r="DV44" i="2" s="1"/>
  <c r="DW40" i="2" a="1"/>
  <c r="DW40" i="2" s="1"/>
  <c r="DS40" i="2" a="1"/>
  <c r="DS40" i="2" s="1"/>
  <c r="DK40" i="2" a="1"/>
  <c r="DK40" i="2" s="1"/>
  <c r="EB36" i="2" a="1"/>
  <c r="EB36" i="2" s="1"/>
  <c r="DT36" i="2" a="1"/>
  <c r="DT36" i="2" s="1"/>
  <c r="DW32" i="2" a="1"/>
  <c r="DW32" i="2" s="1"/>
  <c r="DS32" i="2" a="1"/>
  <c r="DS32" i="2" s="1"/>
  <c r="DK32" i="2" a="1"/>
  <c r="DK32" i="2" s="1"/>
  <c r="DO28" i="2"/>
  <c r="DW84" i="2" a="1"/>
  <c r="DW84" i="2" s="1"/>
  <c r="DS48" i="2" a="1"/>
  <c r="DS48" i="2" s="1"/>
  <c r="DW46" i="2" a="1"/>
  <c r="DW46" i="2" s="1"/>
  <c r="DS46" i="2" a="1"/>
  <c r="DS46" i="2" s="1"/>
  <c r="DK46" i="2" a="1"/>
  <c r="DK46" i="2" s="1"/>
  <c r="EB42" i="2" a="1"/>
  <c r="EB42" i="2" s="1"/>
  <c r="DT42" i="2" a="1"/>
  <c r="DT42" i="2" s="1"/>
  <c r="EC38" i="2" a="1"/>
  <c r="EC38" i="2" s="1"/>
  <c r="DY38" i="2" a="1"/>
  <c r="DY38" i="2" s="1"/>
  <c r="DZ34" i="2" a="1"/>
  <c r="DZ34" i="2" s="1"/>
  <c r="DV34" i="2" a="1"/>
  <c r="DV34" i="2" s="1"/>
  <c r="DW56" i="2" a="1"/>
  <c r="DW56" i="2" s="1"/>
  <c r="DT52" i="2" a="1"/>
  <c r="DT52" i="2" s="1"/>
  <c r="DW48" i="2" a="1"/>
  <c r="DW48" i="2" s="1"/>
  <c r="EC44" i="2" a="1"/>
  <c r="EC44" i="2" s="1"/>
  <c r="DY44" i="2" a="1"/>
  <c r="DY44" i="2" s="1"/>
  <c r="DZ40" i="2" a="1"/>
  <c r="DZ40" i="2" s="1"/>
  <c r="DV40" i="2" a="1"/>
  <c r="DV40" i="2" s="1"/>
  <c r="DW36" i="2" a="1"/>
  <c r="DW36" i="2" s="1"/>
  <c r="DS36" i="2" a="1"/>
  <c r="DS36" i="2" s="1"/>
  <c r="DK36" i="2" a="1"/>
  <c r="DK36" i="2" s="1"/>
  <c r="DZ32" i="2" a="1"/>
  <c r="DZ32" i="2" s="1"/>
  <c r="DV32" i="2" a="1"/>
  <c r="DV32" i="2" s="1"/>
  <c r="EC64" i="2" a="1"/>
  <c r="EC64" i="2" s="1"/>
  <c r="DV48" i="2" a="1"/>
  <c r="DV48" i="2" s="1"/>
  <c r="EB44" i="2" a="1"/>
  <c r="EB44" i="2" s="1"/>
  <c r="DT44" i="2" a="1"/>
  <c r="DT44" i="2" s="1"/>
  <c r="EC40" i="2" a="1"/>
  <c r="EC40" i="2" s="1"/>
  <c r="DY40" i="2" a="1"/>
  <c r="DY40" i="2" s="1"/>
  <c r="DZ36" i="2" a="1"/>
  <c r="DZ36" i="2" s="1"/>
  <c r="DV36" i="2" a="1"/>
  <c r="DV36" i="2" s="1"/>
  <c r="DY82" i="2" a="1"/>
  <c r="DY82" i="2" s="1"/>
  <c r="DY64" i="2" a="1"/>
  <c r="DY64" i="2" s="1"/>
  <c r="DK56" i="2" a="1"/>
  <c r="DK56" i="2" s="1"/>
  <c r="DZ48" i="2" a="1"/>
  <c r="DZ48" i="2" s="1"/>
  <c r="EC46" i="2" a="1"/>
  <c r="EC46" i="2" s="1"/>
  <c r="DY46" i="2" a="1"/>
  <c r="DY46" i="2" s="1"/>
  <c r="DZ42" i="2" a="1"/>
  <c r="DZ42" i="2" s="1"/>
  <c r="DV42" i="2" a="1"/>
  <c r="DV42" i="2" s="1"/>
  <c r="DW38" i="2" a="1"/>
  <c r="DW38" i="2" s="1"/>
  <c r="DS38" i="2" a="1"/>
  <c r="DS38" i="2" s="1"/>
  <c r="DK38" i="2" a="1"/>
  <c r="DK38" i="2" s="1"/>
  <c r="EB34" i="2" a="1"/>
  <c r="EB34" i="2" s="1"/>
  <c r="DT34" i="2" a="1"/>
  <c r="DT34" i="2" s="1"/>
  <c r="EM28" i="2"/>
  <c r="DW42" i="2" a="1"/>
  <c r="DW42" i="2" s="1"/>
  <c r="DT38" i="2" a="1"/>
  <c r="DT38" i="2" s="1"/>
  <c r="ED18" i="2" a="1"/>
  <c r="ED18" i="2" s="1"/>
  <c r="ED19" i="2" s="1"/>
  <c r="DZ18" i="2" a="1"/>
  <c r="DZ18" i="2" s="1"/>
  <c r="DV18" i="2" a="1"/>
  <c r="DV18" i="2" s="1"/>
  <c r="DR18" i="2" a="1"/>
  <c r="DR18" i="2" s="1"/>
  <c r="DR19" i="2" s="1"/>
  <c r="DN18" i="2" a="1"/>
  <c r="DN18" i="2" s="1"/>
  <c r="DN19" i="2" s="1"/>
  <c r="DJ18" i="2" a="1"/>
  <c r="DJ18" i="2" s="1"/>
  <c r="DJ19" i="2" s="1"/>
  <c r="EE16" i="2" a="1"/>
  <c r="EE16" i="2" s="1"/>
  <c r="EE17" i="2" s="1"/>
  <c r="EA16" i="2" a="1"/>
  <c r="EA16" i="2" s="1"/>
  <c r="EA17" i="2" s="1"/>
  <c r="DW16" i="2" a="1"/>
  <c r="DW16" i="2" s="1"/>
  <c r="DS16" i="2" a="1"/>
  <c r="DS16" i="2" s="1"/>
  <c r="DO16" i="2" a="1"/>
  <c r="DO16" i="2" s="1"/>
  <c r="DO17" i="2" s="1"/>
  <c r="DK16" i="2" a="1"/>
  <c r="DK16" i="2" s="1"/>
  <c r="DZ46" i="2" a="1"/>
  <c r="DZ46" i="2" s="1"/>
  <c r="DS42" i="2" a="1"/>
  <c r="DS42" i="2" s="1"/>
  <c r="DJ28" i="2"/>
  <c r="DS56" i="2" a="1"/>
  <c r="DS56" i="2" s="1"/>
  <c r="DV46" i="2" a="1"/>
  <c r="DV46" i="2" s="1"/>
  <c r="DT32" i="2" a="1"/>
  <c r="DT32" i="2" s="1"/>
  <c r="DF28" i="2"/>
  <c r="EC18" i="2" a="1"/>
  <c r="EC18" i="2" s="1"/>
  <c r="DY18" i="2" a="1"/>
  <c r="DY18" i="2" s="1"/>
  <c r="DU18" i="2" a="1"/>
  <c r="DU18" i="2" s="1"/>
  <c r="DU19" i="2" s="1"/>
  <c r="DQ18" i="2" a="1"/>
  <c r="DQ18" i="2" s="1"/>
  <c r="DQ19" i="2" s="1"/>
  <c r="DM18" i="2" a="1"/>
  <c r="DM18" i="2" s="1"/>
  <c r="DM19" i="2" s="1"/>
  <c r="DG18" i="2" a="1"/>
  <c r="DG18" i="2" s="1"/>
  <c r="ED16" i="2" a="1"/>
  <c r="ED16" i="2" s="1"/>
  <c r="ED17" i="2" s="1"/>
  <c r="DZ16" i="2" a="1"/>
  <c r="DZ16" i="2" s="1"/>
  <c r="DV16" i="2" a="1"/>
  <c r="DV16" i="2" s="1"/>
  <c r="DR16" i="2" a="1"/>
  <c r="DR16" i="2" s="1"/>
  <c r="DR17" i="2" s="1"/>
  <c r="DN16" i="2" a="1"/>
  <c r="DN16" i="2" s="1"/>
  <c r="DN17" i="2" s="1"/>
  <c r="DJ16" i="2" a="1"/>
  <c r="DJ16" i="2" s="1"/>
  <c r="DJ17" i="2" s="1"/>
  <c r="DK42" i="2" a="1"/>
  <c r="DK42" i="2" s="1"/>
  <c r="DY32" i="2" a="1"/>
  <c r="DY32" i="2" s="1"/>
  <c r="EC34" i="2" a="1"/>
  <c r="EC34" i="2" s="1"/>
  <c r="EF18" i="2" a="1"/>
  <c r="EF18" i="2" s="1"/>
  <c r="EF19" i="2" s="1"/>
  <c r="EB18" i="2" a="1"/>
  <c r="EB18" i="2" s="1"/>
  <c r="DX18" i="2" a="1"/>
  <c r="DX18" i="2" s="1"/>
  <c r="DX19" i="2" s="1"/>
  <c r="DT18" i="2" a="1"/>
  <c r="DT18" i="2" s="1"/>
  <c r="DP18" i="2" a="1"/>
  <c r="DP18" i="2" s="1"/>
  <c r="DP19" i="2" s="1"/>
  <c r="DL18" i="2" a="1"/>
  <c r="DL18" i="2" s="1"/>
  <c r="DL19" i="2" s="1"/>
  <c r="DY96" i="2" a="1"/>
  <c r="DY96" i="2" s="1"/>
  <c r="EB38" i="2" a="1"/>
  <c r="EB38" i="2" s="1"/>
  <c r="DY34" i="2" a="1"/>
  <c r="DY34" i="2" s="1"/>
  <c r="EC32" i="2" a="1"/>
  <c r="EC32" i="2" s="1"/>
  <c r="ER28" i="2"/>
  <c r="EE18" i="2" a="1"/>
  <c r="EE18" i="2" s="1"/>
  <c r="EE19" i="2" s="1"/>
  <c r="EA18" i="2" a="1"/>
  <c r="EA18" i="2" s="1"/>
  <c r="EA19" i="2" s="1"/>
  <c r="DW18" i="2" a="1"/>
  <c r="DW18" i="2" s="1"/>
  <c r="DS18" i="2" a="1"/>
  <c r="DS18" i="2" s="1"/>
  <c r="DO18" i="2" a="1"/>
  <c r="DO18" i="2" s="1"/>
  <c r="DO19" i="2" s="1"/>
  <c r="DK18" i="2" a="1"/>
  <c r="DK18" i="2" s="1"/>
  <c r="EF16" i="2" a="1"/>
  <c r="EF16" i="2" s="1"/>
  <c r="EF17" i="2" s="1"/>
  <c r="EB16" i="2" a="1"/>
  <c r="EB16" i="2" s="1"/>
  <c r="DX16" i="2" a="1"/>
  <c r="DX16" i="2" s="1"/>
  <c r="DX17" i="2" s="1"/>
  <c r="DT16" i="2" a="1"/>
  <c r="DT16" i="2" s="1"/>
  <c r="DP16" i="2" a="1"/>
  <c r="DP16" i="2" s="1"/>
  <c r="DP17" i="2" s="1"/>
  <c r="DL16" i="2" a="1"/>
  <c r="DL16" i="2" s="1"/>
  <c r="DL17" i="2" s="1"/>
  <c r="EC14" i="2" a="1"/>
  <c r="EC14" i="2" s="1"/>
  <c r="DY14" i="2" a="1"/>
  <c r="DY14" i="2" s="1"/>
  <c r="DU14" i="2" a="1"/>
  <c r="DU14" i="2" s="1"/>
  <c r="DU15" i="2" s="1"/>
  <c r="DQ14" i="2" a="1"/>
  <c r="DQ14" i="2" s="1"/>
  <c r="DQ15" i="2" s="1"/>
  <c r="DM14" i="2" a="1"/>
  <c r="DM14" i="2" s="1"/>
  <c r="DM15" i="2" s="1"/>
  <c r="DG14" i="2" a="1"/>
  <c r="DG14" i="2" s="1"/>
  <c r="EE14" i="2" a="1"/>
  <c r="EE14" i="2" s="1"/>
  <c r="EE15" i="2" s="1"/>
  <c r="DZ14" i="2" a="1"/>
  <c r="DZ14" i="2" s="1"/>
  <c r="DT14" i="2" a="1"/>
  <c r="DT14" i="2" s="1"/>
  <c r="DO14" i="2" a="1"/>
  <c r="DO14" i="2" s="1"/>
  <c r="DO15" i="2" s="1"/>
  <c r="DJ14" i="2" a="1"/>
  <c r="DJ14" i="2" s="1"/>
  <c r="DJ15" i="2" s="1"/>
  <c r="DU16" i="2" a="1"/>
  <c r="DU16" i="2" s="1"/>
  <c r="DU17" i="2" s="1"/>
  <c r="EC12" i="2" a="1"/>
  <c r="EC12" i="2" s="1"/>
  <c r="DY12" i="2" a="1"/>
  <c r="DY12" i="2" s="1"/>
  <c r="DU12" i="2" a="1"/>
  <c r="DU12" i="2" s="1"/>
  <c r="DU13" i="2" s="1"/>
  <c r="DQ12" i="2" a="1"/>
  <c r="DQ12" i="2" s="1"/>
  <c r="DQ13" i="2" s="1"/>
  <c r="DM12" i="2" a="1"/>
  <c r="DM12" i="2" s="1"/>
  <c r="DM13" i="2" s="1"/>
  <c r="DG12" i="2" a="1"/>
  <c r="DG12" i="2" s="1"/>
  <c r="ED10" i="2" a="1"/>
  <c r="ED10" i="2" s="1"/>
  <c r="ED11" i="2" s="1"/>
  <c r="DZ10" i="2" a="1"/>
  <c r="DZ10" i="2" s="1"/>
  <c r="DV10" i="2" a="1"/>
  <c r="DV10" i="2" s="1"/>
  <c r="DR10" i="2" a="1"/>
  <c r="DR10" i="2" s="1"/>
  <c r="DR11" i="2" s="1"/>
  <c r="DN10" i="2" a="1"/>
  <c r="DN10" i="2" s="1"/>
  <c r="DN11" i="2" s="1"/>
  <c r="DJ10" i="2" a="1"/>
  <c r="DJ10" i="2" s="1"/>
  <c r="DJ11" i="2" s="1"/>
  <c r="EE8" i="2" a="1"/>
  <c r="EE8" i="2" s="1"/>
  <c r="EE9" i="2" s="1"/>
  <c r="EA8" i="2" a="1"/>
  <c r="EA8" i="2" s="1"/>
  <c r="EA9" i="2" s="1"/>
  <c r="DW8" i="2" a="1"/>
  <c r="DW8" i="2" s="1"/>
  <c r="DS8" i="2" a="1"/>
  <c r="DS8" i="2" s="1"/>
  <c r="DO8" i="2" a="1"/>
  <c r="DO8" i="2" s="1"/>
  <c r="DO9" i="2" s="1"/>
  <c r="DK8" i="2" a="1"/>
  <c r="DK8" i="2" s="1"/>
  <c r="EF6" i="2" a="1"/>
  <c r="EF6" i="2" s="1"/>
  <c r="EF7" i="2" s="1"/>
  <c r="EB6" i="2" a="1"/>
  <c r="EB6" i="2" s="1"/>
  <c r="DX6" i="2" a="1"/>
  <c r="DX6" i="2" s="1"/>
  <c r="DX7" i="2" s="1"/>
  <c r="DT6" i="2" a="1"/>
  <c r="DT6" i="2" s="1"/>
  <c r="DP6" i="2" a="1"/>
  <c r="DP6" i="2" s="1"/>
  <c r="DP7" i="2" s="1"/>
  <c r="DL6" i="2" a="1"/>
  <c r="DL6" i="2" s="1"/>
  <c r="DL7" i="2" s="1"/>
  <c r="EC4" i="2" a="1"/>
  <c r="EC4" i="2" s="1"/>
  <c r="DY4" i="2" a="1"/>
  <c r="DY4" i="2" s="1"/>
  <c r="DU4" i="2" a="1"/>
  <c r="DU4" i="2" s="1"/>
  <c r="DU5" i="2" s="1"/>
  <c r="DQ4" i="2" a="1"/>
  <c r="DQ4" i="2" s="1"/>
  <c r="DQ5" i="2" s="1"/>
  <c r="DM4" i="2" a="1"/>
  <c r="DM4" i="2" s="1"/>
  <c r="DM5" i="2" s="1"/>
  <c r="DG4" i="2" a="1"/>
  <c r="DG4" i="2" s="1"/>
  <c r="DG16" i="2" a="1"/>
  <c r="DG16" i="2" s="1"/>
  <c r="ED14" i="2" a="1"/>
  <c r="ED14" i="2" s="1"/>
  <c r="ED15" i="2" s="1"/>
  <c r="DX14" i="2" a="1"/>
  <c r="DX14" i="2" s="1"/>
  <c r="DX15" i="2" s="1"/>
  <c r="DS14" i="2" a="1"/>
  <c r="DS14" i="2" s="1"/>
  <c r="DN14" i="2" a="1"/>
  <c r="DN14" i="2" s="1"/>
  <c r="DN15" i="2" s="1"/>
  <c r="EC16" i="2" a="1"/>
  <c r="EC16" i="2" s="1"/>
  <c r="EF12" i="2" a="1"/>
  <c r="EF12" i="2" s="1"/>
  <c r="EF13" i="2" s="1"/>
  <c r="EB12" i="2" a="1"/>
  <c r="EB12" i="2" s="1"/>
  <c r="DX12" i="2" a="1"/>
  <c r="DX12" i="2" s="1"/>
  <c r="DX13" i="2" s="1"/>
  <c r="DT12" i="2" a="1"/>
  <c r="DT12" i="2" s="1"/>
  <c r="DP12" i="2" a="1"/>
  <c r="DP12" i="2" s="1"/>
  <c r="DP13" i="2" s="1"/>
  <c r="DL12" i="2" a="1"/>
  <c r="DL12" i="2" s="1"/>
  <c r="DL13" i="2" s="1"/>
  <c r="EC10" i="2" a="1"/>
  <c r="EC10" i="2" s="1"/>
  <c r="DY10" i="2" a="1"/>
  <c r="DY10" i="2" s="1"/>
  <c r="DU10" i="2" a="1"/>
  <c r="DU10" i="2" s="1"/>
  <c r="DU11" i="2" s="1"/>
  <c r="DQ10" i="2" a="1"/>
  <c r="DQ10" i="2" s="1"/>
  <c r="DQ11" i="2" s="1"/>
  <c r="DM10" i="2" a="1"/>
  <c r="DM10" i="2" s="1"/>
  <c r="DM11" i="2" s="1"/>
  <c r="DG10" i="2" a="1"/>
  <c r="DG10" i="2" s="1"/>
  <c r="ED8" i="2" a="1"/>
  <c r="ED8" i="2" s="1"/>
  <c r="ED9" i="2" s="1"/>
  <c r="DZ8" i="2" a="1"/>
  <c r="DZ8" i="2" s="1"/>
  <c r="DV8" i="2" a="1"/>
  <c r="DV8" i="2" s="1"/>
  <c r="DR8" i="2" a="1"/>
  <c r="DR8" i="2" s="1"/>
  <c r="DR9" i="2" s="1"/>
  <c r="DN8" i="2" a="1"/>
  <c r="DN8" i="2" s="1"/>
  <c r="DN9" i="2" s="1"/>
  <c r="DJ8" i="2" a="1"/>
  <c r="DJ8" i="2" s="1"/>
  <c r="DJ9" i="2" s="1"/>
  <c r="EE6" i="2" a="1"/>
  <c r="EE6" i="2" s="1"/>
  <c r="EE7" i="2" s="1"/>
  <c r="EA6" i="2" a="1"/>
  <c r="EA6" i="2" s="1"/>
  <c r="EA7" i="2" s="1"/>
  <c r="DW6" i="2" a="1"/>
  <c r="DW6" i="2" s="1"/>
  <c r="DS6" i="2" a="1"/>
  <c r="DS6" i="2" s="1"/>
  <c r="DO6" i="2" a="1"/>
  <c r="DO6" i="2" s="1"/>
  <c r="DO7" i="2" s="1"/>
  <c r="DK6" i="2" a="1"/>
  <c r="DK6" i="2" s="1"/>
  <c r="EF4" i="2" a="1"/>
  <c r="EF4" i="2" s="1"/>
  <c r="EF5" i="2" s="1"/>
  <c r="EB4" i="2" a="1"/>
  <c r="EB4" i="2" s="1"/>
  <c r="DX4" i="2" a="1"/>
  <c r="DX4" i="2" s="1"/>
  <c r="DX5" i="2" s="1"/>
  <c r="DT4" i="2" a="1"/>
  <c r="DT4" i="2" s="1"/>
  <c r="DP4" i="2" a="1"/>
  <c r="DP4" i="2" s="1"/>
  <c r="DP5" i="2" s="1"/>
  <c r="DL4" i="2" a="1"/>
  <c r="DL4" i="2" s="1"/>
  <c r="DL5" i="2" s="1"/>
  <c r="DQ16" i="2" a="1"/>
  <c r="DQ16" i="2" s="1"/>
  <c r="DQ17" i="2" s="1"/>
  <c r="EB14" i="2" a="1"/>
  <c r="EB14" i="2" s="1"/>
  <c r="DW14" i="2" a="1"/>
  <c r="DW14" i="2" s="1"/>
  <c r="DR14" i="2" a="1"/>
  <c r="DR14" i="2" s="1"/>
  <c r="DR15" i="2" s="1"/>
  <c r="DL14" i="2" a="1"/>
  <c r="DL14" i="2" s="1"/>
  <c r="DL15" i="2" s="1"/>
  <c r="EF2" i="2" a="1"/>
  <c r="EF2" i="2" s="1"/>
  <c r="EF3" i="2" s="1"/>
  <c r="EB2" i="2" a="1"/>
  <c r="EB2" i="2" s="1"/>
  <c r="DX2" i="2" a="1"/>
  <c r="DX2" i="2" s="1"/>
  <c r="DX3" i="2" s="1"/>
  <c r="DT2" i="2" a="1"/>
  <c r="DT2" i="2" s="1"/>
  <c r="DP2" i="2" a="1"/>
  <c r="DP2" i="2" s="1"/>
  <c r="DP3" i="2" s="1"/>
  <c r="DL2" i="2" a="1"/>
  <c r="DL2" i="2" s="1"/>
  <c r="DL3" i="2" s="1"/>
  <c r="EE12" i="2" a="1"/>
  <c r="EE12" i="2" s="1"/>
  <c r="EE13" i="2" s="1"/>
  <c r="EA12" i="2" a="1"/>
  <c r="EA12" i="2" s="1"/>
  <c r="EA13" i="2" s="1"/>
  <c r="DW12" i="2" a="1"/>
  <c r="DW12" i="2" s="1"/>
  <c r="DS12" i="2" a="1"/>
  <c r="DS12" i="2" s="1"/>
  <c r="DO12" i="2" a="1"/>
  <c r="DO12" i="2" s="1"/>
  <c r="DO13" i="2" s="1"/>
  <c r="DK12" i="2" a="1"/>
  <c r="DK12" i="2" s="1"/>
  <c r="EF10" i="2" a="1"/>
  <c r="EF10" i="2" s="1"/>
  <c r="EF11" i="2" s="1"/>
  <c r="EB10" i="2" a="1"/>
  <c r="EB10" i="2" s="1"/>
  <c r="DX10" i="2" a="1"/>
  <c r="DX10" i="2" s="1"/>
  <c r="DX11" i="2" s="1"/>
  <c r="DT10" i="2" a="1"/>
  <c r="DT10" i="2" s="1"/>
  <c r="DP10" i="2" a="1"/>
  <c r="DP10" i="2" s="1"/>
  <c r="DP11" i="2" s="1"/>
  <c r="DL10" i="2" a="1"/>
  <c r="DL10" i="2" s="1"/>
  <c r="DL11" i="2" s="1"/>
  <c r="EC8" i="2" a="1"/>
  <c r="EC8" i="2" s="1"/>
  <c r="DY8" i="2" a="1"/>
  <c r="DY8" i="2" s="1"/>
  <c r="DU8" i="2" a="1"/>
  <c r="DU8" i="2" s="1"/>
  <c r="DU9" i="2" s="1"/>
  <c r="DQ8" i="2" a="1"/>
  <c r="DQ8" i="2" s="1"/>
  <c r="DQ9" i="2" s="1"/>
  <c r="DM8" i="2" a="1"/>
  <c r="DM8" i="2" s="1"/>
  <c r="DM9" i="2" s="1"/>
  <c r="DG8" i="2" a="1"/>
  <c r="DG8" i="2" s="1"/>
  <c r="ED6" i="2" a="1"/>
  <c r="ED6" i="2" s="1"/>
  <c r="ED7" i="2" s="1"/>
  <c r="DZ6" i="2" a="1"/>
  <c r="DZ6" i="2" s="1"/>
  <c r="DV6" i="2" a="1"/>
  <c r="DV6" i="2" s="1"/>
  <c r="DR6" i="2" a="1"/>
  <c r="DR6" i="2" s="1"/>
  <c r="DR7" i="2" s="1"/>
  <c r="DN6" i="2" a="1"/>
  <c r="DN6" i="2" s="1"/>
  <c r="DN7" i="2" s="1"/>
  <c r="DJ6" i="2" a="1"/>
  <c r="DJ6" i="2" s="1"/>
  <c r="DJ7" i="2" s="1"/>
  <c r="EE4" i="2" a="1"/>
  <c r="EE4" i="2" s="1"/>
  <c r="EE5" i="2" s="1"/>
  <c r="EA4" i="2" a="1"/>
  <c r="EA4" i="2" s="1"/>
  <c r="EA5" i="2" s="1"/>
  <c r="DW4" i="2" a="1"/>
  <c r="DW4" i="2" s="1"/>
  <c r="DS4" i="2" a="1"/>
  <c r="DS4" i="2" s="1"/>
  <c r="DO4" i="2" a="1"/>
  <c r="DO4" i="2" s="1"/>
  <c r="DO5" i="2" s="1"/>
  <c r="DK4" i="2" a="1"/>
  <c r="DK4" i="2" s="1"/>
  <c r="DY16" i="2" a="1"/>
  <c r="DY16" i="2" s="1"/>
  <c r="EF14" i="2" a="1"/>
  <c r="EF14" i="2" s="1"/>
  <c r="EF15" i="2" s="1"/>
  <c r="EA14" i="2" a="1"/>
  <c r="EA14" i="2" s="1"/>
  <c r="EA15" i="2" s="1"/>
  <c r="DV14" i="2" a="1"/>
  <c r="DV14" i="2" s="1"/>
  <c r="DP14" i="2" a="1"/>
  <c r="DP14" i="2" s="1"/>
  <c r="DP15" i="2" s="1"/>
  <c r="DK14" i="2" a="1"/>
  <c r="DK14" i="2" s="1"/>
  <c r="DM16" i="2" a="1"/>
  <c r="DM16" i="2" s="1"/>
  <c r="DM17" i="2" s="1"/>
  <c r="ED12" i="2" a="1"/>
  <c r="ED12" i="2" s="1"/>
  <c r="ED13" i="2" s="1"/>
  <c r="DZ12" i="2" a="1"/>
  <c r="DZ12" i="2" s="1"/>
  <c r="DV12" i="2" a="1"/>
  <c r="DV12" i="2" s="1"/>
  <c r="DR12" i="2" a="1"/>
  <c r="DR12" i="2" s="1"/>
  <c r="DR13" i="2" s="1"/>
  <c r="DN12" i="2" a="1"/>
  <c r="DN12" i="2" s="1"/>
  <c r="DN13" i="2" s="1"/>
  <c r="DJ12" i="2" a="1"/>
  <c r="DJ12" i="2" s="1"/>
  <c r="DJ13" i="2" s="1"/>
  <c r="EE10" i="2" a="1"/>
  <c r="EE10" i="2" s="1"/>
  <c r="EE11" i="2" s="1"/>
  <c r="EA10" i="2" a="1"/>
  <c r="EA10" i="2" s="1"/>
  <c r="EA11" i="2" s="1"/>
  <c r="DW10" i="2" a="1"/>
  <c r="DW10" i="2" s="1"/>
  <c r="DS10" i="2" a="1"/>
  <c r="DS10" i="2" s="1"/>
  <c r="DO10" i="2" a="1"/>
  <c r="DO10" i="2" s="1"/>
  <c r="DO11" i="2" s="1"/>
  <c r="DK10" i="2" a="1"/>
  <c r="DK10" i="2" s="1"/>
  <c r="EF8" i="2" a="1"/>
  <c r="EF8" i="2" s="1"/>
  <c r="EF9" i="2" s="1"/>
  <c r="EB8" i="2" a="1"/>
  <c r="EB8" i="2" s="1"/>
  <c r="DX8" i="2" a="1"/>
  <c r="DX8" i="2" s="1"/>
  <c r="DX9" i="2" s="1"/>
  <c r="DT8" i="2" a="1"/>
  <c r="DT8" i="2" s="1"/>
  <c r="DP8" i="2" a="1"/>
  <c r="DP8" i="2" s="1"/>
  <c r="DP9" i="2" s="1"/>
  <c r="DL8" i="2" a="1"/>
  <c r="DL8" i="2" s="1"/>
  <c r="DL9" i="2" s="1"/>
  <c r="EC6" i="2" a="1"/>
  <c r="EC6" i="2" s="1"/>
  <c r="DY6" i="2" a="1"/>
  <c r="DY6" i="2" s="1"/>
  <c r="DU6" i="2" a="1"/>
  <c r="DU6" i="2" s="1"/>
  <c r="DU7" i="2" s="1"/>
  <c r="DQ6" i="2" a="1"/>
  <c r="DQ6" i="2" s="1"/>
  <c r="DQ7" i="2" s="1"/>
  <c r="DM6" i="2" a="1"/>
  <c r="DM6" i="2" s="1"/>
  <c r="DM7" i="2" s="1"/>
  <c r="DG6" i="2" a="1"/>
  <c r="DG6" i="2" s="1"/>
  <c r="ED4" i="2" a="1"/>
  <c r="ED4" i="2" s="1"/>
  <c r="ED5" i="2" s="1"/>
  <c r="DZ4" i="2" a="1"/>
  <c r="DZ4" i="2" s="1"/>
  <c r="DV4" i="2" a="1"/>
  <c r="DV4" i="2" s="1"/>
  <c r="DR4" i="2" a="1"/>
  <c r="DR4" i="2" s="1"/>
  <c r="DR5" i="2" s="1"/>
  <c r="DN4" i="2" a="1"/>
  <c r="DN4" i="2" s="1"/>
  <c r="DN5" i="2" s="1"/>
  <c r="DJ4" i="2" a="1"/>
  <c r="DJ4" i="2" s="1"/>
  <c r="DJ5" i="2" s="1"/>
  <c r="DY2" i="2" a="1"/>
  <c r="DY2" i="2" s="1"/>
  <c r="DK2" i="2" a="1"/>
  <c r="DK2" i="2" s="1"/>
  <c r="EC2" i="2" a="1"/>
  <c r="EC2" i="2" s="1"/>
  <c r="DS2" i="2" a="1"/>
  <c r="DS2" i="2" s="1"/>
  <c r="DJ2" i="2" a="1"/>
  <c r="DJ2" i="2" s="1"/>
  <c r="DJ3" i="2" s="1"/>
  <c r="DW2" i="2" a="1"/>
  <c r="DW2" i="2" s="1"/>
  <c r="DN2" i="2" a="1"/>
  <c r="DN2" i="2" s="1"/>
  <c r="DN3" i="2" s="1"/>
  <c r="EA2" i="2" a="1"/>
  <c r="EA2" i="2" s="1"/>
  <c r="EA3" i="2" s="1"/>
  <c r="DR2" i="2" a="1"/>
  <c r="DR2" i="2" s="1"/>
  <c r="DR3" i="2" s="1"/>
  <c r="DG2" i="2" a="1"/>
  <c r="DG2" i="2" s="1"/>
  <c r="EE2" i="2" a="1"/>
  <c r="EE2" i="2" s="1"/>
  <c r="EE3" i="2" s="1"/>
  <c r="DV2" i="2" a="1"/>
  <c r="DV2" i="2" s="1"/>
  <c r="DM2" i="2" a="1"/>
  <c r="DM2" i="2" s="1"/>
  <c r="DM3" i="2" s="1"/>
  <c r="DZ2" i="2" a="1"/>
  <c r="DZ2" i="2" s="1"/>
  <c r="DQ2" i="2" a="1"/>
  <c r="DQ2" i="2" s="1"/>
  <c r="DQ3" i="2" s="1"/>
  <c r="ED2" i="2" a="1"/>
  <c r="ED2" i="2" s="1"/>
  <c r="ED3" i="2" s="1"/>
  <c r="DU2" i="2" a="1"/>
  <c r="DU2" i="2" s="1"/>
  <c r="DU3" i="2" s="1"/>
  <c r="DI3" i="2" s="1"/>
  <c r="DO2" i="2" a="1"/>
  <c r="DO2" i="2" s="1"/>
  <c r="DO3" i="2" s="1"/>
  <c r="ER208" i="2"/>
  <c r="FH206" i="2" a="1"/>
  <c r="FH206" i="2" s="1"/>
  <c r="FH207" i="2" s="1"/>
  <c r="FD206" i="2" a="1"/>
  <c r="FD206" i="2" s="1"/>
  <c r="FD207" i="2" s="1"/>
  <c r="ER206" i="2" a="1"/>
  <c r="ER206" i="2" s="1"/>
  <c r="ER207" i="2" s="1"/>
  <c r="FI204" i="2" a="1"/>
  <c r="FI204" i="2" s="1"/>
  <c r="FI205" i="2" s="1"/>
  <c r="FA204" i="2" a="1"/>
  <c r="FA204" i="2" s="1"/>
  <c r="FA205" i="2" s="1"/>
  <c r="ES204" i="2" a="1"/>
  <c r="ES204" i="2" s="1"/>
  <c r="ES205" i="2" s="1"/>
  <c r="EO204" i="2" a="1"/>
  <c r="EO204" i="2" s="1"/>
  <c r="EO205" i="2" s="1"/>
  <c r="EM208" i="2"/>
  <c r="EI208" i="2"/>
  <c r="FG206" i="2" a="1"/>
  <c r="FG206" i="2" s="1"/>
  <c r="FG207" i="2" s="1"/>
  <c r="EU206" i="2" a="1"/>
  <c r="EU206" i="2" s="1"/>
  <c r="EU207" i="2" s="1"/>
  <c r="EQ206" i="2" a="1"/>
  <c r="EQ206" i="2" s="1"/>
  <c r="EQ207" i="2" s="1"/>
  <c r="EM206" i="2" a="1"/>
  <c r="EM206" i="2" s="1"/>
  <c r="EM207" i="2" s="1"/>
  <c r="FH204" i="2" a="1"/>
  <c r="FH204" i="2" s="1"/>
  <c r="FH205" i="2" s="1"/>
  <c r="FD204" i="2" a="1"/>
  <c r="FD204" i="2" s="1"/>
  <c r="FD205" i="2" s="1"/>
  <c r="ER204" i="2" a="1"/>
  <c r="ER204" i="2" s="1"/>
  <c r="ER205" i="2" s="1"/>
  <c r="FI202" i="2" a="1"/>
  <c r="FI202" i="2" s="1"/>
  <c r="FI203" i="2" s="1"/>
  <c r="EX206" i="2" a="1"/>
  <c r="EX206" i="2" s="1"/>
  <c r="EX207" i="2" s="1"/>
  <c r="ET206" i="2" a="1"/>
  <c r="ET206" i="2" s="1"/>
  <c r="ET207" i="2" s="1"/>
  <c r="EP206" i="2" a="1"/>
  <c r="EP206" i="2" s="1"/>
  <c r="EP207" i="2" s="1"/>
  <c r="EJ206" i="2" a="1"/>
  <c r="EJ206" i="2" s="1"/>
  <c r="FG204" i="2" a="1"/>
  <c r="FG204" i="2" s="1"/>
  <c r="FG205" i="2" s="1"/>
  <c r="EU204" i="2" a="1"/>
  <c r="EU204" i="2" s="1"/>
  <c r="EU205" i="2" s="1"/>
  <c r="EQ204" i="2" a="1"/>
  <c r="EQ204" i="2" s="1"/>
  <c r="EQ205" i="2" s="1"/>
  <c r="EM204" i="2" a="1"/>
  <c r="EM204" i="2" s="1"/>
  <c r="EM205" i="2" s="1"/>
  <c r="FH202" i="2" a="1"/>
  <c r="FH202" i="2" s="1"/>
  <c r="FH203" i="2" s="1"/>
  <c r="FD202" i="2" a="1"/>
  <c r="FD202" i="2" s="1"/>
  <c r="FD203" i="2" s="1"/>
  <c r="ER202" i="2" a="1"/>
  <c r="ER202" i="2" s="1"/>
  <c r="ER203" i="2" s="1"/>
  <c r="FI206" i="2" a="1"/>
  <c r="FI206" i="2" s="1"/>
  <c r="FI207" i="2" s="1"/>
  <c r="FA206" i="2" a="1"/>
  <c r="FA206" i="2" s="1"/>
  <c r="FA207" i="2" s="1"/>
  <c r="ES206" i="2" a="1"/>
  <c r="ES206" i="2" s="1"/>
  <c r="ES207" i="2" s="1"/>
  <c r="EO206" i="2" a="1"/>
  <c r="EO206" i="2" s="1"/>
  <c r="EO207" i="2" s="1"/>
  <c r="EX204" i="2" a="1"/>
  <c r="EX204" i="2" s="1"/>
  <c r="EX205" i="2" s="1"/>
  <c r="ET204" i="2" a="1"/>
  <c r="ET204" i="2" s="1"/>
  <c r="ET205" i="2" s="1"/>
  <c r="EP204" i="2" a="1"/>
  <c r="EP204" i="2" s="1"/>
  <c r="EP205" i="2" s="1"/>
  <c r="EJ204" i="2" a="1"/>
  <c r="EJ204" i="2" s="1"/>
  <c r="FG202" i="2" a="1"/>
  <c r="FG202" i="2" s="1"/>
  <c r="FG203" i="2" s="1"/>
  <c r="EU202" i="2" a="1"/>
  <c r="EU202" i="2" s="1"/>
  <c r="EU203" i="2" s="1"/>
  <c r="EQ202" i="2" a="1"/>
  <c r="EQ202" i="2" s="1"/>
  <c r="EQ203" i="2" s="1"/>
  <c r="FG200" i="2" a="1"/>
  <c r="FG200" i="2" s="1"/>
  <c r="FG201" i="2" s="1"/>
  <c r="EU200" i="2" a="1"/>
  <c r="EU200" i="2" s="1"/>
  <c r="EU201" i="2" s="1"/>
  <c r="EQ200" i="2" a="1"/>
  <c r="EQ200" i="2" s="1"/>
  <c r="EQ201" i="2" s="1"/>
  <c r="EM200" i="2" a="1"/>
  <c r="EM200" i="2" s="1"/>
  <c r="EM201" i="2" s="1"/>
  <c r="FH198" i="2" a="1"/>
  <c r="FH198" i="2" s="1"/>
  <c r="FH199" i="2" s="1"/>
  <c r="FD198" i="2" a="1"/>
  <c r="FD198" i="2" s="1"/>
  <c r="FD199" i="2" s="1"/>
  <c r="ER198" i="2" a="1"/>
  <c r="ER198" i="2" s="1"/>
  <c r="ER199" i="2" s="1"/>
  <c r="FI196" i="2" a="1"/>
  <c r="FI196" i="2" s="1"/>
  <c r="FI197" i="2" s="1"/>
  <c r="FA196" i="2" a="1"/>
  <c r="FA196" i="2" s="1"/>
  <c r="FA197" i="2" s="1"/>
  <c r="ES196" i="2" a="1"/>
  <c r="ES196" i="2" s="1"/>
  <c r="ES197" i="2" s="1"/>
  <c r="EO196" i="2" a="1"/>
  <c r="EO196" i="2" s="1"/>
  <c r="EO197" i="2" s="1"/>
  <c r="EX194" i="2" a="1"/>
  <c r="EX194" i="2" s="1"/>
  <c r="EX195" i="2" s="1"/>
  <c r="ET194" i="2" a="1"/>
  <c r="ET194" i="2" s="1"/>
  <c r="ET195" i="2" s="1"/>
  <c r="EP194" i="2" a="1"/>
  <c r="EP194" i="2" s="1"/>
  <c r="EP195" i="2" s="1"/>
  <c r="EJ194" i="2" a="1"/>
  <c r="EJ194" i="2" s="1"/>
  <c r="FG192" i="2" a="1"/>
  <c r="FG192" i="2" s="1"/>
  <c r="FG193" i="2" s="1"/>
  <c r="EU192" i="2" a="1"/>
  <c r="EU192" i="2" s="1"/>
  <c r="EU193" i="2" s="1"/>
  <c r="EQ192" i="2" a="1"/>
  <c r="EQ192" i="2" s="1"/>
  <c r="EQ193" i="2" s="1"/>
  <c r="EM192" i="2" a="1"/>
  <c r="EM192" i="2" s="1"/>
  <c r="EM193" i="2" s="1"/>
  <c r="FH190" i="2" a="1"/>
  <c r="FH190" i="2" s="1"/>
  <c r="FH191" i="2" s="1"/>
  <c r="FD190" i="2" a="1"/>
  <c r="FD190" i="2" s="1"/>
  <c r="FD191" i="2" s="1"/>
  <c r="ER190" i="2" a="1"/>
  <c r="ER190" i="2" s="1"/>
  <c r="ER191" i="2" s="1"/>
  <c r="FI188" i="2" a="1"/>
  <c r="FI188" i="2" s="1"/>
  <c r="FI189" i="2" s="1"/>
  <c r="FA188" i="2" a="1"/>
  <c r="FA188" i="2" s="1"/>
  <c r="FA189" i="2" s="1"/>
  <c r="ES188" i="2" a="1"/>
  <c r="ES188" i="2" s="1"/>
  <c r="ES189" i="2" s="1"/>
  <c r="EO188" i="2" a="1"/>
  <c r="EO188" i="2" s="1"/>
  <c r="EO189" i="2" s="1"/>
  <c r="EX186" i="2" a="1"/>
  <c r="EX186" i="2" s="1"/>
  <c r="EX187" i="2" s="1"/>
  <c r="ET186" i="2" a="1"/>
  <c r="ET186" i="2" s="1"/>
  <c r="ET187" i="2" s="1"/>
  <c r="EP186" i="2" a="1"/>
  <c r="EP186" i="2" s="1"/>
  <c r="EP187" i="2" s="1"/>
  <c r="EJ186" i="2" a="1"/>
  <c r="EJ186" i="2" s="1"/>
  <c r="FG184" i="2" a="1"/>
  <c r="FG184" i="2" s="1"/>
  <c r="FG185" i="2" s="1"/>
  <c r="EU184" i="2" a="1"/>
  <c r="EU184" i="2" s="1"/>
  <c r="EU185" i="2" s="1"/>
  <c r="EQ184" i="2" a="1"/>
  <c r="EQ184" i="2" s="1"/>
  <c r="EQ185" i="2" s="1"/>
  <c r="EM184" i="2" a="1"/>
  <c r="EM184" i="2" s="1"/>
  <c r="EM185" i="2" s="1"/>
  <c r="EJ202" i="2" a="1"/>
  <c r="EJ202" i="2" s="1"/>
  <c r="FA202" i="2" a="1"/>
  <c r="FA202" i="2" s="1"/>
  <c r="FA203" i="2" s="1"/>
  <c r="EP202" i="2" a="1"/>
  <c r="EP202" i="2" s="1"/>
  <c r="EP203" i="2" s="1"/>
  <c r="EX200" i="2" a="1"/>
  <c r="EX200" i="2" s="1"/>
  <c r="EX201" i="2" s="1"/>
  <c r="ET200" i="2" a="1"/>
  <c r="ET200" i="2" s="1"/>
  <c r="ET201" i="2" s="1"/>
  <c r="EP200" i="2" a="1"/>
  <c r="EP200" i="2" s="1"/>
  <c r="EP201" i="2" s="1"/>
  <c r="EJ200" i="2" a="1"/>
  <c r="EJ200" i="2" s="1"/>
  <c r="FG198" i="2" a="1"/>
  <c r="FG198" i="2" s="1"/>
  <c r="FG199" i="2" s="1"/>
  <c r="EU198" i="2" a="1"/>
  <c r="EU198" i="2" s="1"/>
  <c r="EU199" i="2" s="1"/>
  <c r="EQ198" i="2" a="1"/>
  <c r="EQ198" i="2" s="1"/>
  <c r="EQ199" i="2" s="1"/>
  <c r="EM198" i="2" a="1"/>
  <c r="EM198" i="2" s="1"/>
  <c r="EM199" i="2" s="1"/>
  <c r="FH196" i="2" a="1"/>
  <c r="FH196" i="2" s="1"/>
  <c r="FH197" i="2" s="1"/>
  <c r="FD196" i="2" a="1"/>
  <c r="FD196" i="2" s="1"/>
  <c r="FD197" i="2" s="1"/>
  <c r="ER196" i="2" a="1"/>
  <c r="ER196" i="2" s="1"/>
  <c r="ER197" i="2" s="1"/>
  <c r="FI194" i="2" a="1"/>
  <c r="FI194" i="2" s="1"/>
  <c r="FI195" i="2" s="1"/>
  <c r="FA194" i="2" a="1"/>
  <c r="FA194" i="2" s="1"/>
  <c r="FA195" i="2" s="1"/>
  <c r="ES194" i="2" a="1"/>
  <c r="ES194" i="2" s="1"/>
  <c r="ES195" i="2" s="1"/>
  <c r="EO194" i="2" a="1"/>
  <c r="EO194" i="2" s="1"/>
  <c r="EO195" i="2" s="1"/>
  <c r="EX192" i="2" a="1"/>
  <c r="EX192" i="2" s="1"/>
  <c r="EX193" i="2" s="1"/>
  <c r="ET192" i="2" a="1"/>
  <c r="ET192" i="2" s="1"/>
  <c r="ET193" i="2" s="1"/>
  <c r="EP192" i="2" a="1"/>
  <c r="EP192" i="2" s="1"/>
  <c r="EP193" i="2" s="1"/>
  <c r="EJ192" i="2" a="1"/>
  <c r="EJ192" i="2" s="1"/>
  <c r="FG190" i="2" a="1"/>
  <c r="FG190" i="2" s="1"/>
  <c r="FG191" i="2" s="1"/>
  <c r="EU190" i="2" a="1"/>
  <c r="EU190" i="2" s="1"/>
  <c r="EU191" i="2" s="1"/>
  <c r="EQ190" i="2" a="1"/>
  <c r="EQ190" i="2" s="1"/>
  <c r="EQ191" i="2" s="1"/>
  <c r="EM190" i="2" a="1"/>
  <c r="EM190" i="2" s="1"/>
  <c r="EM191" i="2" s="1"/>
  <c r="FH188" i="2" a="1"/>
  <c r="FH188" i="2" s="1"/>
  <c r="FH189" i="2" s="1"/>
  <c r="FD188" i="2" a="1"/>
  <c r="FD188" i="2" s="1"/>
  <c r="FD189" i="2" s="1"/>
  <c r="ER188" i="2" a="1"/>
  <c r="ER188" i="2" s="1"/>
  <c r="ER189" i="2" s="1"/>
  <c r="FI186" i="2" a="1"/>
  <c r="FI186" i="2" s="1"/>
  <c r="FI187" i="2" s="1"/>
  <c r="FA186" i="2" a="1"/>
  <c r="FA186" i="2" s="1"/>
  <c r="FA187" i="2" s="1"/>
  <c r="ES186" i="2" a="1"/>
  <c r="ES186" i="2" s="1"/>
  <c r="ES187" i="2" s="1"/>
  <c r="EO186" i="2" a="1"/>
  <c r="EO186" i="2" s="1"/>
  <c r="EO187" i="2" s="1"/>
  <c r="EX184" i="2" a="1"/>
  <c r="EX184" i="2" s="1"/>
  <c r="EX185" i="2" s="1"/>
  <c r="ET184" i="2" a="1"/>
  <c r="ET184" i="2" s="1"/>
  <c r="ET185" i="2" s="1"/>
  <c r="EP184" i="2" a="1"/>
  <c r="EP184" i="2" s="1"/>
  <c r="EP185" i="2" s="1"/>
  <c r="EJ184" i="2" a="1"/>
  <c r="EJ184" i="2" s="1"/>
  <c r="ET202" i="2" a="1"/>
  <c r="ET202" i="2" s="1"/>
  <c r="ET203" i="2" s="1"/>
  <c r="EO202" i="2" a="1"/>
  <c r="EO202" i="2" s="1"/>
  <c r="EO203" i="2" s="1"/>
  <c r="FI200" i="2" a="1"/>
  <c r="FI200" i="2" s="1"/>
  <c r="FI201" i="2" s="1"/>
  <c r="FA200" i="2" a="1"/>
  <c r="FA200" i="2" s="1"/>
  <c r="FA201" i="2" s="1"/>
  <c r="ES200" i="2" a="1"/>
  <c r="ES200" i="2" s="1"/>
  <c r="ES201" i="2" s="1"/>
  <c r="EO200" i="2" a="1"/>
  <c r="EO200" i="2" s="1"/>
  <c r="EO201" i="2" s="1"/>
  <c r="EX198" i="2" a="1"/>
  <c r="EX198" i="2" s="1"/>
  <c r="EX199" i="2" s="1"/>
  <c r="EL199" i="2" s="1"/>
  <c r="ET198" i="2" a="1"/>
  <c r="ET198" i="2" s="1"/>
  <c r="ET199" i="2" s="1"/>
  <c r="EP198" i="2" a="1"/>
  <c r="EP198" i="2" s="1"/>
  <c r="EP199" i="2" s="1"/>
  <c r="EJ198" i="2" a="1"/>
  <c r="EJ198" i="2" s="1"/>
  <c r="FG196" i="2" a="1"/>
  <c r="FG196" i="2" s="1"/>
  <c r="FG197" i="2" s="1"/>
  <c r="EU196" i="2" a="1"/>
  <c r="EU196" i="2" s="1"/>
  <c r="EU197" i="2" s="1"/>
  <c r="EQ196" i="2" a="1"/>
  <c r="EQ196" i="2" s="1"/>
  <c r="EQ197" i="2" s="1"/>
  <c r="EM196" i="2" a="1"/>
  <c r="EM196" i="2" s="1"/>
  <c r="EM197" i="2" s="1"/>
  <c r="FH194" i="2" a="1"/>
  <c r="FH194" i="2" s="1"/>
  <c r="FH195" i="2" s="1"/>
  <c r="FD194" i="2" a="1"/>
  <c r="FD194" i="2" s="1"/>
  <c r="FD195" i="2" s="1"/>
  <c r="ER194" i="2" a="1"/>
  <c r="ER194" i="2" s="1"/>
  <c r="ER195" i="2" s="1"/>
  <c r="FI192" i="2" a="1"/>
  <c r="FI192" i="2" s="1"/>
  <c r="FI193" i="2" s="1"/>
  <c r="FA192" i="2" a="1"/>
  <c r="FA192" i="2" s="1"/>
  <c r="FA193" i="2" s="1"/>
  <c r="ES192" i="2" a="1"/>
  <c r="ES192" i="2" s="1"/>
  <c r="ES193" i="2" s="1"/>
  <c r="EO192" i="2" a="1"/>
  <c r="EO192" i="2" s="1"/>
  <c r="EO193" i="2" s="1"/>
  <c r="EX190" i="2" a="1"/>
  <c r="EX190" i="2" s="1"/>
  <c r="EX191" i="2" s="1"/>
  <c r="ET190" i="2" a="1"/>
  <c r="ET190" i="2" s="1"/>
  <c r="ET191" i="2" s="1"/>
  <c r="EP190" i="2" a="1"/>
  <c r="EP190" i="2" s="1"/>
  <c r="EP191" i="2" s="1"/>
  <c r="EJ190" i="2" a="1"/>
  <c r="EJ190" i="2" s="1"/>
  <c r="FG188" i="2" a="1"/>
  <c r="FG188" i="2" s="1"/>
  <c r="FG189" i="2" s="1"/>
  <c r="EU188" i="2" a="1"/>
  <c r="EU188" i="2" s="1"/>
  <c r="EU189" i="2" s="1"/>
  <c r="EQ188" i="2" a="1"/>
  <c r="EQ188" i="2" s="1"/>
  <c r="EQ189" i="2" s="1"/>
  <c r="EM188" i="2" a="1"/>
  <c r="EM188" i="2" s="1"/>
  <c r="EM189" i="2" s="1"/>
  <c r="EK189" i="2" s="1"/>
  <c r="FH186" i="2" a="1"/>
  <c r="FH186" i="2" s="1"/>
  <c r="FH187" i="2" s="1"/>
  <c r="FD186" i="2" a="1"/>
  <c r="FD186" i="2" s="1"/>
  <c r="FD187" i="2" s="1"/>
  <c r="ER186" i="2" a="1"/>
  <c r="ER186" i="2" s="1"/>
  <c r="ER187" i="2" s="1"/>
  <c r="FI184" i="2" a="1"/>
  <c r="FI184" i="2" s="1"/>
  <c r="FI185" i="2" s="1"/>
  <c r="FA184" i="2" a="1"/>
  <c r="FA184" i="2" s="1"/>
  <c r="FA185" i="2" s="1"/>
  <c r="ES184" i="2" a="1"/>
  <c r="ES184" i="2" s="1"/>
  <c r="ES185" i="2" s="1"/>
  <c r="EO184" i="2" a="1"/>
  <c r="EO184" i="2" s="1"/>
  <c r="EO185" i="2" s="1"/>
  <c r="EX202" i="2" a="1"/>
  <c r="EX202" i="2" s="1"/>
  <c r="EX203" i="2" s="1"/>
  <c r="EL203" i="2" s="1"/>
  <c r="ES202" i="2" a="1"/>
  <c r="ES202" i="2" s="1"/>
  <c r="ES203" i="2" s="1"/>
  <c r="FH200" i="2" a="1"/>
  <c r="FH200" i="2" s="1"/>
  <c r="FH201" i="2" s="1"/>
  <c r="FD200" i="2" a="1"/>
  <c r="FD200" i="2" s="1"/>
  <c r="FD201" i="2" s="1"/>
  <c r="ER200" i="2" a="1"/>
  <c r="ER200" i="2" s="1"/>
  <c r="ER201" i="2" s="1"/>
  <c r="FI198" i="2" a="1"/>
  <c r="FI198" i="2" s="1"/>
  <c r="FI199" i="2" s="1"/>
  <c r="FA198" i="2" a="1"/>
  <c r="FA198" i="2" s="1"/>
  <c r="FA199" i="2" s="1"/>
  <c r="ES198" i="2" a="1"/>
  <c r="ES198" i="2" s="1"/>
  <c r="ES199" i="2" s="1"/>
  <c r="EO198" i="2" a="1"/>
  <c r="EO198" i="2" s="1"/>
  <c r="EO199" i="2" s="1"/>
  <c r="EX196" i="2" a="1"/>
  <c r="EX196" i="2" s="1"/>
  <c r="EX197" i="2" s="1"/>
  <c r="ET196" i="2" a="1"/>
  <c r="ET196" i="2" s="1"/>
  <c r="ET197" i="2" s="1"/>
  <c r="EP196" i="2" a="1"/>
  <c r="EP196" i="2" s="1"/>
  <c r="EP197" i="2" s="1"/>
  <c r="EJ196" i="2" a="1"/>
  <c r="EJ196" i="2" s="1"/>
  <c r="FG194" i="2" a="1"/>
  <c r="FG194" i="2" s="1"/>
  <c r="FG195" i="2" s="1"/>
  <c r="EU194" i="2" a="1"/>
  <c r="EU194" i="2" s="1"/>
  <c r="EU195" i="2" s="1"/>
  <c r="EQ194" i="2" a="1"/>
  <c r="EQ194" i="2" s="1"/>
  <c r="EQ195" i="2" s="1"/>
  <c r="EM194" i="2" a="1"/>
  <c r="EM194" i="2" s="1"/>
  <c r="EM195" i="2" s="1"/>
  <c r="EK195" i="2" s="1"/>
  <c r="FH192" i="2" a="1"/>
  <c r="FH192" i="2" s="1"/>
  <c r="FH193" i="2" s="1"/>
  <c r="FD192" i="2" a="1"/>
  <c r="FD192" i="2" s="1"/>
  <c r="FD193" i="2" s="1"/>
  <c r="ER192" i="2" a="1"/>
  <c r="ER192" i="2" s="1"/>
  <c r="ER193" i="2" s="1"/>
  <c r="FI190" i="2" a="1"/>
  <c r="FI190" i="2" s="1"/>
  <c r="FI191" i="2" s="1"/>
  <c r="FA190" i="2" a="1"/>
  <c r="FA190" i="2" s="1"/>
  <c r="FA191" i="2" s="1"/>
  <c r="ES190" i="2" a="1"/>
  <c r="ES190" i="2" s="1"/>
  <c r="ES191" i="2" s="1"/>
  <c r="EO190" i="2" a="1"/>
  <c r="EO190" i="2" s="1"/>
  <c r="EO191" i="2" s="1"/>
  <c r="EX188" i="2" a="1"/>
  <c r="EX188" i="2" s="1"/>
  <c r="EX189" i="2" s="1"/>
  <c r="EL189" i="2" s="1"/>
  <c r="ET188" i="2" a="1"/>
  <c r="ET188" i="2" s="1"/>
  <c r="ET189" i="2" s="1"/>
  <c r="EP188" i="2" a="1"/>
  <c r="EP188" i="2" s="1"/>
  <c r="EP189" i="2" s="1"/>
  <c r="EJ188" i="2" a="1"/>
  <c r="EJ188" i="2" s="1"/>
  <c r="FG186" i="2" a="1"/>
  <c r="FG186" i="2" s="1"/>
  <c r="FG187" i="2" s="1"/>
  <c r="EU186" i="2" a="1"/>
  <c r="EU186" i="2" s="1"/>
  <c r="EU187" i="2" s="1"/>
  <c r="EQ186" i="2" a="1"/>
  <c r="EQ186" i="2" s="1"/>
  <c r="EQ187" i="2" s="1"/>
  <c r="EM186" i="2" a="1"/>
  <c r="EM186" i="2" s="1"/>
  <c r="EM187" i="2" s="1"/>
  <c r="FH184" i="2" a="1"/>
  <c r="FH184" i="2" s="1"/>
  <c r="FH185" i="2" s="1"/>
  <c r="FD184" i="2" a="1"/>
  <c r="FD184" i="2" s="1"/>
  <c r="FD185" i="2" s="1"/>
  <c r="ER184" i="2" a="1"/>
  <c r="ER184" i="2" s="1"/>
  <c r="ER185" i="2" s="1"/>
  <c r="FI182" i="2" a="1"/>
  <c r="FI182" i="2" s="1"/>
  <c r="FI183" i="2" s="1"/>
  <c r="EO182" i="2" a="1"/>
  <c r="EO182" i="2" s="1"/>
  <c r="EO183" i="2" s="1"/>
  <c r="FA182" i="2" a="1"/>
  <c r="FA182" i="2" s="1"/>
  <c r="FA183" i="2" s="1"/>
  <c r="EU182" i="2" a="1"/>
  <c r="EU182" i="2" s="1"/>
  <c r="EU183" i="2" s="1"/>
  <c r="FH182" i="2" a="1"/>
  <c r="FH182" i="2" s="1"/>
  <c r="FH183" i="2" s="1"/>
  <c r="ET182" i="2" a="1"/>
  <c r="ET182" i="2" s="1"/>
  <c r="ET183" i="2" s="1"/>
  <c r="FG182" i="2" a="1"/>
  <c r="FG182" i="2" s="1"/>
  <c r="FG183" i="2" s="1"/>
  <c r="ES182" i="2" a="1"/>
  <c r="ES182" i="2" s="1"/>
  <c r="ES183" i="2" s="1"/>
  <c r="EM182" i="2" a="1"/>
  <c r="EM182" i="2" s="1"/>
  <c r="EM183" i="2" s="1"/>
  <c r="EJ182" i="2" a="1"/>
  <c r="EJ182" i="2" s="1"/>
  <c r="EM202" i="2" a="1"/>
  <c r="EM202" i="2" s="1"/>
  <c r="EM203" i="2" s="1"/>
  <c r="EX182" i="2" a="1"/>
  <c r="EX182" i="2" s="1"/>
  <c r="EX183" i="2" s="1"/>
  <c r="ER182" i="2" a="1"/>
  <c r="ER182" i="2" s="1"/>
  <c r="ER183" i="2" s="1"/>
  <c r="FD182" i="2" a="1"/>
  <c r="FD182" i="2" s="1"/>
  <c r="FD183" i="2" s="1"/>
  <c r="EQ182" i="2" a="1"/>
  <c r="EQ182" i="2" s="1"/>
  <c r="EQ183" i="2" s="1"/>
  <c r="EP182" i="2" a="1"/>
  <c r="EP182" i="2" s="1"/>
  <c r="EP183" i="2" s="1"/>
  <c r="EF54" i="2" a="1"/>
  <c r="EF54" i="2" s="1"/>
  <c r="EF55" i="2" s="1"/>
  <c r="DX54" i="2" a="1"/>
  <c r="DX54" i="2" s="1"/>
  <c r="DX55" i="2" s="1"/>
  <c r="DP54" i="2" a="1"/>
  <c r="DP54" i="2" s="1"/>
  <c r="DP55" i="2" s="1"/>
  <c r="DL54" i="2" a="1"/>
  <c r="DL54" i="2" s="1"/>
  <c r="DL55" i="2" s="1"/>
  <c r="DU50" i="2" a="1"/>
  <c r="DU50" i="2" s="1"/>
  <c r="DU51" i="2" s="1"/>
  <c r="DQ50" i="2" a="1"/>
  <c r="DQ50" i="2" s="1"/>
  <c r="DQ51" i="2" s="1"/>
  <c r="DM50" i="2" a="1"/>
  <c r="DM50" i="2" s="1"/>
  <c r="DM51" i="2" s="1"/>
  <c r="DU56" i="2" a="1"/>
  <c r="DU56" i="2" s="1"/>
  <c r="DU57" i="2" s="1"/>
  <c r="DQ56" i="2" a="1"/>
  <c r="DQ56" i="2" s="1"/>
  <c r="DQ57" i="2" s="1"/>
  <c r="DM56" i="2" a="1"/>
  <c r="DM56" i="2" s="1"/>
  <c r="DM57" i="2" s="1"/>
  <c r="DG56" i="2" a="1"/>
  <c r="DG56" i="2" s="1"/>
  <c r="ED52" i="2" a="1"/>
  <c r="ED52" i="2" s="1"/>
  <c r="ED53" i="2" s="1"/>
  <c r="DR52" i="2" a="1"/>
  <c r="DR52" i="2" s="1"/>
  <c r="DR53" i="2" s="1"/>
  <c r="DN52" i="2" a="1"/>
  <c r="DN52" i="2" s="1"/>
  <c r="DN53" i="2" s="1"/>
  <c r="DJ52" i="2" a="1"/>
  <c r="DJ52" i="2" s="1"/>
  <c r="DJ53" i="2" s="1"/>
  <c r="EE54" i="2" a="1"/>
  <c r="EE54" i="2" s="1"/>
  <c r="EE55" i="2" s="1"/>
  <c r="EA54" i="2" a="1"/>
  <c r="EA54" i="2" s="1"/>
  <c r="EA55" i="2" s="1"/>
  <c r="DO54" i="2" a="1"/>
  <c r="DO54" i="2" s="1"/>
  <c r="DO55" i="2" s="1"/>
  <c r="EF50" i="2" a="1"/>
  <c r="EF50" i="2" s="1"/>
  <c r="EF51" i="2" s="1"/>
  <c r="DX50" i="2" a="1"/>
  <c r="DX50" i="2" s="1"/>
  <c r="DX51" i="2" s="1"/>
  <c r="DP50" i="2" a="1"/>
  <c r="DP50" i="2" s="1"/>
  <c r="DP51" i="2" s="1"/>
  <c r="EF56" i="2" a="1"/>
  <c r="EF56" i="2" s="1"/>
  <c r="EF57" i="2" s="1"/>
  <c r="DX56" i="2" a="1"/>
  <c r="DX56" i="2" s="1"/>
  <c r="DX57" i="2" s="1"/>
  <c r="DP56" i="2" a="1"/>
  <c r="DP56" i="2" s="1"/>
  <c r="DP57" i="2" s="1"/>
  <c r="DL56" i="2" a="1"/>
  <c r="DL56" i="2" s="1"/>
  <c r="DL57" i="2" s="1"/>
  <c r="DU52" i="2" a="1"/>
  <c r="DU52" i="2" s="1"/>
  <c r="DU53" i="2" s="1"/>
  <c r="DQ52" i="2" a="1"/>
  <c r="DQ52" i="2" s="1"/>
  <c r="DQ53" i="2" s="1"/>
  <c r="DM52" i="2" a="1"/>
  <c r="DM52" i="2" s="1"/>
  <c r="DM53" i="2" s="1"/>
  <c r="DG52" i="2" a="1"/>
  <c r="DG52" i="2" s="1"/>
  <c r="DO58" i="2"/>
  <c r="ED54" i="2" a="1"/>
  <c r="ED54" i="2" s="1"/>
  <c r="ED55" i="2" s="1"/>
  <c r="DR54" i="2" a="1"/>
  <c r="DR54" i="2" s="1"/>
  <c r="DR55" i="2" s="1"/>
  <c r="DN54" i="2" a="1"/>
  <c r="DN54" i="2" s="1"/>
  <c r="DN55" i="2" s="1"/>
  <c r="DJ54" i="2" a="1"/>
  <c r="DJ54" i="2" s="1"/>
  <c r="DJ55" i="2" s="1"/>
  <c r="DH55" i="2" s="1"/>
  <c r="L74" i="1" s="1"/>
  <c r="EE50" i="2" a="1"/>
  <c r="EE50" i="2" s="1"/>
  <c r="EE51" i="2" s="1"/>
  <c r="EA50" i="2" a="1"/>
  <c r="EA50" i="2" s="1"/>
  <c r="EA51" i="2" s="1"/>
  <c r="DO50" i="2" a="1"/>
  <c r="DO50" i="2" s="1"/>
  <c r="DO51" i="2" s="1"/>
  <c r="DF58" i="2"/>
  <c r="J76" i="1" s="1"/>
  <c r="DU54" i="2" a="1"/>
  <c r="DU54" i="2" s="1"/>
  <c r="DU55" i="2" s="1"/>
  <c r="DQ54" i="2" a="1"/>
  <c r="DQ54" i="2" s="1"/>
  <c r="DQ55" i="2" s="1"/>
  <c r="DM54" i="2" a="1"/>
  <c r="DM54" i="2" s="1"/>
  <c r="DM55" i="2" s="1"/>
  <c r="DG54" i="2" a="1"/>
  <c r="DG54" i="2" s="1"/>
  <c r="ED50" i="2" a="1"/>
  <c r="ED50" i="2" s="1"/>
  <c r="ED51" i="2" s="1"/>
  <c r="DR50" i="2" a="1"/>
  <c r="DR50" i="2" s="1"/>
  <c r="DR51" i="2" s="1"/>
  <c r="DN50" i="2" a="1"/>
  <c r="DN50" i="2" s="1"/>
  <c r="DN51" i="2" s="1"/>
  <c r="ED56" i="2" a="1"/>
  <c r="ED56" i="2" s="1"/>
  <c r="ED57" i="2" s="1"/>
  <c r="DR56" i="2" a="1"/>
  <c r="DR56" i="2" s="1"/>
  <c r="DR57" i="2" s="1"/>
  <c r="DN56" i="2" a="1"/>
  <c r="DN56" i="2" s="1"/>
  <c r="DN57" i="2" s="1"/>
  <c r="DJ56" i="2" a="1"/>
  <c r="DJ56" i="2" s="1"/>
  <c r="DJ57" i="2" s="1"/>
  <c r="EE52" i="2" a="1"/>
  <c r="EE52" i="2" s="1"/>
  <c r="EE53" i="2" s="1"/>
  <c r="EA52" i="2" a="1"/>
  <c r="EA52" i="2" s="1"/>
  <c r="EA53" i="2" s="1"/>
  <c r="DO52" i="2" a="1"/>
  <c r="DO52" i="2" s="1"/>
  <c r="DO53" i="2" s="1"/>
  <c r="EF48" i="2" a="1"/>
  <c r="EF48" i="2" s="1"/>
  <c r="EF49" i="2" s="1"/>
  <c r="DX48" i="2" a="1"/>
  <c r="DX48" i="2" s="1"/>
  <c r="DX49" i="2" s="1"/>
  <c r="DP48" i="2" a="1"/>
  <c r="DP48" i="2" s="1"/>
  <c r="DP49" i="2" s="1"/>
  <c r="DL48" i="2" a="1"/>
  <c r="DL48" i="2" s="1"/>
  <c r="DL49" i="2" s="1"/>
  <c r="DJ50" i="2" a="1"/>
  <c r="DJ50" i="2" s="1"/>
  <c r="DJ51" i="2" s="1"/>
  <c r="DH51" i="2" s="1"/>
  <c r="L69" i="1" s="1"/>
  <c r="ED48" i="2" a="1"/>
  <c r="ED48" i="2" s="1"/>
  <c r="ED49" i="2" s="1"/>
  <c r="DU48" i="2" a="1"/>
  <c r="DU48" i="2" s="1"/>
  <c r="DU49" i="2" s="1"/>
  <c r="EE44" i="2" a="1"/>
  <c r="EE44" i="2" s="1"/>
  <c r="EE45" i="2" s="1"/>
  <c r="EA44" i="2" a="1"/>
  <c r="EA44" i="2" s="1"/>
  <c r="EA45" i="2" s="1"/>
  <c r="DO44" i="2" a="1"/>
  <c r="DO44" i="2" s="1"/>
  <c r="DO45" i="2" s="1"/>
  <c r="EF40" i="2" a="1"/>
  <c r="EF40" i="2" s="1"/>
  <c r="EF41" i="2" s="1"/>
  <c r="DX40" i="2" a="1"/>
  <c r="DX40" i="2" s="1"/>
  <c r="DX41" i="2" s="1"/>
  <c r="DP40" i="2" a="1"/>
  <c r="DP40" i="2" s="1"/>
  <c r="DP41" i="2" s="1"/>
  <c r="DL40" i="2" a="1"/>
  <c r="DL40" i="2" s="1"/>
  <c r="DL41" i="2" s="1"/>
  <c r="DU36" i="2" a="1"/>
  <c r="DU36" i="2" s="1"/>
  <c r="DU37" i="2" s="1"/>
  <c r="DQ36" i="2" a="1"/>
  <c r="DQ36" i="2" s="1"/>
  <c r="DQ37" i="2" s="1"/>
  <c r="DM36" i="2" a="1"/>
  <c r="DM36" i="2" s="1"/>
  <c r="DM37" i="2" s="1"/>
  <c r="DG36" i="2" a="1"/>
  <c r="DG36" i="2" s="1"/>
  <c r="EF32" i="2" a="1"/>
  <c r="EF32" i="2" s="1"/>
  <c r="EF33" i="2" s="1"/>
  <c r="DX32" i="2" a="1"/>
  <c r="DX32" i="2" s="1"/>
  <c r="DX33" i="2" s="1"/>
  <c r="DJ58" i="2"/>
  <c r="EF52" i="2" a="1"/>
  <c r="EF52" i="2" s="1"/>
  <c r="EF53" i="2" s="1"/>
  <c r="DG50" i="2" a="1"/>
  <c r="DG50" i="2" s="1"/>
  <c r="EF46" i="2" a="1"/>
  <c r="EF46" i="2" s="1"/>
  <c r="EF47" i="2" s="1"/>
  <c r="DX46" i="2" a="1"/>
  <c r="DX46" i="2" s="1"/>
  <c r="DX47" i="2" s="1"/>
  <c r="DP46" i="2" a="1"/>
  <c r="DP46" i="2" s="1"/>
  <c r="DP47" i="2" s="1"/>
  <c r="DL46" i="2" a="1"/>
  <c r="DL46" i="2" s="1"/>
  <c r="DL47" i="2" s="1"/>
  <c r="DU42" i="2" a="1"/>
  <c r="DU42" i="2" s="1"/>
  <c r="DU43" i="2" s="1"/>
  <c r="DQ42" i="2" a="1"/>
  <c r="DQ42" i="2" s="1"/>
  <c r="DQ43" i="2" s="1"/>
  <c r="DM42" i="2" a="1"/>
  <c r="DM42" i="2" s="1"/>
  <c r="DM43" i="2" s="1"/>
  <c r="DG42" i="2" a="1"/>
  <c r="DG42" i="2" s="1"/>
  <c r="ED38" i="2" a="1"/>
  <c r="ED38" i="2" s="1"/>
  <c r="ED39" i="2" s="1"/>
  <c r="DR38" i="2" a="1"/>
  <c r="DR38" i="2" s="1"/>
  <c r="DR39" i="2" s="1"/>
  <c r="DN38" i="2" a="1"/>
  <c r="DN38" i="2" s="1"/>
  <c r="DN39" i="2" s="1"/>
  <c r="DJ38" i="2" a="1"/>
  <c r="DJ38" i="2" s="1"/>
  <c r="DJ39" i="2" s="1"/>
  <c r="EE34" i="2" a="1"/>
  <c r="EE34" i="2" s="1"/>
  <c r="EE35" i="2" s="1"/>
  <c r="EA34" i="2" a="1"/>
  <c r="EA34" i="2" s="1"/>
  <c r="EA35" i="2" s="1"/>
  <c r="DO34" i="2" a="1"/>
  <c r="DO34" i="2" s="1"/>
  <c r="DO35" i="2" s="1"/>
  <c r="EE56" i="2" a="1"/>
  <c r="EE56" i="2" s="1"/>
  <c r="EE57" i="2" s="1"/>
  <c r="DO48" i="2" a="1"/>
  <c r="DO48" i="2" s="1"/>
  <c r="DO49" i="2" s="1"/>
  <c r="ED44" i="2" a="1"/>
  <c r="ED44" i="2" s="1"/>
  <c r="ED45" i="2" s="1"/>
  <c r="DR44" i="2" a="1"/>
  <c r="DR44" i="2" s="1"/>
  <c r="DR45" i="2" s="1"/>
  <c r="DN44" i="2" a="1"/>
  <c r="DN44" i="2" s="1"/>
  <c r="DN45" i="2" s="1"/>
  <c r="DJ44" i="2" a="1"/>
  <c r="DJ44" i="2" s="1"/>
  <c r="DJ45" i="2" s="1"/>
  <c r="EE40" i="2" a="1"/>
  <c r="EE40" i="2" s="1"/>
  <c r="EE41" i="2" s="1"/>
  <c r="EA40" i="2" a="1"/>
  <c r="EA40" i="2" s="1"/>
  <c r="EA41" i="2" s="1"/>
  <c r="DO40" i="2" a="1"/>
  <c r="DO40" i="2" s="1"/>
  <c r="DO41" i="2" s="1"/>
  <c r="EF36" i="2" a="1"/>
  <c r="EF36" i="2" s="1"/>
  <c r="EF37" i="2" s="1"/>
  <c r="DX36" i="2" a="1"/>
  <c r="DX36" i="2" s="1"/>
  <c r="DX37" i="2" s="1"/>
  <c r="DP36" i="2" a="1"/>
  <c r="DP36" i="2" s="1"/>
  <c r="DP37" i="2" s="1"/>
  <c r="DL36" i="2" a="1"/>
  <c r="DL36" i="2" s="1"/>
  <c r="DL37" i="2" s="1"/>
  <c r="EE32" i="2" a="1"/>
  <c r="EE32" i="2" s="1"/>
  <c r="EE33" i="2" s="1"/>
  <c r="EA32" i="2" a="1"/>
  <c r="EA32" i="2" s="1"/>
  <c r="EA33" i="2" s="1"/>
  <c r="DO32" i="2" a="1"/>
  <c r="DO32" i="2" s="1"/>
  <c r="DO33" i="2" s="1"/>
  <c r="EA56" i="2" a="1"/>
  <c r="EA56" i="2" s="1"/>
  <c r="EA57" i="2" s="1"/>
  <c r="DX52" i="2" a="1"/>
  <c r="DX52" i="2" s="1"/>
  <c r="DX53" i="2" s="1"/>
  <c r="DJ48" i="2" a="1"/>
  <c r="DJ48" i="2" s="1"/>
  <c r="DJ49" i="2" s="1"/>
  <c r="EE46" i="2" a="1"/>
  <c r="EE46" i="2" s="1"/>
  <c r="EE47" i="2" s="1"/>
  <c r="EA46" i="2" a="1"/>
  <c r="EA46" i="2" s="1"/>
  <c r="EA47" i="2" s="1"/>
  <c r="DO46" i="2" a="1"/>
  <c r="DO46" i="2" s="1"/>
  <c r="DO47" i="2" s="1"/>
  <c r="EF42" i="2" a="1"/>
  <c r="EF42" i="2" s="1"/>
  <c r="EF43" i="2" s="1"/>
  <c r="DX42" i="2" a="1"/>
  <c r="DX42" i="2" s="1"/>
  <c r="DX43" i="2" s="1"/>
  <c r="DP42" i="2" a="1"/>
  <c r="DP42" i="2" s="1"/>
  <c r="DP43" i="2" s="1"/>
  <c r="DL42" i="2" a="1"/>
  <c r="DL42" i="2" s="1"/>
  <c r="DL43" i="2" s="1"/>
  <c r="DU38" i="2" a="1"/>
  <c r="DU38" i="2" s="1"/>
  <c r="DU39" i="2" s="1"/>
  <c r="DQ38" i="2" a="1"/>
  <c r="DQ38" i="2" s="1"/>
  <c r="DQ39" i="2" s="1"/>
  <c r="DM38" i="2" a="1"/>
  <c r="DM38" i="2" s="1"/>
  <c r="DM39" i="2" s="1"/>
  <c r="DG38" i="2" a="1"/>
  <c r="DG38" i="2" s="1"/>
  <c r="ED34" i="2" a="1"/>
  <c r="ED34" i="2" s="1"/>
  <c r="ED35" i="2" s="1"/>
  <c r="DR34" i="2" a="1"/>
  <c r="DR34" i="2" s="1"/>
  <c r="DR35" i="2" s="1"/>
  <c r="DN48" i="2" a="1"/>
  <c r="DN48" i="2" s="1"/>
  <c r="DN49" i="2" s="1"/>
  <c r="DU44" i="2" a="1"/>
  <c r="DU44" i="2" s="1"/>
  <c r="DU45" i="2" s="1"/>
  <c r="DQ44" i="2" a="1"/>
  <c r="DQ44" i="2" s="1"/>
  <c r="DQ45" i="2" s="1"/>
  <c r="DM44" i="2" a="1"/>
  <c r="DM44" i="2" s="1"/>
  <c r="DM45" i="2" s="1"/>
  <c r="DG44" i="2" a="1"/>
  <c r="DG44" i="2" s="1"/>
  <c r="ED40" i="2" a="1"/>
  <c r="ED40" i="2" s="1"/>
  <c r="ED41" i="2" s="1"/>
  <c r="DR40" i="2" a="1"/>
  <c r="DR40" i="2" s="1"/>
  <c r="DR41" i="2" s="1"/>
  <c r="DN40" i="2" a="1"/>
  <c r="DN40" i="2" s="1"/>
  <c r="DN41" i="2" s="1"/>
  <c r="DJ40" i="2" a="1"/>
  <c r="DJ40" i="2" s="1"/>
  <c r="DJ41" i="2" s="1"/>
  <c r="EE36" i="2" a="1"/>
  <c r="EE36" i="2" s="1"/>
  <c r="EE37" i="2" s="1"/>
  <c r="EA36" i="2" a="1"/>
  <c r="EA36" i="2" s="1"/>
  <c r="EA37" i="2" s="1"/>
  <c r="DO36" i="2" a="1"/>
  <c r="DO36" i="2" s="1"/>
  <c r="DO37" i="2" s="1"/>
  <c r="ED32" i="2" a="1"/>
  <c r="ED32" i="2" s="1"/>
  <c r="ED33" i="2" s="1"/>
  <c r="DR32" i="2" a="1"/>
  <c r="DR32" i="2" s="1"/>
  <c r="DR33" i="2" s="1"/>
  <c r="DO56" i="2" a="1"/>
  <c r="DO56" i="2" s="1"/>
  <c r="DO57" i="2" s="1"/>
  <c r="DL52" i="2" a="1"/>
  <c r="DL52" i="2" s="1"/>
  <c r="DL53" i="2" s="1"/>
  <c r="EE48" i="2" a="1"/>
  <c r="EE48" i="2" s="1"/>
  <c r="EE49" i="2" s="1"/>
  <c r="DM48" i="2" a="1"/>
  <c r="DM48" i="2" s="1"/>
  <c r="DM49" i="2" s="1"/>
  <c r="EF44" i="2" a="1"/>
  <c r="EF44" i="2" s="1"/>
  <c r="EF45" i="2" s="1"/>
  <c r="DX44" i="2" a="1"/>
  <c r="DX44" i="2" s="1"/>
  <c r="DX45" i="2" s="1"/>
  <c r="DP44" i="2" a="1"/>
  <c r="DP44" i="2" s="1"/>
  <c r="DP45" i="2" s="1"/>
  <c r="DL44" i="2" a="1"/>
  <c r="DL44" i="2" s="1"/>
  <c r="DL45" i="2" s="1"/>
  <c r="DU40" i="2" a="1"/>
  <c r="DU40" i="2" s="1"/>
  <c r="DU41" i="2" s="1"/>
  <c r="DI41" i="2" s="1"/>
  <c r="DQ40" i="2" a="1"/>
  <c r="DQ40" i="2" s="1"/>
  <c r="DQ41" i="2" s="1"/>
  <c r="DM40" i="2" a="1"/>
  <c r="DM40" i="2" s="1"/>
  <c r="DM41" i="2" s="1"/>
  <c r="DG40" i="2" a="1"/>
  <c r="DG40" i="2" s="1"/>
  <c r="ED36" i="2" a="1"/>
  <c r="ED36" i="2" s="1"/>
  <c r="ED37" i="2" s="1"/>
  <c r="DR36" i="2" a="1"/>
  <c r="DR36" i="2" s="1"/>
  <c r="DR37" i="2" s="1"/>
  <c r="DN36" i="2" a="1"/>
  <c r="DN36" i="2" s="1"/>
  <c r="DN37" i="2" s="1"/>
  <c r="DJ36" i="2" a="1"/>
  <c r="DJ36" i="2" s="1"/>
  <c r="DJ37" i="2" s="1"/>
  <c r="DQ48" i="2" a="1"/>
  <c r="DQ48" i="2" s="1"/>
  <c r="DQ49" i="2" s="1"/>
  <c r="DU46" i="2" a="1"/>
  <c r="DU46" i="2" s="1"/>
  <c r="DU47" i="2" s="1"/>
  <c r="DI47" i="2" s="1"/>
  <c r="O67" i="1" s="1"/>
  <c r="DQ46" i="2" a="1"/>
  <c r="DQ46" i="2" s="1"/>
  <c r="DQ47" i="2" s="1"/>
  <c r="DM46" i="2" a="1"/>
  <c r="DM46" i="2" s="1"/>
  <c r="DM47" i="2" s="1"/>
  <c r="DG46" i="2" a="1"/>
  <c r="DG46" i="2" s="1"/>
  <c r="ED42" i="2" a="1"/>
  <c r="ED42" i="2" s="1"/>
  <c r="ED43" i="2" s="1"/>
  <c r="DR42" i="2" a="1"/>
  <c r="DR42" i="2" s="1"/>
  <c r="DR43" i="2" s="1"/>
  <c r="DN42" i="2" a="1"/>
  <c r="DN42" i="2" s="1"/>
  <c r="DN43" i="2" s="1"/>
  <c r="DJ42" i="2" a="1"/>
  <c r="DJ42" i="2" s="1"/>
  <c r="DJ43" i="2" s="1"/>
  <c r="DH43" i="2" s="1"/>
  <c r="EE38" i="2" a="1"/>
  <c r="EE38" i="2" s="1"/>
  <c r="EE39" i="2" s="1"/>
  <c r="EA38" i="2" a="1"/>
  <c r="EA38" i="2" s="1"/>
  <c r="EA39" i="2" s="1"/>
  <c r="DO38" i="2" a="1"/>
  <c r="DO38" i="2" s="1"/>
  <c r="DO39" i="2" s="1"/>
  <c r="EF34" i="2" a="1"/>
  <c r="EF34" i="2" s="1"/>
  <c r="EF35" i="2" s="1"/>
  <c r="DX34" i="2" a="1"/>
  <c r="DX34" i="2" s="1"/>
  <c r="DX35" i="2" s="1"/>
  <c r="DP34" i="2" a="1"/>
  <c r="DP34" i="2" s="1"/>
  <c r="DP35" i="2" s="1"/>
  <c r="DL34" i="2" a="1"/>
  <c r="DL34" i="2" s="1"/>
  <c r="DL35" i="2" s="1"/>
  <c r="EA42" i="2" a="1"/>
  <c r="EA42" i="2" s="1"/>
  <c r="EA43" i="2" s="1"/>
  <c r="DX38" i="2" a="1"/>
  <c r="DX38" i="2" s="1"/>
  <c r="DX39" i="2" s="1"/>
  <c r="DJ34" i="2" a="1"/>
  <c r="DJ34" i="2" s="1"/>
  <c r="DJ35" i="2" s="1"/>
  <c r="DL32" i="2" a="1"/>
  <c r="DL32" i="2" s="1"/>
  <c r="DL33" i="2" s="1"/>
  <c r="ED46" i="2" a="1"/>
  <c r="ED46" i="2" s="1"/>
  <c r="ED47" i="2" s="1"/>
  <c r="DU34" i="2" a="1"/>
  <c r="DU34" i="2" s="1"/>
  <c r="DU35" i="2" s="1"/>
  <c r="DI35" i="2" s="1"/>
  <c r="DG34" i="2" a="1"/>
  <c r="DG34" i="2" s="1"/>
  <c r="DU32" i="2" a="1"/>
  <c r="DU32" i="2" s="1"/>
  <c r="DU33" i="2" s="1"/>
  <c r="DI33" i="2" s="1"/>
  <c r="DP32" i="2" a="1"/>
  <c r="DP32" i="2" s="1"/>
  <c r="DP33" i="2" s="1"/>
  <c r="DP38" i="2" a="1"/>
  <c r="DP38" i="2" s="1"/>
  <c r="DP39" i="2" s="1"/>
  <c r="DL50" i="2" a="1"/>
  <c r="DL50" i="2" s="1"/>
  <c r="DL51" i="2" s="1"/>
  <c r="EA48" i="2" a="1"/>
  <c r="EA48" i="2" s="1"/>
  <c r="EA49" i="2" s="1"/>
  <c r="DO42" i="2" a="1"/>
  <c r="DO42" i="2" s="1"/>
  <c r="DO43" i="2" s="1"/>
  <c r="DL38" i="2" a="1"/>
  <c r="DL38" i="2" s="1"/>
  <c r="DL39" i="2" s="1"/>
  <c r="DQ34" i="2" a="1"/>
  <c r="DQ34" i="2" s="1"/>
  <c r="DQ35" i="2" s="1"/>
  <c r="DJ32" i="2" a="1"/>
  <c r="DJ32" i="2" s="1"/>
  <c r="DJ33" i="2" s="1"/>
  <c r="DR46" i="2" a="1"/>
  <c r="DR46" i="2" s="1"/>
  <c r="DR47" i="2" s="1"/>
  <c r="DN32" i="2" a="1"/>
  <c r="DN32" i="2" s="1"/>
  <c r="DN33" i="2" s="1"/>
  <c r="DP52" i="2" a="1"/>
  <c r="DP52" i="2" s="1"/>
  <c r="DP53" i="2" s="1"/>
  <c r="DR48" i="2" a="1"/>
  <c r="DR48" i="2" s="1"/>
  <c r="DR49" i="2" s="1"/>
  <c r="DN46" i="2" a="1"/>
  <c r="DN46" i="2" s="1"/>
  <c r="DN47" i="2" s="1"/>
  <c r="DN34" i="2" a="1"/>
  <c r="DN34" i="2" s="1"/>
  <c r="DN35" i="2" s="1"/>
  <c r="DG32" i="2" a="1"/>
  <c r="DG32" i="2" s="1"/>
  <c r="DJ46" i="2" a="1"/>
  <c r="DJ46" i="2" s="1"/>
  <c r="DJ47" i="2" s="1"/>
  <c r="EF38" i="2" a="1"/>
  <c r="EF38" i="2" s="1"/>
  <c r="EF39" i="2" s="1"/>
  <c r="DM34" i="2" a="1"/>
  <c r="DM34" i="2" s="1"/>
  <c r="DM35" i="2" s="1"/>
  <c r="DM32" i="2" a="1"/>
  <c r="DM32" i="2" s="1"/>
  <c r="DM33" i="2" s="1"/>
  <c r="DG48" i="2" a="1"/>
  <c r="DG48" i="2" s="1"/>
  <c r="EE42" i="2" a="1"/>
  <c r="EE42" i="2" s="1"/>
  <c r="EE43" i="2" s="1"/>
  <c r="DQ32" i="2" a="1"/>
  <c r="DQ32" i="2" s="1"/>
  <c r="DQ33" i="2" s="1"/>
  <c r="EF146" i="2" a="1"/>
  <c r="EF146" i="2" s="1"/>
  <c r="EF147" i="2" s="1"/>
  <c r="DX146" i="2" a="1"/>
  <c r="DX146" i="2" s="1"/>
  <c r="DX147" i="2" s="1"/>
  <c r="DP146" i="2" a="1"/>
  <c r="DP146" i="2" s="1"/>
  <c r="DP147" i="2" s="1"/>
  <c r="DL146" i="2" a="1"/>
  <c r="DL146" i="2" s="1"/>
  <c r="DL147" i="2" s="1"/>
  <c r="DU144" i="2" a="1"/>
  <c r="DU144" i="2" s="1"/>
  <c r="DU145" i="2" s="1"/>
  <c r="DQ144" i="2" a="1"/>
  <c r="DQ144" i="2" s="1"/>
  <c r="DQ145" i="2" s="1"/>
  <c r="DM144" i="2" a="1"/>
  <c r="DM144" i="2" s="1"/>
  <c r="DM145" i="2" s="1"/>
  <c r="DG144" i="2" a="1"/>
  <c r="DG144" i="2" s="1"/>
  <c r="ED142" i="2" a="1"/>
  <c r="ED142" i="2" s="1"/>
  <c r="ED143" i="2" s="1"/>
  <c r="DR142" i="2" a="1"/>
  <c r="DR142" i="2" s="1"/>
  <c r="DR143" i="2" s="1"/>
  <c r="DN142" i="2" a="1"/>
  <c r="DN142" i="2" s="1"/>
  <c r="DN143" i="2" s="1"/>
  <c r="DJ142" i="2" a="1"/>
  <c r="DJ142" i="2" s="1"/>
  <c r="DJ143" i="2" s="1"/>
  <c r="EE140" i="2" a="1"/>
  <c r="EE140" i="2" s="1"/>
  <c r="EE141" i="2" s="1"/>
  <c r="EA140" i="2" a="1"/>
  <c r="EA140" i="2" s="1"/>
  <c r="EA141" i="2" s="1"/>
  <c r="DO140" i="2" a="1"/>
  <c r="DO140" i="2" s="1"/>
  <c r="DO141" i="2" s="1"/>
  <c r="EF138" i="2" a="1"/>
  <c r="EF138" i="2" s="1"/>
  <c r="EF139" i="2" s="1"/>
  <c r="DX138" i="2" a="1"/>
  <c r="DX138" i="2" s="1"/>
  <c r="DX139" i="2" s="1"/>
  <c r="DP138" i="2" a="1"/>
  <c r="DP138" i="2" s="1"/>
  <c r="DP139" i="2" s="1"/>
  <c r="DL138" i="2" a="1"/>
  <c r="DL138" i="2" s="1"/>
  <c r="DL139" i="2" s="1"/>
  <c r="DU136" i="2" a="1"/>
  <c r="DU136" i="2" s="1"/>
  <c r="DU137" i="2" s="1"/>
  <c r="DQ136" i="2" a="1"/>
  <c r="DQ136" i="2" s="1"/>
  <c r="DQ137" i="2" s="1"/>
  <c r="DM136" i="2" a="1"/>
  <c r="DM136" i="2" s="1"/>
  <c r="DM137" i="2" s="1"/>
  <c r="DG136" i="2" a="1"/>
  <c r="DG136" i="2" s="1"/>
  <c r="ED134" i="2" a="1"/>
  <c r="ED134" i="2" s="1"/>
  <c r="ED135" i="2" s="1"/>
  <c r="DR134" i="2" a="1"/>
  <c r="DR134" i="2" s="1"/>
  <c r="DR135" i="2" s="1"/>
  <c r="DN134" i="2" a="1"/>
  <c r="DN134" i="2" s="1"/>
  <c r="DN135" i="2" s="1"/>
  <c r="DJ134" i="2" a="1"/>
  <c r="DJ134" i="2" s="1"/>
  <c r="DJ135" i="2" s="1"/>
  <c r="EE132" i="2" a="1"/>
  <c r="EE132" i="2" s="1"/>
  <c r="EE133" i="2" s="1"/>
  <c r="EA132" i="2" a="1"/>
  <c r="EA132" i="2" s="1"/>
  <c r="EA133" i="2" s="1"/>
  <c r="DO132" i="2" a="1"/>
  <c r="DO132" i="2" s="1"/>
  <c r="DO133" i="2" s="1"/>
  <c r="EF130" i="2" a="1"/>
  <c r="EF130" i="2" s="1"/>
  <c r="EF131" i="2" s="1"/>
  <c r="DX130" i="2" a="1"/>
  <c r="DX130" i="2" s="1"/>
  <c r="DX131" i="2" s="1"/>
  <c r="DP130" i="2" a="1"/>
  <c r="DP130" i="2" s="1"/>
  <c r="DP131" i="2" s="1"/>
  <c r="DL130" i="2" a="1"/>
  <c r="DL130" i="2" s="1"/>
  <c r="DL131" i="2" s="1"/>
  <c r="DU128" i="2" a="1"/>
  <c r="DU128" i="2" s="1"/>
  <c r="DU129" i="2" s="1"/>
  <c r="DQ128" i="2" a="1"/>
  <c r="DQ128" i="2" s="1"/>
  <c r="DQ129" i="2" s="1"/>
  <c r="DM128" i="2" a="1"/>
  <c r="DM128" i="2" s="1"/>
  <c r="DM129" i="2" s="1"/>
  <c r="DG128" i="2" a="1"/>
  <c r="DG128" i="2" s="1"/>
  <c r="EE146" i="2" a="1"/>
  <c r="EE146" i="2" s="1"/>
  <c r="EE147" i="2" s="1"/>
  <c r="EA146" i="2" a="1"/>
  <c r="EA146" i="2" s="1"/>
  <c r="EA147" i="2" s="1"/>
  <c r="DO146" i="2" a="1"/>
  <c r="DO146" i="2" s="1"/>
  <c r="DO147" i="2" s="1"/>
  <c r="EF144" i="2" a="1"/>
  <c r="EF144" i="2" s="1"/>
  <c r="EF145" i="2" s="1"/>
  <c r="DX144" i="2" a="1"/>
  <c r="DX144" i="2" s="1"/>
  <c r="DX145" i="2" s="1"/>
  <c r="DP144" i="2" a="1"/>
  <c r="DP144" i="2" s="1"/>
  <c r="DP145" i="2" s="1"/>
  <c r="DL144" i="2" a="1"/>
  <c r="DL144" i="2" s="1"/>
  <c r="DL145" i="2" s="1"/>
  <c r="DU142" i="2" a="1"/>
  <c r="DU142" i="2" s="1"/>
  <c r="DU143" i="2" s="1"/>
  <c r="DQ142" i="2" a="1"/>
  <c r="DQ142" i="2" s="1"/>
  <c r="DQ143" i="2" s="1"/>
  <c r="DM142" i="2" a="1"/>
  <c r="DM142" i="2" s="1"/>
  <c r="DM143" i="2" s="1"/>
  <c r="DG142" i="2" a="1"/>
  <c r="DG142" i="2" s="1"/>
  <c r="ED140" i="2" a="1"/>
  <c r="ED140" i="2" s="1"/>
  <c r="ED141" i="2" s="1"/>
  <c r="DR140" i="2" a="1"/>
  <c r="DR140" i="2" s="1"/>
  <c r="DR141" i="2" s="1"/>
  <c r="DN140" i="2" a="1"/>
  <c r="DN140" i="2" s="1"/>
  <c r="DN141" i="2" s="1"/>
  <c r="DJ140" i="2" a="1"/>
  <c r="DJ140" i="2" s="1"/>
  <c r="DJ141" i="2" s="1"/>
  <c r="EE138" i="2" a="1"/>
  <c r="EE138" i="2" s="1"/>
  <c r="EE139" i="2" s="1"/>
  <c r="EA138" i="2" a="1"/>
  <c r="EA138" i="2" s="1"/>
  <c r="EA139" i="2" s="1"/>
  <c r="DO138" i="2" a="1"/>
  <c r="DO138" i="2" s="1"/>
  <c r="DO139" i="2" s="1"/>
  <c r="EF136" i="2" a="1"/>
  <c r="EF136" i="2" s="1"/>
  <c r="EF137" i="2" s="1"/>
  <c r="DX136" i="2" a="1"/>
  <c r="DX136" i="2" s="1"/>
  <c r="DX137" i="2" s="1"/>
  <c r="DP136" i="2" a="1"/>
  <c r="DP136" i="2" s="1"/>
  <c r="DP137" i="2" s="1"/>
  <c r="DL136" i="2" a="1"/>
  <c r="DL136" i="2" s="1"/>
  <c r="DL137" i="2" s="1"/>
  <c r="DU134" i="2" a="1"/>
  <c r="DU134" i="2" s="1"/>
  <c r="DU135" i="2" s="1"/>
  <c r="DQ134" i="2" a="1"/>
  <c r="DQ134" i="2" s="1"/>
  <c r="DQ135" i="2" s="1"/>
  <c r="DM134" i="2" a="1"/>
  <c r="DM134" i="2" s="1"/>
  <c r="DM135" i="2" s="1"/>
  <c r="DG134" i="2" a="1"/>
  <c r="DG134" i="2" s="1"/>
  <c r="ED132" i="2" a="1"/>
  <c r="ED132" i="2" s="1"/>
  <c r="ED133" i="2" s="1"/>
  <c r="DR132" i="2" a="1"/>
  <c r="DR132" i="2" s="1"/>
  <c r="DR133" i="2" s="1"/>
  <c r="DN132" i="2" a="1"/>
  <c r="DN132" i="2" s="1"/>
  <c r="DN133" i="2" s="1"/>
  <c r="DJ132" i="2" a="1"/>
  <c r="DJ132" i="2" s="1"/>
  <c r="DJ133" i="2" s="1"/>
  <c r="EE130" i="2" a="1"/>
  <c r="EE130" i="2" s="1"/>
  <c r="EE131" i="2" s="1"/>
  <c r="EA130" i="2" a="1"/>
  <c r="EA130" i="2" s="1"/>
  <c r="EA131" i="2" s="1"/>
  <c r="DO130" i="2" a="1"/>
  <c r="DO130" i="2" s="1"/>
  <c r="DO131" i="2" s="1"/>
  <c r="EF128" i="2" a="1"/>
  <c r="EF128" i="2" s="1"/>
  <c r="EF129" i="2" s="1"/>
  <c r="DX128" i="2" a="1"/>
  <c r="DX128" i="2" s="1"/>
  <c r="DX129" i="2" s="1"/>
  <c r="DP128" i="2" a="1"/>
  <c r="DP128" i="2" s="1"/>
  <c r="DP129" i="2" s="1"/>
  <c r="DL128" i="2" a="1"/>
  <c r="DL128" i="2" s="1"/>
  <c r="DL129" i="2" s="1"/>
  <c r="DU126" i="2" a="1"/>
  <c r="DU126" i="2" s="1"/>
  <c r="DU127" i="2" s="1"/>
  <c r="DQ126" i="2" a="1"/>
  <c r="DQ126" i="2" s="1"/>
  <c r="DQ127" i="2" s="1"/>
  <c r="DM126" i="2" a="1"/>
  <c r="DM126" i="2" s="1"/>
  <c r="DM127" i="2" s="1"/>
  <c r="DG126" i="2" a="1"/>
  <c r="DG126" i="2" s="1"/>
  <c r="ED124" i="2" a="1"/>
  <c r="ED124" i="2" s="1"/>
  <c r="ED125" i="2" s="1"/>
  <c r="DO148" i="2"/>
  <c r="ED146" i="2" a="1"/>
  <c r="ED146" i="2" s="1"/>
  <c r="ED147" i="2" s="1"/>
  <c r="DR146" i="2" a="1"/>
  <c r="DR146" i="2" s="1"/>
  <c r="DR147" i="2" s="1"/>
  <c r="DN146" i="2" a="1"/>
  <c r="DN146" i="2" s="1"/>
  <c r="DN147" i="2" s="1"/>
  <c r="DJ146" i="2" a="1"/>
  <c r="DJ146" i="2" s="1"/>
  <c r="DJ147" i="2" s="1"/>
  <c r="EE144" i="2" a="1"/>
  <c r="EE144" i="2" s="1"/>
  <c r="EE145" i="2" s="1"/>
  <c r="EA144" i="2" a="1"/>
  <c r="EA144" i="2" s="1"/>
  <c r="EA145" i="2" s="1"/>
  <c r="DO144" i="2" a="1"/>
  <c r="DO144" i="2" s="1"/>
  <c r="DO145" i="2" s="1"/>
  <c r="EF142" i="2" a="1"/>
  <c r="EF142" i="2" s="1"/>
  <c r="EF143" i="2" s="1"/>
  <c r="DX142" i="2" a="1"/>
  <c r="DX142" i="2" s="1"/>
  <c r="DX143" i="2" s="1"/>
  <c r="DP142" i="2" a="1"/>
  <c r="DP142" i="2" s="1"/>
  <c r="DP143" i="2" s="1"/>
  <c r="DL142" i="2" a="1"/>
  <c r="DL142" i="2" s="1"/>
  <c r="DL143" i="2" s="1"/>
  <c r="DU140" i="2" a="1"/>
  <c r="DU140" i="2" s="1"/>
  <c r="DU141" i="2" s="1"/>
  <c r="DQ140" i="2" a="1"/>
  <c r="DQ140" i="2" s="1"/>
  <c r="DQ141" i="2" s="1"/>
  <c r="DM140" i="2" a="1"/>
  <c r="DM140" i="2" s="1"/>
  <c r="DM141" i="2" s="1"/>
  <c r="DG140" i="2" a="1"/>
  <c r="DG140" i="2" s="1"/>
  <c r="ED138" i="2" a="1"/>
  <c r="ED138" i="2" s="1"/>
  <c r="ED139" i="2" s="1"/>
  <c r="DR138" i="2" a="1"/>
  <c r="DR138" i="2" s="1"/>
  <c r="DR139" i="2" s="1"/>
  <c r="DN138" i="2" a="1"/>
  <c r="DN138" i="2" s="1"/>
  <c r="DN139" i="2" s="1"/>
  <c r="DJ138" i="2" a="1"/>
  <c r="DJ138" i="2" s="1"/>
  <c r="DJ139" i="2" s="1"/>
  <c r="EE136" i="2" a="1"/>
  <c r="EE136" i="2" s="1"/>
  <c r="EE137" i="2" s="1"/>
  <c r="EA136" i="2" a="1"/>
  <c r="EA136" i="2" s="1"/>
  <c r="EA137" i="2" s="1"/>
  <c r="DO136" i="2" a="1"/>
  <c r="DO136" i="2" s="1"/>
  <c r="DO137" i="2" s="1"/>
  <c r="EF134" i="2" a="1"/>
  <c r="EF134" i="2" s="1"/>
  <c r="EF135" i="2" s="1"/>
  <c r="DX134" i="2" a="1"/>
  <c r="DX134" i="2" s="1"/>
  <c r="DX135" i="2" s="1"/>
  <c r="DP134" i="2" a="1"/>
  <c r="DP134" i="2" s="1"/>
  <c r="DP135" i="2" s="1"/>
  <c r="DL134" i="2" a="1"/>
  <c r="DL134" i="2" s="1"/>
  <c r="DL135" i="2" s="1"/>
  <c r="DU132" i="2" a="1"/>
  <c r="DU132" i="2" s="1"/>
  <c r="DU133" i="2" s="1"/>
  <c r="DQ132" i="2" a="1"/>
  <c r="DQ132" i="2" s="1"/>
  <c r="DQ133" i="2" s="1"/>
  <c r="DM132" i="2" a="1"/>
  <c r="DM132" i="2" s="1"/>
  <c r="DM133" i="2" s="1"/>
  <c r="DG132" i="2" a="1"/>
  <c r="DG132" i="2" s="1"/>
  <c r="ED130" i="2" a="1"/>
  <c r="ED130" i="2" s="1"/>
  <c r="ED131" i="2" s="1"/>
  <c r="DR130" i="2" a="1"/>
  <c r="DR130" i="2" s="1"/>
  <c r="DR131" i="2" s="1"/>
  <c r="DN130" i="2" a="1"/>
  <c r="DN130" i="2" s="1"/>
  <c r="DN131" i="2" s="1"/>
  <c r="DJ130" i="2" a="1"/>
  <c r="DJ130" i="2" s="1"/>
  <c r="DJ131" i="2" s="1"/>
  <c r="EE128" i="2" a="1"/>
  <c r="EE128" i="2" s="1"/>
  <c r="EE129" i="2" s="1"/>
  <c r="EA128" i="2" a="1"/>
  <c r="EA128" i="2" s="1"/>
  <c r="EA129" i="2" s="1"/>
  <c r="DO128" i="2" a="1"/>
  <c r="DO128" i="2" s="1"/>
  <c r="DO129" i="2" s="1"/>
  <c r="EF126" i="2" a="1"/>
  <c r="EF126" i="2" s="1"/>
  <c r="EF127" i="2" s="1"/>
  <c r="DJ148" i="2"/>
  <c r="DF148" i="2"/>
  <c r="DU146" i="2" a="1"/>
  <c r="DU146" i="2" s="1"/>
  <c r="DU147" i="2" s="1"/>
  <c r="DI147" i="2" s="1"/>
  <c r="DQ146" i="2" a="1"/>
  <c r="DQ146" i="2" s="1"/>
  <c r="DQ147" i="2" s="1"/>
  <c r="DM146" i="2" a="1"/>
  <c r="DM146" i="2" s="1"/>
  <c r="DM147" i="2" s="1"/>
  <c r="DG146" i="2" a="1"/>
  <c r="DG146" i="2" s="1"/>
  <c r="ED144" i="2" a="1"/>
  <c r="ED144" i="2" s="1"/>
  <c r="ED145" i="2" s="1"/>
  <c r="DR144" i="2" a="1"/>
  <c r="DR144" i="2" s="1"/>
  <c r="DR145" i="2" s="1"/>
  <c r="DN144" i="2" a="1"/>
  <c r="DN144" i="2" s="1"/>
  <c r="DN145" i="2" s="1"/>
  <c r="DJ144" i="2" a="1"/>
  <c r="DJ144" i="2" s="1"/>
  <c r="DJ145" i="2" s="1"/>
  <c r="EE142" i="2" a="1"/>
  <c r="EE142" i="2" s="1"/>
  <c r="EE143" i="2" s="1"/>
  <c r="EA142" i="2" a="1"/>
  <c r="EA142" i="2" s="1"/>
  <c r="EA143" i="2" s="1"/>
  <c r="DO142" i="2" a="1"/>
  <c r="DO142" i="2" s="1"/>
  <c r="DO143" i="2" s="1"/>
  <c r="EF140" i="2" a="1"/>
  <c r="EF140" i="2" s="1"/>
  <c r="EF141" i="2" s="1"/>
  <c r="DX140" i="2" a="1"/>
  <c r="DX140" i="2" s="1"/>
  <c r="DX141" i="2" s="1"/>
  <c r="DP140" i="2" a="1"/>
  <c r="DP140" i="2" s="1"/>
  <c r="DP141" i="2" s="1"/>
  <c r="DL140" i="2" a="1"/>
  <c r="DL140" i="2" s="1"/>
  <c r="DL141" i="2" s="1"/>
  <c r="DQ138" i="2" a="1"/>
  <c r="DQ138" i="2" s="1"/>
  <c r="DQ139" i="2" s="1"/>
  <c r="EA134" i="2" a="1"/>
  <c r="EA134" i="2" s="1"/>
  <c r="EA135" i="2" s="1"/>
  <c r="DQ130" i="2" a="1"/>
  <c r="DQ130" i="2" s="1"/>
  <c r="DQ131" i="2" s="1"/>
  <c r="EA124" i="2" a="1"/>
  <c r="EA124" i="2" s="1"/>
  <c r="EA125" i="2" s="1"/>
  <c r="DR124" i="2" a="1"/>
  <c r="DR124" i="2" s="1"/>
  <c r="DR125" i="2" s="1"/>
  <c r="DN124" i="2" a="1"/>
  <c r="DN124" i="2" s="1"/>
  <c r="DN125" i="2" s="1"/>
  <c r="DJ124" i="2" a="1"/>
  <c r="DJ124" i="2" s="1"/>
  <c r="DJ125" i="2" s="1"/>
  <c r="EE122" i="2" a="1"/>
  <c r="EE122" i="2" s="1"/>
  <c r="EE123" i="2" s="1"/>
  <c r="EA122" i="2" a="1"/>
  <c r="EA122" i="2" s="1"/>
  <c r="EA123" i="2" s="1"/>
  <c r="DO122" i="2" a="1"/>
  <c r="DO122" i="2" s="1"/>
  <c r="DO123" i="2" s="1"/>
  <c r="DL132" i="2" a="1"/>
  <c r="DL132" i="2" s="1"/>
  <c r="DL133" i="2" s="1"/>
  <c r="ED126" i="2" a="1"/>
  <c r="ED126" i="2" s="1"/>
  <c r="ED127" i="2" s="1"/>
  <c r="DX126" i="2" a="1"/>
  <c r="DX126" i="2" s="1"/>
  <c r="DX127" i="2" s="1"/>
  <c r="DN126" i="2" a="1"/>
  <c r="DN126" i="2" s="1"/>
  <c r="DN127" i="2" s="1"/>
  <c r="EE124" i="2" a="1"/>
  <c r="EE124" i="2" s="1"/>
  <c r="EE125" i="2" s="1"/>
  <c r="DM138" i="2" a="1"/>
  <c r="DM138" i="2" s="1"/>
  <c r="DM139" i="2" s="1"/>
  <c r="DR136" i="2" a="1"/>
  <c r="DR136" i="2" s="1"/>
  <c r="DR137" i="2" s="1"/>
  <c r="DM130" i="2" a="1"/>
  <c r="DM130" i="2" s="1"/>
  <c r="DM131" i="2" s="1"/>
  <c r="DR128" i="2" a="1"/>
  <c r="DR128" i="2" s="1"/>
  <c r="DR129" i="2" s="1"/>
  <c r="DU124" i="2" a="1"/>
  <c r="DU124" i="2" s="1"/>
  <c r="DU125" i="2" s="1"/>
  <c r="DQ124" i="2" a="1"/>
  <c r="DQ124" i="2" s="1"/>
  <c r="DQ125" i="2" s="1"/>
  <c r="DM124" i="2" a="1"/>
  <c r="DM124" i="2" s="1"/>
  <c r="DM125" i="2" s="1"/>
  <c r="DG124" i="2" a="1"/>
  <c r="DG124" i="2" s="1"/>
  <c r="ED122" i="2" a="1"/>
  <c r="ED122" i="2" s="1"/>
  <c r="ED123" i="2" s="1"/>
  <c r="DR122" i="2" a="1"/>
  <c r="DR122" i="2" s="1"/>
  <c r="DR123" i="2" s="1"/>
  <c r="DN122" i="2" a="1"/>
  <c r="DN122" i="2" s="1"/>
  <c r="DN123" i="2" s="1"/>
  <c r="DJ122" i="2" a="1"/>
  <c r="DJ122" i="2" s="1"/>
  <c r="DJ123" i="2" s="1"/>
  <c r="DX132" i="2" a="1"/>
  <c r="DX132" i="2" s="1"/>
  <c r="DX133" i="2" s="1"/>
  <c r="DR126" i="2" a="1"/>
  <c r="DR126" i="2" s="1"/>
  <c r="DR127" i="2" s="1"/>
  <c r="DL126" i="2" a="1"/>
  <c r="DL126" i="2" s="1"/>
  <c r="DL127" i="2" s="1"/>
  <c r="DG138" i="2" a="1"/>
  <c r="DG138" i="2" s="1"/>
  <c r="ED136" i="2" a="1"/>
  <c r="ED136" i="2" s="1"/>
  <c r="ED137" i="2" s="1"/>
  <c r="DN136" i="2" a="1"/>
  <c r="DN136" i="2" s="1"/>
  <c r="DN137" i="2" s="1"/>
  <c r="DG130" i="2" a="1"/>
  <c r="DG130" i="2" s="1"/>
  <c r="ED128" i="2" a="1"/>
  <c r="ED128" i="2" s="1"/>
  <c r="ED129" i="2" s="1"/>
  <c r="DN128" i="2" a="1"/>
  <c r="DN128" i="2" s="1"/>
  <c r="DN129" i="2" s="1"/>
  <c r="DP124" i="2" a="1"/>
  <c r="DP124" i="2" s="1"/>
  <c r="DP125" i="2" s="1"/>
  <c r="DL124" i="2" a="1"/>
  <c r="DL124" i="2" s="1"/>
  <c r="DL125" i="2" s="1"/>
  <c r="DU122" i="2" a="1"/>
  <c r="DU122" i="2" s="1"/>
  <c r="DU123" i="2" s="1"/>
  <c r="DQ122" i="2" a="1"/>
  <c r="DQ122" i="2" s="1"/>
  <c r="DQ123" i="2" s="1"/>
  <c r="DM122" i="2" a="1"/>
  <c r="DM122" i="2" s="1"/>
  <c r="DM123" i="2" s="1"/>
  <c r="DG122" i="2" a="1"/>
  <c r="DG122" i="2" s="1"/>
  <c r="EA126" i="2" a="1"/>
  <c r="EA126" i="2" s="1"/>
  <c r="EA127" i="2" s="1"/>
  <c r="DP126" i="2" a="1"/>
  <c r="DP126" i="2" s="1"/>
  <c r="DP127" i="2" s="1"/>
  <c r="DX124" i="2" a="1"/>
  <c r="DX124" i="2" s="1"/>
  <c r="DX125" i="2" s="1"/>
  <c r="DU138" i="2" a="1"/>
  <c r="DU138" i="2" s="1"/>
  <c r="DU139" i="2" s="1"/>
  <c r="DJ136" i="2" a="1"/>
  <c r="DJ136" i="2" s="1"/>
  <c r="DJ137" i="2" s="1"/>
  <c r="EE134" i="2" a="1"/>
  <c r="EE134" i="2" s="1"/>
  <c r="EE135" i="2" s="1"/>
  <c r="DO134" i="2" a="1"/>
  <c r="DO134" i="2" s="1"/>
  <c r="DO135" i="2" s="1"/>
  <c r="DU130" i="2" a="1"/>
  <c r="DU130" i="2" s="1"/>
  <c r="DU131" i="2" s="1"/>
  <c r="DI131" i="2" s="1"/>
  <c r="DJ128" i="2" a="1"/>
  <c r="DJ128" i="2" s="1"/>
  <c r="DJ129" i="2" s="1"/>
  <c r="DH129" i="2" s="1"/>
  <c r="DO124" i="2" a="1"/>
  <c r="DO124" i="2" s="1"/>
  <c r="DO125" i="2" s="1"/>
  <c r="EF122" i="2" a="1"/>
  <c r="EF122" i="2" s="1"/>
  <c r="EF123" i="2" s="1"/>
  <c r="DX122" i="2" a="1"/>
  <c r="DX122" i="2" s="1"/>
  <c r="DX123" i="2" s="1"/>
  <c r="DP122" i="2" a="1"/>
  <c r="DP122" i="2" s="1"/>
  <c r="DP123" i="2" s="1"/>
  <c r="DL122" i="2" a="1"/>
  <c r="DL122" i="2" s="1"/>
  <c r="DL123" i="2" s="1"/>
  <c r="EF132" i="2" a="1"/>
  <c r="EF132" i="2" s="1"/>
  <c r="EF133" i="2" s="1"/>
  <c r="DP132" i="2" a="1"/>
  <c r="DP132" i="2" s="1"/>
  <c r="DP133" i="2" s="1"/>
  <c r="EE126" i="2" a="1"/>
  <c r="EE126" i="2" s="1"/>
  <c r="EE127" i="2" s="1"/>
  <c r="DO126" i="2" a="1"/>
  <c r="DO126" i="2" s="1"/>
  <c r="DO127" i="2" s="1"/>
  <c r="DJ126" i="2" a="1"/>
  <c r="DJ126" i="2" s="1"/>
  <c r="DJ127" i="2" s="1"/>
  <c r="EF124" i="2" a="1"/>
  <c r="EF124" i="2" s="1"/>
  <c r="EF125" i="2" s="1"/>
  <c r="CB55" i="2"/>
  <c r="AH28" i="2" s="1"/>
  <c r="AI28" i="2" s="1"/>
  <c r="CF61" i="2"/>
  <c r="CF7" i="2"/>
  <c r="L51" i="1"/>
  <c r="CJ13" i="2"/>
  <c r="CC61" i="2"/>
  <c r="AJ31" i="2" s="1"/>
  <c r="AK31" i="2" s="1"/>
  <c r="CF43" i="2"/>
  <c r="CK43" i="2"/>
  <c r="CF37" i="2"/>
  <c r="CK37" i="2"/>
  <c r="CJ57" i="2"/>
  <c r="CF33" i="2"/>
  <c r="FI86" i="2" a="1"/>
  <c r="FI86" i="2" s="1"/>
  <c r="FI87" i="2" s="1"/>
  <c r="FA86" i="2" a="1"/>
  <c r="FA86" i="2" s="1"/>
  <c r="FA87" i="2" s="1"/>
  <c r="ES86" i="2" a="1"/>
  <c r="ES86" i="2" s="1"/>
  <c r="ES87" i="2" s="1"/>
  <c r="EO86" i="2" a="1"/>
  <c r="EO86" i="2" s="1"/>
  <c r="EO87" i="2" s="1"/>
  <c r="EX84" i="2" a="1"/>
  <c r="EX84" i="2" s="1"/>
  <c r="EX85" i="2" s="1"/>
  <c r="ET84" i="2" a="1"/>
  <c r="ET84" i="2" s="1"/>
  <c r="ET85" i="2" s="1"/>
  <c r="EP84" i="2" a="1"/>
  <c r="EP84" i="2" s="1"/>
  <c r="EP85" i="2" s="1"/>
  <c r="EJ84" i="2" a="1"/>
  <c r="EJ84" i="2" s="1"/>
  <c r="FG82" i="2" a="1"/>
  <c r="FG82" i="2" s="1"/>
  <c r="FG83" i="2" s="1"/>
  <c r="EU82" i="2" a="1"/>
  <c r="EU82" i="2" s="1"/>
  <c r="EU83" i="2" s="1"/>
  <c r="EQ82" i="2" a="1"/>
  <c r="EQ82" i="2" s="1"/>
  <c r="EQ83" i="2" s="1"/>
  <c r="EM82" i="2" a="1"/>
  <c r="EM82" i="2" s="1"/>
  <c r="EM83" i="2" s="1"/>
  <c r="FH80" i="2" a="1"/>
  <c r="FH80" i="2" s="1"/>
  <c r="FH81" i="2" s="1"/>
  <c r="FD80" i="2" a="1"/>
  <c r="FD80" i="2" s="1"/>
  <c r="FD81" i="2" s="1"/>
  <c r="ER80" i="2" a="1"/>
  <c r="ER80" i="2" s="1"/>
  <c r="ER81" i="2" s="1"/>
  <c r="ER88" i="2"/>
  <c r="FH86" i="2" a="1"/>
  <c r="FH86" i="2" s="1"/>
  <c r="FH87" i="2" s="1"/>
  <c r="FD86" i="2" a="1"/>
  <c r="FD86" i="2" s="1"/>
  <c r="FD87" i="2" s="1"/>
  <c r="EM88" i="2"/>
  <c r="EI88" i="2"/>
  <c r="FG86" i="2" a="1"/>
  <c r="FG86" i="2" s="1"/>
  <c r="FG87" i="2" s="1"/>
  <c r="EU86" i="2" a="1"/>
  <c r="EU86" i="2" s="1"/>
  <c r="EU87" i="2" s="1"/>
  <c r="EQ86" i="2" a="1"/>
  <c r="EQ86" i="2" s="1"/>
  <c r="EQ87" i="2" s="1"/>
  <c r="EM86" i="2" a="1"/>
  <c r="EM86" i="2" s="1"/>
  <c r="EM87" i="2" s="1"/>
  <c r="FH84" i="2" a="1"/>
  <c r="FH84" i="2" s="1"/>
  <c r="FH85" i="2" s="1"/>
  <c r="FD84" i="2" a="1"/>
  <c r="FD84" i="2" s="1"/>
  <c r="FD85" i="2" s="1"/>
  <c r="ER84" i="2" a="1"/>
  <c r="ER84" i="2" s="1"/>
  <c r="ER85" i="2" s="1"/>
  <c r="FI82" i="2" a="1"/>
  <c r="FI82" i="2" s="1"/>
  <c r="FI83" i="2" s="1"/>
  <c r="FA82" i="2" a="1"/>
  <c r="FA82" i="2" s="1"/>
  <c r="FA83" i="2" s="1"/>
  <c r="ES82" i="2" a="1"/>
  <c r="ES82" i="2" s="1"/>
  <c r="ES83" i="2" s="1"/>
  <c r="EO82" i="2" a="1"/>
  <c r="EO82" i="2" s="1"/>
  <c r="EO83" i="2" s="1"/>
  <c r="EX80" i="2" a="1"/>
  <c r="EX80" i="2" s="1"/>
  <c r="EX81" i="2" s="1"/>
  <c r="ET80" i="2" a="1"/>
  <c r="ET80" i="2" s="1"/>
  <c r="ET81" i="2" s="1"/>
  <c r="EP80" i="2" a="1"/>
  <c r="EP80" i="2" s="1"/>
  <c r="EP81" i="2" s="1"/>
  <c r="EJ80" i="2" a="1"/>
  <c r="EJ80" i="2" s="1"/>
  <c r="EX86" i="2" a="1"/>
  <c r="EX86" i="2" s="1"/>
  <c r="EX87" i="2" s="1"/>
  <c r="EM80" i="2" a="1"/>
  <c r="EM80" i="2" s="1"/>
  <c r="EM81" i="2" s="1"/>
  <c r="FH64" i="2" a="1"/>
  <c r="FH64" i="2" s="1"/>
  <c r="FH65" i="2" s="1"/>
  <c r="FD64" i="2" a="1"/>
  <c r="FD64" i="2" s="1"/>
  <c r="FD65" i="2" s="1"/>
  <c r="ER64" i="2" a="1"/>
  <c r="ER64" i="2" s="1"/>
  <c r="ER65" i="2" s="1"/>
  <c r="EJ82" i="2" a="1"/>
  <c r="EJ82" i="2" s="1"/>
  <c r="FI78" i="2" a="1"/>
  <c r="FI78" i="2" s="1"/>
  <c r="FI79" i="2" s="1"/>
  <c r="FA78" i="2" a="1"/>
  <c r="FA78" i="2" s="1"/>
  <c r="FA79" i="2" s="1"/>
  <c r="ES78" i="2" a="1"/>
  <c r="ES78" i="2" s="1"/>
  <c r="ES79" i="2" s="1"/>
  <c r="EO78" i="2" a="1"/>
  <c r="EO78" i="2" s="1"/>
  <c r="EO79" i="2" s="1"/>
  <c r="EX76" i="2" a="1"/>
  <c r="EX76" i="2" s="1"/>
  <c r="EX77" i="2" s="1"/>
  <c r="ET76" i="2" a="1"/>
  <c r="ET76" i="2" s="1"/>
  <c r="ET77" i="2" s="1"/>
  <c r="EP76" i="2" a="1"/>
  <c r="EP76" i="2" s="1"/>
  <c r="EP77" i="2" s="1"/>
  <c r="EJ76" i="2" a="1"/>
  <c r="EJ76" i="2" s="1"/>
  <c r="FG74" i="2" a="1"/>
  <c r="FG74" i="2" s="1"/>
  <c r="FG75" i="2" s="1"/>
  <c r="EU74" i="2" a="1"/>
  <c r="EU74" i="2" s="1"/>
  <c r="EU75" i="2" s="1"/>
  <c r="EQ74" i="2" a="1"/>
  <c r="EQ74" i="2" s="1"/>
  <c r="EQ75" i="2" s="1"/>
  <c r="EM74" i="2" a="1"/>
  <c r="EM74" i="2" s="1"/>
  <c r="EM75" i="2" s="1"/>
  <c r="FH72" i="2" a="1"/>
  <c r="FH72" i="2" s="1"/>
  <c r="FH73" i="2" s="1"/>
  <c r="FD72" i="2" a="1"/>
  <c r="FD72" i="2" s="1"/>
  <c r="FD73" i="2" s="1"/>
  <c r="ER72" i="2" a="1"/>
  <c r="ER72" i="2" s="1"/>
  <c r="ER73" i="2" s="1"/>
  <c r="FI70" i="2" a="1"/>
  <c r="FI70" i="2" s="1"/>
  <c r="FI71" i="2" s="1"/>
  <c r="FA70" i="2" a="1"/>
  <c r="FA70" i="2" s="1"/>
  <c r="FA71" i="2" s="1"/>
  <c r="ES70" i="2" a="1"/>
  <c r="ES70" i="2" s="1"/>
  <c r="ES71" i="2" s="1"/>
  <c r="EO70" i="2" a="1"/>
  <c r="EO70" i="2" s="1"/>
  <c r="EO71" i="2" s="1"/>
  <c r="EX68" i="2" a="1"/>
  <c r="EX68" i="2" s="1"/>
  <c r="EX69" i="2" s="1"/>
  <c r="ET68" i="2" a="1"/>
  <c r="ET68" i="2" s="1"/>
  <c r="ET69" i="2" s="1"/>
  <c r="EP68" i="2" a="1"/>
  <c r="EP68" i="2" s="1"/>
  <c r="EP69" i="2" s="1"/>
  <c r="EJ68" i="2" a="1"/>
  <c r="EJ68" i="2" s="1"/>
  <c r="FG66" i="2" a="1"/>
  <c r="FG66" i="2" s="1"/>
  <c r="FG67" i="2" s="1"/>
  <c r="EU66" i="2" a="1"/>
  <c r="EU66" i="2" s="1"/>
  <c r="EU67" i="2" s="1"/>
  <c r="EQ66" i="2" a="1"/>
  <c r="EQ66" i="2" s="1"/>
  <c r="EQ67" i="2" s="1"/>
  <c r="EM66" i="2" a="1"/>
  <c r="EM66" i="2" s="1"/>
  <c r="EM67" i="2" s="1"/>
  <c r="EX62" i="2" a="1"/>
  <c r="EX62" i="2" s="1"/>
  <c r="EX63" i="2" s="1"/>
  <c r="ET62" i="2" a="1"/>
  <c r="ET62" i="2" s="1"/>
  <c r="ET63" i="2" s="1"/>
  <c r="EP62" i="2" a="1"/>
  <c r="EP62" i="2" s="1"/>
  <c r="EP63" i="2" s="1"/>
  <c r="EJ62" i="2" a="1"/>
  <c r="EJ62" i="2" s="1"/>
  <c r="EQ84" i="2" a="1"/>
  <c r="EQ84" i="2" s="1"/>
  <c r="EQ85" i="2" s="1"/>
  <c r="EX82" i="2" a="1"/>
  <c r="EX82" i="2" s="1"/>
  <c r="EX83" i="2" s="1"/>
  <c r="ER82" i="2" a="1"/>
  <c r="ER82" i="2" s="1"/>
  <c r="ER83" i="2" s="1"/>
  <c r="FG80" i="2" a="1"/>
  <c r="FG80" i="2" s="1"/>
  <c r="FG81" i="2" s="1"/>
  <c r="EQ80" i="2" a="1"/>
  <c r="EQ80" i="2" s="1"/>
  <c r="EQ81" i="2" s="1"/>
  <c r="FG64" i="2" a="1"/>
  <c r="FG64" i="2" s="1"/>
  <c r="FG65" i="2" s="1"/>
  <c r="EU64" i="2" a="1"/>
  <c r="EU64" i="2" s="1"/>
  <c r="EU65" i="2" s="1"/>
  <c r="EQ64" i="2" a="1"/>
  <c r="EQ64" i="2" s="1"/>
  <c r="EQ65" i="2" s="1"/>
  <c r="EM64" i="2" a="1"/>
  <c r="EM64" i="2" s="1"/>
  <c r="EM65" i="2" s="1"/>
  <c r="ET86" i="2" a="1"/>
  <c r="ET86" i="2" s="1"/>
  <c r="ET87" i="2" s="1"/>
  <c r="EJ86" i="2" a="1"/>
  <c r="EJ86" i="2" s="1"/>
  <c r="FI84" i="2" a="1"/>
  <c r="FI84" i="2" s="1"/>
  <c r="FI85" i="2" s="1"/>
  <c r="FD82" i="2" a="1"/>
  <c r="FD82" i="2" s="1"/>
  <c r="FD83" i="2" s="1"/>
  <c r="FA80" i="2" a="1"/>
  <c r="FA80" i="2" s="1"/>
  <c r="FA81" i="2" s="1"/>
  <c r="FH78" i="2" a="1"/>
  <c r="FH78" i="2" s="1"/>
  <c r="FH79" i="2" s="1"/>
  <c r="FD78" i="2" a="1"/>
  <c r="FD78" i="2" s="1"/>
  <c r="FD79" i="2" s="1"/>
  <c r="ER78" i="2" a="1"/>
  <c r="ER78" i="2" s="1"/>
  <c r="ER79" i="2" s="1"/>
  <c r="FI76" i="2" a="1"/>
  <c r="FI76" i="2" s="1"/>
  <c r="FI77" i="2" s="1"/>
  <c r="FA76" i="2" a="1"/>
  <c r="FA76" i="2" s="1"/>
  <c r="FA77" i="2" s="1"/>
  <c r="ES76" i="2" a="1"/>
  <c r="ES76" i="2" s="1"/>
  <c r="ES77" i="2" s="1"/>
  <c r="EO76" i="2" a="1"/>
  <c r="EO76" i="2" s="1"/>
  <c r="EO77" i="2" s="1"/>
  <c r="EX74" i="2" a="1"/>
  <c r="EX74" i="2" s="1"/>
  <c r="EX75" i="2" s="1"/>
  <c r="ET74" i="2" a="1"/>
  <c r="ET74" i="2" s="1"/>
  <c r="ET75" i="2" s="1"/>
  <c r="EP74" i="2" a="1"/>
  <c r="EP74" i="2" s="1"/>
  <c r="EP75" i="2" s="1"/>
  <c r="EJ74" i="2" a="1"/>
  <c r="EJ74" i="2" s="1"/>
  <c r="FG72" i="2" a="1"/>
  <c r="FG72" i="2" s="1"/>
  <c r="FG73" i="2" s="1"/>
  <c r="EU72" i="2" a="1"/>
  <c r="EU72" i="2" s="1"/>
  <c r="EU73" i="2" s="1"/>
  <c r="EQ72" i="2" a="1"/>
  <c r="EQ72" i="2" s="1"/>
  <c r="EQ73" i="2" s="1"/>
  <c r="EM72" i="2" a="1"/>
  <c r="EM72" i="2" s="1"/>
  <c r="EM73" i="2" s="1"/>
  <c r="FH70" i="2" a="1"/>
  <c r="FH70" i="2" s="1"/>
  <c r="FH71" i="2" s="1"/>
  <c r="FD70" i="2" a="1"/>
  <c r="FD70" i="2" s="1"/>
  <c r="FD71" i="2" s="1"/>
  <c r="ER70" i="2" a="1"/>
  <c r="ER70" i="2" s="1"/>
  <c r="ER71" i="2" s="1"/>
  <c r="FI68" i="2" a="1"/>
  <c r="FI68" i="2" s="1"/>
  <c r="FI69" i="2" s="1"/>
  <c r="FA68" i="2" a="1"/>
  <c r="FA68" i="2" s="1"/>
  <c r="FA69" i="2" s="1"/>
  <c r="ES68" i="2" a="1"/>
  <c r="ES68" i="2" s="1"/>
  <c r="ES69" i="2" s="1"/>
  <c r="EO68" i="2" a="1"/>
  <c r="EO68" i="2" s="1"/>
  <c r="EO69" i="2" s="1"/>
  <c r="EX66" i="2" a="1"/>
  <c r="EX66" i="2" s="1"/>
  <c r="EX67" i="2" s="1"/>
  <c r="ET66" i="2" a="1"/>
  <c r="ET66" i="2" s="1"/>
  <c r="ET67" i="2" s="1"/>
  <c r="EP66" i="2" a="1"/>
  <c r="EP66" i="2" s="1"/>
  <c r="EP67" i="2" s="1"/>
  <c r="EJ66" i="2" a="1"/>
  <c r="EJ66" i="2" s="1"/>
  <c r="FI62" i="2" a="1"/>
  <c r="FI62" i="2" s="1"/>
  <c r="FI63" i="2" s="1"/>
  <c r="FA62" i="2" a="1"/>
  <c r="FA62" i="2" s="1"/>
  <c r="FA63" i="2" s="1"/>
  <c r="ES62" i="2" a="1"/>
  <c r="ES62" i="2" s="1"/>
  <c r="ES63" i="2" s="1"/>
  <c r="EO62" i="2" a="1"/>
  <c r="EO62" i="2" s="1"/>
  <c r="EO63" i="2" s="1"/>
  <c r="EO84" i="2" a="1"/>
  <c r="EO84" i="2" s="1"/>
  <c r="EO85" i="2" s="1"/>
  <c r="EP82" i="2" a="1"/>
  <c r="EP82" i="2" s="1"/>
  <c r="EP83" i="2" s="1"/>
  <c r="EU80" i="2" a="1"/>
  <c r="EU80" i="2" s="1"/>
  <c r="EU81" i="2" s="1"/>
  <c r="EX64" i="2" a="1"/>
  <c r="EX64" i="2" s="1"/>
  <c r="EX65" i="2" s="1"/>
  <c r="ET64" i="2" a="1"/>
  <c r="ET64" i="2" s="1"/>
  <c r="ET65" i="2" s="1"/>
  <c r="EP64" i="2" a="1"/>
  <c r="EP64" i="2" s="1"/>
  <c r="EP65" i="2" s="1"/>
  <c r="EJ64" i="2" a="1"/>
  <c r="EJ64" i="2" s="1"/>
  <c r="FG84" i="2" a="1"/>
  <c r="FG84" i="2" s="1"/>
  <c r="FG85" i="2" s="1"/>
  <c r="FH82" i="2" a="1"/>
  <c r="FH82" i="2" s="1"/>
  <c r="FH83" i="2" s="1"/>
  <c r="FI64" i="2" a="1"/>
  <c r="FI64" i="2" s="1"/>
  <c r="FI65" i="2" s="1"/>
  <c r="FA64" i="2" a="1"/>
  <c r="FA64" i="2" s="1"/>
  <c r="FA65" i="2" s="1"/>
  <c r="ES64" i="2" a="1"/>
  <c r="ES64" i="2" s="1"/>
  <c r="ES65" i="2" s="1"/>
  <c r="EO64" i="2" a="1"/>
  <c r="EO64" i="2" s="1"/>
  <c r="EO65" i="2" s="1"/>
  <c r="EP86" i="2" a="1"/>
  <c r="EP86" i="2" s="1"/>
  <c r="EP87" i="2" s="1"/>
  <c r="ES84" i="2" a="1"/>
  <c r="ES84" i="2" s="1"/>
  <c r="ES85" i="2" s="1"/>
  <c r="EM84" i="2" a="1"/>
  <c r="EM84" i="2" s="1"/>
  <c r="EM85" i="2" s="1"/>
  <c r="ET82" i="2" a="1"/>
  <c r="ET82" i="2" s="1"/>
  <c r="ET83" i="2" s="1"/>
  <c r="FI80" i="2" a="1"/>
  <c r="FI80" i="2" s="1"/>
  <c r="FI81" i="2" s="1"/>
  <c r="ES80" i="2" a="1"/>
  <c r="ES80" i="2" s="1"/>
  <c r="ES81" i="2" s="1"/>
  <c r="EX78" i="2" a="1"/>
  <c r="EX78" i="2" s="1"/>
  <c r="EX79" i="2" s="1"/>
  <c r="EL79" i="2" s="1"/>
  <c r="ET78" i="2" a="1"/>
  <c r="ET78" i="2" s="1"/>
  <c r="ET79" i="2" s="1"/>
  <c r="EP78" i="2" a="1"/>
  <c r="EP78" i="2" s="1"/>
  <c r="EP79" i="2" s="1"/>
  <c r="EJ78" i="2" a="1"/>
  <c r="EJ78" i="2" s="1"/>
  <c r="FG76" i="2" a="1"/>
  <c r="FG76" i="2" s="1"/>
  <c r="FG77" i="2" s="1"/>
  <c r="EU76" i="2" a="1"/>
  <c r="EU76" i="2" s="1"/>
  <c r="EU77" i="2" s="1"/>
  <c r="EQ76" i="2" a="1"/>
  <c r="EQ76" i="2" s="1"/>
  <c r="EQ77" i="2" s="1"/>
  <c r="EM76" i="2" a="1"/>
  <c r="EM76" i="2" s="1"/>
  <c r="EM77" i="2" s="1"/>
  <c r="FH74" i="2" a="1"/>
  <c r="FH74" i="2" s="1"/>
  <c r="FH75" i="2" s="1"/>
  <c r="FD74" i="2" a="1"/>
  <c r="FD74" i="2" s="1"/>
  <c r="FD75" i="2" s="1"/>
  <c r="ER74" i="2" a="1"/>
  <c r="ER74" i="2" s="1"/>
  <c r="ER75" i="2" s="1"/>
  <c r="FI72" i="2" a="1"/>
  <c r="FI72" i="2" s="1"/>
  <c r="FI73" i="2" s="1"/>
  <c r="FA72" i="2" a="1"/>
  <c r="FA72" i="2" s="1"/>
  <c r="FA73" i="2" s="1"/>
  <c r="ES72" i="2" a="1"/>
  <c r="ES72" i="2" s="1"/>
  <c r="ES73" i="2" s="1"/>
  <c r="EO72" i="2" a="1"/>
  <c r="EO72" i="2" s="1"/>
  <c r="EO73" i="2" s="1"/>
  <c r="EX70" i="2" a="1"/>
  <c r="EX70" i="2" s="1"/>
  <c r="EX71" i="2" s="1"/>
  <c r="ET70" i="2" a="1"/>
  <c r="ET70" i="2" s="1"/>
  <c r="ET71" i="2" s="1"/>
  <c r="EP70" i="2" a="1"/>
  <c r="EP70" i="2" s="1"/>
  <c r="EP71" i="2" s="1"/>
  <c r="EJ70" i="2" a="1"/>
  <c r="EJ70" i="2" s="1"/>
  <c r="FG68" i="2" a="1"/>
  <c r="FG68" i="2" s="1"/>
  <c r="FG69" i="2" s="1"/>
  <c r="EU68" i="2" a="1"/>
  <c r="EU68" i="2" s="1"/>
  <c r="EU69" i="2" s="1"/>
  <c r="EQ68" i="2" a="1"/>
  <c r="EQ68" i="2" s="1"/>
  <c r="EQ69" i="2" s="1"/>
  <c r="EM68" i="2" a="1"/>
  <c r="EM68" i="2" s="1"/>
  <c r="EM69" i="2" s="1"/>
  <c r="FH66" i="2" a="1"/>
  <c r="FH66" i="2" s="1"/>
  <c r="FH67" i="2" s="1"/>
  <c r="FD66" i="2" a="1"/>
  <c r="FD66" i="2" s="1"/>
  <c r="FD67" i="2" s="1"/>
  <c r="ER66" i="2" a="1"/>
  <c r="ER66" i="2" s="1"/>
  <c r="ER67" i="2" s="1"/>
  <c r="FG62" i="2" a="1"/>
  <c r="FG62" i="2" s="1"/>
  <c r="FG63" i="2" s="1"/>
  <c r="EU62" i="2" a="1"/>
  <c r="EU62" i="2" s="1"/>
  <c r="EU63" i="2" s="1"/>
  <c r="EQ62" i="2" a="1"/>
  <c r="EQ62" i="2" s="1"/>
  <c r="EQ63" i="2" s="1"/>
  <c r="EM62" i="2" a="1"/>
  <c r="EM62" i="2" s="1"/>
  <c r="EM63" i="2" s="1"/>
  <c r="EO74" i="2" a="1"/>
  <c r="EO74" i="2" s="1"/>
  <c r="EO75" i="2" s="1"/>
  <c r="ET72" i="2" a="1"/>
  <c r="ET72" i="2" s="1"/>
  <c r="ET73" i="2" s="1"/>
  <c r="EO66" i="2" a="1"/>
  <c r="EO66" i="2" s="1"/>
  <c r="EO67" i="2" s="1"/>
  <c r="FH76" i="2" a="1"/>
  <c r="FH76" i="2" s="1"/>
  <c r="FH77" i="2" s="1"/>
  <c r="EP72" i="2" a="1"/>
  <c r="EP72" i="2" s="1"/>
  <c r="EP73" i="2" s="1"/>
  <c r="FH68" i="2" a="1"/>
  <c r="FH68" i="2" s="1"/>
  <c r="FH69" i="2" s="1"/>
  <c r="EO80" i="2" a="1"/>
  <c r="EO80" i="2" s="1"/>
  <c r="EO81" i="2" s="1"/>
  <c r="EU78" i="2" a="1"/>
  <c r="EU78" i="2" s="1"/>
  <c r="EU79" i="2" s="1"/>
  <c r="FD76" i="2" a="1"/>
  <c r="FD76" i="2" s="1"/>
  <c r="FD77" i="2" s="1"/>
  <c r="EJ72" i="2" a="1"/>
  <c r="EJ72" i="2" s="1"/>
  <c r="EU70" i="2" a="1"/>
  <c r="EU70" i="2" s="1"/>
  <c r="EU71" i="2" s="1"/>
  <c r="FD68" i="2" a="1"/>
  <c r="FD68" i="2" s="1"/>
  <c r="FD69" i="2" s="1"/>
  <c r="ER62" i="2" a="1"/>
  <c r="ER62" i="2" s="1"/>
  <c r="ER63" i="2" s="1"/>
  <c r="EQ78" i="2" a="1"/>
  <c r="EQ78" i="2" s="1"/>
  <c r="EQ79" i="2" s="1"/>
  <c r="FI74" i="2" a="1"/>
  <c r="FI74" i="2" s="1"/>
  <c r="FI75" i="2" s="1"/>
  <c r="EQ70" i="2" a="1"/>
  <c r="EQ70" i="2" s="1"/>
  <c r="EQ71" i="2" s="1"/>
  <c r="FI66" i="2" a="1"/>
  <c r="FI66" i="2" s="1"/>
  <c r="FI67" i="2" s="1"/>
  <c r="ER86" i="2" a="1"/>
  <c r="ER86" i="2" s="1"/>
  <c r="ER87" i="2" s="1"/>
  <c r="EM78" i="2" a="1"/>
  <c r="EM78" i="2" s="1"/>
  <c r="EM79" i="2" s="1"/>
  <c r="EM70" i="2" a="1"/>
  <c r="EM70" i="2" s="1"/>
  <c r="EM71" i="2" s="1"/>
  <c r="EK71" i="2" s="1"/>
  <c r="FA84" i="2" a="1"/>
  <c r="FA84" i="2" s="1"/>
  <c r="FA85" i="2" s="1"/>
  <c r="FH62" i="2" a="1"/>
  <c r="FH62" i="2" s="1"/>
  <c r="FH63" i="2" s="1"/>
  <c r="EU84" i="2" a="1"/>
  <c r="EU84" i="2" s="1"/>
  <c r="EU85" i="2" s="1"/>
  <c r="FG78" i="2" a="1"/>
  <c r="FG78" i="2" s="1"/>
  <c r="FG79" i="2" s="1"/>
  <c r="ES74" i="2" a="1"/>
  <c r="ES74" i="2" s="1"/>
  <c r="ES75" i="2" s="1"/>
  <c r="EX72" i="2" a="1"/>
  <c r="EX72" i="2" s="1"/>
  <c r="EX73" i="2" s="1"/>
  <c r="FG70" i="2" a="1"/>
  <c r="FG70" i="2" s="1"/>
  <c r="FG71" i="2" s="1"/>
  <c r="ES66" i="2" a="1"/>
  <c r="ES66" i="2" s="1"/>
  <c r="ES67" i="2" s="1"/>
  <c r="FD62" i="2" a="1"/>
  <c r="FD62" i="2" s="1"/>
  <c r="FD63" i="2" s="1"/>
  <c r="FA74" i="2" a="1"/>
  <c r="FA74" i="2" s="1"/>
  <c r="FA75" i="2" s="1"/>
  <c r="FA66" i="2" a="1"/>
  <c r="FA66" i="2" s="1"/>
  <c r="FA67" i="2" s="1"/>
  <c r="ER76" i="2" a="1"/>
  <c r="ER76" i="2" s="1"/>
  <c r="ER77" i="2" s="1"/>
  <c r="ER68" i="2" a="1"/>
  <c r="ER68" i="2" s="1"/>
  <c r="ER69" i="2" s="1"/>
  <c r="CM35" i="2"/>
  <c r="CJ35" i="2"/>
  <c r="CO35" i="2"/>
  <c r="CJ43" i="2"/>
  <c r="CO43" i="2"/>
  <c r="CJ37" i="2"/>
  <c r="CO37" i="2"/>
  <c r="CO57" i="2"/>
  <c r="CM57" i="2"/>
  <c r="CM47" i="2"/>
  <c r="CJ33" i="2"/>
  <c r="CO33" i="2"/>
  <c r="CM59" i="2"/>
  <c r="CB59" i="2" s="1"/>
  <c r="AH30" i="2" s="1"/>
  <c r="AI30" i="2" s="1"/>
  <c r="CF21" i="2"/>
  <c r="CK21" i="2"/>
  <c r="CF41" i="2"/>
  <c r="CK41" i="2"/>
  <c r="DJ298" i="2"/>
  <c r="DF298" i="2"/>
  <c r="EE296" i="2" a="1"/>
  <c r="EE296" i="2" s="1"/>
  <c r="EE297" i="2" s="1"/>
  <c r="DO296" i="2" a="1"/>
  <c r="DO296" i="2" s="1"/>
  <c r="DO297" i="2" s="1"/>
  <c r="DJ296" i="2" a="1"/>
  <c r="DJ296" i="2" s="1"/>
  <c r="DJ297" i="2" s="1"/>
  <c r="EF294" i="2" a="1"/>
  <c r="EF294" i="2" s="1"/>
  <c r="EF295" i="2" s="1"/>
  <c r="EA294" i="2" a="1"/>
  <c r="EA294" i="2" s="1"/>
  <c r="EA295" i="2" s="1"/>
  <c r="DU294" i="2" a="1"/>
  <c r="DU294" i="2" s="1"/>
  <c r="DU295" i="2" s="1"/>
  <c r="DP294" i="2" a="1"/>
  <c r="DP294" i="2" s="1"/>
  <c r="DP295" i="2" s="1"/>
  <c r="ED292" i="2" a="1"/>
  <c r="ED292" i="2" s="1"/>
  <c r="ED293" i="2" s="1"/>
  <c r="DU292" i="2" a="1"/>
  <c r="DU292" i="2" s="1"/>
  <c r="DU293" i="2" s="1"/>
  <c r="DL292" i="2" a="1"/>
  <c r="DL292" i="2" s="1"/>
  <c r="DL293" i="2" s="1"/>
  <c r="EA290" i="2" a="1"/>
  <c r="EA290" i="2" s="1"/>
  <c r="EA291" i="2" s="1"/>
  <c r="DR290" i="2" a="1"/>
  <c r="DR290" i="2" s="1"/>
  <c r="DR291" i="2" s="1"/>
  <c r="DG290" i="2" a="1"/>
  <c r="DG290" i="2" s="1"/>
  <c r="DU288" i="2" a="1"/>
  <c r="DU288" i="2" s="1"/>
  <c r="DU289" i="2" s="1"/>
  <c r="DQ288" i="2" a="1"/>
  <c r="DQ288" i="2" s="1"/>
  <c r="DQ289" i="2" s="1"/>
  <c r="DM288" i="2" a="1"/>
  <c r="DM288" i="2" s="1"/>
  <c r="DM289" i="2" s="1"/>
  <c r="DG288" i="2" a="1"/>
  <c r="DG288" i="2" s="1"/>
  <c r="ED286" i="2" a="1"/>
  <c r="ED286" i="2" s="1"/>
  <c r="ED287" i="2" s="1"/>
  <c r="ED296" i="2" a="1"/>
  <c r="ED296" i="2" s="1"/>
  <c r="ED297" i="2" s="1"/>
  <c r="DX296" i="2" a="1"/>
  <c r="DX296" i="2" s="1"/>
  <c r="DX297" i="2" s="1"/>
  <c r="DN296" i="2" a="1"/>
  <c r="DN296" i="2" s="1"/>
  <c r="DN297" i="2" s="1"/>
  <c r="EE294" i="2" a="1"/>
  <c r="EE294" i="2" s="1"/>
  <c r="EE295" i="2" s="1"/>
  <c r="DO294" i="2" a="1"/>
  <c r="DO294" i="2" s="1"/>
  <c r="DO295" i="2" s="1"/>
  <c r="DG294" i="2" a="1"/>
  <c r="DG294" i="2" s="1"/>
  <c r="DO292" i="2" a="1"/>
  <c r="DO292" i="2" s="1"/>
  <c r="DO293" i="2" s="1"/>
  <c r="DQ290" i="2" a="1"/>
  <c r="DQ290" i="2" s="1"/>
  <c r="DQ291" i="2" s="1"/>
  <c r="DL290" i="2" a="1"/>
  <c r="DL290" i="2" s="1"/>
  <c r="DL291" i="2" s="1"/>
  <c r="EF288" i="2" a="1"/>
  <c r="EF288" i="2" s="1"/>
  <c r="EF289" i="2" s="1"/>
  <c r="DX288" i="2" a="1"/>
  <c r="DX288" i="2" s="1"/>
  <c r="DX289" i="2" s="1"/>
  <c r="DP288" i="2" a="1"/>
  <c r="DP288" i="2" s="1"/>
  <c r="DP289" i="2" s="1"/>
  <c r="DL288" i="2" a="1"/>
  <c r="DL288" i="2" s="1"/>
  <c r="DL289" i="2" s="1"/>
  <c r="DU286" i="2" a="1"/>
  <c r="DU286" i="2" s="1"/>
  <c r="DU287" i="2" s="1"/>
  <c r="DQ286" i="2" a="1"/>
  <c r="DQ286" i="2" s="1"/>
  <c r="DQ287" i="2" s="1"/>
  <c r="DM286" i="2" a="1"/>
  <c r="DM286" i="2" s="1"/>
  <c r="DM287" i="2" s="1"/>
  <c r="DG286" i="2" a="1"/>
  <c r="DG286" i="2" s="1"/>
  <c r="ED284" i="2" a="1"/>
  <c r="ED284" i="2" s="1"/>
  <c r="ED285" i="2" s="1"/>
  <c r="DR296" i="2" a="1"/>
  <c r="DR296" i="2" s="1"/>
  <c r="DR297" i="2" s="1"/>
  <c r="DL296" i="2" a="1"/>
  <c r="DL296" i="2" s="1"/>
  <c r="DL297" i="2" s="1"/>
  <c r="DX294" i="2" a="1"/>
  <c r="DX294" i="2" s="1"/>
  <c r="DX295" i="2" s="1"/>
  <c r="DM294" i="2" a="1"/>
  <c r="DM294" i="2" s="1"/>
  <c r="DM295" i="2" s="1"/>
  <c r="DN292" i="2" a="1"/>
  <c r="DN292" i="2" s="1"/>
  <c r="DN293" i="2" s="1"/>
  <c r="EE288" i="2" a="1"/>
  <c r="EE288" i="2" s="1"/>
  <c r="EE289" i="2" s="1"/>
  <c r="EA288" i="2" a="1"/>
  <c r="EA288" i="2" s="1"/>
  <c r="EA289" i="2" s="1"/>
  <c r="DO288" i="2" a="1"/>
  <c r="DO288" i="2" s="1"/>
  <c r="DO289" i="2" s="1"/>
  <c r="EF286" i="2" a="1"/>
  <c r="EF286" i="2" s="1"/>
  <c r="EF287" i="2" s="1"/>
  <c r="DX286" i="2" a="1"/>
  <c r="DX286" i="2" s="1"/>
  <c r="DX287" i="2" s="1"/>
  <c r="DP286" i="2" a="1"/>
  <c r="DP286" i="2" s="1"/>
  <c r="DP287" i="2" s="1"/>
  <c r="DL286" i="2" a="1"/>
  <c r="DL286" i="2" s="1"/>
  <c r="DL287" i="2" s="1"/>
  <c r="DU284" i="2" a="1"/>
  <c r="DU284" i="2" s="1"/>
  <c r="DU285" i="2" s="1"/>
  <c r="DQ284" i="2" a="1"/>
  <c r="DQ284" i="2" s="1"/>
  <c r="DQ285" i="2" s="1"/>
  <c r="DM284" i="2" a="1"/>
  <c r="DM284" i="2" s="1"/>
  <c r="DM285" i="2" s="1"/>
  <c r="DG284" i="2" a="1"/>
  <c r="DG284" i="2" s="1"/>
  <c r="ED282" i="2" a="1"/>
  <c r="ED282" i="2" s="1"/>
  <c r="ED283" i="2" s="1"/>
  <c r="DR282" i="2" a="1"/>
  <c r="DR282" i="2" s="1"/>
  <c r="DR283" i="2" s="1"/>
  <c r="DN282" i="2" a="1"/>
  <c r="DN282" i="2" s="1"/>
  <c r="DN283" i="2" s="1"/>
  <c r="DJ282" i="2" a="1"/>
  <c r="DJ282" i="2" s="1"/>
  <c r="DJ283" i="2" s="1"/>
  <c r="DQ296" i="2" a="1"/>
  <c r="DQ296" i="2" s="1"/>
  <c r="DQ297" i="2" s="1"/>
  <c r="DR294" i="2" a="1"/>
  <c r="DR294" i="2" s="1"/>
  <c r="DR295" i="2" s="1"/>
  <c r="EF292" i="2" a="1"/>
  <c r="EF292" i="2" s="1"/>
  <c r="EF293" i="2" s="1"/>
  <c r="EA292" i="2" a="1"/>
  <c r="EA292" i="2" s="1"/>
  <c r="EA293" i="2" s="1"/>
  <c r="DR292" i="2" a="1"/>
  <c r="DR292" i="2" s="1"/>
  <c r="DR293" i="2" s="1"/>
  <c r="DG292" i="2" a="1"/>
  <c r="DG292" i="2" s="1"/>
  <c r="DX290" i="2" a="1"/>
  <c r="DX290" i="2" s="1"/>
  <c r="DX291" i="2" s="1"/>
  <c r="DO290" i="2" a="1"/>
  <c r="DO290" i="2" s="1"/>
  <c r="DO291" i="2" s="1"/>
  <c r="EF296" i="2" a="1"/>
  <c r="EF296" i="2" s="1"/>
  <c r="EF297" i="2" s="1"/>
  <c r="EA296" i="2" a="1"/>
  <c r="EA296" i="2" s="1"/>
  <c r="EA297" i="2" s="1"/>
  <c r="DP296" i="2" a="1"/>
  <c r="DP296" i="2" s="1"/>
  <c r="DP297" i="2" s="1"/>
  <c r="DQ294" i="2" a="1"/>
  <c r="DQ294" i="2" s="1"/>
  <c r="DQ295" i="2" s="1"/>
  <c r="DL294" i="2" a="1"/>
  <c r="DL294" i="2" s="1"/>
  <c r="DL295" i="2" s="1"/>
  <c r="EE292" i="2" a="1"/>
  <c r="EE292" i="2" s="1"/>
  <c r="EE293" i="2" s="1"/>
  <c r="DM292" i="2" a="1"/>
  <c r="DM292" i="2" s="1"/>
  <c r="DM293" i="2" s="1"/>
  <c r="DJ290" i="2" a="1"/>
  <c r="DJ290" i="2" s="1"/>
  <c r="DJ291" i="2" s="1"/>
  <c r="DH291" i="2" s="1"/>
  <c r="ED288" i="2" a="1"/>
  <c r="ED288" i="2" s="1"/>
  <c r="ED289" i="2" s="1"/>
  <c r="DR288" i="2" a="1"/>
  <c r="DR288" i="2" s="1"/>
  <c r="DR289" i="2" s="1"/>
  <c r="DN288" i="2" a="1"/>
  <c r="DN288" i="2" s="1"/>
  <c r="DN289" i="2" s="1"/>
  <c r="DJ288" i="2" a="1"/>
  <c r="DJ288" i="2" s="1"/>
  <c r="DJ289" i="2" s="1"/>
  <c r="EE286" i="2" a="1"/>
  <c r="EE286" i="2" s="1"/>
  <c r="EE287" i="2" s="1"/>
  <c r="EA286" i="2" a="1"/>
  <c r="EA286" i="2" s="1"/>
  <c r="EA287" i="2" s="1"/>
  <c r="DO286" i="2" a="1"/>
  <c r="DO286" i="2" s="1"/>
  <c r="DO287" i="2" s="1"/>
  <c r="EF284" i="2" a="1"/>
  <c r="EF284" i="2" s="1"/>
  <c r="EF285" i="2" s="1"/>
  <c r="DX284" i="2" a="1"/>
  <c r="DX284" i="2" s="1"/>
  <c r="DX285" i="2" s="1"/>
  <c r="DO298" i="2"/>
  <c r="DU296" i="2" a="1"/>
  <c r="DU296" i="2" s="1"/>
  <c r="DU297" i="2" s="1"/>
  <c r="DQ292" i="2" a="1"/>
  <c r="DQ292" i="2" s="1"/>
  <c r="DQ293" i="2" s="1"/>
  <c r="EF290" i="2" a="1"/>
  <c r="EF290" i="2" s="1"/>
  <c r="EF291" i="2" s="1"/>
  <c r="DN290" i="2" a="1"/>
  <c r="DN290" i="2" s="1"/>
  <c r="DN291" i="2" s="1"/>
  <c r="DN294" i="2" a="1"/>
  <c r="DN294" i="2" s="1"/>
  <c r="DN295" i="2" s="1"/>
  <c r="DX292" i="2" a="1"/>
  <c r="DX292" i="2" s="1"/>
  <c r="DX293" i="2" s="1"/>
  <c r="DU290" i="2" a="1"/>
  <c r="DU290" i="2" s="1"/>
  <c r="DU291" i="2" s="1"/>
  <c r="DP284" i="2" a="1"/>
  <c r="DP284" i="2" s="1"/>
  <c r="DP285" i="2" s="1"/>
  <c r="EE282" i="2" a="1"/>
  <c r="EE282" i="2" s="1"/>
  <c r="EE283" i="2" s="1"/>
  <c r="DQ282" i="2" a="1"/>
  <c r="DQ282" i="2" s="1"/>
  <c r="DQ283" i="2" s="1"/>
  <c r="DJ294" i="2" a="1"/>
  <c r="DJ294" i="2" s="1"/>
  <c r="DJ295" i="2" s="1"/>
  <c r="DH295" i="2" s="1"/>
  <c r="EA284" i="2" a="1"/>
  <c r="EA284" i="2" s="1"/>
  <c r="EA285" i="2" s="1"/>
  <c r="DU282" i="2" a="1"/>
  <c r="DU282" i="2" s="1"/>
  <c r="DU283" i="2" s="1"/>
  <c r="DL282" i="2" a="1"/>
  <c r="DL282" i="2" s="1"/>
  <c r="DL283" i="2" s="1"/>
  <c r="EE280" i="2" a="1"/>
  <c r="EE280" i="2" s="1"/>
  <c r="EE281" i="2" s="1"/>
  <c r="EA280" i="2" a="1"/>
  <c r="EA280" i="2" s="1"/>
  <c r="EA281" i="2" s="1"/>
  <c r="DO280" i="2" a="1"/>
  <c r="DO280" i="2" s="1"/>
  <c r="DO281" i="2" s="1"/>
  <c r="EF278" i="2" a="1"/>
  <c r="EF278" i="2" s="1"/>
  <c r="EF279" i="2" s="1"/>
  <c r="DX278" i="2" a="1"/>
  <c r="DX278" i="2" s="1"/>
  <c r="DX279" i="2" s="1"/>
  <c r="DP278" i="2" a="1"/>
  <c r="DP278" i="2" s="1"/>
  <c r="DP279" i="2" s="1"/>
  <c r="DL278" i="2" a="1"/>
  <c r="DL278" i="2" s="1"/>
  <c r="DL279" i="2" s="1"/>
  <c r="DU276" i="2" a="1"/>
  <c r="DU276" i="2" s="1"/>
  <c r="DU277" i="2" s="1"/>
  <c r="DQ276" i="2" a="1"/>
  <c r="DQ276" i="2" s="1"/>
  <c r="DQ277" i="2" s="1"/>
  <c r="DM276" i="2" a="1"/>
  <c r="DM276" i="2" s="1"/>
  <c r="DM277" i="2" s="1"/>
  <c r="DG276" i="2" a="1"/>
  <c r="DG276" i="2" s="1"/>
  <c r="ED274" i="2" a="1"/>
  <c r="ED274" i="2" s="1"/>
  <c r="ED275" i="2" s="1"/>
  <c r="DR274" i="2" a="1"/>
  <c r="DR274" i="2" s="1"/>
  <c r="DR275" i="2" s="1"/>
  <c r="DN274" i="2" a="1"/>
  <c r="DN274" i="2" s="1"/>
  <c r="DN275" i="2" s="1"/>
  <c r="DJ274" i="2" a="1"/>
  <c r="DJ274" i="2" s="1"/>
  <c r="DJ275" i="2" s="1"/>
  <c r="EE272" i="2" a="1"/>
  <c r="EE272" i="2" s="1"/>
  <c r="EE273" i="2" s="1"/>
  <c r="EA272" i="2" a="1"/>
  <c r="EA272" i="2" s="1"/>
  <c r="EA273" i="2" s="1"/>
  <c r="DO272" i="2" a="1"/>
  <c r="DO272" i="2" s="1"/>
  <c r="DO273" i="2" s="1"/>
  <c r="ED294" i="2" a="1"/>
  <c r="ED294" i="2" s="1"/>
  <c r="ED295" i="2" s="1"/>
  <c r="DP290" i="2" a="1"/>
  <c r="DP290" i="2" s="1"/>
  <c r="DP291" i="2" s="1"/>
  <c r="DR286" i="2" a="1"/>
  <c r="DR286" i="2" s="1"/>
  <c r="DR287" i="2" s="1"/>
  <c r="DO284" i="2" a="1"/>
  <c r="DO284" i="2" s="1"/>
  <c r="DO285" i="2" s="1"/>
  <c r="DP282" i="2" a="1"/>
  <c r="DP282" i="2" s="1"/>
  <c r="DP283" i="2" s="1"/>
  <c r="DP292" i="2" a="1"/>
  <c r="DP292" i="2" s="1"/>
  <c r="DP293" i="2" s="1"/>
  <c r="EE290" i="2" a="1"/>
  <c r="EE290" i="2" s="1"/>
  <c r="EE291" i="2" s="1"/>
  <c r="DM290" i="2" a="1"/>
  <c r="DM290" i="2" s="1"/>
  <c r="DM291" i="2" s="1"/>
  <c r="DJ284" i="2" a="1"/>
  <c r="DJ284" i="2" s="1"/>
  <c r="DJ285" i="2" s="1"/>
  <c r="ED280" i="2" a="1"/>
  <c r="ED280" i="2" s="1"/>
  <c r="ED281" i="2" s="1"/>
  <c r="DR280" i="2" a="1"/>
  <c r="DR280" i="2" s="1"/>
  <c r="DR281" i="2" s="1"/>
  <c r="DN280" i="2" a="1"/>
  <c r="DN280" i="2" s="1"/>
  <c r="DN281" i="2" s="1"/>
  <c r="DJ280" i="2" a="1"/>
  <c r="DJ280" i="2" s="1"/>
  <c r="DJ281" i="2" s="1"/>
  <c r="EE278" i="2" a="1"/>
  <c r="EE278" i="2" s="1"/>
  <c r="EE279" i="2" s="1"/>
  <c r="EA278" i="2" a="1"/>
  <c r="EA278" i="2" s="1"/>
  <c r="EA279" i="2" s="1"/>
  <c r="DO278" i="2" a="1"/>
  <c r="DO278" i="2" s="1"/>
  <c r="DO279" i="2" s="1"/>
  <c r="EF276" i="2" a="1"/>
  <c r="EF276" i="2" s="1"/>
  <c r="EF277" i="2" s="1"/>
  <c r="DX276" i="2" a="1"/>
  <c r="DX276" i="2" s="1"/>
  <c r="DX277" i="2" s="1"/>
  <c r="DP276" i="2" a="1"/>
  <c r="DP276" i="2" s="1"/>
  <c r="DP277" i="2" s="1"/>
  <c r="DL276" i="2" a="1"/>
  <c r="DL276" i="2" s="1"/>
  <c r="DL277" i="2" s="1"/>
  <c r="DU274" i="2" a="1"/>
  <c r="DU274" i="2" s="1"/>
  <c r="DU275" i="2" s="1"/>
  <c r="DI275" i="2" s="1"/>
  <c r="DQ274" i="2" a="1"/>
  <c r="DQ274" i="2" s="1"/>
  <c r="DQ275" i="2" s="1"/>
  <c r="DM274" i="2" a="1"/>
  <c r="DM274" i="2" s="1"/>
  <c r="DM275" i="2" s="1"/>
  <c r="DG274" i="2" a="1"/>
  <c r="DG274" i="2" s="1"/>
  <c r="ED272" i="2" a="1"/>
  <c r="ED272" i="2" s="1"/>
  <c r="ED273" i="2" s="1"/>
  <c r="DR272" i="2" a="1"/>
  <c r="DR272" i="2" s="1"/>
  <c r="DR273" i="2" s="1"/>
  <c r="DN272" i="2" a="1"/>
  <c r="DN272" i="2" s="1"/>
  <c r="DN273" i="2" s="1"/>
  <c r="DJ272" i="2" a="1"/>
  <c r="DJ272" i="2" s="1"/>
  <c r="DJ273" i="2" s="1"/>
  <c r="ED290" i="2" a="1"/>
  <c r="ED290" i="2" s="1"/>
  <c r="ED291" i="2" s="1"/>
  <c r="DJ286" i="2" a="1"/>
  <c r="DJ286" i="2" s="1"/>
  <c r="DJ287" i="2" s="1"/>
  <c r="DH287" i="2" s="1"/>
  <c r="EE284" i="2" a="1"/>
  <c r="EE284" i="2" s="1"/>
  <c r="EE285" i="2" s="1"/>
  <c r="DN284" i="2" a="1"/>
  <c r="DN284" i="2" s="1"/>
  <c r="DN285" i="2" s="1"/>
  <c r="DX282" i="2" a="1"/>
  <c r="DX282" i="2" s="1"/>
  <c r="DX283" i="2" s="1"/>
  <c r="DO282" i="2" a="1"/>
  <c r="DO282" i="2" s="1"/>
  <c r="DO283" i="2" s="1"/>
  <c r="DM296" i="2" a="1"/>
  <c r="DM296" i="2" s="1"/>
  <c r="DM297" i="2" s="1"/>
  <c r="DJ292" i="2" a="1"/>
  <c r="DJ292" i="2" s="1"/>
  <c r="DJ293" i="2" s="1"/>
  <c r="EF282" i="2" a="1"/>
  <c r="EF282" i="2" s="1"/>
  <c r="EF283" i="2" s="1"/>
  <c r="DG282" i="2" a="1"/>
  <c r="DG282" i="2" s="1"/>
  <c r="DG296" i="2" a="1"/>
  <c r="DG296" i="2" s="1"/>
  <c r="DN286" i="2" a="1"/>
  <c r="DN286" i="2" s="1"/>
  <c r="DN287" i="2" s="1"/>
  <c r="DL284" i="2" a="1"/>
  <c r="DL284" i="2" s="1"/>
  <c r="DL285" i="2" s="1"/>
  <c r="EA282" i="2" a="1"/>
  <c r="EA282" i="2" s="1"/>
  <c r="EA283" i="2" s="1"/>
  <c r="DM282" i="2" a="1"/>
  <c r="DM282" i="2" s="1"/>
  <c r="DM283" i="2" s="1"/>
  <c r="EF280" i="2" a="1"/>
  <c r="EF280" i="2" s="1"/>
  <c r="EF281" i="2" s="1"/>
  <c r="DX280" i="2" a="1"/>
  <c r="DX280" i="2" s="1"/>
  <c r="DX281" i="2" s="1"/>
  <c r="DP280" i="2" a="1"/>
  <c r="DP280" i="2" s="1"/>
  <c r="DP281" i="2" s="1"/>
  <c r="DL280" i="2" a="1"/>
  <c r="DL280" i="2" s="1"/>
  <c r="DL281" i="2" s="1"/>
  <c r="DU278" i="2" a="1"/>
  <c r="DU278" i="2" s="1"/>
  <c r="DU279" i="2" s="1"/>
  <c r="DQ278" i="2" a="1"/>
  <c r="DQ278" i="2" s="1"/>
  <c r="DQ279" i="2" s="1"/>
  <c r="DM278" i="2" a="1"/>
  <c r="DM278" i="2" s="1"/>
  <c r="DM279" i="2" s="1"/>
  <c r="DG278" i="2" a="1"/>
  <c r="DG278" i="2" s="1"/>
  <c r="ED276" i="2" a="1"/>
  <c r="ED276" i="2" s="1"/>
  <c r="ED277" i="2" s="1"/>
  <c r="DR276" i="2" a="1"/>
  <c r="DR276" i="2" s="1"/>
  <c r="DR277" i="2" s="1"/>
  <c r="DN276" i="2" a="1"/>
  <c r="DN276" i="2" s="1"/>
  <c r="DN277" i="2" s="1"/>
  <c r="DJ276" i="2" a="1"/>
  <c r="DJ276" i="2" s="1"/>
  <c r="DJ277" i="2" s="1"/>
  <c r="EE274" i="2" a="1"/>
  <c r="EE274" i="2" s="1"/>
  <c r="EE275" i="2" s="1"/>
  <c r="EA274" i="2" a="1"/>
  <c r="EA274" i="2" s="1"/>
  <c r="EA275" i="2" s="1"/>
  <c r="DO274" i="2" a="1"/>
  <c r="DO274" i="2" s="1"/>
  <c r="DO275" i="2" s="1"/>
  <c r="EF272" i="2" a="1"/>
  <c r="EF272" i="2" s="1"/>
  <c r="EF273" i="2" s="1"/>
  <c r="DX272" i="2" a="1"/>
  <c r="DX272" i="2" s="1"/>
  <c r="DX273" i="2" s="1"/>
  <c r="DP272" i="2" a="1"/>
  <c r="DP272" i="2" s="1"/>
  <c r="DP273" i="2" s="1"/>
  <c r="DL272" i="2" a="1"/>
  <c r="DL272" i="2" s="1"/>
  <c r="DL273" i="2" s="1"/>
  <c r="DO276" i="2" a="1"/>
  <c r="DO276" i="2" s="1"/>
  <c r="DO277" i="2" s="1"/>
  <c r="DX274" i="2" a="1"/>
  <c r="DX274" i="2" s="1"/>
  <c r="DX275" i="2" s="1"/>
  <c r="DR284" i="2" a="1"/>
  <c r="DR284" i="2" s="1"/>
  <c r="DR285" i="2" s="1"/>
  <c r="DU280" i="2" a="1"/>
  <c r="DU280" i="2" s="1"/>
  <c r="DU281" i="2" s="1"/>
  <c r="ED278" i="2" a="1"/>
  <c r="ED278" i="2" s="1"/>
  <c r="ED279" i="2" s="1"/>
  <c r="DP274" i="2" a="1"/>
  <c r="DP274" i="2" s="1"/>
  <c r="DP275" i="2" s="1"/>
  <c r="DU272" i="2" a="1"/>
  <c r="DU272" i="2" s="1"/>
  <c r="DU273" i="2" s="1"/>
  <c r="DQ280" i="2" a="1"/>
  <c r="DQ280" i="2" s="1"/>
  <c r="DQ281" i="2" s="1"/>
  <c r="DL274" i="2" a="1"/>
  <c r="DL274" i="2" s="1"/>
  <c r="DL275" i="2" s="1"/>
  <c r="DQ272" i="2" a="1"/>
  <c r="DQ272" i="2" s="1"/>
  <c r="DQ273" i="2" s="1"/>
  <c r="DM280" i="2" a="1"/>
  <c r="DM280" i="2" s="1"/>
  <c r="DM281" i="2" s="1"/>
  <c r="EE276" i="2" a="1"/>
  <c r="EE276" i="2" s="1"/>
  <c r="EE277" i="2" s="1"/>
  <c r="DM272" i="2" a="1"/>
  <c r="DM272" i="2" s="1"/>
  <c r="DM273" i="2" s="1"/>
  <c r="DG280" i="2" a="1"/>
  <c r="DG280" i="2" s="1"/>
  <c r="DR278" i="2" a="1"/>
  <c r="DR278" i="2" s="1"/>
  <c r="DR279" i="2" s="1"/>
  <c r="EA276" i="2" a="1"/>
  <c r="EA276" i="2" s="1"/>
  <c r="EA277" i="2" s="1"/>
  <c r="DG272" i="2" a="1"/>
  <c r="DG272" i="2" s="1"/>
  <c r="DN278" i="2" a="1"/>
  <c r="DN278" i="2" s="1"/>
  <c r="DN279" i="2" s="1"/>
  <c r="EF274" i="2" a="1"/>
  <c r="EF274" i="2" s="1"/>
  <c r="EF275" i="2" s="1"/>
  <c r="DJ278" i="2" a="1"/>
  <c r="DJ278" i="2" s="1"/>
  <c r="DJ279" i="2" s="1"/>
  <c r="CO29" i="2"/>
  <c r="CJ29" i="2"/>
  <c r="CC49" i="2"/>
  <c r="AJ25" i="2" s="1"/>
  <c r="AK25" i="2" s="1"/>
  <c r="DO118" i="2"/>
  <c r="ED116" i="2" a="1"/>
  <c r="ED116" i="2" s="1"/>
  <c r="ED117" i="2" s="1"/>
  <c r="DR116" i="2" a="1"/>
  <c r="DR116" i="2" s="1"/>
  <c r="DR117" i="2" s="1"/>
  <c r="DN116" i="2" a="1"/>
  <c r="DN116" i="2" s="1"/>
  <c r="DN117" i="2" s="1"/>
  <c r="DJ116" i="2" a="1"/>
  <c r="DJ116" i="2" s="1"/>
  <c r="DJ117" i="2" s="1"/>
  <c r="EE114" i="2" a="1"/>
  <c r="EE114" i="2" s="1"/>
  <c r="EE115" i="2" s="1"/>
  <c r="EA114" i="2" a="1"/>
  <c r="EA114" i="2" s="1"/>
  <c r="EA115" i="2" s="1"/>
  <c r="DO114" i="2" a="1"/>
  <c r="DO114" i="2" s="1"/>
  <c r="DO115" i="2" s="1"/>
  <c r="EF112" i="2" a="1"/>
  <c r="EF112" i="2" s="1"/>
  <c r="EF113" i="2" s="1"/>
  <c r="DX112" i="2" a="1"/>
  <c r="DX112" i="2" s="1"/>
  <c r="DX113" i="2" s="1"/>
  <c r="DP112" i="2" a="1"/>
  <c r="DP112" i="2" s="1"/>
  <c r="DP113" i="2" s="1"/>
  <c r="DL112" i="2" a="1"/>
  <c r="DL112" i="2" s="1"/>
  <c r="DL113" i="2" s="1"/>
  <c r="DU110" i="2" a="1"/>
  <c r="DU110" i="2" s="1"/>
  <c r="DU111" i="2" s="1"/>
  <c r="DQ110" i="2" a="1"/>
  <c r="DQ110" i="2" s="1"/>
  <c r="DQ111" i="2" s="1"/>
  <c r="DM110" i="2" a="1"/>
  <c r="DM110" i="2" s="1"/>
  <c r="DM111" i="2" s="1"/>
  <c r="DG110" i="2" a="1"/>
  <c r="DG110" i="2" s="1"/>
  <c r="ED108" i="2" a="1"/>
  <c r="ED108" i="2" s="1"/>
  <c r="ED109" i="2" s="1"/>
  <c r="DR108" i="2" a="1"/>
  <c r="DR108" i="2" s="1"/>
  <c r="DR109" i="2" s="1"/>
  <c r="DN108" i="2" a="1"/>
  <c r="DN108" i="2" s="1"/>
  <c r="DN109" i="2" s="1"/>
  <c r="DJ108" i="2" a="1"/>
  <c r="DJ108" i="2" s="1"/>
  <c r="DJ109" i="2" s="1"/>
  <c r="EE106" i="2" a="1"/>
  <c r="EE106" i="2" s="1"/>
  <c r="EE107" i="2" s="1"/>
  <c r="EA106" i="2" a="1"/>
  <c r="EA106" i="2" s="1"/>
  <c r="EA107" i="2" s="1"/>
  <c r="DO106" i="2" a="1"/>
  <c r="DO106" i="2" s="1"/>
  <c r="DO107" i="2" s="1"/>
  <c r="EF104" i="2" a="1"/>
  <c r="EF104" i="2" s="1"/>
  <c r="EF105" i="2" s="1"/>
  <c r="DX104" i="2" a="1"/>
  <c r="DX104" i="2" s="1"/>
  <c r="DX105" i="2" s="1"/>
  <c r="DP104" i="2" a="1"/>
  <c r="DP104" i="2" s="1"/>
  <c r="DP105" i="2" s="1"/>
  <c r="DL104" i="2" a="1"/>
  <c r="DL104" i="2" s="1"/>
  <c r="DL105" i="2" s="1"/>
  <c r="DU102" i="2" a="1"/>
  <c r="DU102" i="2" s="1"/>
  <c r="DU103" i="2" s="1"/>
  <c r="DQ102" i="2" a="1"/>
  <c r="DQ102" i="2" s="1"/>
  <c r="DQ103" i="2" s="1"/>
  <c r="DM102" i="2" a="1"/>
  <c r="DM102" i="2" s="1"/>
  <c r="DM103" i="2" s="1"/>
  <c r="DG102" i="2" a="1"/>
  <c r="DG102" i="2" s="1"/>
  <c r="ED100" i="2" a="1"/>
  <c r="ED100" i="2" s="1"/>
  <c r="ED101" i="2" s="1"/>
  <c r="DR100" i="2" a="1"/>
  <c r="DR100" i="2" s="1"/>
  <c r="DR101" i="2" s="1"/>
  <c r="DN100" i="2" a="1"/>
  <c r="DN100" i="2" s="1"/>
  <c r="DN101" i="2" s="1"/>
  <c r="DJ100" i="2" a="1"/>
  <c r="DJ100" i="2" s="1"/>
  <c r="DJ101" i="2" s="1"/>
  <c r="EE98" i="2" a="1"/>
  <c r="EE98" i="2" s="1"/>
  <c r="EE99" i="2" s="1"/>
  <c r="EA98" i="2" a="1"/>
  <c r="EA98" i="2" s="1"/>
  <c r="EA99" i="2" s="1"/>
  <c r="DO98" i="2" a="1"/>
  <c r="DO98" i="2" s="1"/>
  <c r="DO99" i="2" s="1"/>
  <c r="EF96" i="2" a="1"/>
  <c r="EF96" i="2" s="1"/>
  <c r="EF97" i="2" s="1"/>
  <c r="DX96" i="2" a="1"/>
  <c r="DX96" i="2" s="1"/>
  <c r="DX97" i="2" s="1"/>
  <c r="DP96" i="2" a="1"/>
  <c r="DP96" i="2" s="1"/>
  <c r="DP97" i="2" s="1"/>
  <c r="DL96" i="2" a="1"/>
  <c r="DL96" i="2" s="1"/>
  <c r="DL97" i="2" s="1"/>
  <c r="DU94" i="2" a="1"/>
  <c r="DU94" i="2" s="1"/>
  <c r="DU95" i="2" s="1"/>
  <c r="DQ94" i="2" a="1"/>
  <c r="DQ94" i="2" s="1"/>
  <c r="DQ95" i="2" s="1"/>
  <c r="DM94" i="2" a="1"/>
  <c r="DM94" i="2" s="1"/>
  <c r="DM95" i="2" s="1"/>
  <c r="DG94" i="2" a="1"/>
  <c r="DG94" i="2" s="1"/>
  <c r="ED92" i="2" a="1"/>
  <c r="ED92" i="2" s="1"/>
  <c r="ED93" i="2" s="1"/>
  <c r="DR92" i="2" a="1"/>
  <c r="DR92" i="2" s="1"/>
  <c r="DR93" i="2" s="1"/>
  <c r="DN92" i="2" a="1"/>
  <c r="DN92" i="2" s="1"/>
  <c r="DN93" i="2" s="1"/>
  <c r="DJ92" i="2" a="1"/>
  <c r="DJ92" i="2" s="1"/>
  <c r="DJ93" i="2" s="1"/>
  <c r="DJ118" i="2"/>
  <c r="DF118" i="2"/>
  <c r="DU116" i="2" a="1"/>
  <c r="DU116" i="2" s="1"/>
  <c r="DU117" i="2" s="1"/>
  <c r="DQ116" i="2" a="1"/>
  <c r="DQ116" i="2" s="1"/>
  <c r="DQ117" i="2" s="1"/>
  <c r="DM116" i="2" a="1"/>
  <c r="DM116" i="2" s="1"/>
  <c r="DM117" i="2" s="1"/>
  <c r="DG116" i="2" a="1"/>
  <c r="DG116" i="2" s="1"/>
  <c r="ED114" i="2" a="1"/>
  <c r="ED114" i="2" s="1"/>
  <c r="ED115" i="2" s="1"/>
  <c r="DR114" i="2" a="1"/>
  <c r="DR114" i="2" s="1"/>
  <c r="DR115" i="2" s="1"/>
  <c r="DN114" i="2" a="1"/>
  <c r="DN114" i="2" s="1"/>
  <c r="DN115" i="2" s="1"/>
  <c r="DJ114" i="2" a="1"/>
  <c r="DJ114" i="2" s="1"/>
  <c r="DJ115" i="2" s="1"/>
  <c r="EE112" i="2" a="1"/>
  <c r="EE112" i="2" s="1"/>
  <c r="EE113" i="2" s="1"/>
  <c r="EA112" i="2" a="1"/>
  <c r="EA112" i="2" s="1"/>
  <c r="EA113" i="2" s="1"/>
  <c r="DO112" i="2" a="1"/>
  <c r="DO112" i="2" s="1"/>
  <c r="DO113" i="2" s="1"/>
  <c r="EF110" i="2" a="1"/>
  <c r="EF110" i="2" s="1"/>
  <c r="EF111" i="2" s="1"/>
  <c r="DX110" i="2" a="1"/>
  <c r="DX110" i="2" s="1"/>
  <c r="DX111" i="2" s="1"/>
  <c r="DP110" i="2" a="1"/>
  <c r="DP110" i="2" s="1"/>
  <c r="DP111" i="2" s="1"/>
  <c r="DL110" i="2" a="1"/>
  <c r="DL110" i="2" s="1"/>
  <c r="DL111" i="2" s="1"/>
  <c r="DU108" i="2" a="1"/>
  <c r="DU108" i="2" s="1"/>
  <c r="DU109" i="2" s="1"/>
  <c r="DQ108" i="2" a="1"/>
  <c r="DQ108" i="2" s="1"/>
  <c r="DQ109" i="2" s="1"/>
  <c r="DM108" i="2" a="1"/>
  <c r="DM108" i="2" s="1"/>
  <c r="DM109" i="2" s="1"/>
  <c r="DG108" i="2" a="1"/>
  <c r="DG108" i="2" s="1"/>
  <c r="ED106" i="2" a="1"/>
  <c r="ED106" i="2" s="1"/>
  <c r="ED107" i="2" s="1"/>
  <c r="DR106" i="2" a="1"/>
  <c r="DR106" i="2" s="1"/>
  <c r="DR107" i="2" s="1"/>
  <c r="DN106" i="2" a="1"/>
  <c r="DN106" i="2" s="1"/>
  <c r="DN107" i="2" s="1"/>
  <c r="DJ106" i="2" a="1"/>
  <c r="DJ106" i="2" s="1"/>
  <c r="DJ107" i="2" s="1"/>
  <c r="EE104" i="2" a="1"/>
  <c r="EE104" i="2" s="1"/>
  <c r="EE105" i="2" s="1"/>
  <c r="EA104" i="2" a="1"/>
  <c r="EA104" i="2" s="1"/>
  <c r="EA105" i="2" s="1"/>
  <c r="DO104" i="2" a="1"/>
  <c r="DO104" i="2" s="1"/>
  <c r="DO105" i="2" s="1"/>
  <c r="EF102" i="2" a="1"/>
  <c r="EF102" i="2" s="1"/>
  <c r="EF103" i="2" s="1"/>
  <c r="DX102" i="2" a="1"/>
  <c r="DX102" i="2" s="1"/>
  <c r="DX103" i="2" s="1"/>
  <c r="DP102" i="2" a="1"/>
  <c r="DP102" i="2" s="1"/>
  <c r="DP103" i="2" s="1"/>
  <c r="DL102" i="2" a="1"/>
  <c r="DL102" i="2" s="1"/>
  <c r="DL103" i="2" s="1"/>
  <c r="DU100" i="2" a="1"/>
  <c r="DU100" i="2" s="1"/>
  <c r="DU101" i="2" s="1"/>
  <c r="DQ100" i="2" a="1"/>
  <c r="DQ100" i="2" s="1"/>
  <c r="DQ101" i="2" s="1"/>
  <c r="DM100" i="2" a="1"/>
  <c r="DM100" i="2" s="1"/>
  <c r="DM101" i="2" s="1"/>
  <c r="DG100" i="2" a="1"/>
  <c r="DG100" i="2" s="1"/>
  <c r="ED98" i="2" a="1"/>
  <c r="ED98" i="2" s="1"/>
  <c r="ED99" i="2" s="1"/>
  <c r="DR98" i="2" a="1"/>
  <c r="DR98" i="2" s="1"/>
  <c r="DR99" i="2" s="1"/>
  <c r="DN98" i="2" a="1"/>
  <c r="DN98" i="2" s="1"/>
  <c r="DN99" i="2" s="1"/>
  <c r="DJ98" i="2" a="1"/>
  <c r="DJ98" i="2" s="1"/>
  <c r="DJ99" i="2" s="1"/>
  <c r="EE96" i="2" a="1"/>
  <c r="EE96" i="2" s="1"/>
  <c r="EE97" i="2" s="1"/>
  <c r="EA96" i="2" a="1"/>
  <c r="EA96" i="2" s="1"/>
  <c r="EA97" i="2" s="1"/>
  <c r="DO96" i="2" a="1"/>
  <c r="DO96" i="2" s="1"/>
  <c r="DO97" i="2" s="1"/>
  <c r="EF116" i="2" a="1"/>
  <c r="EF116" i="2" s="1"/>
  <c r="EF117" i="2" s="1"/>
  <c r="DX116" i="2" a="1"/>
  <c r="DX116" i="2" s="1"/>
  <c r="DX117" i="2" s="1"/>
  <c r="DP116" i="2" a="1"/>
  <c r="DP116" i="2" s="1"/>
  <c r="DP117" i="2" s="1"/>
  <c r="DL116" i="2" a="1"/>
  <c r="DL116" i="2" s="1"/>
  <c r="DL117" i="2" s="1"/>
  <c r="DU114" i="2" a="1"/>
  <c r="DU114" i="2" s="1"/>
  <c r="DU115" i="2" s="1"/>
  <c r="DQ114" i="2" a="1"/>
  <c r="DQ114" i="2" s="1"/>
  <c r="DQ115" i="2" s="1"/>
  <c r="DM114" i="2" a="1"/>
  <c r="DM114" i="2" s="1"/>
  <c r="DM115" i="2" s="1"/>
  <c r="DG114" i="2" a="1"/>
  <c r="DG114" i="2" s="1"/>
  <c r="ED112" i="2" a="1"/>
  <c r="ED112" i="2" s="1"/>
  <c r="ED113" i="2" s="1"/>
  <c r="DR112" i="2" a="1"/>
  <c r="DR112" i="2" s="1"/>
  <c r="DR113" i="2" s="1"/>
  <c r="DN112" i="2" a="1"/>
  <c r="DN112" i="2" s="1"/>
  <c r="DN113" i="2" s="1"/>
  <c r="DJ112" i="2" a="1"/>
  <c r="DJ112" i="2" s="1"/>
  <c r="DJ113" i="2" s="1"/>
  <c r="DH113" i="2" s="1"/>
  <c r="EE110" i="2" a="1"/>
  <c r="EE110" i="2" s="1"/>
  <c r="EE111" i="2" s="1"/>
  <c r="EA110" i="2" a="1"/>
  <c r="EA110" i="2" s="1"/>
  <c r="EA111" i="2" s="1"/>
  <c r="DO110" i="2" a="1"/>
  <c r="DO110" i="2" s="1"/>
  <c r="DO111" i="2" s="1"/>
  <c r="EF108" i="2" a="1"/>
  <c r="EF108" i="2" s="1"/>
  <c r="EF109" i="2" s="1"/>
  <c r="DX108" i="2" a="1"/>
  <c r="DX108" i="2" s="1"/>
  <c r="DX109" i="2" s="1"/>
  <c r="DP108" i="2" a="1"/>
  <c r="DP108" i="2" s="1"/>
  <c r="DP109" i="2" s="1"/>
  <c r="DL108" i="2" a="1"/>
  <c r="DL108" i="2" s="1"/>
  <c r="DL109" i="2" s="1"/>
  <c r="DU106" i="2" a="1"/>
  <c r="DU106" i="2" s="1"/>
  <c r="DU107" i="2" s="1"/>
  <c r="DQ106" i="2" a="1"/>
  <c r="DQ106" i="2" s="1"/>
  <c r="DQ107" i="2" s="1"/>
  <c r="DM106" i="2" a="1"/>
  <c r="DM106" i="2" s="1"/>
  <c r="DM107" i="2" s="1"/>
  <c r="DG106" i="2" a="1"/>
  <c r="DG106" i="2" s="1"/>
  <c r="ED104" i="2" a="1"/>
  <c r="ED104" i="2" s="1"/>
  <c r="ED105" i="2" s="1"/>
  <c r="DR104" i="2" a="1"/>
  <c r="DR104" i="2" s="1"/>
  <c r="DR105" i="2" s="1"/>
  <c r="DN104" i="2" a="1"/>
  <c r="DN104" i="2" s="1"/>
  <c r="DN105" i="2" s="1"/>
  <c r="DJ104" i="2" a="1"/>
  <c r="DJ104" i="2" s="1"/>
  <c r="DJ105" i="2" s="1"/>
  <c r="EE102" i="2" a="1"/>
  <c r="EE102" i="2" s="1"/>
  <c r="EE103" i="2" s="1"/>
  <c r="EA102" i="2" a="1"/>
  <c r="EA102" i="2" s="1"/>
  <c r="EA103" i="2" s="1"/>
  <c r="DO102" i="2" a="1"/>
  <c r="DO102" i="2" s="1"/>
  <c r="DO103" i="2" s="1"/>
  <c r="EF100" i="2" a="1"/>
  <c r="EF100" i="2" s="1"/>
  <c r="EF101" i="2" s="1"/>
  <c r="DX100" i="2" a="1"/>
  <c r="DX100" i="2" s="1"/>
  <c r="DX101" i="2" s="1"/>
  <c r="DP100" i="2" a="1"/>
  <c r="DP100" i="2" s="1"/>
  <c r="DP101" i="2" s="1"/>
  <c r="DL100" i="2" a="1"/>
  <c r="DL100" i="2" s="1"/>
  <c r="DL101" i="2" s="1"/>
  <c r="DU98" i="2" a="1"/>
  <c r="DU98" i="2" s="1"/>
  <c r="DU99" i="2" s="1"/>
  <c r="DQ98" i="2" a="1"/>
  <c r="DQ98" i="2" s="1"/>
  <c r="DQ99" i="2" s="1"/>
  <c r="DM98" i="2" a="1"/>
  <c r="DM98" i="2" s="1"/>
  <c r="DM99" i="2" s="1"/>
  <c r="DG98" i="2" a="1"/>
  <c r="DG98" i="2" s="1"/>
  <c r="ED96" i="2" a="1"/>
  <c r="ED96" i="2" s="1"/>
  <c r="ED97" i="2" s="1"/>
  <c r="DR96" i="2" a="1"/>
  <c r="DR96" i="2" s="1"/>
  <c r="DR97" i="2" s="1"/>
  <c r="DN96" i="2" a="1"/>
  <c r="DN96" i="2" s="1"/>
  <c r="DN97" i="2" s="1"/>
  <c r="DJ96" i="2" a="1"/>
  <c r="DJ96" i="2" s="1"/>
  <c r="DJ97" i="2" s="1"/>
  <c r="EE94" i="2" a="1"/>
  <c r="EE94" i="2" s="1"/>
  <c r="EE95" i="2" s="1"/>
  <c r="EA94" i="2" a="1"/>
  <c r="EA94" i="2" s="1"/>
  <c r="EA95" i="2" s="1"/>
  <c r="DO94" i="2" a="1"/>
  <c r="DO94" i="2" s="1"/>
  <c r="DO95" i="2" s="1"/>
  <c r="EF92" i="2" a="1"/>
  <c r="EF92" i="2" s="1"/>
  <c r="EF93" i="2" s="1"/>
  <c r="DX92" i="2" a="1"/>
  <c r="DX92" i="2" s="1"/>
  <c r="DX93" i="2" s="1"/>
  <c r="DP92" i="2" a="1"/>
  <c r="DP92" i="2" s="1"/>
  <c r="DP93" i="2" s="1"/>
  <c r="DL92" i="2" a="1"/>
  <c r="DL92" i="2" s="1"/>
  <c r="DL93" i="2" s="1"/>
  <c r="EE116" i="2" a="1"/>
  <c r="EE116" i="2" s="1"/>
  <c r="EE117" i="2" s="1"/>
  <c r="EA116" i="2" a="1"/>
  <c r="EA116" i="2" s="1"/>
  <c r="EA117" i="2" s="1"/>
  <c r="DO116" i="2" a="1"/>
  <c r="DO116" i="2" s="1"/>
  <c r="DO117" i="2" s="1"/>
  <c r="EF114" i="2" a="1"/>
  <c r="EF114" i="2" s="1"/>
  <c r="EF115" i="2" s="1"/>
  <c r="DX114" i="2" a="1"/>
  <c r="DX114" i="2" s="1"/>
  <c r="DX115" i="2" s="1"/>
  <c r="DP114" i="2" a="1"/>
  <c r="DP114" i="2" s="1"/>
  <c r="DP115" i="2" s="1"/>
  <c r="DL114" i="2" a="1"/>
  <c r="DL114" i="2" s="1"/>
  <c r="DL115" i="2" s="1"/>
  <c r="DU112" i="2" a="1"/>
  <c r="DU112" i="2" s="1"/>
  <c r="DU113" i="2" s="1"/>
  <c r="DI113" i="2" s="1"/>
  <c r="DQ112" i="2" a="1"/>
  <c r="DQ112" i="2" s="1"/>
  <c r="DQ113" i="2" s="1"/>
  <c r="DM112" i="2" a="1"/>
  <c r="DM112" i="2" s="1"/>
  <c r="DM113" i="2" s="1"/>
  <c r="DG112" i="2" a="1"/>
  <c r="DG112" i="2" s="1"/>
  <c r="ED110" i="2" a="1"/>
  <c r="ED110" i="2" s="1"/>
  <c r="ED111" i="2" s="1"/>
  <c r="DR110" i="2" a="1"/>
  <c r="DR110" i="2" s="1"/>
  <c r="DR111" i="2" s="1"/>
  <c r="DN110" i="2" a="1"/>
  <c r="DN110" i="2" s="1"/>
  <c r="DN111" i="2" s="1"/>
  <c r="DJ110" i="2" a="1"/>
  <c r="DJ110" i="2" s="1"/>
  <c r="DJ111" i="2" s="1"/>
  <c r="EE108" i="2" a="1"/>
  <c r="EE108" i="2" s="1"/>
  <c r="EE109" i="2" s="1"/>
  <c r="EA108" i="2" a="1"/>
  <c r="EA108" i="2" s="1"/>
  <c r="EA109" i="2" s="1"/>
  <c r="DO108" i="2" a="1"/>
  <c r="DO108" i="2" s="1"/>
  <c r="DO109" i="2" s="1"/>
  <c r="EF106" i="2" a="1"/>
  <c r="EF106" i="2" s="1"/>
  <c r="EF107" i="2" s="1"/>
  <c r="DX106" i="2" a="1"/>
  <c r="DX106" i="2" s="1"/>
  <c r="DX107" i="2" s="1"/>
  <c r="DP106" i="2" a="1"/>
  <c r="DP106" i="2" s="1"/>
  <c r="DP107" i="2" s="1"/>
  <c r="DL106" i="2" a="1"/>
  <c r="DL106" i="2" s="1"/>
  <c r="DL107" i="2" s="1"/>
  <c r="DU104" i="2" a="1"/>
  <c r="DU104" i="2" s="1"/>
  <c r="DU105" i="2" s="1"/>
  <c r="DQ104" i="2" a="1"/>
  <c r="DQ104" i="2" s="1"/>
  <c r="DQ105" i="2" s="1"/>
  <c r="DM104" i="2" a="1"/>
  <c r="DM104" i="2" s="1"/>
  <c r="DM105" i="2" s="1"/>
  <c r="DG104" i="2" a="1"/>
  <c r="DG104" i="2" s="1"/>
  <c r="ED102" i="2" a="1"/>
  <c r="ED102" i="2" s="1"/>
  <c r="ED103" i="2" s="1"/>
  <c r="DR102" i="2" a="1"/>
  <c r="DR102" i="2" s="1"/>
  <c r="DR103" i="2" s="1"/>
  <c r="DN102" i="2" a="1"/>
  <c r="DN102" i="2" s="1"/>
  <c r="DN103" i="2" s="1"/>
  <c r="DJ102" i="2" a="1"/>
  <c r="DJ102" i="2" s="1"/>
  <c r="DJ103" i="2" s="1"/>
  <c r="EE100" i="2" a="1"/>
  <c r="EE100" i="2" s="1"/>
  <c r="EE101" i="2" s="1"/>
  <c r="EA100" i="2" a="1"/>
  <c r="EA100" i="2" s="1"/>
  <c r="EA101" i="2" s="1"/>
  <c r="ED94" i="2" a="1"/>
  <c r="ED94" i="2" s="1"/>
  <c r="ED95" i="2" s="1"/>
  <c r="EF98" i="2" a="1"/>
  <c r="EF98" i="2" s="1"/>
  <c r="EF99" i="2" s="1"/>
  <c r="DP98" i="2" a="1"/>
  <c r="DP98" i="2" s="1"/>
  <c r="DP99" i="2" s="1"/>
  <c r="DQ96" i="2" a="1"/>
  <c r="DQ96" i="2" s="1"/>
  <c r="DQ97" i="2" s="1"/>
  <c r="DR94" i="2" a="1"/>
  <c r="DR94" i="2" s="1"/>
  <c r="DR95" i="2" s="1"/>
  <c r="EE92" i="2" a="1"/>
  <c r="EE92" i="2" s="1"/>
  <c r="EE93" i="2" s="1"/>
  <c r="DU92" i="2" a="1"/>
  <c r="DU92" i="2" s="1"/>
  <c r="DU93" i="2" s="1"/>
  <c r="DG92" i="2" a="1"/>
  <c r="DG92" i="2" s="1"/>
  <c r="DL98" i="2" a="1"/>
  <c r="DL98" i="2" s="1"/>
  <c r="DL99" i="2" s="1"/>
  <c r="DM96" i="2" a="1"/>
  <c r="DM96" i="2" s="1"/>
  <c r="DM97" i="2" s="1"/>
  <c r="DP94" i="2" a="1"/>
  <c r="DP94" i="2" s="1"/>
  <c r="DP95" i="2" s="1"/>
  <c r="DN94" i="2" a="1"/>
  <c r="DN94" i="2" s="1"/>
  <c r="DN95" i="2" s="1"/>
  <c r="EA92" i="2" a="1"/>
  <c r="EA92" i="2" s="1"/>
  <c r="EA93" i="2" s="1"/>
  <c r="DQ92" i="2" a="1"/>
  <c r="DQ92" i="2" s="1"/>
  <c r="DQ93" i="2" s="1"/>
  <c r="DL94" i="2" a="1"/>
  <c r="DL94" i="2" s="1"/>
  <c r="DL95" i="2" s="1"/>
  <c r="DO100" i="2" a="1"/>
  <c r="DO100" i="2" s="1"/>
  <c r="DO101" i="2" s="1"/>
  <c r="DU96" i="2" a="1"/>
  <c r="DU96" i="2" s="1"/>
  <c r="DU97" i="2" s="1"/>
  <c r="EF94" i="2" a="1"/>
  <c r="EF94" i="2" s="1"/>
  <c r="EF95" i="2" s="1"/>
  <c r="DJ94" i="2" a="1"/>
  <c r="DJ94" i="2" s="1"/>
  <c r="DJ95" i="2" s="1"/>
  <c r="DH95" i="2" s="1"/>
  <c r="DM92" i="2" a="1"/>
  <c r="DM92" i="2" s="1"/>
  <c r="DM93" i="2" s="1"/>
  <c r="DX98" i="2" a="1"/>
  <c r="DX98" i="2" s="1"/>
  <c r="DX99" i="2" s="1"/>
  <c r="DG96" i="2" a="1"/>
  <c r="DG96" i="2" s="1"/>
  <c r="DO92" i="2" a="1"/>
  <c r="DO92" i="2" s="1"/>
  <c r="DO93" i="2" s="1"/>
  <c r="DX94" i="2" a="1"/>
  <c r="DX94" i="2" s="1"/>
  <c r="DX95" i="2" s="1"/>
  <c r="V54" i="1"/>
  <c r="CF9" i="2"/>
  <c r="S51" i="1"/>
  <c r="V51" i="1" s="1"/>
  <c r="CK9" i="2"/>
  <c r="U56" i="1" s="1"/>
  <c r="S56" i="1"/>
  <c r="CO51" i="2"/>
  <c r="CK7" i="2"/>
  <c r="N56" i="1" s="1"/>
  <c r="L56" i="1"/>
  <c r="O56" i="1" s="1"/>
  <c r="M4" i="1"/>
  <c r="CF31" i="2"/>
  <c r="CJ17" i="2"/>
  <c r="CB17" i="2" s="1"/>
  <c r="AH9" i="2" s="1"/>
  <c r="AI9" i="2" s="1"/>
  <c r="CO17" i="2"/>
  <c r="CM5" i="2"/>
  <c r="S20" i="1"/>
  <c r="CF5" i="2"/>
  <c r="S9" i="1"/>
  <c r="CK5" i="2"/>
  <c r="U14" i="1" s="1"/>
  <c r="S14" i="1"/>
  <c r="V14" i="1" s="1"/>
  <c r="ER328" i="2"/>
  <c r="FH326" i="2" a="1"/>
  <c r="FH326" i="2" s="1"/>
  <c r="FH327" i="2" s="1"/>
  <c r="FD326" i="2" a="1"/>
  <c r="FD326" i="2" s="1"/>
  <c r="FD327" i="2" s="1"/>
  <c r="ER326" i="2" a="1"/>
  <c r="ER326" i="2" s="1"/>
  <c r="ER327" i="2" s="1"/>
  <c r="FI324" i="2" a="1"/>
  <c r="FI324" i="2" s="1"/>
  <c r="FI325" i="2" s="1"/>
  <c r="EM328" i="2"/>
  <c r="EI328" i="2"/>
  <c r="FG326" i="2" a="1"/>
  <c r="FG326" i="2" s="1"/>
  <c r="FG327" i="2" s="1"/>
  <c r="EU326" i="2" a="1"/>
  <c r="EU326" i="2" s="1"/>
  <c r="EU327" i="2" s="1"/>
  <c r="EQ326" i="2" a="1"/>
  <c r="EQ326" i="2" s="1"/>
  <c r="EQ327" i="2" s="1"/>
  <c r="EM326" i="2" a="1"/>
  <c r="EM326" i="2" s="1"/>
  <c r="EM327" i="2" s="1"/>
  <c r="EX326" i="2" a="1"/>
  <c r="EX326" i="2" s="1"/>
  <c r="EX327" i="2" s="1"/>
  <c r="ET326" i="2" a="1"/>
  <c r="ET326" i="2" s="1"/>
  <c r="ET327" i="2" s="1"/>
  <c r="EP326" i="2" a="1"/>
  <c r="EP326" i="2" s="1"/>
  <c r="EP327" i="2" s="1"/>
  <c r="EJ326" i="2" a="1"/>
  <c r="EJ326" i="2" s="1"/>
  <c r="ER324" i="2" a="1"/>
  <c r="ER324" i="2" s="1"/>
  <c r="ER325" i="2" s="1"/>
  <c r="FI322" i="2" a="1"/>
  <c r="FI322" i="2" s="1"/>
  <c r="FI323" i="2" s="1"/>
  <c r="FA322" i="2" a="1"/>
  <c r="FA322" i="2" s="1"/>
  <c r="FA323" i="2" s="1"/>
  <c r="ES322" i="2" a="1"/>
  <c r="ES322" i="2" s="1"/>
  <c r="ES323" i="2" s="1"/>
  <c r="EO322" i="2" a="1"/>
  <c r="EO322" i="2" s="1"/>
  <c r="EO323" i="2" s="1"/>
  <c r="EX320" i="2" a="1"/>
  <c r="EX320" i="2" s="1"/>
  <c r="EX321" i="2" s="1"/>
  <c r="ET320" i="2" a="1"/>
  <c r="ET320" i="2" s="1"/>
  <c r="ET321" i="2" s="1"/>
  <c r="EP320" i="2" a="1"/>
  <c r="EP320" i="2" s="1"/>
  <c r="EP321" i="2" s="1"/>
  <c r="EJ320" i="2" a="1"/>
  <c r="EJ320" i="2" s="1"/>
  <c r="FG318" i="2" a="1"/>
  <c r="FG318" i="2" s="1"/>
  <c r="FG319" i="2" s="1"/>
  <c r="EU318" i="2" a="1"/>
  <c r="EU318" i="2" s="1"/>
  <c r="EU319" i="2" s="1"/>
  <c r="EQ318" i="2" a="1"/>
  <c r="EQ318" i="2" s="1"/>
  <c r="EQ319" i="2" s="1"/>
  <c r="EM318" i="2" a="1"/>
  <c r="EM318" i="2" s="1"/>
  <c r="EM319" i="2" s="1"/>
  <c r="FH316" i="2" a="1"/>
  <c r="FH316" i="2" s="1"/>
  <c r="FH317" i="2" s="1"/>
  <c r="FD316" i="2" a="1"/>
  <c r="FD316" i="2" s="1"/>
  <c r="FD317" i="2" s="1"/>
  <c r="ER316" i="2" a="1"/>
  <c r="ER316" i="2" s="1"/>
  <c r="ER317" i="2" s="1"/>
  <c r="FI314" i="2" a="1"/>
  <c r="FI314" i="2" s="1"/>
  <c r="FI315" i="2" s="1"/>
  <c r="FD324" i="2" a="1"/>
  <c r="FD324" i="2" s="1"/>
  <c r="FD325" i="2" s="1"/>
  <c r="FI326" i="2" a="1"/>
  <c r="FI326" i="2" s="1"/>
  <c r="FI327" i="2" s="1"/>
  <c r="EU324" i="2" a="1"/>
  <c r="EU324" i="2" s="1"/>
  <c r="EU325" i="2" s="1"/>
  <c r="EQ324" i="2" a="1"/>
  <c r="EQ324" i="2" s="1"/>
  <c r="EQ325" i="2" s="1"/>
  <c r="EM324" i="2" a="1"/>
  <c r="EM324" i="2" s="1"/>
  <c r="EM325" i="2" s="1"/>
  <c r="EK325" i="2" s="1"/>
  <c r="FH322" i="2" a="1"/>
  <c r="FH322" i="2" s="1"/>
  <c r="FH323" i="2" s="1"/>
  <c r="FD322" i="2" a="1"/>
  <c r="FD322" i="2" s="1"/>
  <c r="FD323" i="2" s="1"/>
  <c r="ER322" i="2" a="1"/>
  <c r="ER322" i="2" s="1"/>
  <c r="ER323" i="2" s="1"/>
  <c r="FI320" i="2" a="1"/>
  <c r="FI320" i="2" s="1"/>
  <c r="FI321" i="2" s="1"/>
  <c r="FA320" i="2" a="1"/>
  <c r="FA320" i="2" s="1"/>
  <c r="FA321" i="2" s="1"/>
  <c r="ES320" i="2" a="1"/>
  <c r="ES320" i="2" s="1"/>
  <c r="ES321" i="2" s="1"/>
  <c r="EO320" i="2" a="1"/>
  <c r="EO320" i="2" s="1"/>
  <c r="EO321" i="2" s="1"/>
  <c r="EX318" i="2" a="1"/>
  <c r="EX318" i="2" s="1"/>
  <c r="EX319" i="2" s="1"/>
  <c r="ET318" i="2" a="1"/>
  <c r="ET318" i="2" s="1"/>
  <c r="ET319" i="2" s="1"/>
  <c r="EP318" i="2" a="1"/>
  <c r="EP318" i="2" s="1"/>
  <c r="EP319" i="2" s="1"/>
  <c r="EJ318" i="2" a="1"/>
  <c r="EJ318" i="2" s="1"/>
  <c r="FG316" i="2" a="1"/>
  <c r="FG316" i="2" s="1"/>
  <c r="FG317" i="2" s="1"/>
  <c r="EU316" i="2" a="1"/>
  <c r="EU316" i="2" s="1"/>
  <c r="EU317" i="2" s="1"/>
  <c r="EQ316" i="2" a="1"/>
  <c r="EQ316" i="2" s="1"/>
  <c r="EQ317" i="2" s="1"/>
  <c r="EM316" i="2" a="1"/>
  <c r="EM316" i="2" s="1"/>
  <c r="EM317" i="2" s="1"/>
  <c r="FH324" i="2" a="1"/>
  <c r="FH324" i="2" s="1"/>
  <c r="FH325" i="2" s="1"/>
  <c r="FA326" i="2" a="1"/>
  <c r="FA326" i="2" s="1"/>
  <c r="FA327" i="2" s="1"/>
  <c r="FG324" i="2" a="1"/>
  <c r="FG324" i="2" s="1"/>
  <c r="FG325" i="2" s="1"/>
  <c r="EX324" i="2" a="1"/>
  <c r="EX324" i="2" s="1"/>
  <c r="EX325" i="2" s="1"/>
  <c r="ET324" i="2" a="1"/>
  <c r="ET324" i="2" s="1"/>
  <c r="ET325" i="2" s="1"/>
  <c r="EP324" i="2" a="1"/>
  <c r="EP324" i="2" s="1"/>
  <c r="EP325" i="2" s="1"/>
  <c r="EJ324" i="2" a="1"/>
  <c r="EJ324" i="2" s="1"/>
  <c r="FG322" i="2" a="1"/>
  <c r="FG322" i="2" s="1"/>
  <c r="FG323" i="2" s="1"/>
  <c r="EU322" i="2" a="1"/>
  <c r="EU322" i="2" s="1"/>
  <c r="EU323" i="2" s="1"/>
  <c r="EQ322" i="2" a="1"/>
  <c r="EQ322" i="2" s="1"/>
  <c r="EQ323" i="2" s="1"/>
  <c r="EM322" i="2" a="1"/>
  <c r="EM322" i="2" s="1"/>
  <c r="EM323" i="2" s="1"/>
  <c r="FH320" i="2" a="1"/>
  <c r="FH320" i="2" s="1"/>
  <c r="FH321" i="2" s="1"/>
  <c r="FD320" i="2" a="1"/>
  <c r="FD320" i="2" s="1"/>
  <c r="FD321" i="2" s="1"/>
  <c r="ER320" i="2" a="1"/>
  <c r="ER320" i="2" s="1"/>
  <c r="ER321" i="2" s="1"/>
  <c r="FI318" i="2" a="1"/>
  <c r="FI318" i="2" s="1"/>
  <c r="FI319" i="2" s="1"/>
  <c r="FA318" i="2" a="1"/>
  <c r="FA318" i="2" s="1"/>
  <c r="FA319" i="2" s="1"/>
  <c r="ES318" i="2" a="1"/>
  <c r="ES318" i="2" s="1"/>
  <c r="ES319" i="2" s="1"/>
  <c r="EO318" i="2" a="1"/>
  <c r="EO318" i="2" s="1"/>
  <c r="EO319" i="2" s="1"/>
  <c r="EX316" i="2" a="1"/>
  <c r="EX316" i="2" s="1"/>
  <c r="EX317" i="2" s="1"/>
  <c r="ET316" i="2" a="1"/>
  <c r="ET316" i="2" s="1"/>
  <c r="ET317" i="2" s="1"/>
  <c r="EP316" i="2" a="1"/>
  <c r="EP316" i="2" s="1"/>
  <c r="EP317" i="2" s="1"/>
  <c r="EJ316" i="2" a="1"/>
  <c r="EJ316" i="2" s="1"/>
  <c r="FG314" i="2" a="1"/>
  <c r="FG314" i="2" s="1"/>
  <c r="FG315" i="2" s="1"/>
  <c r="ES326" i="2" a="1"/>
  <c r="ES326" i="2" s="1"/>
  <c r="ES327" i="2" s="1"/>
  <c r="FA324" i="2" a="1"/>
  <c r="FA324" i="2" s="1"/>
  <c r="FA325" i="2" s="1"/>
  <c r="ES324" i="2" a="1"/>
  <c r="ES324" i="2" s="1"/>
  <c r="ES325" i="2" s="1"/>
  <c r="EO324" i="2" a="1"/>
  <c r="EO324" i="2" s="1"/>
  <c r="EO325" i="2" s="1"/>
  <c r="EX322" i="2" a="1"/>
  <c r="EX322" i="2" s="1"/>
  <c r="EX323" i="2" s="1"/>
  <c r="EL323" i="2" s="1"/>
  <c r="ET322" i="2" a="1"/>
  <c r="ET322" i="2" s="1"/>
  <c r="ET323" i="2" s="1"/>
  <c r="EP322" i="2" a="1"/>
  <c r="EP322" i="2" s="1"/>
  <c r="EP323" i="2" s="1"/>
  <c r="EJ322" i="2" a="1"/>
  <c r="EJ322" i="2" s="1"/>
  <c r="FG320" i="2" a="1"/>
  <c r="FG320" i="2" s="1"/>
  <c r="FG321" i="2" s="1"/>
  <c r="EU320" i="2" a="1"/>
  <c r="EU320" i="2" s="1"/>
  <c r="EU321" i="2" s="1"/>
  <c r="EQ320" i="2" a="1"/>
  <c r="EQ320" i="2" s="1"/>
  <c r="EQ321" i="2" s="1"/>
  <c r="EM320" i="2" a="1"/>
  <c r="EM320" i="2" s="1"/>
  <c r="EM321" i="2" s="1"/>
  <c r="FH318" i="2" a="1"/>
  <c r="FH318" i="2" s="1"/>
  <c r="FH319" i="2" s="1"/>
  <c r="FD318" i="2" a="1"/>
  <c r="FD318" i="2" s="1"/>
  <c r="FD319" i="2" s="1"/>
  <c r="ER318" i="2" a="1"/>
  <c r="ER318" i="2" s="1"/>
  <c r="ER319" i="2" s="1"/>
  <c r="FI316" i="2" a="1"/>
  <c r="FI316" i="2" s="1"/>
  <c r="FI317" i="2" s="1"/>
  <c r="FA316" i="2" a="1"/>
  <c r="FA316" i="2" s="1"/>
  <c r="FA317" i="2" s="1"/>
  <c r="ES316" i="2" a="1"/>
  <c r="ES316" i="2" s="1"/>
  <c r="ES317" i="2" s="1"/>
  <c r="EO326" i="2" a="1"/>
  <c r="EO326" i="2" s="1"/>
  <c r="EO327" i="2" s="1"/>
  <c r="ER314" i="2" a="1"/>
  <c r="ER314" i="2" s="1"/>
  <c r="ER315" i="2" s="1"/>
  <c r="FI312" i="2" a="1"/>
  <c r="FI312" i="2" s="1"/>
  <c r="FI313" i="2" s="1"/>
  <c r="FA312" i="2" a="1"/>
  <c r="FA312" i="2" s="1"/>
  <c r="FA313" i="2" s="1"/>
  <c r="ES312" i="2" a="1"/>
  <c r="ES312" i="2" s="1"/>
  <c r="ES313" i="2" s="1"/>
  <c r="EO312" i="2" a="1"/>
  <c r="EO312" i="2" s="1"/>
  <c r="EO313" i="2" s="1"/>
  <c r="EX310" i="2" a="1"/>
  <c r="EX310" i="2" s="1"/>
  <c r="EX311" i="2" s="1"/>
  <c r="ET310" i="2" a="1"/>
  <c r="ET310" i="2" s="1"/>
  <c r="ET311" i="2" s="1"/>
  <c r="EP310" i="2" a="1"/>
  <c r="EP310" i="2" s="1"/>
  <c r="EP311" i="2" s="1"/>
  <c r="EJ310" i="2" a="1"/>
  <c r="EJ310" i="2" s="1"/>
  <c r="FG308" i="2" a="1"/>
  <c r="FG308" i="2" s="1"/>
  <c r="FG309" i="2" s="1"/>
  <c r="EU308" i="2" a="1"/>
  <c r="EU308" i="2" s="1"/>
  <c r="EU309" i="2" s="1"/>
  <c r="EQ308" i="2" a="1"/>
  <c r="EQ308" i="2" s="1"/>
  <c r="EQ309" i="2" s="1"/>
  <c r="EM308" i="2" a="1"/>
  <c r="EM308" i="2" s="1"/>
  <c r="EM309" i="2" s="1"/>
  <c r="FH306" i="2" a="1"/>
  <c r="FH306" i="2" s="1"/>
  <c r="FH307" i="2" s="1"/>
  <c r="FD306" i="2" a="1"/>
  <c r="FD306" i="2" s="1"/>
  <c r="FD307" i="2" s="1"/>
  <c r="EP314" i="2" a="1"/>
  <c r="EP314" i="2" s="1"/>
  <c r="EP315" i="2" s="1"/>
  <c r="FG312" i="2" a="1"/>
  <c r="FG312" i="2" s="1"/>
  <c r="FG313" i="2" s="1"/>
  <c r="EQ312" i="2" a="1"/>
  <c r="EQ312" i="2" s="1"/>
  <c r="EQ313" i="2" s="1"/>
  <c r="EJ312" i="2" a="1"/>
  <c r="EJ312" i="2" s="1"/>
  <c r="FI310" i="2" a="1"/>
  <c r="FI310" i="2" s="1"/>
  <c r="FI311" i="2" s="1"/>
  <c r="ES310" i="2" a="1"/>
  <c r="ES310" i="2" s="1"/>
  <c r="ES311" i="2" s="1"/>
  <c r="EO308" i="2" a="1"/>
  <c r="EO308" i="2" s="1"/>
  <c r="EO309" i="2" s="1"/>
  <c r="EO314" i="2" a="1"/>
  <c r="EO314" i="2" s="1"/>
  <c r="EO315" i="2" s="1"/>
  <c r="FH310" i="2" a="1"/>
  <c r="FH310" i="2" s="1"/>
  <c r="FH311" i="2" s="1"/>
  <c r="ER310" i="2" a="1"/>
  <c r="ER310" i="2" s="1"/>
  <c r="ER311" i="2" s="1"/>
  <c r="EM310" i="2" a="1"/>
  <c r="EM310" i="2" s="1"/>
  <c r="EM311" i="2" s="1"/>
  <c r="EK311" i="2" s="1"/>
  <c r="ET308" i="2" a="1"/>
  <c r="ET308" i="2" s="1"/>
  <c r="ET309" i="2" s="1"/>
  <c r="FA306" i="2" a="1"/>
  <c r="FA306" i="2" s="1"/>
  <c r="FA307" i="2" s="1"/>
  <c r="ES306" i="2" a="1"/>
  <c r="ES306" i="2" s="1"/>
  <c r="ES307" i="2" s="1"/>
  <c r="EO306" i="2" a="1"/>
  <c r="EO306" i="2" s="1"/>
  <c r="EO307" i="2" s="1"/>
  <c r="EX304" i="2" a="1"/>
  <c r="EX304" i="2" s="1"/>
  <c r="EX305" i="2" s="1"/>
  <c r="ET304" i="2" a="1"/>
  <c r="ET304" i="2" s="1"/>
  <c r="ET305" i="2" s="1"/>
  <c r="EP304" i="2" a="1"/>
  <c r="EP304" i="2" s="1"/>
  <c r="EP305" i="2" s="1"/>
  <c r="EJ304" i="2" a="1"/>
  <c r="EJ304" i="2" s="1"/>
  <c r="FG302" i="2" a="1"/>
  <c r="FG302" i="2" s="1"/>
  <c r="FG303" i="2" s="1"/>
  <c r="EU302" i="2" a="1"/>
  <c r="EU302" i="2" s="1"/>
  <c r="EU303" i="2" s="1"/>
  <c r="EQ302" i="2" a="1"/>
  <c r="EQ302" i="2" s="1"/>
  <c r="EQ303" i="2" s="1"/>
  <c r="EM302" i="2" a="1"/>
  <c r="EM302" i="2" s="1"/>
  <c r="EM303" i="2" s="1"/>
  <c r="FA314" i="2" a="1"/>
  <c r="FA314" i="2" s="1"/>
  <c r="FA315" i="2" s="1"/>
  <c r="EU314" i="2" a="1"/>
  <c r="EU314" i="2" s="1"/>
  <c r="EU315" i="2" s="1"/>
  <c r="EU312" i="2" a="1"/>
  <c r="EU312" i="2" s="1"/>
  <c r="EU313" i="2" s="1"/>
  <c r="EP312" i="2" a="1"/>
  <c r="EP312" i="2" s="1"/>
  <c r="EP313" i="2" s="1"/>
  <c r="FI308" i="2" a="1"/>
  <c r="FI308" i="2" s="1"/>
  <c r="FI309" i="2" s="1"/>
  <c r="FD308" i="2" a="1"/>
  <c r="FD308" i="2" s="1"/>
  <c r="FD309" i="2" s="1"/>
  <c r="ES308" i="2" a="1"/>
  <c r="ES308" i="2" s="1"/>
  <c r="ES309" i="2" s="1"/>
  <c r="FH314" i="2" a="1"/>
  <c r="FH314" i="2" s="1"/>
  <c r="FH315" i="2" s="1"/>
  <c r="ET314" i="2" a="1"/>
  <c r="ET314" i="2" s="1"/>
  <c r="ET315" i="2" s="1"/>
  <c r="FG310" i="2" a="1"/>
  <c r="FG310" i="2" s="1"/>
  <c r="FG311" i="2" s="1"/>
  <c r="EQ310" i="2" a="1"/>
  <c r="EQ310" i="2" s="1"/>
  <c r="EQ311" i="2" s="1"/>
  <c r="EX308" i="2" a="1"/>
  <c r="EX308" i="2" s="1"/>
  <c r="EX309" i="2" s="1"/>
  <c r="FI306" i="2" a="1"/>
  <c r="FI306" i="2" s="1"/>
  <c r="FI307" i="2" s="1"/>
  <c r="ER306" i="2" a="1"/>
  <c r="ER306" i="2" s="1"/>
  <c r="ER307" i="2" s="1"/>
  <c r="FI304" i="2" a="1"/>
  <c r="FI304" i="2" s="1"/>
  <c r="FI305" i="2" s="1"/>
  <c r="FA304" i="2" a="1"/>
  <c r="FA304" i="2" s="1"/>
  <c r="FA305" i="2" s="1"/>
  <c r="ES304" i="2" a="1"/>
  <c r="ES304" i="2" s="1"/>
  <c r="ES305" i="2" s="1"/>
  <c r="EO304" i="2" a="1"/>
  <c r="EO304" i="2" s="1"/>
  <c r="EO305" i="2" s="1"/>
  <c r="EX302" i="2" a="1"/>
  <c r="EX302" i="2" s="1"/>
  <c r="EX303" i="2" s="1"/>
  <c r="ET302" i="2" a="1"/>
  <c r="ET302" i="2" s="1"/>
  <c r="ET303" i="2" s="1"/>
  <c r="EP302" i="2" a="1"/>
  <c r="EP302" i="2" s="1"/>
  <c r="EP303" i="2" s="1"/>
  <c r="EJ302" i="2" a="1"/>
  <c r="EJ302" i="2" s="1"/>
  <c r="EO316" i="2" a="1"/>
  <c r="EO316" i="2" s="1"/>
  <c r="EO317" i="2" s="1"/>
  <c r="ES314" i="2" a="1"/>
  <c r="ES314" i="2" s="1"/>
  <c r="ES315" i="2" s="1"/>
  <c r="EM314" i="2" a="1"/>
  <c r="EM314" i="2" s="1"/>
  <c r="EM315" i="2" s="1"/>
  <c r="EK315" i="2" s="1"/>
  <c r="ET312" i="2" a="1"/>
  <c r="ET312" i="2" s="1"/>
  <c r="ET313" i="2" s="1"/>
  <c r="FA310" i="2" a="1"/>
  <c r="FA310" i="2" s="1"/>
  <c r="FA311" i="2" s="1"/>
  <c r="FH308" i="2" a="1"/>
  <c r="FH308" i="2" s="1"/>
  <c r="FH309" i="2" s="1"/>
  <c r="ER308" i="2" a="1"/>
  <c r="ER308" i="2" s="1"/>
  <c r="ER309" i="2" s="1"/>
  <c r="EJ314" i="2" a="1"/>
  <c r="EJ314" i="2" s="1"/>
  <c r="EX314" i="2" a="1"/>
  <c r="EX314" i="2" s="1"/>
  <c r="EX315" i="2" s="1"/>
  <c r="EX312" i="2" a="1"/>
  <c r="EX312" i="2" s="1"/>
  <c r="EX313" i="2" s="1"/>
  <c r="EM312" i="2" a="1"/>
  <c r="EM312" i="2" s="1"/>
  <c r="EM313" i="2" s="1"/>
  <c r="EK313" i="2" s="1"/>
  <c r="FD314" i="2" a="1"/>
  <c r="FD314" i="2" s="1"/>
  <c r="FD315" i="2" s="1"/>
  <c r="EQ314" i="2" a="1"/>
  <c r="EQ314" i="2" s="1"/>
  <c r="EQ315" i="2" s="1"/>
  <c r="FH312" i="2" a="1"/>
  <c r="FH312" i="2" s="1"/>
  <c r="FH313" i="2" s="1"/>
  <c r="ER312" i="2" a="1"/>
  <c r="ER312" i="2" s="1"/>
  <c r="ER313" i="2" s="1"/>
  <c r="FD310" i="2" a="1"/>
  <c r="FD310" i="2" s="1"/>
  <c r="FD311" i="2" s="1"/>
  <c r="EO310" i="2" a="1"/>
  <c r="EO310" i="2" s="1"/>
  <c r="EO311" i="2" s="1"/>
  <c r="ES302" i="2" a="1"/>
  <c r="ES302" i="2" s="1"/>
  <c r="ES303" i="2" s="1"/>
  <c r="ET306" i="2" a="1"/>
  <c r="ET306" i="2" s="1"/>
  <c r="ET307" i="2" s="1"/>
  <c r="FD304" i="2" a="1"/>
  <c r="FD304" i="2" s="1"/>
  <c r="FD305" i="2" s="1"/>
  <c r="EP308" i="2" a="1"/>
  <c r="EP308" i="2" s="1"/>
  <c r="EP309" i="2" s="1"/>
  <c r="EQ306" i="2" a="1"/>
  <c r="EQ306" i="2" s="1"/>
  <c r="EQ307" i="2" s="1"/>
  <c r="ER302" i="2" a="1"/>
  <c r="ER302" i="2" s="1"/>
  <c r="ER303" i="2" s="1"/>
  <c r="FA308" i="2" a="1"/>
  <c r="FA308" i="2" s="1"/>
  <c r="FA309" i="2" s="1"/>
  <c r="EJ308" i="2" a="1"/>
  <c r="EJ308" i="2" s="1"/>
  <c r="EP306" i="2" a="1"/>
  <c r="EP306" i="2" s="1"/>
  <c r="EP307" i="2" s="1"/>
  <c r="FI302" i="2" a="1"/>
  <c r="FI302" i="2" s="1"/>
  <c r="FI303" i="2" s="1"/>
  <c r="EU310" i="2" a="1"/>
  <c r="EU310" i="2" s="1"/>
  <c r="EU311" i="2" s="1"/>
  <c r="EM306" i="2" a="1"/>
  <c r="EM306" i="2" s="1"/>
  <c r="EM307" i="2" s="1"/>
  <c r="FH304" i="2" a="1"/>
  <c r="FH304" i="2" s="1"/>
  <c r="FH305" i="2" s="1"/>
  <c r="ER304" i="2" a="1"/>
  <c r="ER304" i="2" s="1"/>
  <c r="ER305" i="2" s="1"/>
  <c r="EO302" i="2" a="1"/>
  <c r="EO302" i="2" s="1"/>
  <c r="EO303" i="2" s="1"/>
  <c r="EX306" i="2" a="1"/>
  <c r="EX306" i="2" s="1"/>
  <c r="EX307" i="2" s="1"/>
  <c r="FH302" i="2" a="1"/>
  <c r="FH302" i="2" s="1"/>
  <c r="FH303" i="2" s="1"/>
  <c r="FA302" i="2" a="1"/>
  <c r="FA302" i="2" s="1"/>
  <c r="FA303" i="2" s="1"/>
  <c r="FD312" i="2" a="1"/>
  <c r="FD312" i="2" s="1"/>
  <c r="FD313" i="2" s="1"/>
  <c r="FG306" i="2" a="1"/>
  <c r="FG306" i="2" s="1"/>
  <c r="FG307" i="2" s="1"/>
  <c r="EU306" i="2" a="1"/>
  <c r="EU306" i="2" s="1"/>
  <c r="EU307" i="2" s="1"/>
  <c r="EJ306" i="2" a="1"/>
  <c r="EJ306" i="2" s="1"/>
  <c r="FG304" i="2" a="1"/>
  <c r="FG304" i="2" s="1"/>
  <c r="FG305" i="2" s="1"/>
  <c r="EQ304" i="2" a="1"/>
  <c r="EQ304" i="2" s="1"/>
  <c r="EQ305" i="2" s="1"/>
  <c r="EM304" i="2" a="1"/>
  <c r="EM304" i="2" s="1"/>
  <c r="EM305" i="2" s="1"/>
  <c r="FD302" i="2" a="1"/>
  <c r="FD302" i="2" s="1"/>
  <c r="FD303" i="2" s="1"/>
  <c r="EU304" i="2" a="1"/>
  <c r="EU304" i="2" s="1"/>
  <c r="EU305" i="2" s="1"/>
  <c r="CZ9" i="2"/>
  <c r="U63" i="1" s="1"/>
  <c r="S63" i="1"/>
  <c r="CC19" i="2"/>
  <c r="AJ10" i="2" s="1"/>
  <c r="AK10" i="2" s="1"/>
  <c r="CQ5" i="2"/>
  <c r="S18" i="1"/>
  <c r="CF13" i="2"/>
  <c r="CF11" i="2"/>
  <c r="CC27" i="2"/>
  <c r="AJ14" i="2" s="1"/>
  <c r="AK14" i="2" s="1"/>
  <c r="N18" i="1"/>
  <c r="CC3" i="2"/>
  <c r="AJ2" i="2" s="1"/>
  <c r="CO7" i="2"/>
  <c r="N58" i="1" s="1"/>
  <c r="L58" i="1"/>
  <c r="CF35" i="2"/>
  <c r="CK35" i="2"/>
  <c r="CK61" i="2"/>
  <c r="CB45" i="2"/>
  <c r="AH23" i="2" s="1"/>
  <c r="AI23" i="2" s="1"/>
  <c r="CC25" i="2"/>
  <c r="AJ13" i="2" s="1"/>
  <c r="AK13" i="2" s="1"/>
  <c r="CK11" i="2"/>
  <c r="CC11" i="2"/>
  <c r="AJ6" i="2" s="1"/>
  <c r="AK6" i="2" s="1"/>
  <c r="CJ21" i="2"/>
  <c r="CO21" i="2"/>
  <c r="CB27" i="2"/>
  <c r="AH14" i="2" s="1"/>
  <c r="AI14" i="2" s="1"/>
  <c r="CJ41" i="2"/>
  <c r="CO41" i="2"/>
  <c r="CQ3" i="2"/>
  <c r="L18" i="1"/>
  <c r="O18" i="1" s="1"/>
  <c r="CB39" i="2"/>
  <c r="AH20" i="2" s="1"/>
  <c r="AI20" i="2" s="1"/>
  <c r="CK49" i="2"/>
  <c r="V53" i="1"/>
  <c r="CM9" i="2"/>
  <c r="CJ9" i="2"/>
  <c r="U55" i="1" s="1"/>
  <c r="S55" i="1"/>
  <c r="V55" i="1" s="1"/>
  <c r="CO9" i="2"/>
  <c r="U58" i="1" s="1"/>
  <c r="S58" i="1"/>
  <c r="V58" i="1" s="1"/>
  <c r="CR7" i="2"/>
  <c r="N59" i="1" s="1"/>
  <c r="L59" i="1"/>
  <c r="CM53" i="2"/>
  <c r="M5" i="1"/>
  <c r="CJ31" i="2"/>
  <c r="CM31" i="2"/>
  <c r="CB19" i="2"/>
  <c r="AH10" i="2" s="1"/>
  <c r="AI10" i="2" s="1"/>
  <c r="CK19" i="2"/>
  <c r="CJ5" i="2"/>
  <c r="U13" i="1" s="1"/>
  <c r="S13" i="1"/>
  <c r="V13" i="1" s="1"/>
  <c r="CO5" i="2"/>
  <c r="U16" i="1" s="1"/>
  <c r="S16" i="1"/>
  <c r="EX116" i="2" a="1"/>
  <c r="EX116" i="2" s="1"/>
  <c r="EX117" i="2" s="1"/>
  <c r="ET116" i="2" a="1"/>
  <c r="ET116" i="2" s="1"/>
  <c r="ET117" i="2" s="1"/>
  <c r="EP116" i="2" a="1"/>
  <c r="EP116" i="2" s="1"/>
  <c r="EP117" i="2" s="1"/>
  <c r="EJ116" i="2" a="1"/>
  <c r="EJ116" i="2" s="1"/>
  <c r="FG114" i="2" a="1"/>
  <c r="FG114" i="2" s="1"/>
  <c r="FG115" i="2" s="1"/>
  <c r="EU114" i="2" a="1"/>
  <c r="EU114" i="2" s="1"/>
  <c r="EU115" i="2" s="1"/>
  <c r="EQ114" i="2" a="1"/>
  <c r="EQ114" i="2" s="1"/>
  <c r="EQ115" i="2" s="1"/>
  <c r="EM114" i="2" a="1"/>
  <c r="EM114" i="2" s="1"/>
  <c r="EM115" i="2" s="1"/>
  <c r="FH112" i="2" a="1"/>
  <c r="FH112" i="2" s="1"/>
  <c r="FH113" i="2" s="1"/>
  <c r="FD112" i="2" a="1"/>
  <c r="FD112" i="2" s="1"/>
  <c r="FD113" i="2" s="1"/>
  <c r="ER112" i="2" a="1"/>
  <c r="ER112" i="2" s="1"/>
  <c r="ER113" i="2" s="1"/>
  <c r="FI110" i="2" a="1"/>
  <c r="FI110" i="2" s="1"/>
  <c r="FI111" i="2" s="1"/>
  <c r="FA110" i="2" a="1"/>
  <c r="FA110" i="2" s="1"/>
  <c r="FA111" i="2" s="1"/>
  <c r="ES110" i="2" a="1"/>
  <c r="ES110" i="2" s="1"/>
  <c r="ES111" i="2" s="1"/>
  <c r="EO110" i="2" a="1"/>
  <c r="EO110" i="2" s="1"/>
  <c r="EO111" i="2" s="1"/>
  <c r="EX108" i="2" a="1"/>
  <c r="EX108" i="2" s="1"/>
  <c r="EX109" i="2" s="1"/>
  <c r="ET108" i="2" a="1"/>
  <c r="ET108" i="2" s="1"/>
  <c r="ET109" i="2" s="1"/>
  <c r="EP108" i="2" a="1"/>
  <c r="EP108" i="2" s="1"/>
  <c r="EP109" i="2" s="1"/>
  <c r="EJ108" i="2" a="1"/>
  <c r="EJ108" i="2" s="1"/>
  <c r="FG106" i="2" a="1"/>
  <c r="FG106" i="2" s="1"/>
  <c r="FG107" i="2" s="1"/>
  <c r="EU106" i="2" a="1"/>
  <c r="EU106" i="2" s="1"/>
  <c r="EU107" i="2" s="1"/>
  <c r="EQ106" i="2" a="1"/>
  <c r="EQ106" i="2" s="1"/>
  <c r="EQ107" i="2" s="1"/>
  <c r="EM106" i="2" a="1"/>
  <c r="EM106" i="2" s="1"/>
  <c r="EM107" i="2" s="1"/>
  <c r="FH104" i="2" a="1"/>
  <c r="FH104" i="2" s="1"/>
  <c r="FH105" i="2" s="1"/>
  <c r="FD104" i="2" a="1"/>
  <c r="FD104" i="2" s="1"/>
  <c r="FD105" i="2" s="1"/>
  <c r="ER104" i="2" a="1"/>
  <c r="ER104" i="2" s="1"/>
  <c r="ER105" i="2" s="1"/>
  <c r="FI102" i="2" a="1"/>
  <c r="FI102" i="2" s="1"/>
  <c r="FI103" i="2" s="1"/>
  <c r="FA102" i="2" a="1"/>
  <c r="FA102" i="2" s="1"/>
  <c r="FA103" i="2" s="1"/>
  <c r="ES102" i="2" a="1"/>
  <c r="ES102" i="2" s="1"/>
  <c r="ES103" i="2" s="1"/>
  <c r="EO102" i="2" a="1"/>
  <c r="EO102" i="2" s="1"/>
  <c r="EO103" i="2" s="1"/>
  <c r="EX100" i="2" a="1"/>
  <c r="EX100" i="2" s="1"/>
  <c r="EX101" i="2" s="1"/>
  <c r="ET100" i="2" a="1"/>
  <c r="ET100" i="2" s="1"/>
  <c r="ET101" i="2" s="1"/>
  <c r="EP100" i="2" a="1"/>
  <c r="EP100" i="2" s="1"/>
  <c r="EP101" i="2" s="1"/>
  <c r="EJ100" i="2" a="1"/>
  <c r="EJ100" i="2" s="1"/>
  <c r="FG98" i="2" a="1"/>
  <c r="FG98" i="2" s="1"/>
  <c r="FG99" i="2" s="1"/>
  <c r="EU98" i="2" a="1"/>
  <c r="EU98" i="2" s="1"/>
  <c r="EU99" i="2" s="1"/>
  <c r="EQ98" i="2" a="1"/>
  <c r="EQ98" i="2" s="1"/>
  <c r="EQ99" i="2" s="1"/>
  <c r="EM98" i="2" a="1"/>
  <c r="EM98" i="2" s="1"/>
  <c r="EM99" i="2" s="1"/>
  <c r="FH96" i="2" a="1"/>
  <c r="FH96" i="2" s="1"/>
  <c r="FH97" i="2" s="1"/>
  <c r="FD96" i="2" a="1"/>
  <c r="FD96" i="2" s="1"/>
  <c r="FD97" i="2" s="1"/>
  <c r="ER96" i="2" a="1"/>
  <c r="ER96" i="2" s="1"/>
  <c r="ER97" i="2" s="1"/>
  <c r="FI94" i="2" a="1"/>
  <c r="FI94" i="2" s="1"/>
  <c r="FI95" i="2" s="1"/>
  <c r="FA94" i="2" a="1"/>
  <c r="FA94" i="2" s="1"/>
  <c r="FA95" i="2" s="1"/>
  <c r="ES94" i="2" a="1"/>
  <c r="ES94" i="2" s="1"/>
  <c r="ES95" i="2" s="1"/>
  <c r="EO94" i="2" a="1"/>
  <c r="EO94" i="2" s="1"/>
  <c r="EO95" i="2" s="1"/>
  <c r="EX92" i="2" a="1"/>
  <c r="EX92" i="2" s="1"/>
  <c r="EX93" i="2" s="1"/>
  <c r="ET92" i="2" a="1"/>
  <c r="ET92" i="2" s="1"/>
  <c r="ET93" i="2" s="1"/>
  <c r="EP92" i="2" a="1"/>
  <c r="EP92" i="2" s="1"/>
  <c r="EP93" i="2" s="1"/>
  <c r="EJ92" i="2" a="1"/>
  <c r="EJ92" i="2" s="1"/>
  <c r="FI116" i="2" a="1"/>
  <c r="FI116" i="2" s="1"/>
  <c r="FI117" i="2" s="1"/>
  <c r="FA116" i="2" a="1"/>
  <c r="FA116" i="2" s="1"/>
  <c r="FA117" i="2" s="1"/>
  <c r="ES116" i="2" a="1"/>
  <c r="ES116" i="2" s="1"/>
  <c r="ES117" i="2" s="1"/>
  <c r="EO116" i="2" a="1"/>
  <c r="EO116" i="2" s="1"/>
  <c r="EO117" i="2" s="1"/>
  <c r="EX114" i="2" a="1"/>
  <c r="EX114" i="2" s="1"/>
  <c r="EX115" i="2" s="1"/>
  <c r="ET114" i="2" a="1"/>
  <c r="ET114" i="2" s="1"/>
  <c r="ET115" i="2" s="1"/>
  <c r="EP114" i="2" a="1"/>
  <c r="EP114" i="2" s="1"/>
  <c r="EP115" i="2" s="1"/>
  <c r="EJ114" i="2" a="1"/>
  <c r="EJ114" i="2" s="1"/>
  <c r="FG112" i="2" a="1"/>
  <c r="FG112" i="2" s="1"/>
  <c r="FG113" i="2" s="1"/>
  <c r="EU112" i="2" a="1"/>
  <c r="EU112" i="2" s="1"/>
  <c r="EU113" i="2" s="1"/>
  <c r="EQ112" i="2" a="1"/>
  <c r="EQ112" i="2" s="1"/>
  <c r="EQ113" i="2" s="1"/>
  <c r="EM112" i="2" a="1"/>
  <c r="EM112" i="2" s="1"/>
  <c r="EM113" i="2" s="1"/>
  <c r="FH110" i="2" a="1"/>
  <c r="FH110" i="2" s="1"/>
  <c r="FH111" i="2" s="1"/>
  <c r="FD110" i="2" a="1"/>
  <c r="FD110" i="2" s="1"/>
  <c r="FD111" i="2" s="1"/>
  <c r="ER110" i="2" a="1"/>
  <c r="ER110" i="2" s="1"/>
  <c r="ER111" i="2" s="1"/>
  <c r="FI108" i="2" a="1"/>
  <c r="FI108" i="2" s="1"/>
  <c r="FI109" i="2" s="1"/>
  <c r="FA108" i="2" a="1"/>
  <c r="FA108" i="2" s="1"/>
  <c r="FA109" i="2" s="1"/>
  <c r="ES108" i="2" a="1"/>
  <c r="ES108" i="2" s="1"/>
  <c r="ES109" i="2" s="1"/>
  <c r="EO108" i="2" a="1"/>
  <c r="EO108" i="2" s="1"/>
  <c r="EO109" i="2" s="1"/>
  <c r="EX106" i="2" a="1"/>
  <c r="EX106" i="2" s="1"/>
  <c r="EX107" i="2" s="1"/>
  <c r="ET106" i="2" a="1"/>
  <c r="ET106" i="2" s="1"/>
  <c r="ET107" i="2" s="1"/>
  <c r="EP106" i="2" a="1"/>
  <c r="EP106" i="2" s="1"/>
  <c r="EP107" i="2" s="1"/>
  <c r="EJ106" i="2" a="1"/>
  <c r="EJ106" i="2" s="1"/>
  <c r="FG104" i="2" a="1"/>
  <c r="FG104" i="2" s="1"/>
  <c r="FG105" i="2" s="1"/>
  <c r="EU104" i="2" a="1"/>
  <c r="EU104" i="2" s="1"/>
  <c r="EU105" i="2" s="1"/>
  <c r="EQ104" i="2" a="1"/>
  <c r="EQ104" i="2" s="1"/>
  <c r="EQ105" i="2" s="1"/>
  <c r="EM104" i="2" a="1"/>
  <c r="EM104" i="2" s="1"/>
  <c r="EM105" i="2" s="1"/>
  <c r="FH102" i="2" a="1"/>
  <c r="FH102" i="2" s="1"/>
  <c r="FH103" i="2" s="1"/>
  <c r="FD102" i="2" a="1"/>
  <c r="FD102" i="2" s="1"/>
  <c r="FD103" i="2" s="1"/>
  <c r="ER102" i="2" a="1"/>
  <c r="ER102" i="2" s="1"/>
  <c r="ER103" i="2" s="1"/>
  <c r="FI100" i="2" a="1"/>
  <c r="FI100" i="2" s="1"/>
  <c r="FI101" i="2" s="1"/>
  <c r="FA100" i="2" a="1"/>
  <c r="FA100" i="2" s="1"/>
  <c r="FA101" i="2" s="1"/>
  <c r="ES100" i="2" a="1"/>
  <c r="ES100" i="2" s="1"/>
  <c r="ES101" i="2" s="1"/>
  <c r="EO100" i="2" a="1"/>
  <c r="EO100" i="2" s="1"/>
  <c r="EO101" i="2" s="1"/>
  <c r="EX98" i="2" a="1"/>
  <c r="EX98" i="2" s="1"/>
  <c r="EX99" i="2" s="1"/>
  <c r="ET98" i="2" a="1"/>
  <c r="ET98" i="2" s="1"/>
  <c r="ET99" i="2" s="1"/>
  <c r="EP98" i="2" a="1"/>
  <c r="EP98" i="2" s="1"/>
  <c r="EP99" i="2" s="1"/>
  <c r="EJ98" i="2" a="1"/>
  <c r="EJ98" i="2" s="1"/>
  <c r="FG96" i="2" a="1"/>
  <c r="FG96" i="2" s="1"/>
  <c r="FG97" i="2" s="1"/>
  <c r="EU96" i="2" a="1"/>
  <c r="EU96" i="2" s="1"/>
  <c r="EU97" i="2" s="1"/>
  <c r="EQ96" i="2" a="1"/>
  <c r="EQ96" i="2" s="1"/>
  <c r="EQ97" i="2" s="1"/>
  <c r="EM96" i="2" a="1"/>
  <c r="EM96" i="2" s="1"/>
  <c r="EM97" i="2" s="1"/>
  <c r="FH94" i="2" a="1"/>
  <c r="FH94" i="2" s="1"/>
  <c r="FH95" i="2" s="1"/>
  <c r="FD94" i="2" a="1"/>
  <c r="FD94" i="2" s="1"/>
  <c r="FD95" i="2" s="1"/>
  <c r="ER94" i="2" a="1"/>
  <c r="ER94" i="2" s="1"/>
  <c r="ER95" i="2" s="1"/>
  <c r="FI92" i="2" a="1"/>
  <c r="FI92" i="2" s="1"/>
  <c r="FI93" i="2" s="1"/>
  <c r="FA92" i="2" a="1"/>
  <c r="FA92" i="2" s="1"/>
  <c r="FA93" i="2" s="1"/>
  <c r="ES92" i="2" a="1"/>
  <c r="ES92" i="2" s="1"/>
  <c r="ES93" i="2" s="1"/>
  <c r="EO92" i="2" a="1"/>
  <c r="EO92" i="2" s="1"/>
  <c r="EO93" i="2" s="1"/>
  <c r="ER118" i="2"/>
  <c r="FH116" i="2" a="1"/>
  <c r="FH116" i="2" s="1"/>
  <c r="FH117" i="2" s="1"/>
  <c r="FD116" i="2" a="1"/>
  <c r="FD116" i="2" s="1"/>
  <c r="FD117" i="2" s="1"/>
  <c r="ER116" i="2" a="1"/>
  <c r="ER116" i="2" s="1"/>
  <c r="ER117" i="2" s="1"/>
  <c r="FI114" i="2" a="1"/>
  <c r="FI114" i="2" s="1"/>
  <c r="FI115" i="2" s="1"/>
  <c r="FA114" i="2" a="1"/>
  <c r="FA114" i="2" s="1"/>
  <c r="FA115" i="2" s="1"/>
  <c r="ES114" i="2" a="1"/>
  <c r="ES114" i="2" s="1"/>
  <c r="ES115" i="2" s="1"/>
  <c r="EO114" i="2" a="1"/>
  <c r="EO114" i="2" s="1"/>
  <c r="EO115" i="2" s="1"/>
  <c r="EX112" i="2" a="1"/>
  <c r="EX112" i="2" s="1"/>
  <c r="EX113" i="2" s="1"/>
  <c r="ET112" i="2" a="1"/>
  <c r="ET112" i="2" s="1"/>
  <c r="ET113" i="2" s="1"/>
  <c r="EP112" i="2" a="1"/>
  <c r="EP112" i="2" s="1"/>
  <c r="EP113" i="2" s="1"/>
  <c r="EJ112" i="2" a="1"/>
  <c r="EJ112" i="2" s="1"/>
  <c r="FG110" i="2" a="1"/>
  <c r="FG110" i="2" s="1"/>
  <c r="FG111" i="2" s="1"/>
  <c r="EU110" i="2" a="1"/>
  <c r="EU110" i="2" s="1"/>
  <c r="EU111" i="2" s="1"/>
  <c r="EQ110" i="2" a="1"/>
  <c r="EQ110" i="2" s="1"/>
  <c r="EQ111" i="2" s="1"/>
  <c r="EM110" i="2" a="1"/>
  <c r="EM110" i="2" s="1"/>
  <c r="EM111" i="2" s="1"/>
  <c r="FH108" i="2" a="1"/>
  <c r="FH108" i="2" s="1"/>
  <c r="FH109" i="2" s="1"/>
  <c r="FD108" i="2" a="1"/>
  <c r="FD108" i="2" s="1"/>
  <c r="FD109" i="2" s="1"/>
  <c r="ER108" i="2" a="1"/>
  <c r="ER108" i="2" s="1"/>
  <c r="ER109" i="2" s="1"/>
  <c r="FI106" i="2" a="1"/>
  <c r="FI106" i="2" s="1"/>
  <c r="FI107" i="2" s="1"/>
  <c r="FA106" i="2" a="1"/>
  <c r="FA106" i="2" s="1"/>
  <c r="FA107" i="2" s="1"/>
  <c r="ES106" i="2" a="1"/>
  <c r="ES106" i="2" s="1"/>
  <c r="ES107" i="2" s="1"/>
  <c r="EO106" i="2" a="1"/>
  <c r="EO106" i="2" s="1"/>
  <c r="EO107" i="2" s="1"/>
  <c r="EX104" i="2" a="1"/>
  <c r="EX104" i="2" s="1"/>
  <c r="EX105" i="2" s="1"/>
  <c r="EL105" i="2" s="1"/>
  <c r="ET104" i="2" a="1"/>
  <c r="ET104" i="2" s="1"/>
  <c r="ET105" i="2" s="1"/>
  <c r="EP104" i="2" a="1"/>
  <c r="EP104" i="2" s="1"/>
  <c r="EP105" i="2" s="1"/>
  <c r="EJ104" i="2" a="1"/>
  <c r="EJ104" i="2" s="1"/>
  <c r="FG102" i="2" a="1"/>
  <c r="FG102" i="2" s="1"/>
  <c r="FG103" i="2" s="1"/>
  <c r="EU102" i="2" a="1"/>
  <c r="EU102" i="2" s="1"/>
  <c r="EU103" i="2" s="1"/>
  <c r="EQ102" i="2" a="1"/>
  <c r="EQ102" i="2" s="1"/>
  <c r="EQ103" i="2" s="1"/>
  <c r="EM102" i="2" a="1"/>
  <c r="EM102" i="2" s="1"/>
  <c r="EM103" i="2" s="1"/>
  <c r="FH100" i="2" a="1"/>
  <c r="FH100" i="2" s="1"/>
  <c r="FH101" i="2" s="1"/>
  <c r="FD100" i="2" a="1"/>
  <c r="FD100" i="2" s="1"/>
  <c r="FD101" i="2" s="1"/>
  <c r="ER100" i="2" a="1"/>
  <c r="ER100" i="2" s="1"/>
  <c r="ER101" i="2" s="1"/>
  <c r="FI98" i="2" a="1"/>
  <c r="FI98" i="2" s="1"/>
  <c r="FI99" i="2" s="1"/>
  <c r="FA98" i="2" a="1"/>
  <c r="FA98" i="2" s="1"/>
  <c r="FA99" i="2" s="1"/>
  <c r="ES98" i="2" a="1"/>
  <c r="ES98" i="2" s="1"/>
  <c r="ES99" i="2" s="1"/>
  <c r="EO98" i="2" a="1"/>
  <c r="EO98" i="2" s="1"/>
  <c r="EO99" i="2" s="1"/>
  <c r="EX96" i="2" a="1"/>
  <c r="EX96" i="2" s="1"/>
  <c r="EX97" i="2" s="1"/>
  <c r="ET96" i="2" a="1"/>
  <c r="ET96" i="2" s="1"/>
  <c r="ET97" i="2" s="1"/>
  <c r="EP96" i="2" a="1"/>
  <c r="EP96" i="2" s="1"/>
  <c r="EP97" i="2" s="1"/>
  <c r="EJ96" i="2" a="1"/>
  <c r="EJ96" i="2" s="1"/>
  <c r="FG94" i="2" a="1"/>
  <c r="FG94" i="2" s="1"/>
  <c r="FG95" i="2" s="1"/>
  <c r="EU94" i="2" a="1"/>
  <c r="EU94" i="2" s="1"/>
  <c r="EU95" i="2" s="1"/>
  <c r="EQ94" i="2" a="1"/>
  <c r="EQ94" i="2" s="1"/>
  <c r="EQ95" i="2" s="1"/>
  <c r="EM94" i="2" a="1"/>
  <c r="EM94" i="2" s="1"/>
  <c r="EM95" i="2" s="1"/>
  <c r="FH92" i="2" a="1"/>
  <c r="FH92" i="2" s="1"/>
  <c r="FH93" i="2" s="1"/>
  <c r="FD92" i="2" a="1"/>
  <c r="FD92" i="2" s="1"/>
  <c r="FD93" i="2" s="1"/>
  <c r="ER92" i="2" a="1"/>
  <c r="ER92" i="2" s="1"/>
  <c r="ER93" i="2" s="1"/>
  <c r="EM118" i="2"/>
  <c r="EI118" i="2"/>
  <c r="FG116" i="2" a="1"/>
  <c r="FG116" i="2" s="1"/>
  <c r="FG117" i="2" s="1"/>
  <c r="EU116" i="2" a="1"/>
  <c r="EU116" i="2" s="1"/>
  <c r="EU117" i="2" s="1"/>
  <c r="EQ116" i="2" a="1"/>
  <c r="EQ116" i="2" s="1"/>
  <c r="EQ117" i="2" s="1"/>
  <c r="EM116" i="2" a="1"/>
  <c r="EM116" i="2" s="1"/>
  <c r="EM117" i="2" s="1"/>
  <c r="FH114" i="2" a="1"/>
  <c r="FH114" i="2" s="1"/>
  <c r="FH115" i="2" s="1"/>
  <c r="FD114" i="2" a="1"/>
  <c r="FD114" i="2" s="1"/>
  <c r="FD115" i="2" s="1"/>
  <c r="ER114" i="2" a="1"/>
  <c r="ER114" i="2" s="1"/>
  <c r="ER115" i="2" s="1"/>
  <c r="FI112" i="2" a="1"/>
  <c r="FI112" i="2" s="1"/>
  <c r="FI113" i="2" s="1"/>
  <c r="FA112" i="2" a="1"/>
  <c r="FA112" i="2" s="1"/>
  <c r="FA113" i="2" s="1"/>
  <c r="ES112" i="2" a="1"/>
  <c r="ES112" i="2" s="1"/>
  <c r="ES113" i="2" s="1"/>
  <c r="EO112" i="2" a="1"/>
  <c r="EO112" i="2" s="1"/>
  <c r="EO113" i="2" s="1"/>
  <c r="EX110" i="2" a="1"/>
  <c r="EX110" i="2" s="1"/>
  <c r="EX111" i="2" s="1"/>
  <c r="ET110" i="2" a="1"/>
  <c r="ET110" i="2" s="1"/>
  <c r="ET111" i="2" s="1"/>
  <c r="EP110" i="2" a="1"/>
  <c r="EP110" i="2" s="1"/>
  <c r="EP111" i="2" s="1"/>
  <c r="EJ110" i="2" a="1"/>
  <c r="EJ110" i="2" s="1"/>
  <c r="FG108" i="2" a="1"/>
  <c r="FG108" i="2" s="1"/>
  <c r="FG109" i="2" s="1"/>
  <c r="EU108" i="2" a="1"/>
  <c r="EU108" i="2" s="1"/>
  <c r="EU109" i="2" s="1"/>
  <c r="EQ108" i="2" a="1"/>
  <c r="EQ108" i="2" s="1"/>
  <c r="EQ109" i="2" s="1"/>
  <c r="EM108" i="2" a="1"/>
  <c r="EM108" i="2" s="1"/>
  <c r="EM109" i="2" s="1"/>
  <c r="FH106" i="2" a="1"/>
  <c r="FH106" i="2" s="1"/>
  <c r="FH107" i="2" s="1"/>
  <c r="FD106" i="2" a="1"/>
  <c r="FD106" i="2" s="1"/>
  <c r="FD107" i="2" s="1"/>
  <c r="ER106" i="2" a="1"/>
  <c r="ER106" i="2" s="1"/>
  <c r="ER107" i="2" s="1"/>
  <c r="FI104" i="2" a="1"/>
  <c r="FI104" i="2" s="1"/>
  <c r="FI105" i="2" s="1"/>
  <c r="FA104" i="2" a="1"/>
  <c r="FA104" i="2" s="1"/>
  <c r="FA105" i="2" s="1"/>
  <c r="ES104" i="2" a="1"/>
  <c r="ES104" i="2" s="1"/>
  <c r="ES105" i="2" s="1"/>
  <c r="EO104" i="2" a="1"/>
  <c r="EO104" i="2" s="1"/>
  <c r="EO105" i="2" s="1"/>
  <c r="EX102" i="2" a="1"/>
  <c r="EX102" i="2" s="1"/>
  <c r="EX103" i="2" s="1"/>
  <c r="ET102" i="2" a="1"/>
  <c r="ET102" i="2" s="1"/>
  <c r="ET103" i="2" s="1"/>
  <c r="EP102" i="2" a="1"/>
  <c r="EP102" i="2" s="1"/>
  <c r="EP103" i="2" s="1"/>
  <c r="EJ102" i="2" a="1"/>
  <c r="EJ102" i="2" s="1"/>
  <c r="EO96" i="2" a="1"/>
  <c r="EO96" i="2" s="1"/>
  <c r="EO97" i="2" s="1"/>
  <c r="EU92" i="2" a="1"/>
  <c r="EU92" i="2" s="1"/>
  <c r="EU93" i="2" s="1"/>
  <c r="FG100" i="2" a="1"/>
  <c r="FG100" i="2" s="1"/>
  <c r="FG101" i="2" s="1"/>
  <c r="FA96" i="2" a="1"/>
  <c r="FA96" i="2" s="1"/>
  <c r="FA97" i="2" s="1"/>
  <c r="EP94" i="2" a="1"/>
  <c r="EP94" i="2" s="1"/>
  <c r="EP95" i="2" s="1"/>
  <c r="EQ92" i="2" a="1"/>
  <c r="EQ92" i="2" s="1"/>
  <c r="EQ93" i="2" s="1"/>
  <c r="EX94" i="2" a="1"/>
  <c r="EX94" i="2" s="1"/>
  <c r="EX95" i="2" s="1"/>
  <c r="EL95" i="2" s="1"/>
  <c r="EQ100" i="2" a="1"/>
  <c r="EQ100" i="2" s="1"/>
  <c r="EQ101" i="2" s="1"/>
  <c r="FI96" i="2" a="1"/>
  <c r="FI96" i="2" s="1"/>
  <c r="FI97" i="2" s="1"/>
  <c r="ES96" i="2" a="1"/>
  <c r="ES96" i="2" s="1"/>
  <c r="ES97" i="2" s="1"/>
  <c r="EM92" i="2" a="1"/>
  <c r="EM92" i="2" s="1"/>
  <c r="EM93" i="2" s="1"/>
  <c r="EM100" i="2" a="1"/>
  <c r="EM100" i="2" s="1"/>
  <c r="EM101" i="2" s="1"/>
  <c r="EK101" i="2" s="1"/>
  <c r="FD98" i="2" a="1"/>
  <c r="FD98" i="2" s="1"/>
  <c r="FD99" i="2" s="1"/>
  <c r="ET94" i="2" a="1"/>
  <c r="ET94" i="2" s="1"/>
  <c r="ET95" i="2" s="1"/>
  <c r="FG92" i="2" a="1"/>
  <c r="FG92" i="2" s="1"/>
  <c r="FG93" i="2" s="1"/>
  <c r="EU100" i="2" a="1"/>
  <c r="EU100" i="2" s="1"/>
  <c r="EU101" i="2" s="1"/>
  <c r="EJ94" i="2" a="1"/>
  <c r="EJ94" i="2" s="1"/>
  <c r="ER98" i="2" a="1"/>
  <c r="ER98" i="2" s="1"/>
  <c r="ER99" i="2" s="1"/>
  <c r="FH98" i="2" a="1"/>
  <c r="FH98" i="2" s="1"/>
  <c r="FH99" i="2" s="1"/>
  <c r="CP5" i="2"/>
  <c r="S17" i="1"/>
  <c r="V21" i="1"/>
  <c r="T46" i="1"/>
  <c r="M46" i="1"/>
  <c r="EM238" i="2"/>
  <c r="EI238" i="2"/>
  <c r="FG236" i="2" a="1"/>
  <c r="FG236" i="2" s="1"/>
  <c r="FG237" i="2" s="1"/>
  <c r="EU236" i="2" a="1"/>
  <c r="EU236" i="2" s="1"/>
  <c r="EU237" i="2" s="1"/>
  <c r="EQ236" i="2" a="1"/>
  <c r="EQ236" i="2" s="1"/>
  <c r="EQ237" i="2" s="1"/>
  <c r="EM236" i="2" a="1"/>
  <c r="EM236" i="2" s="1"/>
  <c r="EM237" i="2" s="1"/>
  <c r="FH234" i="2" a="1"/>
  <c r="FH234" i="2" s="1"/>
  <c r="FH235" i="2" s="1"/>
  <c r="FD234" i="2" a="1"/>
  <c r="FD234" i="2" s="1"/>
  <c r="FD235" i="2" s="1"/>
  <c r="ER234" i="2" a="1"/>
  <c r="ER234" i="2" s="1"/>
  <c r="ER235" i="2" s="1"/>
  <c r="FI232" i="2" a="1"/>
  <c r="FI232" i="2" s="1"/>
  <c r="FI233" i="2" s="1"/>
  <c r="FA232" i="2" a="1"/>
  <c r="FA232" i="2" s="1"/>
  <c r="FA233" i="2" s="1"/>
  <c r="ES232" i="2" a="1"/>
  <c r="ES232" i="2" s="1"/>
  <c r="ES233" i="2" s="1"/>
  <c r="EO232" i="2" a="1"/>
  <c r="EO232" i="2" s="1"/>
  <c r="EO233" i="2" s="1"/>
  <c r="EX230" i="2" a="1"/>
  <c r="EX230" i="2" s="1"/>
  <c r="EX231" i="2" s="1"/>
  <c r="ET230" i="2" a="1"/>
  <c r="ET230" i="2" s="1"/>
  <c r="ET231" i="2" s="1"/>
  <c r="EP230" i="2" a="1"/>
  <c r="EP230" i="2" s="1"/>
  <c r="EP231" i="2" s="1"/>
  <c r="EJ230" i="2" a="1"/>
  <c r="EJ230" i="2" s="1"/>
  <c r="FG228" i="2" a="1"/>
  <c r="FG228" i="2" s="1"/>
  <c r="FG229" i="2" s="1"/>
  <c r="EU228" i="2" a="1"/>
  <c r="EU228" i="2" s="1"/>
  <c r="EU229" i="2" s="1"/>
  <c r="EQ228" i="2" a="1"/>
  <c r="EQ228" i="2" s="1"/>
  <c r="EQ229" i="2" s="1"/>
  <c r="EM228" i="2" a="1"/>
  <c r="EM228" i="2" s="1"/>
  <c r="EM229" i="2" s="1"/>
  <c r="FH226" i="2" a="1"/>
  <c r="FH226" i="2" s="1"/>
  <c r="FH227" i="2" s="1"/>
  <c r="FD226" i="2" a="1"/>
  <c r="FD226" i="2" s="1"/>
  <c r="FD227" i="2" s="1"/>
  <c r="ER226" i="2" a="1"/>
  <c r="ER226" i="2" s="1"/>
  <c r="ER227" i="2" s="1"/>
  <c r="FI224" i="2" a="1"/>
  <c r="FI224" i="2" s="1"/>
  <c r="FI225" i="2" s="1"/>
  <c r="FA224" i="2" a="1"/>
  <c r="FA224" i="2" s="1"/>
  <c r="FA225" i="2" s="1"/>
  <c r="ES224" i="2" a="1"/>
  <c r="ES224" i="2" s="1"/>
  <c r="ES225" i="2" s="1"/>
  <c r="EO224" i="2" a="1"/>
  <c r="EO224" i="2" s="1"/>
  <c r="EO225" i="2" s="1"/>
  <c r="EX222" i="2" a="1"/>
  <c r="EX222" i="2" s="1"/>
  <c r="EX223" i="2" s="1"/>
  <c r="ET222" i="2" a="1"/>
  <c r="ET222" i="2" s="1"/>
  <c r="ET223" i="2" s="1"/>
  <c r="EP222" i="2" a="1"/>
  <c r="EP222" i="2" s="1"/>
  <c r="EP223" i="2" s="1"/>
  <c r="EX236" i="2" a="1"/>
  <c r="EX236" i="2" s="1"/>
  <c r="EX237" i="2" s="1"/>
  <c r="ET236" i="2" a="1"/>
  <c r="ET236" i="2" s="1"/>
  <c r="ET237" i="2" s="1"/>
  <c r="EP236" i="2" a="1"/>
  <c r="EP236" i="2" s="1"/>
  <c r="EP237" i="2" s="1"/>
  <c r="EJ236" i="2" a="1"/>
  <c r="EJ236" i="2" s="1"/>
  <c r="FG234" i="2" a="1"/>
  <c r="FG234" i="2" s="1"/>
  <c r="FG235" i="2" s="1"/>
  <c r="EU234" i="2" a="1"/>
  <c r="EU234" i="2" s="1"/>
  <c r="EU235" i="2" s="1"/>
  <c r="EQ234" i="2" a="1"/>
  <c r="EQ234" i="2" s="1"/>
  <c r="EQ235" i="2" s="1"/>
  <c r="EM234" i="2" a="1"/>
  <c r="EM234" i="2" s="1"/>
  <c r="EM235" i="2" s="1"/>
  <c r="FH232" i="2" a="1"/>
  <c r="FH232" i="2" s="1"/>
  <c r="FH233" i="2" s="1"/>
  <c r="FD232" i="2" a="1"/>
  <c r="FD232" i="2" s="1"/>
  <c r="FD233" i="2" s="1"/>
  <c r="ER232" i="2" a="1"/>
  <c r="ER232" i="2" s="1"/>
  <c r="ER233" i="2" s="1"/>
  <c r="FI230" i="2" a="1"/>
  <c r="FI230" i="2" s="1"/>
  <c r="FI231" i="2" s="1"/>
  <c r="FA230" i="2" a="1"/>
  <c r="FA230" i="2" s="1"/>
  <c r="FA231" i="2" s="1"/>
  <c r="ES230" i="2" a="1"/>
  <c r="ES230" i="2" s="1"/>
  <c r="ES231" i="2" s="1"/>
  <c r="EO230" i="2" a="1"/>
  <c r="EO230" i="2" s="1"/>
  <c r="EO231" i="2" s="1"/>
  <c r="EX228" i="2" a="1"/>
  <c r="EX228" i="2" s="1"/>
  <c r="EX229" i="2" s="1"/>
  <c r="ET228" i="2" a="1"/>
  <c r="ET228" i="2" s="1"/>
  <c r="ET229" i="2" s="1"/>
  <c r="EP228" i="2" a="1"/>
  <c r="EP228" i="2" s="1"/>
  <c r="EP229" i="2" s="1"/>
  <c r="EJ228" i="2" a="1"/>
  <c r="EJ228" i="2" s="1"/>
  <c r="FG226" i="2" a="1"/>
  <c r="FG226" i="2" s="1"/>
  <c r="FG227" i="2" s="1"/>
  <c r="EU226" i="2" a="1"/>
  <c r="EU226" i="2" s="1"/>
  <c r="EU227" i="2" s="1"/>
  <c r="EQ226" i="2" a="1"/>
  <c r="EQ226" i="2" s="1"/>
  <c r="EQ227" i="2" s="1"/>
  <c r="EM226" i="2" a="1"/>
  <c r="EM226" i="2" s="1"/>
  <c r="EM227" i="2" s="1"/>
  <c r="EK227" i="2" s="1"/>
  <c r="FH224" i="2" a="1"/>
  <c r="FH224" i="2" s="1"/>
  <c r="FH225" i="2" s="1"/>
  <c r="FD224" i="2" a="1"/>
  <c r="FD224" i="2" s="1"/>
  <c r="FD225" i="2" s="1"/>
  <c r="ER224" i="2" a="1"/>
  <c r="ER224" i="2" s="1"/>
  <c r="ER225" i="2" s="1"/>
  <c r="FI222" i="2" a="1"/>
  <c r="FI222" i="2" s="1"/>
  <c r="FI223" i="2" s="1"/>
  <c r="FI236" i="2" a="1"/>
  <c r="FI236" i="2" s="1"/>
  <c r="FI237" i="2" s="1"/>
  <c r="FA236" i="2" a="1"/>
  <c r="FA236" i="2" s="1"/>
  <c r="FA237" i="2" s="1"/>
  <c r="ES236" i="2" a="1"/>
  <c r="ES236" i="2" s="1"/>
  <c r="ES237" i="2" s="1"/>
  <c r="EO236" i="2" a="1"/>
  <c r="EO236" i="2" s="1"/>
  <c r="EO237" i="2" s="1"/>
  <c r="EX234" i="2" a="1"/>
  <c r="EX234" i="2" s="1"/>
  <c r="EX235" i="2" s="1"/>
  <c r="ET234" i="2" a="1"/>
  <c r="ET234" i="2" s="1"/>
  <c r="ET235" i="2" s="1"/>
  <c r="EP234" i="2" a="1"/>
  <c r="EP234" i="2" s="1"/>
  <c r="EP235" i="2" s="1"/>
  <c r="EJ234" i="2" a="1"/>
  <c r="EJ234" i="2" s="1"/>
  <c r="FG232" i="2" a="1"/>
  <c r="FG232" i="2" s="1"/>
  <c r="FG233" i="2" s="1"/>
  <c r="EU232" i="2" a="1"/>
  <c r="EU232" i="2" s="1"/>
  <c r="EU233" i="2" s="1"/>
  <c r="EQ232" i="2" a="1"/>
  <c r="EQ232" i="2" s="1"/>
  <c r="EQ233" i="2" s="1"/>
  <c r="EM232" i="2" a="1"/>
  <c r="EM232" i="2" s="1"/>
  <c r="EM233" i="2" s="1"/>
  <c r="FH230" i="2" a="1"/>
  <c r="FH230" i="2" s="1"/>
  <c r="FH231" i="2" s="1"/>
  <c r="FD230" i="2" a="1"/>
  <c r="FD230" i="2" s="1"/>
  <c r="FD231" i="2" s="1"/>
  <c r="ER230" i="2" a="1"/>
  <c r="ER230" i="2" s="1"/>
  <c r="ER231" i="2" s="1"/>
  <c r="FI228" i="2" a="1"/>
  <c r="FI228" i="2" s="1"/>
  <c r="FI229" i="2" s="1"/>
  <c r="FA228" i="2" a="1"/>
  <c r="FA228" i="2" s="1"/>
  <c r="FA229" i="2" s="1"/>
  <c r="ES228" i="2" a="1"/>
  <c r="ES228" i="2" s="1"/>
  <c r="ES229" i="2" s="1"/>
  <c r="EO228" i="2" a="1"/>
  <c r="EO228" i="2" s="1"/>
  <c r="EO229" i="2" s="1"/>
  <c r="EX226" i="2" a="1"/>
  <c r="EX226" i="2" s="1"/>
  <c r="EX227" i="2" s="1"/>
  <c r="ET226" i="2" a="1"/>
  <c r="ET226" i="2" s="1"/>
  <c r="ET227" i="2" s="1"/>
  <c r="EP226" i="2" a="1"/>
  <c r="EP226" i="2" s="1"/>
  <c r="EP227" i="2" s="1"/>
  <c r="EJ226" i="2" a="1"/>
  <c r="EJ226" i="2" s="1"/>
  <c r="FG224" i="2" a="1"/>
  <c r="FG224" i="2" s="1"/>
  <c r="FG225" i="2" s="1"/>
  <c r="EU224" i="2" a="1"/>
  <c r="EU224" i="2" s="1"/>
  <c r="EU225" i="2" s="1"/>
  <c r="EQ224" i="2" a="1"/>
  <c r="EQ224" i="2" s="1"/>
  <c r="EQ225" i="2" s="1"/>
  <c r="EM224" i="2" a="1"/>
  <c r="EM224" i="2" s="1"/>
  <c r="EM225" i="2" s="1"/>
  <c r="FH222" i="2" a="1"/>
  <c r="FH222" i="2" s="1"/>
  <c r="FH223" i="2" s="1"/>
  <c r="FD222" i="2" a="1"/>
  <c r="FD222" i="2" s="1"/>
  <c r="FD223" i="2" s="1"/>
  <c r="FH236" i="2" a="1"/>
  <c r="FH236" i="2" s="1"/>
  <c r="FH237" i="2" s="1"/>
  <c r="EP232" i="2" a="1"/>
  <c r="EP232" i="2" s="1"/>
  <c r="EP233" i="2" s="1"/>
  <c r="FH228" i="2" a="1"/>
  <c r="FH228" i="2" s="1"/>
  <c r="FH229" i="2" s="1"/>
  <c r="EP224" i="2" a="1"/>
  <c r="EP224" i="2" s="1"/>
  <c r="EP225" i="2" s="1"/>
  <c r="FI220" i="2" a="1"/>
  <c r="FI220" i="2" s="1"/>
  <c r="FI221" i="2" s="1"/>
  <c r="FA220" i="2" a="1"/>
  <c r="FA220" i="2" s="1"/>
  <c r="FA221" i="2" s="1"/>
  <c r="ES220" i="2" a="1"/>
  <c r="ES220" i="2" s="1"/>
  <c r="ES221" i="2" s="1"/>
  <c r="EO220" i="2" a="1"/>
  <c r="EO220" i="2" s="1"/>
  <c r="EO221" i="2" s="1"/>
  <c r="EX218" i="2" a="1"/>
  <c r="EX218" i="2" s="1"/>
  <c r="EX219" i="2" s="1"/>
  <c r="ET218" i="2" a="1"/>
  <c r="ET218" i="2" s="1"/>
  <c r="ET219" i="2" s="1"/>
  <c r="EP218" i="2" a="1"/>
  <c r="EP218" i="2" s="1"/>
  <c r="EP219" i="2" s="1"/>
  <c r="EJ218" i="2" a="1"/>
  <c r="EJ218" i="2" s="1"/>
  <c r="FG216" i="2" a="1"/>
  <c r="FG216" i="2" s="1"/>
  <c r="FG217" i="2" s="1"/>
  <c r="EU216" i="2" a="1"/>
  <c r="EU216" i="2" s="1"/>
  <c r="EU217" i="2" s="1"/>
  <c r="EQ216" i="2" a="1"/>
  <c r="EQ216" i="2" s="1"/>
  <c r="EQ217" i="2" s="1"/>
  <c r="EM216" i="2" a="1"/>
  <c r="EM216" i="2" s="1"/>
  <c r="EM217" i="2" s="1"/>
  <c r="FH214" i="2" a="1"/>
  <c r="FH214" i="2" s="1"/>
  <c r="FH215" i="2" s="1"/>
  <c r="FD214" i="2" a="1"/>
  <c r="FD214" i="2" s="1"/>
  <c r="FD215" i="2" s="1"/>
  <c r="ER214" i="2" a="1"/>
  <c r="ER214" i="2" s="1"/>
  <c r="ER215" i="2" s="1"/>
  <c r="FI212" i="2" a="1"/>
  <c r="FI212" i="2" s="1"/>
  <c r="FI213" i="2" s="1"/>
  <c r="FA212" i="2" a="1"/>
  <c r="FA212" i="2" s="1"/>
  <c r="FA213" i="2" s="1"/>
  <c r="ES212" i="2" a="1"/>
  <c r="ES212" i="2" s="1"/>
  <c r="ES213" i="2" s="1"/>
  <c r="EO212" i="2" a="1"/>
  <c r="EO212" i="2" s="1"/>
  <c r="EO213" i="2" s="1"/>
  <c r="FD236" i="2" a="1"/>
  <c r="FD236" i="2" s="1"/>
  <c r="FD237" i="2" s="1"/>
  <c r="EJ232" i="2" a="1"/>
  <c r="EJ232" i="2" s="1"/>
  <c r="EU230" i="2" a="1"/>
  <c r="EU230" i="2" s="1"/>
  <c r="EU231" i="2" s="1"/>
  <c r="FD228" i="2" a="1"/>
  <c r="FD228" i="2" s="1"/>
  <c r="FD229" i="2" s="1"/>
  <c r="EJ224" i="2" a="1"/>
  <c r="EJ224" i="2" s="1"/>
  <c r="FG222" i="2" a="1"/>
  <c r="FG222" i="2" s="1"/>
  <c r="FG223" i="2" s="1"/>
  <c r="ER222" i="2" a="1"/>
  <c r="ER222" i="2" s="1"/>
  <c r="ER223" i="2" s="1"/>
  <c r="FI234" i="2" a="1"/>
  <c r="FI234" i="2" s="1"/>
  <c r="FI235" i="2" s="1"/>
  <c r="EQ230" i="2" a="1"/>
  <c r="EQ230" i="2" s="1"/>
  <c r="EQ231" i="2" s="1"/>
  <c r="FI226" i="2" a="1"/>
  <c r="FI226" i="2" s="1"/>
  <c r="FI227" i="2" s="1"/>
  <c r="FA222" i="2" a="1"/>
  <c r="FA222" i="2" s="1"/>
  <c r="FA223" i="2" s="1"/>
  <c r="EM222" i="2" a="1"/>
  <c r="EM222" i="2" s="1"/>
  <c r="EM223" i="2" s="1"/>
  <c r="FH220" i="2" a="1"/>
  <c r="FH220" i="2" s="1"/>
  <c r="FH221" i="2" s="1"/>
  <c r="FD220" i="2" a="1"/>
  <c r="FD220" i="2" s="1"/>
  <c r="FD221" i="2" s="1"/>
  <c r="ER220" i="2" a="1"/>
  <c r="ER220" i="2" s="1"/>
  <c r="ER221" i="2" s="1"/>
  <c r="FI218" i="2" a="1"/>
  <c r="FI218" i="2" s="1"/>
  <c r="FI219" i="2" s="1"/>
  <c r="FA218" i="2" a="1"/>
  <c r="FA218" i="2" s="1"/>
  <c r="FA219" i="2" s="1"/>
  <c r="ES218" i="2" a="1"/>
  <c r="ES218" i="2" s="1"/>
  <c r="ES219" i="2" s="1"/>
  <c r="EO218" i="2" a="1"/>
  <c r="EO218" i="2" s="1"/>
  <c r="EO219" i="2" s="1"/>
  <c r="EX216" i="2" a="1"/>
  <c r="EX216" i="2" s="1"/>
  <c r="EX217" i="2" s="1"/>
  <c r="ET216" i="2" a="1"/>
  <c r="ET216" i="2" s="1"/>
  <c r="ET217" i="2" s="1"/>
  <c r="EP216" i="2" a="1"/>
  <c r="EP216" i="2" s="1"/>
  <c r="EP217" i="2" s="1"/>
  <c r="EJ216" i="2" a="1"/>
  <c r="EJ216" i="2" s="1"/>
  <c r="FG214" i="2" a="1"/>
  <c r="FG214" i="2" s="1"/>
  <c r="FG215" i="2" s="1"/>
  <c r="EU214" i="2" a="1"/>
  <c r="EU214" i="2" s="1"/>
  <c r="EU215" i="2" s="1"/>
  <c r="EQ214" i="2" a="1"/>
  <c r="EQ214" i="2" s="1"/>
  <c r="EQ215" i="2" s="1"/>
  <c r="EM214" i="2" a="1"/>
  <c r="EM214" i="2" s="1"/>
  <c r="EM215" i="2" s="1"/>
  <c r="FH212" i="2" a="1"/>
  <c r="FH212" i="2" s="1"/>
  <c r="FH213" i="2" s="1"/>
  <c r="FD212" i="2" a="1"/>
  <c r="FD212" i="2" s="1"/>
  <c r="FD213" i="2" s="1"/>
  <c r="ER212" i="2" a="1"/>
  <c r="ER212" i="2" s="1"/>
  <c r="ER213" i="2" s="1"/>
  <c r="ER238" i="2"/>
  <c r="EM230" i="2" a="1"/>
  <c r="EM230" i="2" s="1"/>
  <c r="EM231" i="2" s="1"/>
  <c r="EK231" i="2" s="1"/>
  <c r="EQ222" i="2" a="1"/>
  <c r="EQ222" i="2" s="1"/>
  <c r="EQ223" i="2" s="1"/>
  <c r="ER236" i="2" a="1"/>
  <c r="ER236" i="2" s="1"/>
  <c r="ER237" i="2" s="1"/>
  <c r="FA234" i="2" a="1"/>
  <c r="FA234" i="2" s="1"/>
  <c r="FA235" i="2" s="1"/>
  <c r="ER228" i="2" a="1"/>
  <c r="ER228" i="2" s="1"/>
  <c r="ER229" i="2" s="1"/>
  <c r="FA226" i="2" a="1"/>
  <c r="FA226" i="2" s="1"/>
  <c r="FA227" i="2" s="1"/>
  <c r="EU222" i="2" a="1"/>
  <c r="EU222" i="2" s="1"/>
  <c r="EU223" i="2" s="1"/>
  <c r="EJ222" i="2" a="1"/>
  <c r="EJ222" i="2" s="1"/>
  <c r="FG220" i="2" a="1"/>
  <c r="FG220" i="2" s="1"/>
  <c r="FG221" i="2" s="1"/>
  <c r="EU220" i="2" a="1"/>
  <c r="EU220" i="2" s="1"/>
  <c r="EU221" i="2" s="1"/>
  <c r="EQ220" i="2" a="1"/>
  <c r="EQ220" i="2" s="1"/>
  <c r="EQ221" i="2" s="1"/>
  <c r="EM220" i="2" a="1"/>
  <c r="EM220" i="2" s="1"/>
  <c r="EM221" i="2" s="1"/>
  <c r="FH218" i="2" a="1"/>
  <c r="FH218" i="2" s="1"/>
  <c r="FH219" i="2" s="1"/>
  <c r="FD218" i="2" a="1"/>
  <c r="FD218" i="2" s="1"/>
  <c r="FD219" i="2" s="1"/>
  <c r="ER218" i="2" a="1"/>
  <c r="ER218" i="2" s="1"/>
  <c r="ER219" i="2" s="1"/>
  <c r="FI216" i="2" a="1"/>
  <c r="FI216" i="2" s="1"/>
  <c r="FI217" i="2" s="1"/>
  <c r="FA216" i="2" a="1"/>
  <c r="FA216" i="2" s="1"/>
  <c r="FA217" i="2" s="1"/>
  <c r="ES216" i="2" a="1"/>
  <c r="ES216" i="2" s="1"/>
  <c r="ES217" i="2" s="1"/>
  <c r="EO216" i="2" a="1"/>
  <c r="EO216" i="2" s="1"/>
  <c r="EO217" i="2" s="1"/>
  <c r="EX214" i="2" a="1"/>
  <c r="EX214" i="2" s="1"/>
  <c r="EX215" i="2" s="1"/>
  <c r="ET214" i="2" a="1"/>
  <c r="ET214" i="2" s="1"/>
  <c r="ET215" i="2" s="1"/>
  <c r="EP214" i="2" a="1"/>
  <c r="EP214" i="2" s="1"/>
  <c r="EP215" i="2" s="1"/>
  <c r="EJ214" i="2" a="1"/>
  <c r="EJ214" i="2" s="1"/>
  <c r="FG212" i="2" a="1"/>
  <c r="FG212" i="2" s="1"/>
  <c r="FG213" i="2" s="1"/>
  <c r="EU212" i="2" a="1"/>
  <c r="EU212" i="2" s="1"/>
  <c r="EU213" i="2" s="1"/>
  <c r="EQ212" i="2" a="1"/>
  <c r="EQ212" i="2" s="1"/>
  <c r="EQ213" i="2" s="1"/>
  <c r="EM212" i="2" a="1"/>
  <c r="EM212" i="2" s="1"/>
  <c r="EM213" i="2" s="1"/>
  <c r="ES234" i="2" a="1"/>
  <c r="ES234" i="2" s="1"/>
  <c r="ES235" i="2" s="1"/>
  <c r="EX232" i="2" a="1"/>
  <c r="EX232" i="2" s="1"/>
  <c r="EX233" i="2" s="1"/>
  <c r="FG230" i="2" a="1"/>
  <c r="FG230" i="2" s="1"/>
  <c r="FG231" i="2" s="1"/>
  <c r="ES226" i="2" a="1"/>
  <c r="ES226" i="2" s="1"/>
  <c r="ES227" i="2" s="1"/>
  <c r="EX224" i="2" a="1"/>
  <c r="EX224" i="2" s="1"/>
  <c r="EX225" i="2" s="1"/>
  <c r="EL225" i="2" s="1"/>
  <c r="EO222" i="2" a="1"/>
  <c r="EO222" i="2" s="1"/>
  <c r="EO223" i="2" s="1"/>
  <c r="EX220" i="2" a="1"/>
  <c r="EX220" i="2" s="1"/>
  <c r="EX221" i="2" s="1"/>
  <c r="ET220" i="2" a="1"/>
  <c r="ET220" i="2" s="1"/>
  <c r="ET221" i="2" s="1"/>
  <c r="EP220" i="2" a="1"/>
  <c r="EP220" i="2" s="1"/>
  <c r="EP221" i="2" s="1"/>
  <c r="EJ220" i="2" a="1"/>
  <c r="EJ220" i="2" s="1"/>
  <c r="FG218" i="2" a="1"/>
  <c r="FG218" i="2" s="1"/>
  <c r="FG219" i="2" s="1"/>
  <c r="EU218" i="2" a="1"/>
  <c r="EU218" i="2" s="1"/>
  <c r="EU219" i="2" s="1"/>
  <c r="EQ218" i="2" a="1"/>
  <c r="EQ218" i="2" s="1"/>
  <c r="EQ219" i="2" s="1"/>
  <c r="EM218" i="2" a="1"/>
  <c r="EM218" i="2" s="1"/>
  <c r="EM219" i="2" s="1"/>
  <c r="EK219" i="2" s="1"/>
  <c r="FH216" i="2" a="1"/>
  <c r="FH216" i="2" s="1"/>
  <c r="FH217" i="2" s="1"/>
  <c r="FD216" i="2" a="1"/>
  <c r="FD216" i="2" s="1"/>
  <c r="FD217" i="2" s="1"/>
  <c r="ER216" i="2" a="1"/>
  <c r="ER216" i="2" s="1"/>
  <c r="ER217" i="2" s="1"/>
  <c r="FI214" i="2" a="1"/>
  <c r="FI214" i="2" s="1"/>
  <c r="FI215" i="2" s="1"/>
  <c r="FA214" i="2" a="1"/>
  <c r="FA214" i="2" s="1"/>
  <c r="FA215" i="2" s="1"/>
  <c r="ES214" i="2" a="1"/>
  <c r="ES214" i="2" s="1"/>
  <c r="ES215" i="2" s="1"/>
  <c r="EO214" i="2" a="1"/>
  <c r="EO214" i="2" s="1"/>
  <c r="EO215" i="2" s="1"/>
  <c r="EX212" i="2" a="1"/>
  <c r="EX212" i="2" s="1"/>
  <c r="EX213" i="2" s="1"/>
  <c r="EL213" i="2" s="1"/>
  <c r="ET212" i="2" a="1"/>
  <c r="ET212" i="2" s="1"/>
  <c r="ET213" i="2" s="1"/>
  <c r="EP212" i="2" a="1"/>
  <c r="EP212" i="2" s="1"/>
  <c r="EP213" i="2" s="1"/>
  <c r="EJ212" i="2" a="1"/>
  <c r="EJ212" i="2" s="1"/>
  <c r="ES222" i="2" a="1"/>
  <c r="ES222" i="2" s="1"/>
  <c r="ES223" i="2" s="1"/>
  <c r="EO234" i="2" a="1"/>
  <c r="EO234" i="2" s="1"/>
  <c r="EO235" i="2" s="1"/>
  <c r="EO226" i="2" a="1"/>
  <c r="EO226" i="2" s="1"/>
  <c r="EO227" i="2" s="1"/>
  <c r="ET232" i="2" a="1"/>
  <c r="ET232" i="2" s="1"/>
  <c r="ET233" i="2" s="1"/>
  <c r="ET224" i="2" a="1"/>
  <c r="ET224" i="2" s="1"/>
  <c r="ET225" i="2" s="1"/>
  <c r="CK13" i="2"/>
  <c r="EF326" i="2" a="1"/>
  <c r="EF326" i="2" s="1"/>
  <c r="EF327" i="2" s="1"/>
  <c r="DX326" i="2" a="1"/>
  <c r="DX326" i="2" s="1"/>
  <c r="DX327" i="2" s="1"/>
  <c r="DP326" i="2" a="1"/>
  <c r="DP326" i="2" s="1"/>
  <c r="DP327" i="2" s="1"/>
  <c r="EE326" i="2" a="1"/>
  <c r="EE326" i="2" s="1"/>
  <c r="EE327" i="2" s="1"/>
  <c r="EA326" i="2" a="1"/>
  <c r="EA326" i="2" s="1"/>
  <c r="EA327" i="2" s="1"/>
  <c r="DO326" i="2" a="1"/>
  <c r="DO326" i="2" s="1"/>
  <c r="DO327" i="2" s="1"/>
  <c r="DO328" i="2"/>
  <c r="ED326" i="2" a="1"/>
  <c r="ED326" i="2" s="1"/>
  <c r="ED327" i="2" s="1"/>
  <c r="DR326" i="2" a="1"/>
  <c r="DR326" i="2" s="1"/>
  <c r="DR327" i="2" s="1"/>
  <c r="DN326" i="2" a="1"/>
  <c r="DN326" i="2" s="1"/>
  <c r="DN327" i="2" s="1"/>
  <c r="DJ326" i="2" a="1"/>
  <c r="DJ326" i="2" s="1"/>
  <c r="DJ327" i="2" s="1"/>
  <c r="DJ328" i="2"/>
  <c r="DF328" i="2"/>
  <c r="EE324" i="2" a="1"/>
  <c r="EE324" i="2" s="1"/>
  <c r="EE325" i="2" s="1"/>
  <c r="EA324" i="2" a="1"/>
  <c r="EA324" i="2" s="1"/>
  <c r="EA325" i="2" s="1"/>
  <c r="DO324" i="2" a="1"/>
  <c r="DO324" i="2" s="1"/>
  <c r="DO325" i="2" s="1"/>
  <c r="EF322" i="2" a="1"/>
  <c r="EF322" i="2" s="1"/>
  <c r="EF323" i="2" s="1"/>
  <c r="DX322" i="2" a="1"/>
  <c r="DX322" i="2" s="1"/>
  <c r="DX323" i="2" s="1"/>
  <c r="DP322" i="2" a="1"/>
  <c r="DP322" i="2" s="1"/>
  <c r="DP323" i="2" s="1"/>
  <c r="DL322" i="2" a="1"/>
  <c r="DL322" i="2" s="1"/>
  <c r="DL323" i="2" s="1"/>
  <c r="DU320" i="2" a="1"/>
  <c r="DU320" i="2" s="1"/>
  <c r="DU321" i="2" s="1"/>
  <c r="DQ320" i="2" a="1"/>
  <c r="DQ320" i="2" s="1"/>
  <c r="DQ321" i="2" s="1"/>
  <c r="DM320" i="2" a="1"/>
  <c r="DM320" i="2" s="1"/>
  <c r="DM321" i="2" s="1"/>
  <c r="DU326" i="2" a="1"/>
  <c r="DU326" i="2" s="1"/>
  <c r="DU327" i="2" s="1"/>
  <c r="DM326" i="2" a="1"/>
  <c r="DM326" i="2" s="1"/>
  <c r="DM327" i="2" s="1"/>
  <c r="ED324" i="2" a="1"/>
  <c r="ED324" i="2" s="1"/>
  <c r="ED325" i="2" s="1"/>
  <c r="DR324" i="2" a="1"/>
  <c r="DR324" i="2" s="1"/>
  <c r="DR325" i="2" s="1"/>
  <c r="DN324" i="2" a="1"/>
  <c r="DN324" i="2" s="1"/>
  <c r="DN325" i="2" s="1"/>
  <c r="DJ324" i="2" a="1"/>
  <c r="DJ324" i="2" s="1"/>
  <c r="DJ325" i="2" s="1"/>
  <c r="EE322" i="2" a="1"/>
  <c r="EE322" i="2" s="1"/>
  <c r="EE323" i="2" s="1"/>
  <c r="EA322" i="2" a="1"/>
  <c r="EA322" i="2" s="1"/>
  <c r="EA323" i="2" s="1"/>
  <c r="DO322" i="2" a="1"/>
  <c r="DO322" i="2" s="1"/>
  <c r="DO323" i="2" s="1"/>
  <c r="EF320" i="2" a="1"/>
  <c r="EF320" i="2" s="1"/>
  <c r="EF321" i="2" s="1"/>
  <c r="DX320" i="2" a="1"/>
  <c r="DX320" i="2" s="1"/>
  <c r="DX321" i="2" s="1"/>
  <c r="DP320" i="2" a="1"/>
  <c r="DP320" i="2" s="1"/>
  <c r="DP321" i="2" s="1"/>
  <c r="DL320" i="2" a="1"/>
  <c r="DL320" i="2" s="1"/>
  <c r="DL321" i="2" s="1"/>
  <c r="DU318" i="2" a="1"/>
  <c r="DU318" i="2" s="1"/>
  <c r="DU319" i="2" s="1"/>
  <c r="DQ318" i="2" a="1"/>
  <c r="DQ318" i="2" s="1"/>
  <c r="DQ319" i="2" s="1"/>
  <c r="DM318" i="2" a="1"/>
  <c r="DM318" i="2" s="1"/>
  <c r="DM319" i="2" s="1"/>
  <c r="DL326" i="2" a="1"/>
  <c r="DL326" i="2" s="1"/>
  <c r="DL327" i="2" s="1"/>
  <c r="DU324" i="2" a="1"/>
  <c r="DU324" i="2" s="1"/>
  <c r="DU325" i="2" s="1"/>
  <c r="DQ324" i="2" a="1"/>
  <c r="DQ324" i="2" s="1"/>
  <c r="DQ325" i="2" s="1"/>
  <c r="DM324" i="2" a="1"/>
  <c r="DM324" i="2" s="1"/>
  <c r="DM325" i="2" s="1"/>
  <c r="ED322" i="2" a="1"/>
  <c r="ED322" i="2" s="1"/>
  <c r="ED323" i="2" s="1"/>
  <c r="DQ326" i="2" a="1"/>
  <c r="DQ326" i="2" s="1"/>
  <c r="DQ327" i="2" s="1"/>
  <c r="DP324" i="2" a="1"/>
  <c r="DP324" i="2" s="1"/>
  <c r="DP325" i="2" s="1"/>
  <c r="EA320" i="2" a="1"/>
  <c r="EA320" i="2" s="1"/>
  <c r="EA321" i="2" s="1"/>
  <c r="DO318" i="2" a="1"/>
  <c r="DO318" i="2" s="1"/>
  <c r="DO319" i="2" s="1"/>
  <c r="EF316" i="2" a="1"/>
  <c r="EF316" i="2" s="1"/>
  <c r="EF317" i="2" s="1"/>
  <c r="DO316" i="2" a="1"/>
  <c r="DO316" i="2" s="1"/>
  <c r="DO317" i="2" s="1"/>
  <c r="DJ316" i="2" a="1"/>
  <c r="DJ316" i="2" s="1"/>
  <c r="DJ317" i="2" s="1"/>
  <c r="DU314" i="2" a="1"/>
  <c r="DU314" i="2" s="1"/>
  <c r="DU315" i="2" s="1"/>
  <c r="DI315" i="2" s="1"/>
  <c r="DQ314" i="2" a="1"/>
  <c r="DQ314" i="2" s="1"/>
  <c r="DQ315" i="2" s="1"/>
  <c r="DM314" i="2" a="1"/>
  <c r="DM314" i="2" s="1"/>
  <c r="DM315" i="2" s="1"/>
  <c r="DL324" i="2" a="1"/>
  <c r="DL324" i="2" s="1"/>
  <c r="DL325" i="2" s="1"/>
  <c r="DU322" i="2" a="1"/>
  <c r="DU322" i="2" s="1"/>
  <c r="DU323" i="2" s="1"/>
  <c r="DJ320" i="2" a="1"/>
  <c r="DJ320" i="2" s="1"/>
  <c r="DJ321" i="2" s="1"/>
  <c r="DX318" i="2" a="1"/>
  <c r="DX318" i="2" s="1"/>
  <c r="DX319" i="2" s="1"/>
  <c r="DN318" i="2" a="1"/>
  <c r="DN318" i="2" s="1"/>
  <c r="DN319" i="2" s="1"/>
  <c r="EE316" i="2" a="1"/>
  <c r="EE316" i="2" s="1"/>
  <c r="EE317" i="2" s="1"/>
  <c r="DQ322" i="2" a="1"/>
  <c r="DQ322" i="2" s="1"/>
  <c r="DQ323" i="2" s="1"/>
  <c r="EF318" i="2" a="1"/>
  <c r="EF318" i="2" s="1"/>
  <c r="EF319" i="2" s="1"/>
  <c r="DX316" i="2" a="1"/>
  <c r="DX316" i="2" s="1"/>
  <c r="DX317" i="2" s="1"/>
  <c r="DM316" i="2" a="1"/>
  <c r="DM316" i="2" s="1"/>
  <c r="DM317" i="2" s="1"/>
  <c r="DM322" i="2" a="1"/>
  <c r="DM322" i="2" s="1"/>
  <c r="DM323" i="2" s="1"/>
  <c r="DR320" i="2" a="1"/>
  <c r="DR320" i="2" s="1"/>
  <c r="DR321" i="2" s="1"/>
  <c r="ED318" i="2" a="1"/>
  <c r="ED318" i="2" s="1"/>
  <c r="ED319" i="2" s="1"/>
  <c r="DX324" i="2" a="1"/>
  <c r="DX324" i="2" s="1"/>
  <c r="DX325" i="2" s="1"/>
  <c r="DJ322" i="2" a="1"/>
  <c r="DJ322" i="2" s="1"/>
  <c r="DJ323" i="2" s="1"/>
  <c r="EE320" i="2" a="1"/>
  <c r="EE320" i="2" s="1"/>
  <c r="EE321" i="2" s="1"/>
  <c r="DO320" i="2" a="1"/>
  <c r="DO320" i="2" s="1"/>
  <c r="DO321" i="2" s="1"/>
  <c r="DR318" i="2" a="1"/>
  <c r="DR318" i="2" s="1"/>
  <c r="DR319" i="2" s="1"/>
  <c r="EA316" i="2" a="1"/>
  <c r="EA316" i="2" s="1"/>
  <c r="EA317" i="2" s="1"/>
  <c r="ED314" i="2" a="1"/>
  <c r="ED314" i="2" s="1"/>
  <c r="ED315" i="2" s="1"/>
  <c r="DR314" i="2" a="1"/>
  <c r="DR314" i="2" s="1"/>
  <c r="DR315" i="2" s="1"/>
  <c r="DN314" i="2" a="1"/>
  <c r="DN314" i="2" s="1"/>
  <c r="DN315" i="2" s="1"/>
  <c r="DJ314" i="2" a="1"/>
  <c r="DJ314" i="2" s="1"/>
  <c r="DJ315" i="2" s="1"/>
  <c r="EE312" i="2" a="1"/>
  <c r="EE312" i="2" s="1"/>
  <c r="EE313" i="2" s="1"/>
  <c r="EA312" i="2" a="1"/>
  <c r="EA312" i="2" s="1"/>
  <c r="EA313" i="2" s="1"/>
  <c r="DO312" i="2" a="1"/>
  <c r="DO312" i="2" s="1"/>
  <c r="DO313" i="2" s="1"/>
  <c r="EF310" i="2" a="1"/>
  <c r="EF310" i="2" s="1"/>
  <c r="EF311" i="2" s="1"/>
  <c r="DX310" i="2" a="1"/>
  <c r="DX310" i="2" s="1"/>
  <c r="DX311" i="2" s="1"/>
  <c r="DP310" i="2" a="1"/>
  <c r="DP310" i="2" s="1"/>
  <c r="DP311" i="2" s="1"/>
  <c r="DL310" i="2" a="1"/>
  <c r="DL310" i="2" s="1"/>
  <c r="DL311" i="2" s="1"/>
  <c r="DU308" i="2" a="1"/>
  <c r="DU308" i="2" s="1"/>
  <c r="DU309" i="2" s="1"/>
  <c r="DL318" i="2" a="1"/>
  <c r="DL318" i="2" s="1"/>
  <c r="DL319" i="2" s="1"/>
  <c r="ED316" i="2" a="1"/>
  <c r="ED316" i="2" s="1"/>
  <c r="ED317" i="2" s="1"/>
  <c r="EE314" i="2" a="1"/>
  <c r="EE314" i="2" s="1"/>
  <c r="EE315" i="2" s="1"/>
  <c r="DL314" i="2" a="1"/>
  <c r="DL314" i="2" s="1"/>
  <c r="DL315" i="2" s="1"/>
  <c r="DR312" i="2" a="1"/>
  <c r="DR312" i="2" s="1"/>
  <c r="DR313" i="2" s="1"/>
  <c r="DM312" i="2" a="1"/>
  <c r="DM312" i="2" s="1"/>
  <c r="DM313" i="2" s="1"/>
  <c r="ED310" i="2" a="1"/>
  <c r="ED310" i="2" s="1"/>
  <c r="ED311" i="2" s="1"/>
  <c r="DN310" i="2" a="1"/>
  <c r="DN310" i="2" s="1"/>
  <c r="DN311" i="2" s="1"/>
  <c r="DP308" i="2" a="1"/>
  <c r="DP308" i="2" s="1"/>
  <c r="DP309" i="2" s="1"/>
  <c r="DU306" i="2" a="1"/>
  <c r="DU306" i="2" s="1"/>
  <c r="DU307" i="2" s="1"/>
  <c r="DQ306" i="2" a="1"/>
  <c r="DQ306" i="2" s="1"/>
  <c r="DQ307" i="2" s="1"/>
  <c r="DM306" i="2" a="1"/>
  <c r="DM306" i="2" s="1"/>
  <c r="DM307" i="2" s="1"/>
  <c r="ED320" i="2" a="1"/>
  <c r="ED320" i="2" s="1"/>
  <c r="ED321" i="2" s="1"/>
  <c r="DJ318" i="2" a="1"/>
  <c r="DJ318" i="2" s="1"/>
  <c r="DJ319" i="2" s="1"/>
  <c r="DR316" i="2" a="1"/>
  <c r="DR316" i="2" s="1"/>
  <c r="DR317" i="2" s="1"/>
  <c r="DX314" i="2" a="1"/>
  <c r="DX314" i="2" s="1"/>
  <c r="DX315" i="2" s="1"/>
  <c r="DL312" i="2" a="1"/>
  <c r="DL312" i="2" s="1"/>
  <c r="DL313" i="2" s="1"/>
  <c r="DM310" i="2" a="1"/>
  <c r="DM310" i="2" s="1"/>
  <c r="DM311" i="2" s="1"/>
  <c r="EE308" i="2" a="1"/>
  <c r="EE308" i="2" s="1"/>
  <c r="EE309" i="2" s="1"/>
  <c r="DQ316" i="2" a="1"/>
  <c r="DQ316" i="2" s="1"/>
  <c r="DQ317" i="2" s="1"/>
  <c r="DQ312" i="2" a="1"/>
  <c r="DQ312" i="2" s="1"/>
  <c r="DQ313" i="2" s="1"/>
  <c r="DR310" i="2" a="1"/>
  <c r="DR310" i="2" s="1"/>
  <c r="DR311" i="2" s="1"/>
  <c r="ED308" i="2" a="1"/>
  <c r="ED308" i="2" s="1"/>
  <c r="ED309" i="2" s="1"/>
  <c r="DO308" i="2" a="1"/>
  <c r="DO308" i="2" s="1"/>
  <c r="DO309" i="2" s="1"/>
  <c r="DJ308" i="2" a="1"/>
  <c r="DJ308" i="2" s="1"/>
  <c r="DJ309" i="2" s="1"/>
  <c r="EF306" i="2" a="1"/>
  <c r="EF306" i="2" s="1"/>
  <c r="EF307" i="2" s="1"/>
  <c r="DX306" i="2" a="1"/>
  <c r="DX306" i="2" s="1"/>
  <c r="DX307" i="2" s="1"/>
  <c r="DP306" i="2" a="1"/>
  <c r="DP306" i="2" s="1"/>
  <c r="DP307" i="2" s="1"/>
  <c r="DL306" i="2" a="1"/>
  <c r="DL306" i="2" s="1"/>
  <c r="DL307" i="2" s="1"/>
  <c r="DU304" i="2" a="1"/>
  <c r="DU304" i="2" s="1"/>
  <c r="DU305" i="2" s="1"/>
  <c r="DQ304" i="2" a="1"/>
  <c r="DQ304" i="2" s="1"/>
  <c r="DQ305" i="2" s="1"/>
  <c r="DM304" i="2" a="1"/>
  <c r="DM304" i="2" s="1"/>
  <c r="DM305" i="2" s="1"/>
  <c r="EE318" i="2" a="1"/>
  <c r="EE318" i="2" s="1"/>
  <c r="EE319" i="2" s="1"/>
  <c r="DP316" i="2" a="1"/>
  <c r="DP316" i="2" s="1"/>
  <c r="DP317" i="2" s="1"/>
  <c r="DP314" i="2" a="1"/>
  <c r="DP314" i="2" s="1"/>
  <c r="DP315" i="2" s="1"/>
  <c r="EF312" i="2" a="1"/>
  <c r="EF312" i="2" s="1"/>
  <c r="EF313" i="2" s="1"/>
  <c r="DP312" i="2" a="1"/>
  <c r="DP312" i="2" s="1"/>
  <c r="DP313" i="2" s="1"/>
  <c r="DQ310" i="2" a="1"/>
  <c r="DQ310" i="2" s="1"/>
  <c r="DQ311" i="2" s="1"/>
  <c r="DX308" i="2" a="1"/>
  <c r="DX308" i="2" s="1"/>
  <c r="DX309" i="2" s="1"/>
  <c r="DN308" i="2" a="1"/>
  <c r="DN308" i="2" s="1"/>
  <c r="DN309" i="2" s="1"/>
  <c r="DR322" i="2" a="1"/>
  <c r="DR322" i="2" s="1"/>
  <c r="DR323" i="2" s="1"/>
  <c r="DN320" i="2" a="1"/>
  <c r="DN320" i="2" s="1"/>
  <c r="DN321" i="2" s="1"/>
  <c r="EA318" i="2" a="1"/>
  <c r="EA318" i="2" s="1"/>
  <c r="EA319" i="2" s="1"/>
  <c r="DN316" i="2" a="1"/>
  <c r="DN316" i="2" s="1"/>
  <c r="DN317" i="2" s="1"/>
  <c r="DO314" i="2" a="1"/>
  <c r="DO314" i="2" s="1"/>
  <c r="DO315" i="2" s="1"/>
  <c r="DU312" i="2" a="1"/>
  <c r="DU312" i="2" s="1"/>
  <c r="DU313" i="2" s="1"/>
  <c r="DJ312" i="2" a="1"/>
  <c r="DJ312" i="2" s="1"/>
  <c r="DJ313" i="2" s="1"/>
  <c r="DH313" i="2" s="1"/>
  <c r="EA310" i="2" a="1"/>
  <c r="EA310" i="2" s="1"/>
  <c r="EA311" i="2" s="1"/>
  <c r="DR308" i="2" a="1"/>
  <c r="DR308" i="2" s="1"/>
  <c r="DR309" i="2" s="1"/>
  <c r="EE306" i="2" a="1"/>
  <c r="EE306" i="2" s="1"/>
  <c r="EE307" i="2" s="1"/>
  <c r="EA306" i="2" a="1"/>
  <c r="EA306" i="2" s="1"/>
  <c r="EA307" i="2" s="1"/>
  <c r="DO306" i="2" a="1"/>
  <c r="DO306" i="2" s="1"/>
  <c r="DO307" i="2" s="1"/>
  <c r="EF304" i="2" a="1"/>
  <c r="EF304" i="2" s="1"/>
  <c r="EF305" i="2" s="1"/>
  <c r="DX304" i="2" a="1"/>
  <c r="DX304" i="2" s="1"/>
  <c r="DX305" i="2" s="1"/>
  <c r="DP304" i="2" a="1"/>
  <c r="DP304" i="2" s="1"/>
  <c r="DP305" i="2" s="1"/>
  <c r="DL304" i="2" a="1"/>
  <c r="DL304" i="2" s="1"/>
  <c r="DL305" i="2" s="1"/>
  <c r="DU302" i="2" a="1"/>
  <c r="DU302" i="2" s="1"/>
  <c r="DU303" i="2" s="1"/>
  <c r="DQ302" i="2" a="1"/>
  <c r="DQ302" i="2" s="1"/>
  <c r="DQ303" i="2" s="1"/>
  <c r="DM302" i="2" a="1"/>
  <c r="DM302" i="2" s="1"/>
  <c r="DM303" i="2" s="1"/>
  <c r="DN322" i="2" a="1"/>
  <c r="DN322" i="2" s="1"/>
  <c r="DN323" i="2" s="1"/>
  <c r="EA314" i="2" a="1"/>
  <c r="EA314" i="2" s="1"/>
  <c r="EA315" i="2" s="1"/>
  <c r="EF324" i="2" a="1"/>
  <c r="EF324" i="2" s="1"/>
  <c r="EF325" i="2" s="1"/>
  <c r="DL316" i="2" a="1"/>
  <c r="DL316" i="2" s="1"/>
  <c r="DL317" i="2" s="1"/>
  <c r="ED312" i="2" a="1"/>
  <c r="ED312" i="2" s="1"/>
  <c r="ED313" i="2" s="1"/>
  <c r="DN312" i="2" a="1"/>
  <c r="DN312" i="2" s="1"/>
  <c r="DN313" i="2" s="1"/>
  <c r="DP318" i="2" a="1"/>
  <c r="DP318" i="2" s="1"/>
  <c r="DP319" i="2" s="1"/>
  <c r="DU316" i="2" a="1"/>
  <c r="DU316" i="2" s="1"/>
  <c r="DU317" i="2" s="1"/>
  <c r="EF314" i="2" a="1"/>
  <c r="EF314" i="2" s="1"/>
  <c r="EF315" i="2" s="1"/>
  <c r="DX312" i="2" a="1"/>
  <c r="DX312" i="2" s="1"/>
  <c r="DX313" i="2" s="1"/>
  <c r="EA308" i="2" a="1"/>
  <c r="EA308" i="2" s="1"/>
  <c r="EA309" i="2" s="1"/>
  <c r="DO310" i="2" a="1"/>
  <c r="DO310" i="2" s="1"/>
  <c r="DO311" i="2" s="1"/>
  <c r="DL308" i="2" a="1"/>
  <c r="DL308" i="2" s="1"/>
  <c r="DL309" i="2" s="1"/>
  <c r="DJ306" i="2" a="1"/>
  <c r="DJ306" i="2" s="1"/>
  <c r="DJ307" i="2" s="1"/>
  <c r="ED304" i="2" a="1"/>
  <c r="ED304" i="2" s="1"/>
  <c r="ED305" i="2" s="1"/>
  <c r="DN304" i="2" a="1"/>
  <c r="DN304" i="2" s="1"/>
  <c r="DN305" i="2" s="1"/>
  <c r="DO302" i="2" a="1"/>
  <c r="DO302" i="2" s="1"/>
  <c r="DO303" i="2" s="1"/>
  <c r="ED306" i="2" a="1"/>
  <c r="ED306" i="2" s="1"/>
  <c r="ED307" i="2" s="1"/>
  <c r="EA302" i="2" a="1"/>
  <c r="EA302" i="2" s="1"/>
  <c r="EA303" i="2" s="1"/>
  <c r="DN302" i="2" a="1"/>
  <c r="DN302" i="2" s="1"/>
  <c r="DN303" i="2" s="1"/>
  <c r="EE310" i="2" a="1"/>
  <c r="EE310" i="2" s="1"/>
  <c r="EE311" i="2" s="1"/>
  <c r="DJ310" i="2" a="1"/>
  <c r="DJ310" i="2" s="1"/>
  <c r="DJ311" i="2" s="1"/>
  <c r="DL302" i="2" a="1"/>
  <c r="DL302" i="2" s="1"/>
  <c r="DL303" i="2" s="1"/>
  <c r="EF308" i="2" a="1"/>
  <c r="EF308" i="2" s="1"/>
  <c r="EF309" i="2" s="1"/>
  <c r="DQ308" i="2" a="1"/>
  <c r="DQ308" i="2" s="1"/>
  <c r="DQ309" i="2" s="1"/>
  <c r="DR304" i="2" a="1"/>
  <c r="DR304" i="2" s="1"/>
  <c r="DR305" i="2" s="1"/>
  <c r="DJ304" i="2" a="1"/>
  <c r="DJ304" i="2" s="1"/>
  <c r="DJ305" i="2" s="1"/>
  <c r="EE302" i="2" a="1"/>
  <c r="EE302" i="2" s="1"/>
  <c r="EE303" i="2" s="1"/>
  <c r="DX302" i="2" a="1"/>
  <c r="DX302" i="2" s="1"/>
  <c r="DX303" i="2" s="1"/>
  <c r="DR302" i="2" a="1"/>
  <c r="DR302" i="2" s="1"/>
  <c r="DR303" i="2" s="1"/>
  <c r="DU310" i="2" a="1"/>
  <c r="DU310" i="2" s="1"/>
  <c r="DU311" i="2" s="1"/>
  <c r="DI311" i="2" s="1"/>
  <c r="DN306" i="2" a="1"/>
  <c r="DN306" i="2" s="1"/>
  <c r="DN307" i="2" s="1"/>
  <c r="ED302" i="2" a="1"/>
  <c r="ED302" i="2" s="1"/>
  <c r="ED303" i="2" s="1"/>
  <c r="DM308" i="2" a="1"/>
  <c r="DM308" i="2" s="1"/>
  <c r="DM309" i="2" s="1"/>
  <c r="EE304" i="2" a="1"/>
  <c r="EE304" i="2" s="1"/>
  <c r="EE305" i="2" s="1"/>
  <c r="DO304" i="2" a="1"/>
  <c r="DO304" i="2" s="1"/>
  <c r="DO305" i="2" s="1"/>
  <c r="DP302" i="2" a="1"/>
  <c r="DP302" i="2" s="1"/>
  <c r="DP303" i="2" s="1"/>
  <c r="DJ302" i="2" a="1"/>
  <c r="DJ302" i="2" s="1"/>
  <c r="DJ303" i="2" s="1"/>
  <c r="DR306" i="2" a="1"/>
  <c r="DR306" i="2" s="1"/>
  <c r="DR307" i="2" s="1"/>
  <c r="EA304" i="2" a="1"/>
  <c r="EA304" i="2" s="1"/>
  <c r="EA305" i="2" s="1"/>
  <c r="EF302" i="2" a="1"/>
  <c r="EF302" i="2" s="1"/>
  <c r="EF303" i="2" s="1"/>
  <c r="EI268" i="2"/>
  <c r="FG266" i="2" a="1"/>
  <c r="FG266" i="2" s="1"/>
  <c r="FG267" i="2" s="1"/>
  <c r="EU266" i="2" a="1"/>
  <c r="EU266" i="2" s="1"/>
  <c r="EU267" i="2" s="1"/>
  <c r="EQ266" i="2" a="1"/>
  <c r="EQ266" i="2" s="1"/>
  <c r="EQ267" i="2" s="1"/>
  <c r="EM266" i="2" a="1"/>
  <c r="EM266" i="2" s="1"/>
  <c r="EM267" i="2" s="1"/>
  <c r="FH264" i="2" a="1"/>
  <c r="FH264" i="2" s="1"/>
  <c r="FH265" i="2" s="1"/>
  <c r="FD264" i="2" a="1"/>
  <c r="FD264" i="2" s="1"/>
  <c r="FD265" i="2" s="1"/>
  <c r="ER264" i="2" a="1"/>
  <c r="ER264" i="2" s="1"/>
  <c r="ER265" i="2" s="1"/>
  <c r="EX266" i="2" a="1"/>
  <c r="EX266" i="2" s="1"/>
  <c r="EX267" i="2" s="1"/>
  <c r="ET266" i="2" a="1"/>
  <c r="ET266" i="2" s="1"/>
  <c r="ET267" i="2" s="1"/>
  <c r="EP266" i="2" a="1"/>
  <c r="EP266" i="2" s="1"/>
  <c r="EP267" i="2" s="1"/>
  <c r="EJ266" i="2" a="1"/>
  <c r="EJ266" i="2" s="1"/>
  <c r="FG264" i="2" a="1"/>
  <c r="FG264" i="2" s="1"/>
  <c r="FG265" i="2" s="1"/>
  <c r="EU264" i="2" a="1"/>
  <c r="EU264" i="2" s="1"/>
  <c r="EU265" i="2" s="1"/>
  <c r="EQ264" i="2" a="1"/>
  <c r="EQ264" i="2" s="1"/>
  <c r="EQ265" i="2" s="1"/>
  <c r="FI266" i="2" a="1"/>
  <c r="FI266" i="2" s="1"/>
  <c r="FI267" i="2" s="1"/>
  <c r="FA266" i="2" a="1"/>
  <c r="FA266" i="2" s="1"/>
  <c r="FA267" i="2" s="1"/>
  <c r="ER268" i="2"/>
  <c r="FH266" i="2" a="1"/>
  <c r="FH266" i="2" s="1"/>
  <c r="FH267" i="2" s="1"/>
  <c r="FD266" i="2" a="1"/>
  <c r="FD266" i="2" s="1"/>
  <c r="FD267" i="2" s="1"/>
  <c r="ER266" i="2" a="1"/>
  <c r="ER266" i="2" s="1"/>
  <c r="ER267" i="2" s="1"/>
  <c r="FI264" i="2" a="1"/>
  <c r="FI264" i="2" s="1"/>
  <c r="FI265" i="2" s="1"/>
  <c r="FA264" i="2" a="1"/>
  <c r="FA264" i="2" s="1"/>
  <c r="FA265" i="2" s="1"/>
  <c r="ES264" i="2" a="1"/>
  <c r="ES264" i="2" s="1"/>
  <c r="ES265" i="2" s="1"/>
  <c r="EO264" i="2" a="1"/>
  <c r="EO264" i="2" s="1"/>
  <c r="EO265" i="2" s="1"/>
  <c r="EP264" i="2" a="1"/>
  <c r="EP264" i="2" s="1"/>
  <c r="EP265" i="2" s="1"/>
  <c r="FG262" i="2" a="1"/>
  <c r="FG262" i="2" s="1"/>
  <c r="FG263" i="2" s="1"/>
  <c r="EU262" i="2" a="1"/>
  <c r="EU262" i="2" s="1"/>
  <c r="EU263" i="2" s="1"/>
  <c r="EQ262" i="2" a="1"/>
  <c r="EQ262" i="2" s="1"/>
  <c r="EQ263" i="2" s="1"/>
  <c r="EM262" i="2" a="1"/>
  <c r="EM262" i="2" s="1"/>
  <c r="EM263" i="2" s="1"/>
  <c r="EK263" i="2" s="1"/>
  <c r="FH260" i="2" a="1"/>
  <c r="FH260" i="2" s="1"/>
  <c r="FH261" i="2" s="1"/>
  <c r="FD260" i="2" a="1"/>
  <c r="FD260" i="2" s="1"/>
  <c r="FD261" i="2" s="1"/>
  <c r="ER260" i="2" a="1"/>
  <c r="ER260" i="2" s="1"/>
  <c r="ER261" i="2" s="1"/>
  <c r="FI258" i="2" a="1"/>
  <c r="FI258" i="2" s="1"/>
  <c r="FI259" i="2" s="1"/>
  <c r="FA258" i="2" a="1"/>
  <c r="FA258" i="2" s="1"/>
  <c r="FA259" i="2" s="1"/>
  <c r="ES258" i="2" a="1"/>
  <c r="ES258" i="2" s="1"/>
  <c r="ES259" i="2" s="1"/>
  <c r="EO258" i="2" a="1"/>
  <c r="EO258" i="2" s="1"/>
  <c r="EO259" i="2" s="1"/>
  <c r="EX256" i="2" a="1"/>
  <c r="EX256" i="2" s="1"/>
  <c r="EX257" i="2" s="1"/>
  <c r="ET256" i="2" a="1"/>
  <c r="ET256" i="2" s="1"/>
  <c r="ET257" i="2" s="1"/>
  <c r="EP256" i="2" a="1"/>
  <c r="EP256" i="2" s="1"/>
  <c r="EP257" i="2" s="1"/>
  <c r="EJ256" i="2" a="1"/>
  <c r="EJ256" i="2" s="1"/>
  <c r="FG254" i="2" a="1"/>
  <c r="FG254" i="2" s="1"/>
  <c r="FG255" i="2" s="1"/>
  <c r="EU254" i="2" a="1"/>
  <c r="EU254" i="2" s="1"/>
  <c r="EU255" i="2" s="1"/>
  <c r="EQ254" i="2" a="1"/>
  <c r="EQ254" i="2" s="1"/>
  <c r="EQ255" i="2" s="1"/>
  <c r="EM254" i="2" a="1"/>
  <c r="EM254" i="2" s="1"/>
  <c r="EM255" i="2" s="1"/>
  <c r="FH252" i="2" a="1"/>
  <c r="FH252" i="2" s="1"/>
  <c r="FH253" i="2" s="1"/>
  <c r="FD252" i="2" a="1"/>
  <c r="FD252" i="2" s="1"/>
  <c r="FD253" i="2" s="1"/>
  <c r="ER252" i="2" a="1"/>
  <c r="ER252" i="2" s="1"/>
  <c r="ER253" i="2" s="1"/>
  <c r="FI250" i="2" a="1"/>
  <c r="FI250" i="2" s="1"/>
  <c r="FI251" i="2" s="1"/>
  <c r="FA250" i="2" a="1"/>
  <c r="FA250" i="2" s="1"/>
  <c r="FA251" i="2" s="1"/>
  <c r="ES250" i="2" a="1"/>
  <c r="ES250" i="2" s="1"/>
  <c r="ES251" i="2" s="1"/>
  <c r="EO250" i="2" a="1"/>
  <c r="EO250" i="2" s="1"/>
  <c r="EO251" i="2" s="1"/>
  <c r="EX248" i="2" a="1"/>
  <c r="EX248" i="2" s="1"/>
  <c r="EX249" i="2" s="1"/>
  <c r="EM268" i="2"/>
  <c r="EX262" i="2" a="1"/>
  <c r="EX262" i="2" s="1"/>
  <c r="EX263" i="2" s="1"/>
  <c r="ET262" i="2" a="1"/>
  <c r="ET262" i="2" s="1"/>
  <c r="ET263" i="2" s="1"/>
  <c r="EP262" i="2" a="1"/>
  <c r="EP262" i="2" s="1"/>
  <c r="EP263" i="2" s="1"/>
  <c r="EJ262" i="2" a="1"/>
  <c r="EJ262" i="2" s="1"/>
  <c r="FG260" i="2" a="1"/>
  <c r="FG260" i="2" s="1"/>
  <c r="FG261" i="2" s="1"/>
  <c r="EU260" i="2" a="1"/>
  <c r="EU260" i="2" s="1"/>
  <c r="EU261" i="2" s="1"/>
  <c r="EQ260" i="2" a="1"/>
  <c r="EQ260" i="2" s="1"/>
  <c r="EQ261" i="2" s="1"/>
  <c r="EM260" i="2" a="1"/>
  <c r="EM260" i="2" s="1"/>
  <c r="EM261" i="2" s="1"/>
  <c r="FH258" i="2" a="1"/>
  <c r="FH258" i="2" s="1"/>
  <c r="FH259" i="2" s="1"/>
  <c r="FD258" i="2" a="1"/>
  <c r="FD258" i="2" s="1"/>
  <c r="FD259" i="2" s="1"/>
  <c r="ER258" i="2" a="1"/>
  <c r="ER258" i="2" s="1"/>
  <c r="ER259" i="2" s="1"/>
  <c r="FI256" i="2" a="1"/>
  <c r="FI256" i="2" s="1"/>
  <c r="FI257" i="2" s="1"/>
  <c r="FA256" i="2" a="1"/>
  <c r="FA256" i="2" s="1"/>
  <c r="FA257" i="2" s="1"/>
  <c r="ES256" i="2" a="1"/>
  <c r="ES256" i="2" s="1"/>
  <c r="ES257" i="2" s="1"/>
  <c r="EO256" i="2" a="1"/>
  <c r="EO256" i="2" s="1"/>
  <c r="EO257" i="2" s="1"/>
  <c r="EX254" i="2" a="1"/>
  <c r="EX254" i="2" s="1"/>
  <c r="EX255" i="2" s="1"/>
  <c r="ET254" i="2" a="1"/>
  <c r="ET254" i="2" s="1"/>
  <c r="ET255" i="2" s="1"/>
  <c r="EP254" i="2" a="1"/>
  <c r="EP254" i="2" s="1"/>
  <c r="EP255" i="2" s="1"/>
  <c r="EJ254" i="2" a="1"/>
  <c r="EJ254" i="2" s="1"/>
  <c r="FG252" i="2" a="1"/>
  <c r="FG252" i="2" s="1"/>
  <c r="FG253" i="2" s="1"/>
  <c r="EU252" i="2" a="1"/>
  <c r="EU252" i="2" s="1"/>
  <c r="EU253" i="2" s="1"/>
  <c r="EQ252" i="2" a="1"/>
  <c r="EQ252" i="2" s="1"/>
  <c r="EQ253" i="2" s="1"/>
  <c r="EM252" i="2" a="1"/>
  <c r="EM252" i="2" s="1"/>
  <c r="EM253" i="2" s="1"/>
  <c r="FH250" i="2" a="1"/>
  <c r="FH250" i="2" s="1"/>
  <c r="FH251" i="2" s="1"/>
  <c r="FD250" i="2" a="1"/>
  <c r="FD250" i="2" s="1"/>
  <c r="FD251" i="2" s="1"/>
  <c r="ER250" i="2" a="1"/>
  <c r="ER250" i="2" s="1"/>
  <c r="ER251" i="2" s="1"/>
  <c r="FI248" i="2" a="1"/>
  <c r="FI248" i="2" s="1"/>
  <c r="FI249" i="2" s="1"/>
  <c r="FA248" i="2" a="1"/>
  <c r="FA248" i="2" s="1"/>
  <c r="FA249" i="2" s="1"/>
  <c r="ES248" i="2" a="1"/>
  <c r="ES248" i="2" s="1"/>
  <c r="ES249" i="2" s="1"/>
  <c r="EO248" i="2" a="1"/>
  <c r="EO248" i="2" s="1"/>
  <c r="EO249" i="2" s="1"/>
  <c r="ET264" i="2" a="1"/>
  <c r="ET264" i="2" s="1"/>
  <c r="ET265" i="2" s="1"/>
  <c r="ES266" i="2" a="1"/>
  <c r="ES266" i="2" s="1"/>
  <c r="ES267" i="2" s="1"/>
  <c r="FI262" i="2" a="1"/>
  <c r="FI262" i="2" s="1"/>
  <c r="FI263" i="2" s="1"/>
  <c r="FA262" i="2" a="1"/>
  <c r="FA262" i="2" s="1"/>
  <c r="FA263" i="2" s="1"/>
  <c r="ES262" i="2" a="1"/>
  <c r="ES262" i="2" s="1"/>
  <c r="ES263" i="2" s="1"/>
  <c r="EO262" i="2" a="1"/>
  <c r="EO262" i="2" s="1"/>
  <c r="EO263" i="2" s="1"/>
  <c r="EX260" i="2" a="1"/>
  <c r="EX260" i="2" s="1"/>
  <c r="EX261" i="2" s="1"/>
  <c r="EL261" i="2" s="1"/>
  <c r="ET260" i="2" a="1"/>
  <c r="ET260" i="2" s="1"/>
  <c r="ET261" i="2" s="1"/>
  <c r="EP260" i="2" a="1"/>
  <c r="EP260" i="2" s="1"/>
  <c r="EP261" i="2" s="1"/>
  <c r="EJ260" i="2" a="1"/>
  <c r="EJ260" i="2" s="1"/>
  <c r="FG258" i="2" a="1"/>
  <c r="FG258" i="2" s="1"/>
  <c r="FG259" i="2" s="1"/>
  <c r="EU258" i="2" a="1"/>
  <c r="EU258" i="2" s="1"/>
  <c r="EU259" i="2" s="1"/>
  <c r="EQ258" i="2" a="1"/>
  <c r="EQ258" i="2" s="1"/>
  <c r="EQ259" i="2" s="1"/>
  <c r="EM258" i="2" a="1"/>
  <c r="EM258" i="2" s="1"/>
  <c r="EM259" i="2" s="1"/>
  <c r="FH256" i="2" a="1"/>
  <c r="FH256" i="2" s="1"/>
  <c r="FH257" i="2" s="1"/>
  <c r="FD256" i="2" a="1"/>
  <c r="FD256" i="2" s="1"/>
  <c r="FD257" i="2" s="1"/>
  <c r="ER256" i="2" a="1"/>
  <c r="ER256" i="2" s="1"/>
  <c r="ER257" i="2" s="1"/>
  <c r="FI254" i="2" a="1"/>
  <c r="FI254" i="2" s="1"/>
  <c r="FI255" i="2" s="1"/>
  <c r="FA254" i="2" a="1"/>
  <c r="FA254" i="2" s="1"/>
  <c r="FA255" i="2" s="1"/>
  <c r="ES254" i="2" a="1"/>
  <c r="ES254" i="2" s="1"/>
  <c r="ES255" i="2" s="1"/>
  <c r="EO254" i="2" a="1"/>
  <c r="EO254" i="2" s="1"/>
  <c r="EO255" i="2" s="1"/>
  <c r="EX252" i="2" a="1"/>
  <c r="EX252" i="2" s="1"/>
  <c r="EX253" i="2" s="1"/>
  <c r="ET252" i="2" a="1"/>
  <c r="ET252" i="2" s="1"/>
  <c r="ET253" i="2" s="1"/>
  <c r="EP252" i="2" a="1"/>
  <c r="EP252" i="2" s="1"/>
  <c r="EP253" i="2" s="1"/>
  <c r="EJ252" i="2" a="1"/>
  <c r="EJ252" i="2" s="1"/>
  <c r="FG250" i="2" a="1"/>
  <c r="FG250" i="2" s="1"/>
  <c r="FG251" i="2" s="1"/>
  <c r="EU250" i="2" a="1"/>
  <c r="EU250" i="2" s="1"/>
  <c r="EU251" i="2" s="1"/>
  <c r="EQ250" i="2" a="1"/>
  <c r="EQ250" i="2" s="1"/>
  <c r="EQ251" i="2" s="1"/>
  <c r="EM250" i="2" a="1"/>
  <c r="EM250" i="2" s="1"/>
  <c r="EM251" i="2" s="1"/>
  <c r="FH248" i="2" a="1"/>
  <c r="FH248" i="2" s="1"/>
  <c r="FH249" i="2" s="1"/>
  <c r="FD248" i="2" a="1"/>
  <c r="FD248" i="2" s="1"/>
  <c r="FD249" i="2" s="1"/>
  <c r="EM264" i="2" a="1"/>
  <c r="EM264" i="2" s="1"/>
  <c r="EM265" i="2" s="1"/>
  <c r="EX264" i="2" a="1"/>
  <c r="EX264" i="2" s="1"/>
  <c r="EX265" i="2" s="1"/>
  <c r="EL265" i="2" s="1"/>
  <c r="FH262" i="2" a="1"/>
  <c r="FH262" i="2" s="1"/>
  <c r="FH263" i="2" s="1"/>
  <c r="FD262" i="2" a="1"/>
  <c r="FD262" i="2" s="1"/>
  <c r="FD263" i="2" s="1"/>
  <c r="ER262" i="2" a="1"/>
  <c r="ER262" i="2" s="1"/>
  <c r="ER263" i="2" s="1"/>
  <c r="FI260" i="2" a="1"/>
  <c r="FI260" i="2" s="1"/>
  <c r="FI261" i="2" s="1"/>
  <c r="FA260" i="2" a="1"/>
  <c r="FA260" i="2" s="1"/>
  <c r="FA261" i="2" s="1"/>
  <c r="ES260" i="2" a="1"/>
  <c r="ES260" i="2" s="1"/>
  <c r="ES261" i="2" s="1"/>
  <c r="EO260" i="2" a="1"/>
  <c r="EO260" i="2" s="1"/>
  <c r="EO261" i="2" s="1"/>
  <c r="EX258" i="2" a="1"/>
  <c r="EX258" i="2" s="1"/>
  <c r="EX259" i="2" s="1"/>
  <c r="EL259" i="2" s="1"/>
  <c r="ET258" i="2" a="1"/>
  <c r="ET258" i="2" s="1"/>
  <c r="ET259" i="2" s="1"/>
  <c r="EP258" i="2" a="1"/>
  <c r="EP258" i="2" s="1"/>
  <c r="EP259" i="2" s="1"/>
  <c r="EJ258" i="2" a="1"/>
  <c r="EJ258" i="2" s="1"/>
  <c r="FG256" i="2" a="1"/>
  <c r="FG256" i="2" s="1"/>
  <c r="FG257" i="2" s="1"/>
  <c r="EU256" i="2" a="1"/>
  <c r="EU256" i="2" s="1"/>
  <c r="EU257" i="2" s="1"/>
  <c r="EQ256" i="2" a="1"/>
  <c r="EQ256" i="2" s="1"/>
  <c r="EQ257" i="2" s="1"/>
  <c r="EM256" i="2" a="1"/>
  <c r="EM256" i="2" s="1"/>
  <c r="EM257" i="2" s="1"/>
  <c r="FH254" i="2" a="1"/>
  <c r="FH254" i="2" s="1"/>
  <c r="FH255" i="2" s="1"/>
  <c r="FD254" i="2" a="1"/>
  <c r="FD254" i="2" s="1"/>
  <c r="FD255" i="2" s="1"/>
  <c r="ER254" i="2" a="1"/>
  <c r="ER254" i="2" s="1"/>
  <c r="ER255" i="2" s="1"/>
  <c r="FI252" i="2" a="1"/>
  <c r="FI252" i="2" s="1"/>
  <c r="FI253" i="2" s="1"/>
  <c r="FA252" i="2" a="1"/>
  <c r="FA252" i="2" s="1"/>
  <c r="FA253" i="2" s="1"/>
  <c r="ES252" i="2" a="1"/>
  <c r="ES252" i="2" s="1"/>
  <c r="ES253" i="2" s="1"/>
  <c r="EO252" i="2" a="1"/>
  <c r="EO252" i="2" s="1"/>
  <c r="EO253" i="2" s="1"/>
  <c r="EX250" i="2" a="1"/>
  <c r="EX250" i="2" s="1"/>
  <c r="EX251" i="2" s="1"/>
  <c r="ET250" i="2" a="1"/>
  <c r="ET250" i="2" s="1"/>
  <c r="ET251" i="2" s="1"/>
  <c r="EP250" i="2" a="1"/>
  <c r="EP250" i="2" s="1"/>
  <c r="EP251" i="2" s="1"/>
  <c r="EJ250" i="2" a="1"/>
  <c r="EJ250" i="2" s="1"/>
  <c r="FG248" i="2" a="1"/>
  <c r="FG248" i="2" s="1"/>
  <c r="FG249" i="2" s="1"/>
  <c r="EU248" i="2" a="1"/>
  <c r="EU248" i="2" s="1"/>
  <c r="EU249" i="2" s="1"/>
  <c r="EQ248" i="2" a="1"/>
  <c r="EQ248" i="2" s="1"/>
  <c r="EQ249" i="2" s="1"/>
  <c r="EM248" i="2" a="1"/>
  <c r="EM248" i="2" s="1"/>
  <c r="EM249" i="2" s="1"/>
  <c r="EK249" i="2" s="1"/>
  <c r="FH246" i="2" a="1"/>
  <c r="FH246" i="2" s="1"/>
  <c r="FH247" i="2" s="1"/>
  <c r="EO266" i="2" a="1"/>
  <c r="EO266" i="2" s="1"/>
  <c r="EO267" i="2" s="1"/>
  <c r="EJ264" i="2" a="1"/>
  <c r="EJ264" i="2" s="1"/>
  <c r="ET248" i="2" a="1"/>
  <c r="ET248" i="2" s="1"/>
  <c r="ET249" i="2" s="1"/>
  <c r="ER248" i="2" a="1"/>
  <c r="ER248" i="2" s="1"/>
  <c r="ER249" i="2" s="1"/>
  <c r="FG246" i="2" a="1"/>
  <c r="FG246" i="2" s="1"/>
  <c r="FG247" i="2" s="1"/>
  <c r="EX246" i="2" a="1"/>
  <c r="EX246" i="2" s="1"/>
  <c r="EX247" i="2" s="1"/>
  <c r="ET246" i="2" a="1"/>
  <c r="ET246" i="2" s="1"/>
  <c r="ET247" i="2" s="1"/>
  <c r="EP246" i="2" a="1"/>
  <c r="EP246" i="2" s="1"/>
  <c r="EP247" i="2" s="1"/>
  <c r="EJ246" i="2" a="1"/>
  <c r="EJ246" i="2" s="1"/>
  <c r="FG244" i="2" a="1"/>
  <c r="FG244" i="2" s="1"/>
  <c r="FG245" i="2" s="1"/>
  <c r="EU244" i="2" a="1"/>
  <c r="EU244" i="2" s="1"/>
  <c r="EU245" i="2" s="1"/>
  <c r="EQ244" i="2" a="1"/>
  <c r="EQ244" i="2" s="1"/>
  <c r="EQ245" i="2" s="1"/>
  <c r="EM244" i="2" a="1"/>
  <c r="EM244" i="2" s="1"/>
  <c r="EM245" i="2" s="1"/>
  <c r="FH242" i="2" a="1"/>
  <c r="FH242" i="2" s="1"/>
  <c r="FH243" i="2" s="1"/>
  <c r="FD242" i="2" a="1"/>
  <c r="FD242" i="2" s="1"/>
  <c r="FD243" i="2" s="1"/>
  <c r="ER242" i="2" a="1"/>
  <c r="ER242" i="2" s="1"/>
  <c r="ER243" i="2" s="1"/>
  <c r="EP248" i="2" a="1"/>
  <c r="EP248" i="2" s="1"/>
  <c r="EP249" i="2" s="1"/>
  <c r="ES246" i="2" a="1"/>
  <c r="ES246" i="2" s="1"/>
  <c r="ES247" i="2" s="1"/>
  <c r="EO246" i="2" a="1"/>
  <c r="EO246" i="2" s="1"/>
  <c r="EO247" i="2" s="1"/>
  <c r="EX244" i="2" a="1"/>
  <c r="EX244" i="2" s="1"/>
  <c r="EX245" i="2" s="1"/>
  <c r="ET244" i="2" a="1"/>
  <c r="ET244" i="2" s="1"/>
  <c r="ET245" i="2" s="1"/>
  <c r="EP244" i="2" a="1"/>
  <c r="EP244" i="2" s="1"/>
  <c r="EP245" i="2" s="1"/>
  <c r="EJ244" i="2" a="1"/>
  <c r="EJ244" i="2" s="1"/>
  <c r="FG242" i="2" a="1"/>
  <c r="FG242" i="2" s="1"/>
  <c r="FG243" i="2" s="1"/>
  <c r="EU242" i="2" a="1"/>
  <c r="EU242" i="2" s="1"/>
  <c r="EU243" i="2" s="1"/>
  <c r="EQ242" i="2" a="1"/>
  <c r="EQ242" i="2" s="1"/>
  <c r="EQ243" i="2" s="1"/>
  <c r="EM242" i="2" a="1"/>
  <c r="EM242" i="2" s="1"/>
  <c r="EM243" i="2" s="1"/>
  <c r="EJ248" i="2" a="1"/>
  <c r="EJ248" i="2" s="1"/>
  <c r="FA246" i="2" a="1"/>
  <c r="FA246" i="2" s="1"/>
  <c r="FA247" i="2" s="1"/>
  <c r="ER246" i="2" a="1"/>
  <c r="ER246" i="2" s="1"/>
  <c r="ER247" i="2" s="1"/>
  <c r="FI244" i="2" a="1"/>
  <c r="FI244" i="2" s="1"/>
  <c r="FI245" i="2" s="1"/>
  <c r="FA244" i="2" a="1"/>
  <c r="FA244" i="2" s="1"/>
  <c r="FA245" i="2" s="1"/>
  <c r="ES244" i="2" a="1"/>
  <c r="ES244" i="2" s="1"/>
  <c r="ES245" i="2" s="1"/>
  <c r="EO244" i="2" a="1"/>
  <c r="EO244" i="2" s="1"/>
  <c r="EO245" i="2" s="1"/>
  <c r="EX242" i="2" a="1"/>
  <c r="EX242" i="2" s="1"/>
  <c r="EX243" i="2" s="1"/>
  <c r="ET242" i="2" a="1"/>
  <c r="ET242" i="2" s="1"/>
  <c r="ET243" i="2" s="1"/>
  <c r="EP242" i="2" a="1"/>
  <c r="EP242" i="2" s="1"/>
  <c r="EP243" i="2" s="1"/>
  <c r="EJ242" i="2" a="1"/>
  <c r="EJ242" i="2" s="1"/>
  <c r="FD246" i="2" a="1"/>
  <c r="FD246" i="2" s="1"/>
  <c r="FD247" i="2" s="1"/>
  <c r="FI246" i="2" a="1"/>
  <c r="FI246" i="2" s="1"/>
  <c r="FI247" i="2" s="1"/>
  <c r="ES242" i="2" a="1"/>
  <c r="ES242" i="2" s="1"/>
  <c r="ES243" i="2" s="1"/>
  <c r="EO242" i="2" a="1"/>
  <c r="EO242" i="2" s="1"/>
  <c r="EO243" i="2" s="1"/>
  <c r="FH244" i="2" a="1"/>
  <c r="FH244" i="2" s="1"/>
  <c r="FH245" i="2" s="1"/>
  <c r="EU246" i="2" a="1"/>
  <c r="EU246" i="2" s="1"/>
  <c r="EU247" i="2" s="1"/>
  <c r="FD244" i="2" a="1"/>
  <c r="FD244" i="2" s="1"/>
  <c r="FD245" i="2" s="1"/>
  <c r="EQ246" i="2" a="1"/>
  <c r="EQ246" i="2" s="1"/>
  <c r="EQ247" i="2" s="1"/>
  <c r="FI242" i="2" a="1"/>
  <c r="FI242" i="2" s="1"/>
  <c r="FI243" i="2" s="1"/>
  <c r="EM246" i="2" a="1"/>
  <c r="EM246" i="2" s="1"/>
  <c r="EM247" i="2" s="1"/>
  <c r="ER244" i="2" a="1"/>
  <c r="ER244" i="2" s="1"/>
  <c r="ER245" i="2" s="1"/>
  <c r="FA242" i="2" a="1"/>
  <c r="FA242" i="2" s="1"/>
  <c r="FA243" i="2" s="1"/>
  <c r="CB47" i="2"/>
  <c r="AH24" i="2" s="1"/>
  <c r="AI24" i="2" s="1"/>
  <c r="CO11" i="2"/>
  <c r="L9" i="1"/>
  <c r="O9" i="1" s="1"/>
  <c r="CF3" i="2"/>
  <c r="CP3" i="2"/>
  <c r="L17" i="1"/>
  <c r="O17" i="1" s="1"/>
  <c r="CU7" i="2"/>
  <c r="L60" i="1"/>
  <c r="O60" i="1" s="1"/>
  <c r="CB53" i="2"/>
  <c r="AH27" i="2" s="1"/>
  <c r="AI27" i="2" s="1"/>
  <c r="CO13" i="2"/>
  <c r="CJ61" i="2"/>
  <c r="ER178" i="2"/>
  <c r="EM176" i="2" a="1"/>
  <c r="EM176" i="2" s="1"/>
  <c r="EM177" i="2" s="1"/>
  <c r="EM178" i="2"/>
  <c r="FI176" i="2" a="1"/>
  <c r="FI176" i="2" s="1"/>
  <c r="FI177" i="2" s="1"/>
  <c r="EQ176" i="2" a="1"/>
  <c r="EQ176" i="2" s="1"/>
  <c r="EQ177" i="2" s="1"/>
  <c r="EJ176" i="2" a="1"/>
  <c r="EJ176" i="2" s="1"/>
  <c r="FA174" i="2" a="1"/>
  <c r="FA174" i="2" s="1"/>
  <c r="FA175" i="2" s="1"/>
  <c r="ER174" i="2" a="1"/>
  <c r="ER174" i="2" s="1"/>
  <c r="ER175" i="2" s="1"/>
  <c r="EM174" i="2" a="1"/>
  <c r="EM174" i="2" s="1"/>
  <c r="EM175" i="2" s="1"/>
  <c r="FG172" i="2" a="1"/>
  <c r="FG172" i="2" s="1"/>
  <c r="FG173" i="2" s="1"/>
  <c r="EU172" i="2" a="1"/>
  <c r="EU172" i="2" s="1"/>
  <c r="EU173" i="2" s="1"/>
  <c r="EQ172" i="2" a="1"/>
  <c r="EQ172" i="2" s="1"/>
  <c r="EQ173" i="2" s="1"/>
  <c r="EM172" i="2" a="1"/>
  <c r="EM172" i="2" s="1"/>
  <c r="EM173" i="2" s="1"/>
  <c r="FH170" i="2" a="1"/>
  <c r="FH170" i="2" s="1"/>
  <c r="FH171" i="2" s="1"/>
  <c r="FD170" i="2" a="1"/>
  <c r="FD170" i="2" s="1"/>
  <c r="FD171" i="2" s="1"/>
  <c r="ER170" i="2" a="1"/>
  <c r="ER170" i="2" s="1"/>
  <c r="ER171" i="2" s="1"/>
  <c r="FI168" i="2" a="1"/>
  <c r="FI168" i="2" s="1"/>
  <c r="FI169" i="2" s="1"/>
  <c r="FA168" i="2" a="1"/>
  <c r="FA168" i="2" s="1"/>
  <c r="FA169" i="2" s="1"/>
  <c r="ES168" i="2" a="1"/>
  <c r="ES168" i="2" s="1"/>
  <c r="ES169" i="2" s="1"/>
  <c r="EO168" i="2" a="1"/>
  <c r="EO168" i="2" s="1"/>
  <c r="EO169" i="2" s="1"/>
  <c r="EX166" i="2" a="1"/>
  <c r="EX166" i="2" s="1"/>
  <c r="EX167" i="2" s="1"/>
  <c r="ET166" i="2" a="1"/>
  <c r="ET166" i="2" s="1"/>
  <c r="ET167" i="2" s="1"/>
  <c r="EP166" i="2" a="1"/>
  <c r="EP166" i="2" s="1"/>
  <c r="EP167" i="2" s="1"/>
  <c r="EJ166" i="2" a="1"/>
  <c r="EJ166" i="2" s="1"/>
  <c r="FG164" i="2" a="1"/>
  <c r="FG164" i="2" s="1"/>
  <c r="FG165" i="2" s="1"/>
  <c r="EU164" i="2" a="1"/>
  <c r="EU164" i="2" s="1"/>
  <c r="EU165" i="2" s="1"/>
  <c r="EQ164" i="2" a="1"/>
  <c r="EQ164" i="2" s="1"/>
  <c r="EQ165" i="2" s="1"/>
  <c r="EM164" i="2" a="1"/>
  <c r="EM164" i="2" s="1"/>
  <c r="EM165" i="2" s="1"/>
  <c r="FH162" i="2" a="1"/>
  <c r="FH162" i="2" s="1"/>
  <c r="FH163" i="2" s="1"/>
  <c r="FD162" i="2" a="1"/>
  <c r="FD162" i="2" s="1"/>
  <c r="FD163" i="2" s="1"/>
  <c r="ER162" i="2" a="1"/>
  <c r="ER162" i="2" s="1"/>
  <c r="ER163" i="2" s="1"/>
  <c r="FI160" i="2" a="1"/>
  <c r="FI160" i="2" s="1"/>
  <c r="FI161" i="2" s="1"/>
  <c r="FA160" i="2" a="1"/>
  <c r="FA160" i="2" s="1"/>
  <c r="FA161" i="2" s="1"/>
  <c r="ES160" i="2" a="1"/>
  <c r="ES160" i="2" s="1"/>
  <c r="ES161" i="2" s="1"/>
  <c r="EO160" i="2" a="1"/>
  <c r="EO160" i="2" s="1"/>
  <c r="EO161" i="2" s="1"/>
  <c r="EX158" i="2" a="1"/>
  <c r="EX158" i="2" s="1"/>
  <c r="EX159" i="2" s="1"/>
  <c r="EI178" i="2"/>
  <c r="FD176" i="2" a="1"/>
  <c r="FD176" i="2" s="1"/>
  <c r="FD177" i="2" s="1"/>
  <c r="EU176" i="2" a="1"/>
  <c r="EU176" i="2" s="1"/>
  <c r="EU177" i="2" s="1"/>
  <c r="EP176" i="2" a="1"/>
  <c r="EP176" i="2" s="1"/>
  <c r="EP177" i="2" s="1"/>
  <c r="EQ174" i="2" a="1"/>
  <c r="EQ174" i="2" s="1"/>
  <c r="EQ175" i="2" s="1"/>
  <c r="FH176" i="2" a="1"/>
  <c r="FH176" i="2" s="1"/>
  <c r="FH177" i="2" s="1"/>
  <c r="ET176" i="2" a="1"/>
  <c r="ET176" i="2" s="1"/>
  <c r="ET177" i="2" s="1"/>
  <c r="FI174" i="2" a="1"/>
  <c r="FI174" i="2" s="1"/>
  <c r="FI175" i="2" s="1"/>
  <c r="EU174" i="2" a="1"/>
  <c r="EU174" i="2" s="1"/>
  <c r="EU175" i="2" s="1"/>
  <c r="EJ174" i="2" a="1"/>
  <c r="EJ174" i="2" s="1"/>
  <c r="EX172" i="2" a="1"/>
  <c r="EX172" i="2" s="1"/>
  <c r="EX173" i="2" s="1"/>
  <c r="ET172" i="2" a="1"/>
  <c r="ET172" i="2" s="1"/>
  <c r="ET173" i="2" s="1"/>
  <c r="EP172" i="2" a="1"/>
  <c r="EP172" i="2" s="1"/>
  <c r="EP173" i="2" s="1"/>
  <c r="EJ172" i="2" a="1"/>
  <c r="EJ172" i="2" s="1"/>
  <c r="FG170" i="2" a="1"/>
  <c r="FG170" i="2" s="1"/>
  <c r="FG171" i="2" s="1"/>
  <c r="EU170" i="2" a="1"/>
  <c r="EU170" i="2" s="1"/>
  <c r="EU171" i="2" s="1"/>
  <c r="EQ170" i="2" a="1"/>
  <c r="EQ170" i="2" s="1"/>
  <c r="EQ171" i="2" s="1"/>
  <c r="EM170" i="2" a="1"/>
  <c r="EM170" i="2" s="1"/>
  <c r="EM171" i="2" s="1"/>
  <c r="FH168" i="2" a="1"/>
  <c r="FH168" i="2" s="1"/>
  <c r="FH169" i="2" s="1"/>
  <c r="FD168" i="2" a="1"/>
  <c r="FD168" i="2" s="1"/>
  <c r="FD169" i="2" s="1"/>
  <c r="ER168" i="2" a="1"/>
  <c r="ER168" i="2" s="1"/>
  <c r="ER169" i="2" s="1"/>
  <c r="FI166" i="2" a="1"/>
  <c r="FI166" i="2" s="1"/>
  <c r="FI167" i="2" s="1"/>
  <c r="FA166" i="2" a="1"/>
  <c r="FA166" i="2" s="1"/>
  <c r="FA167" i="2" s="1"/>
  <c r="ES166" i="2" a="1"/>
  <c r="ES166" i="2" s="1"/>
  <c r="ES167" i="2" s="1"/>
  <c r="EO166" i="2" a="1"/>
  <c r="EO166" i="2" s="1"/>
  <c r="EO167" i="2" s="1"/>
  <c r="EX164" i="2" a="1"/>
  <c r="EX164" i="2" s="1"/>
  <c r="EX165" i="2" s="1"/>
  <c r="ET164" i="2" a="1"/>
  <c r="ET164" i="2" s="1"/>
  <c r="ET165" i="2" s="1"/>
  <c r="EP164" i="2" a="1"/>
  <c r="EP164" i="2" s="1"/>
  <c r="EP165" i="2" s="1"/>
  <c r="EJ164" i="2" a="1"/>
  <c r="EJ164" i="2" s="1"/>
  <c r="FG162" i="2" a="1"/>
  <c r="FG162" i="2" s="1"/>
  <c r="FG163" i="2" s="1"/>
  <c r="EU162" i="2" a="1"/>
  <c r="EU162" i="2" s="1"/>
  <c r="EU163" i="2" s="1"/>
  <c r="EQ162" i="2" a="1"/>
  <c r="EQ162" i="2" s="1"/>
  <c r="EQ163" i="2" s="1"/>
  <c r="EM162" i="2" a="1"/>
  <c r="EM162" i="2" s="1"/>
  <c r="EM163" i="2" s="1"/>
  <c r="FH160" i="2" a="1"/>
  <c r="FH160" i="2" s="1"/>
  <c r="FH161" i="2" s="1"/>
  <c r="FD160" i="2" a="1"/>
  <c r="FD160" i="2" s="1"/>
  <c r="FD161" i="2" s="1"/>
  <c r="EX176" i="2" a="1"/>
  <c r="EX176" i="2" s="1"/>
  <c r="EX177" i="2" s="1"/>
  <c r="EO176" i="2" a="1"/>
  <c r="EO176" i="2" s="1"/>
  <c r="EO177" i="2" s="1"/>
  <c r="FD174" i="2" a="1"/>
  <c r="FD174" i="2" s="1"/>
  <c r="FD175" i="2" s="1"/>
  <c r="EP174" i="2" a="1"/>
  <c r="EP174" i="2" s="1"/>
  <c r="EP175" i="2" s="1"/>
  <c r="FG176" i="2" a="1"/>
  <c r="FG176" i="2" s="1"/>
  <c r="FG177" i="2" s="1"/>
  <c r="ES176" i="2" a="1"/>
  <c r="ES176" i="2" s="1"/>
  <c r="ES177" i="2" s="1"/>
  <c r="FH174" i="2" a="1"/>
  <c r="FH174" i="2" s="1"/>
  <c r="FH175" i="2" s="1"/>
  <c r="ET174" i="2" a="1"/>
  <c r="ET174" i="2" s="1"/>
  <c r="ET175" i="2" s="1"/>
  <c r="FI172" i="2" a="1"/>
  <c r="FI172" i="2" s="1"/>
  <c r="FI173" i="2" s="1"/>
  <c r="FA172" i="2" a="1"/>
  <c r="FA172" i="2" s="1"/>
  <c r="FA173" i="2" s="1"/>
  <c r="ES172" i="2" a="1"/>
  <c r="ES172" i="2" s="1"/>
  <c r="ES173" i="2" s="1"/>
  <c r="EO172" i="2" a="1"/>
  <c r="EO172" i="2" s="1"/>
  <c r="EO173" i="2" s="1"/>
  <c r="EX170" i="2" a="1"/>
  <c r="EX170" i="2" s="1"/>
  <c r="EX171" i="2" s="1"/>
  <c r="ET170" i="2" a="1"/>
  <c r="ET170" i="2" s="1"/>
  <c r="ET171" i="2" s="1"/>
  <c r="EP170" i="2" a="1"/>
  <c r="EP170" i="2" s="1"/>
  <c r="EP171" i="2" s="1"/>
  <c r="EJ170" i="2" a="1"/>
  <c r="EJ170" i="2" s="1"/>
  <c r="FG168" i="2" a="1"/>
  <c r="FG168" i="2" s="1"/>
  <c r="FG169" i="2" s="1"/>
  <c r="EU168" i="2" a="1"/>
  <c r="EU168" i="2" s="1"/>
  <c r="EU169" i="2" s="1"/>
  <c r="EQ168" i="2" a="1"/>
  <c r="EQ168" i="2" s="1"/>
  <c r="EQ169" i="2" s="1"/>
  <c r="EM168" i="2" a="1"/>
  <c r="EM168" i="2" s="1"/>
  <c r="EM169" i="2" s="1"/>
  <c r="FH166" i="2" a="1"/>
  <c r="FH166" i="2" s="1"/>
  <c r="FH167" i="2" s="1"/>
  <c r="FD166" i="2" a="1"/>
  <c r="FD166" i="2" s="1"/>
  <c r="FD167" i="2" s="1"/>
  <c r="ER166" i="2" a="1"/>
  <c r="ER166" i="2" s="1"/>
  <c r="ER167" i="2" s="1"/>
  <c r="FI164" i="2" a="1"/>
  <c r="FI164" i="2" s="1"/>
  <c r="FI165" i="2" s="1"/>
  <c r="FA164" i="2" a="1"/>
  <c r="FA164" i="2" s="1"/>
  <c r="FA165" i="2" s="1"/>
  <c r="ES164" i="2" a="1"/>
  <c r="ES164" i="2" s="1"/>
  <c r="ES165" i="2" s="1"/>
  <c r="EO164" i="2" a="1"/>
  <c r="EO164" i="2" s="1"/>
  <c r="EO165" i="2" s="1"/>
  <c r="EX162" i="2" a="1"/>
  <c r="EX162" i="2" s="1"/>
  <c r="EX163" i="2" s="1"/>
  <c r="ET162" i="2" a="1"/>
  <c r="ET162" i="2" s="1"/>
  <c r="ET163" i="2" s="1"/>
  <c r="EP162" i="2" a="1"/>
  <c r="EP162" i="2" s="1"/>
  <c r="EP163" i="2" s="1"/>
  <c r="EJ162" i="2" a="1"/>
  <c r="EJ162" i="2" s="1"/>
  <c r="FG160" i="2" a="1"/>
  <c r="FG160" i="2" s="1"/>
  <c r="FG161" i="2" s="1"/>
  <c r="EU160" i="2" a="1"/>
  <c r="EU160" i="2" s="1"/>
  <c r="EU161" i="2" s="1"/>
  <c r="FG174" i="2" a="1"/>
  <c r="FG174" i="2" s="1"/>
  <c r="FG175" i="2" s="1"/>
  <c r="EX174" i="2" a="1"/>
  <c r="EX174" i="2" s="1"/>
  <c r="EX175" i="2" s="1"/>
  <c r="EL175" i="2" s="1"/>
  <c r="EO174" i="2" a="1"/>
  <c r="EO174" i="2" s="1"/>
  <c r="EO175" i="2" s="1"/>
  <c r="EM166" i="2" a="1"/>
  <c r="EM166" i="2" s="1"/>
  <c r="EM167" i="2" s="1"/>
  <c r="FD158" i="2" a="1"/>
  <c r="FD158" i="2" s="1"/>
  <c r="FD159" i="2" s="1"/>
  <c r="EU158" i="2" a="1"/>
  <c r="EU158" i="2" s="1"/>
  <c r="EU159" i="2" s="1"/>
  <c r="EQ158" i="2" a="1"/>
  <c r="EQ158" i="2" s="1"/>
  <c r="EQ159" i="2" s="1"/>
  <c r="EM158" i="2" a="1"/>
  <c r="EM158" i="2" s="1"/>
  <c r="EM159" i="2" s="1"/>
  <c r="FH156" i="2" a="1"/>
  <c r="FH156" i="2" s="1"/>
  <c r="FH157" i="2" s="1"/>
  <c r="FD156" i="2" a="1"/>
  <c r="FD156" i="2" s="1"/>
  <c r="FD157" i="2" s="1"/>
  <c r="ER156" i="2" a="1"/>
  <c r="ER156" i="2" s="1"/>
  <c r="ER157" i="2" s="1"/>
  <c r="FI154" i="2" a="1"/>
  <c r="FI154" i="2" s="1"/>
  <c r="FI155" i="2" s="1"/>
  <c r="FA154" i="2" a="1"/>
  <c r="FA154" i="2" s="1"/>
  <c r="FA155" i="2" s="1"/>
  <c r="ES154" i="2" a="1"/>
  <c r="ES154" i="2" s="1"/>
  <c r="ES155" i="2" s="1"/>
  <c r="EO154" i="2" a="1"/>
  <c r="EO154" i="2" s="1"/>
  <c r="EO155" i="2" s="1"/>
  <c r="EX152" i="2" a="1"/>
  <c r="EX152" i="2" s="1"/>
  <c r="EX153" i="2" s="1"/>
  <c r="ET152" i="2" a="1"/>
  <c r="ET152" i="2" s="1"/>
  <c r="ET153" i="2" s="1"/>
  <c r="EP152" i="2" a="1"/>
  <c r="EP152" i="2" s="1"/>
  <c r="EP153" i="2" s="1"/>
  <c r="EJ152" i="2" a="1"/>
  <c r="EJ152" i="2" s="1"/>
  <c r="ER172" i="2" a="1"/>
  <c r="ER172" i="2" s="1"/>
  <c r="ER173" i="2" s="1"/>
  <c r="FA170" i="2" a="1"/>
  <c r="FA170" i="2" s="1"/>
  <c r="FA171" i="2" s="1"/>
  <c r="ER164" i="2" a="1"/>
  <c r="ER164" i="2" s="1"/>
  <c r="ER165" i="2" s="1"/>
  <c r="FA162" i="2" a="1"/>
  <c r="FA162" i="2" s="1"/>
  <c r="FA163" i="2" s="1"/>
  <c r="ET160" i="2" a="1"/>
  <c r="ET160" i="2" s="1"/>
  <c r="ET161" i="2" s="1"/>
  <c r="FH158" i="2" a="1"/>
  <c r="FH158" i="2" s="1"/>
  <c r="FH159" i="2" s="1"/>
  <c r="ET158" i="2" a="1"/>
  <c r="ET158" i="2" s="1"/>
  <c r="ET159" i="2" s="1"/>
  <c r="EP158" i="2" a="1"/>
  <c r="EP158" i="2" s="1"/>
  <c r="EP159" i="2" s="1"/>
  <c r="EJ158" i="2" a="1"/>
  <c r="EJ158" i="2" s="1"/>
  <c r="FG156" i="2" a="1"/>
  <c r="FG156" i="2" s="1"/>
  <c r="FG157" i="2" s="1"/>
  <c r="EU156" i="2" a="1"/>
  <c r="EU156" i="2" s="1"/>
  <c r="EU157" i="2" s="1"/>
  <c r="EQ156" i="2" a="1"/>
  <c r="EQ156" i="2" s="1"/>
  <c r="EQ157" i="2" s="1"/>
  <c r="EM156" i="2" a="1"/>
  <c r="EM156" i="2" s="1"/>
  <c r="EM157" i="2" s="1"/>
  <c r="FH154" i="2" a="1"/>
  <c r="FH154" i="2" s="1"/>
  <c r="FH155" i="2" s="1"/>
  <c r="FD154" i="2" a="1"/>
  <c r="FD154" i="2" s="1"/>
  <c r="FD155" i="2" s="1"/>
  <c r="ER154" i="2" a="1"/>
  <c r="ER154" i="2" s="1"/>
  <c r="ER155" i="2" s="1"/>
  <c r="FI152" i="2" a="1"/>
  <c r="FI152" i="2" s="1"/>
  <c r="FI153" i="2" s="1"/>
  <c r="FA152" i="2" a="1"/>
  <c r="FA152" i="2" s="1"/>
  <c r="FA153" i="2" s="1"/>
  <c r="ES152" i="2" a="1"/>
  <c r="ES152" i="2" s="1"/>
  <c r="ES153" i="2" s="1"/>
  <c r="EO152" i="2" a="1"/>
  <c r="EO152" i="2" s="1"/>
  <c r="EO153" i="2" s="1"/>
  <c r="ES170" i="2" a="1"/>
  <c r="ES170" i="2" s="1"/>
  <c r="ES171" i="2" s="1"/>
  <c r="EX168" i="2" a="1"/>
  <c r="EX168" i="2" s="1"/>
  <c r="EX169" i="2" s="1"/>
  <c r="FG166" i="2" a="1"/>
  <c r="FG166" i="2" s="1"/>
  <c r="FG167" i="2" s="1"/>
  <c r="ES162" i="2" a="1"/>
  <c r="ES162" i="2" s="1"/>
  <c r="ES163" i="2" s="1"/>
  <c r="ER160" i="2" a="1"/>
  <c r="ER160" i="2" s="1"/>
  <c r="ER161" i="2" s="1"/>
  <c r="EM160" i="2" a="1"/>
  <c r="EM160" i="2" s="1"/>
  <c r="EM161" i="2" s="1"/>
  <c r="FG158" i="2" a="1"/>
  <c r="FG158" i="2" s="1"/>
  <c r="FG159" i="2" s="1"/>
  <c r="EO170" i="2" a="1"/>
  <c r="EO170" i="2" s="1"/>
  <c r="EO171" i="2" s="1"/>
  <c r="ET168" i="2" a="1"/>
  <c r="ET168" i="2" s="1"/>
  <c r="ET169" i="2" s="1"/>
  <c r="EO162" i="2" a="1"/>
  <c r="EO162" i="2" s="1"/>
  <c r="EO163" i="2" s="1"/>
  <c r="EX160" i="2" a="1"/>
  <c r="EX160" i="2" s="1"/>
  <c r="EX161" i="2" s="1"/>
  <c r="EL161" i="2" s="1"/>
  <c r="ES158" i="2" a="1"/>
  <c r="ES158" i="2" s="1"/>
  <c r="ES159" i="2" s="1"/>
  <c r="EO158" i="2" a="1"/>
  <c r="EO158" i="2" s="1"/>
  <c r="EO159" i="2" s="1"/>
  <c r="EX156" i="2" a="1"/>
  <c r="EX156" i="2" s="1"/>
  <c r="EX157" i="2" s="1"/>
  <c r="ET156" i="2" a="1"/>
  <c r="ET156" i="2" s="1"/>
  <c r="ET157" i="2" s="1"/>
  <c r="EP156" i="2" a="1"/>
  <c r="EP156" i="2" s="1"/>
  <c r="EP157" i="2" s="1"/>
  <c r="EJ156" i="2" a="1"/>
  <c r="EJ156" i="2" s="1"/>
  <c r="FG154" i="2" a="1"/>
  <c r="FG154" i="2" s="1"/>
  <c r="FG155" i="2" s="1"/>
  <c r="EU154" i="2" a="1"/>
  <c r="EU154" i="2" s="1"/>
  <c r="EU155" i="2" s="1"/>
  <c r="EQ154" i="2" a="1"/>
  <c r="EQ154" i="2" s="1"/>
  <c r="EQ155" i="2" s="1"/>
  <c r="EM154" i="2" a="1"/>
  <c r="EM154" i="2" s="1"/>
  <c r="EM155" i="2" s="1"/>
  <c r="FH152" i="2" a="1"/>
  <c r="FH152" i="2" s="1"/>
  <c r="FH153" i="2" s="1"/>
  <c r="FD152" i="2" a="1"/>
  <c r="FD152" i="2" s="1"/>
  <c r="FD153" i="2" s="1"/>
  <c r="ER152" i="2" a="1"/>
  <c r="ER152" i="2" s="1"/>
  <c r="ER153" i="2" s="1"/>
  <c r="FA176" i="2" a="1"/>
  <c r="FA176" i="2" s="1"/>
  <c r="FA177" i="2" s="1"/>
  <c r="FH172" i="2" a="1"/>
  <c r="FH172" i="2" s="1"/>
  <c r="FH173" i="2" s="1"/>
  <c r="EP168" i="2" a="1"/>
  <c r="EP168" i="2" s="1"/>
  <c r="EP169" i="2" s="1"/>
  <c r="FH164" i="2" a="1"/>
  <c r="FH164" i="2" s="1"/>
  <c r="FH165" i="2" s="1"/>
  <c r="EQ160" i="2" a="1"/>
  <c r="EQ160" i="2" s="1"/>
  <c r="EQ161" i="2" s="1"/>
  <c r="EJ160" i="2" a="1"/>
  <c r="EJ160" i="2" s="1"/>
  <c r="FA158" i="2" a="1"/>
  <c r="FA158" i="2" s="1"/>
  <c r="FA159" i="2" s="1"/>
  <c r="FD172" i="2" a="1"/>
  <c r="FD172" i="2" s="1"/>
  <c r="FD173" i="2" s="1"/>
  <c r="EJ168" i="2" a="1"/>
  <c r="EJ168" i="2" s="1"/>
  <c r="EU166" i="2" a="1"/>
  <c r="EU166" i="2" s="1"/>
  <c r="EU167" i="2" s="1"/>
  <c r="FD164" i="2" a="1"/>
  <c r="FD164" i="2" s="1"/>
  <c r="FD165" i="2" s="1"/>
  <c r="ER158" i="2" a="1"/>
  <c r="ER158" i="2" s="1"/>
  <c r="ER159" i="2" s="1"/>
  <c r="FI156" i="2" a="1"/>
  <c r="FI156" i="2" s="1"/>
  <c r="FI157" i="2" s="1"/>
  <c r="FA156" i="2" a="1"/>
  <c r="FA156" i="2" s="1"/>
  <c r="FA157" i="2" s="1"/>
  <c r="ES156" i="2" a="1"/>
  <c r="ES156" i="2" s="1"/>
  <c r="ES157" i="2" s="1"/>
  <c r="EO156" i="2" a="1"/>
  <c r="EO156" i="2" s="1"/>
  <c r="EO157" i="2" s="1"/>
  <c r="EX154" i="2" a="1"/>
  <c r="EX154" i="2" s="1"/>
  <c r="EX155" i="2" s="1"/>
  <c r="ET154" i="2" a="1"/>
  <c r="ET154" i="2" s="1"/>
  <c r="ET155" i="2" s="1"/>
  <c r="EP154" i="2" a="1"/>
  <c r="EP154" i="2" s="1"/>
  <c r="EP155" i="2" s="1"/>
  <c r="EJ154" i="2" a="1"/>
  <c r="EJ154" i="2" s="1"/>
  <c r="FG152" i="2" a="1"/>
  <c r="FG152" i="2" s="1"/>
  <c r="FG153" i="2" s="1"/>
  <c r="EU152" i="2" a="1"/>
  <c r="EU152" i="2" s="1"/>
  <c r="EU153" i="2" s="1"/>
  <c r="EQ152" i="2" a="1"/>
  <c r="EQ152" i="2" s="1"/>
  <c r="EQ153" i="2" s="1"/>
  <c r="EM152" i="2" a="1"/>
  <c r="EM152" i="2" s="1"/>
  <c r="EM153" i="2" s="1"/>
  <c r="ER176" i="2" a="1"/>
  <c r="ER176" i="2" s="1"/>
  <c r="ER177" i="2" s="1"/>
  <c r="ES174" i="2" a="1"/>
  <c r="ES174" i="2" s="1"/>
  <c r="ES175" i="2" s="1"/>
  <c r="FI170" i="2" a="1"/>
  <c r="FI170" i="2" s="1"/>
  <c r="FI171" i="2" s="1"/>
  <c r="EQ166" i="2" a="1"/>
  <c r="EQ166" i="2" s="1"/>
  <c r="EQ167" i="2" s="1"/>
  <c r="FI162" i="2" a="1"/>
  <c r="FI162" i="2" s="1"/>
  <c r="FI163" i="2" s="1"/>
  <c r="EP160" i="2" a="1"/>
  <c r="EP160" i="2" s="1"/>
  <c r="EP161" i="2" s="1"/>
  <c r="FI158" i="2" a="1"/>
  <c r="FI158" i="2" s="1"/>
  <c r="FI159" i="2" s="1"/>
  <c r="CK57" i="2"/>
  <c r="CC57" i="2"/>
  <c r="AJ29" i="2" s="1"/>
  <c r="AK29" i="2" s="1"/>
  <c r="CC59" i="2"/>
  <c r="AJ30" i="2" s="1"/>
  <c r="AK30" i="2" s="1"/>
  <c r="CR3" i="2"/>
  <c r="N17" i="1" s="1"/>
  <c r="L19" i="1"/>
  <c r="CO3" i="2"/>
  <c r="N16" i="1" s="1"/>
  <c r="L16" i="1"/>
  <c r="O16" i="1" s="1"/>
  <c r="CM49" i="2"/>
  <c r="EM358" i="2"/>
  <c r="FI356" i="2" a="1"/>
  <c r="FI356" i="2" s="1"/>
  <c r="FI357" i="2" s="1"/>
  <c r="FA356" i="2" a="1"/>
  <c r="FA356" i="2" s="1"/>
  <c r="FA357" i="2" s="1"/>
  <c r="ES356" i="2" a="1"/>
  <c r="ES356" i="2" s="1"/>
  <c r="ES357" i="2" s="1"/>
  <c r="EU354" i="2" a="1"/>
  <c r="EU354" i="2" s="1"/>
  <c r="EU355" i="2" s="1"/>
  <c r="EM354" i="2" a="1"/>
  <c r="EM354" i="2" s="1"/>
  <c r="EM355" i="2" s="1"/>
  <c r="EO352" i="2" a="1"/>
  <c r="EO352" i="2" s="1"/>
  <c r="EO353" i="2" s="1"/>
  <c r="FD350" i="2" a="1"/>
  <c r="FD350" i="2" s="1"/>
  <c r="FD351" i="2" s="1"/>
  <c r="EX350" i="2" a="1"/>
  <c r="EX350" i="2" s="1"/>
  <c r="EX351" i="2" s="1"/>
  <c r="EQ350" i="2" a="1"/>
  <c r="EQ350" i="2" s="1"/>
  <c r="EQ351" i="2" s="1"/>
  <c r="EX348" i="2" a="1"/>
  <c r="EX348" i="2" s="1"/>
  <c r="EX349" i="2" s="1"/>
  <c r="ET348" i="2" a="1"/>
  <c r="ET348" i="2" s="1"/>
  <c r="ET349" i="2" s="1"/>
  <c r="EP348" i="2" a="1"/>
  <c r="EP348" i="2" s="1"/>
  <c r="EP349" i="2" s="1"/>
  <c r="EJ348" i="2" a="1"/>
  <c r="EJ348" i="2" s="1"/>
  <c r="FG346" i="2" a="1"/>
  <c r="FG346" i="2" s="1"/>
  <c r="FG347" i="2" s="1"/>
  <c r="EU346" i="2" a="1"/>
  <c r="EU346" i="2" s="1"/>
  <c r="EU347" i="2" s="1"/>
  <c r="EQ346" i="2" a="1"/>
  <c r="EQ346" i="2" s="1"/>
  <c r="EQ347" i="2" s="1"/>
  <c r="EM346" i="2" a="1"/>
  <c r="EM346" i="2" s="1"/>
  <c r="EM347" i="2" s="1"/>
  <c r="FH344" i="2" a="1"/>
  <c r="FH344" i="2" s="1"/>
  <c r="FH345" i="2" s="1"/>
  <c r="FD344" i="2" a="1"/>
  <c r="FD344" i="2" s="1"/>
  <c r="FD345" i="2" s="1"/>
  <c r="ER344" i="2" a="1"/>
  <c r="ER344" i="2" s="1"/>
  <c r="ER345" i="2" s="1"/>
  <c r="FH356" i="2" a="1"/>
  <c r="FH356" i="2" s="1"/>
  <c r="FH357" i="2" s="1"/>
  <c r="ER356" i="2" a="1"/>
  <c r="ER356" i="2" s="1"/>
  <c r="ER357" i="2" s="1"/>
  <c r="ET354" i="2" a="1"/>
  <c r="ET354" i="2" s="1"/>
  <c r="ET355" i="2" s="1"/>
  <c r="EJ354" i="2" a="1"/>
  <c r="EJ354" i="2" s="1"/>
  <c r="FD352" i="2" a="1"/>
  <c r="FD352" i="2" s="1"/>
  <c r="FD353" i="2" s="1"/>
  <c r="FG356" i="2" a="1"/>
  <c r="FG356" i="2" s="1"/>
  <c r="FG357" i="2" s="1"/>
  <c r="EQ356" i="2" a="1"/>
  <c r="EQ356" i="2" s="1"/>
  <c r="EQ357" i="2" s="1"/>
  <c r="FI354" i="2" a="1"/>
  <c r="FI354" i="2" s="1"/>
  <c r="FI355" i="2" s="1"/>
  <c r="FA354" i="2" a="1"/>
  <c r="FA354" i="2" s="1"/>
  <c r="FA355" i="2" s="1"/>
  <c r="ES354" i="2" a="1"/>
  <c r="ES354" i="2" s="1"/>
  <c r="ES355" i="2" s="1"/>
  <c r="EU352" i="2" a="1"/>
  <c r="EU352" i="2" s="1"/>
  <c r="EU353" i="2" s="1"/>
  <c r="EM352" i="2" a="1"/>
  <c r="EM352" i="2" s="1"/>
  <c r="EM353" i="2" s="1"/>
  <c r="FI350" i="2" a="1"/>
  <c r="FI350" i="2" s="1"/>
  <c r="FI351" i="2" s="1"/>
  <c r="EP350" i="2" a="1"/>
  <c r="EP350" i="2" s="1"/>
  <c r="EP351" i="2" s="1"/>
  <c r="FI348" i="2" a="1"/>
  <c r="FI348" i="2" s="1"/>
  <c r="FI349" i="2" s="1"/>
  <c r="FA348" i="2" a="1"/>
  <c r="FA348" i="2" s="1"/>
  <c r="FA349" i="2" s="1"/>
  <c r="ES348" i="2" a="1"/>
  <c r="ES348" i="2" s="1"/>
  <c r="ES349" i="2" s="1"/>
  <c r="EO348" i="2" a="1"/>
  <c r="EO348" i="2" s="1"/>
  <c r="EO349" i="2" s="1"/>
  <c r="EX346" i="2" a="1"/>
  <c r="EX346" i="2" s="1"/>
  <c r="EX347" i="2" s="1"/>
  <c r="ET346" i="2" a="1"/>
  <c r="ET346" i="2" s="1"/>
  <c r="ET347" i="2" s="1"/>
  <c r="EP346" i="2" a="1"/>
  <c r="EP346" i="2" s="1"/>
  <c r="EP347" i="2" s="1"/>
  <c r="EX356" i="2" a="1"/>
  <c r="EX356" i="2" s="1"/>
  <c r="EX357" i="2" s="1"/>
  <c r="EP356" i="2" a="1"/>
  <c r="EP356" i="2" s="1"/>
  <c r="EP357" i="2" s="1"/>
  <c r="FH354" i="2" a="1"/>
  <c r="FH354" i="2" s="1"/>
  <c r="FH355" i="2" s="1"/>
  <c r="ER354" i="2" a="1"/>
  <c r="ER354" i="2" s="1"/>
  <c r="ER355" i="2" s="1"/>
  <c r="ET352" i="2" a="1"/>
  <c r="ET352" i="2" s="1"/>
  <c r="ET353" i="2" s="1"/>
  <c r="EJ352" i="2" a="1"/>
  <c r="EJ352" i="2" s="1"/>
  <c r="FH350" i="2" a="1"/>
  <c r="FH350" i="2" s="1"/>
  <c r="FH351" i="2" s="1"/>
  <c r="EU350" i="2" a="1"/>
  <c r="EU350" i="2" s="1"/>
  <c r="EU351" i="2" s="1"/>
  <c r="EO350" i="2" a="1"/>
  <c r="EO350" i="2" s="1"/>
  <c r="EO351" i="2" s="1"/>
  <c r="EO356" i="2" a="1"/>
  <c r="EO356" i="2" s="1"/>
  <c r="EO357" i="2" s="1"/>
  <c r="FG354" i="2" a="1"/>
  <c r="FG354" i="2" s="1"/>
  <c r="FG355" i="2" s="1"/>
  <c r="EQ354" i="2" a="1"/>
  <c r="EQ354" i="2" s="1"/>
  <c r="EQ355" i="2" s="1"/>
  <c r="FI352" i="2" a="1"/>
  <c r="FI352" i="2" s="1"/>
  <c r="FI353" i="2" s="1"/>
  <c r="FA352" i="2" a="1"/>
  <c r="FA352" i="2" s="1"/>
  <c r="FA353" i="2" s="1"/>
  <c r="ES352" i="2" a="1"/>
  <c r="ES352" i="2" s="1"/>
  <c r="ES353" i="2" s="1"/>
  <c r="FG350" i="2" a="1"/>
  <c r="FG350" i="2" s="1"/>
  <c r="FG351" i="2" s="1"/>
  <c r="FA350" i="2" a="1"/>
  <c r="FA350" i="2" s="1"/>
  <c r="FA351" i="2" s="1"/>
  <c r="FH348" i="2" a="1"/>
  <c r="FH348" i="2" s="1"/>
  <c r="FH349" i="2" s="1"/>
  <c r="FD348" i="2" a="1"/>
  <c r="FD348" i="2" s="1"/>
  <c r="FD349" i="2" s="1"/>
  <c r="ER348" i="2" a="1"/>
  <c r="ER348" i="2" s="1"/>
  <c r="ER349" i="2" s="1"/>
  <c r="FI346" i="2" a="1"/>
  <c r="FI346" i="2" s="1"/>
  <c r="FI347" i="2" s="1"/>
  <c r="FA346" i="2" a="1"/>
  <c r="FA346" i="2" s="1"/>
  <c r="FA347" i="2" s="1"/>
  <c r="ES346" i="2" a="1"/>
  <c r="ES346" i="2" s="1"/>
  <c r="ES347" i="2" s="1"/>
  <c r="ER358" i="2"/>
  <c r="FD356" i="2" a="1"/>
  <c r="FD356" i="2" s="1"/>
  <c r="FD357" i="2" s="1"/>
  <c r="EX354" i="2" a="1"/>
  <c r="EX354" i="2" s="1"/>
  <c r="EX355" i="2" s="1"/>
  <c r="EL355" i="2" s="1"/>
  <c r="EP354" i="2" a="1"/>
  <c r="EP354" i="2" s="1"/>
  <c r="EP355" i="2" s="1"/>
  <c r="FH352" i="2" a="1"/>
  <c r="FH352" i="2" s="1"/>
  <c r="FH353" i="2" s="1"/>
  <c r="ER352" i="2" a="1"/>
  <c r="ER352" i="2" s="1"/>
  <c r="ER353" i="2" s="1"/>
  <c r="ET350" i="2" a="1"/>
  <c r="ET350" i="2" s="1"/>
  <c r="ET351" i="2" s="1"/>
  <c r="EM350" i="2" a="1"/>
  <c r="EM350" i="2" s="1"/>
  <c r="EM351" i="2" s="1"/>
  <c r="EI358" i="2"/>
  <c r="EU356" i="2" a="1"/>
  <c r="EU356" i="2" s="1"/>
  <c r="EU357" i="2" s="1"/>
  <c r="FG348" i="2" a="1"/>
  <c r="FG348" i="2" s="1"/>
  <c r="FG349" i="2" s="1"/>
  <c r="EQ348" i="2" a="1"/>
  <c r="EQ348" i="2" s="1"/>
  <c r="EQ349" i="2" s="1"/>
  <c r="EX344" i="2" a="1"/>
  <c r="EX344" i="2" s="1"/>
  <c r="EX345" i="2" s="1"/>
  <c r="ET356" i="2" a="1"/>
  <c r="ET356" i="2" s="1"/>
  <c r="ET357" i="2" s="1"/>
  <c r="FD354" i="2" a="1"/>
  <c r="FD354" i="2" s="1"/>
  <c r="FD355" i="2" s="1"/>
  <c r="EQ344" i="2" a="1"/>
  <c r="EQ344" i="2" s="1"/>
  <c r="EQ345" i="2" s="1"/>
  <c r="EX342" i="2" a="1"/>
  <c r="EX342" i="2" s="1"/>
  <c r="EX343" i="2" s="1"/>
  <c r="ET342" i="2" a="1"/>
  <c r="ET342" i="2" s="1"/>
  <c r="ET343" i="2" s="1"/>
  <c r="EP342" i="2" a="1"/>
  <c r="EP342" i="2" s="1"/>
  <c r="EP343" i="2" s="1"/>
  <c r="EJ342" i="2" a="1"/>
  <c r="EJ342" i="2" s="1"/>
  <c r="FG340" i="2" a="1"/>
  <c r="FG340" i="2" s="1"/>
  <c r="FG341" i="2" s="1"/>
  <c r="EU340" i="2" a="1"/>
  <c r="EU340" i="2" s="1"/>
  <c r="EU341" i="2" s="1"/>
  <c r="EQ340" i="2" a="1"/>
  <c r="EQ340" i="2" s="1"/>
  <c r="EQ341" i="2" s="1"/>
  <c r="EM340" i="2" a="1"/>
  <c r="EM340" i="2" s="1"/>
  <c r="EM341" i="2" s="1"/>
  <c r="FH338" i="2" a="1"/>
  <c r="FH338" i="2" s="1"/>
  <c r="FH339" i="2" s="1"/>
  <c r="FD338" i="2" a="1"/>
  <c r="FD338" i="2" s="1"/>
  <c r="FD339" i="2" s="1"/>
  <c r="ER338" i="2" a="1"/>
  <c r="ER338" i="2" s="1"/>
  <c r="ER339" i="2" s="1"/>
  <c r="FI336" i="2" a="1"/>
  <c r="FI336" i="2" s="1"/>
  <c r="FI337" i="2" s="1"/>
  <c r="FA336" i="2" a="1"/>
  <c r="FA336" i="2" s="1"/>
  <c r="FA337" i="2" s="1"/>
  <c r="EM356" i="2" a="1"/>
  <c r="EM356" i="2" s="1"/>
  <c r="EM357" i="2" s="1"/>
  <c r="EK357" i="2" s="1"/>
  <c r="FG352" i="2" a="1"/>
  <c r="FG352" i="2" s="1"/>
  <c r="FG353" i="2" s="1"/>
  <c r="ES350" i="2" a="1"/>
  <c r="ES350" i="2" s="1"/>
  <c r="ES351" i="2" s="1"/>
  <c r="EM348" i="2" a="1"/>
  <c r="EM348" i="2" s="1"/>
  <c r="EM349" i="2" s="1"/>
  <c r="FH346" i="2" a="1"/>
  <c r="FH346" i="2" s="1"/>
  <c r="FH347" i="2" s="1"/>
  <c r="ER346" i="2" a="1"/>
  <c r="ER346" i="2" s="1"/>
  <c r="ER347" i="2" s="1"/>
  <c r="EP344" i="2" a="1"/>
  <c r="EP344" i="2" s="1"/>
  <c r="EP345" i="2" s="1"/>
  <c r="EJ356" i="2" a="1"/>
  <c r="EJ356" i="2" s="1"/>
  <c r="ER350" i="2" a="1"/>
  <c r="ER350" i="2" s="1"/>
  <c r="ER351" i="2" s="1"/>
  <c r="FI344" i="2" a="1"/>
  <c r="FI344" i="2" s="1"/>
  <c r="FI345" i="2" s="1"/>
  <c r="FI342" i="2" a="1"/>
  <c r="FI342" i="2" s="1"/>
  <c r="FI343" i="2" s="1"/>
  <c r="FA342" i="2" a="1"/>
  <c r="FA342" i="2" s="1"/>
  <c r="FA343" i="2" s="1"/>
  <c r="ES342" i="2" a="1"/>
  <c r="ES342" i="2" s="1"/>
  <c r="ES343" i="2" s="1"/>
  <c r="EO342" i="2" a="1"/>
  <c r="EO342" i="2" s="1"/>
  <c r="EO343" i="2" s="1"/>
  <c r="EX340" i="2" a="1"/>
  <c r="EX340" i="2" s="1"/>
  <c r="EX341" i="2" s="1"/>
  <c r="ET340" i="2" a="1"/>
  <c r="ET340" i="2" s="1"/>
  <c r="ET341" i="2" s="1"/>
  <c r="EP340" i="2" a="1"/>
  <c r="EP340" i="2" s="1"/>
  <c r="EP341" i="2" s="1"/>
  <c r="EJ340" i="2" a="1"/>
  <c r="EJ340" i="2" s="1"/>
  <c r="FG338" i="2" a="1"/>
  <c r="FG338" i="2" s="1"/>
  <c r="FG339" i="2" s="1"/>
  <c r="EU338" i="2" a="1"/>
  <c r="EU338" i="2" s="1"/>
  <c r="EU339" i="2" s="1"/>
  <c r="EQ338" i="2" a="1"/>
  <c r="EQ338" i="2" s="1"/>
  <c r="EQ339" i="2" s="1"/>
  <c r="EM338" i="2" a="1"/>
  <c r="EM338" i="2" s="1"/>
  <c r="EM339" i="2" s="1"/>
  <c r="EK339" i="2" s="1"/>
  <c r="FH336" i="2" a="1"/>
  <c r="FH336" i="2" s="1"/>
  <c r="FH337" i="2" s="1"/>
  <c r="FD336" i="2" a="1"/>
  <c r="FD336" i="2" s="1"/>
  <c r="FD337" i="2" s="1"/>
  <c r="EO354" i="2" a="1"/>
  <c r="EO354" i="2" s="1"/>
  <c r="EO355" i="2" s="1"/>
  <c r="FD346" i="2" a="1"/>
  <c r="FD346" i="2" s="1"/>
  <c r="FD347" i="2" s="1"/>
  <c r="EO346" i="2" a="1"/>
  <c r="EO346" i="2" s="1"/>
  <c r="EO347" i="2" s="1"/>
  <c r="EU344" i="2" a="1"/>
  <c r="EU344" i="2" s="1"/>
  <c r="EU345" i="2" s="1"/>
  <c r="EO344" i="2" a="1"/>
  <c r="EO344" i="2" s="1"/>
  <c r="EO345" i="2" s="1"/>
  <c r="EX352" i="2" a="1"/>
  <c r="EX352" i="2" s="1"/>
  <c r="EX353" i="2" s="1"/>
  <c r="EL353" i="2" s="1"/>
  <c r="EJ350" i="2" a="1"/>
  <c r="EJ350" i="2" s="1"/>
  <c r="FG344" i="2" a="1"/>
  <c r="FG344" i="2" s="1"/>
  <c r="FG345" i="2" s="1"/>
  <c r="FA344" i="2" a="1"/>
  <c r="FA344" i="2" s="1"/>
  <c r="FA345" i="2" s="1"/>
  <c r="ET344" i="2" a="1"/>
  <c r="ET344" i="2" s="1"/>
  <c r="ET345" i="2" s="1"/>
  <c r="FH342" i="2" a="1"/>
  <c r="FH342" i="2" s="1"/>
  <c r="FH343" i="2" s="1"/>
  <c r="FD342" i="2" a="1"/>
  <c r="FD342" i="2" s="1"/>
  <c r="FD343" i="2" s="1"/>
  <c r="ER342" i="2" a="1"/>
  <c r="ER342" i="2" s="1"/>
  <c r="ER343" i="2" s="1"/>
  <c r="FI340" i="2" a="1"/>
  <c r="FI340" i="2" s="1"/>
  <c r="FI341" i="2" s="1"/>
  <c r="FA340" i="2" a="1"/>
  <c r="FA340" i="2" s="1"/>
  <c r="FA341" i="2" s="1"/>
  <c r="ES340" i="2" a="1"/>
  <c r="ES340" i="2" s="1"/>
  <c r="ES341" i="2" s="1"/>
  <c r="EO340" i="2" a="1"/>
  <c r="EO340" i="2" s="1"/>
  <c r="EO341" i="2" s="1"/>
  <c r="EX338" i="2" a="1"/>
  <c r="EX338" i="2" s="1"/>
  <c r="EX339" i="2" s="1"/>
  <c r="EL339" i="2" s="1"/>
  <c r="ET338" i="2" a="1"/>
  <c r="ET338" i="2" s="1"/>
  <c r="ET339" i="2" s="1"/>
  <c r="EP338" i="2" a="1"/>
  <c r="EP338" i="2" s="1"/>
  <c r="EP339" i="2" s="1"/>
  <c r="EQ352" i="2" a="1"/>
  <c r="EQ352" i="2" s="1"/>
  <c r="EQ353" i="2" s="1"/>
  <c r="EU348" i="2" a="1"/>
  <c r="EU348" i="2" s="1"/>
  <c r="EU349" i="2" s="1"/>
  <c r="EM344" i="2" a="1"/>
  <c r="EM344" i="2" s="1"/>
  <c r="EM345" i="2" s="1"/>
  <c r="EP352" i="2" a="1"/>
  <c r="EP352" i="2" s="1"/>
  <c r="EP353" i="2" s="1"/>
  <c r="EJ346" i="2" a="1"/>
  <c r="EJ346" i="2" s="1"/>
  <c r="ES344" i="2" a="1"/>
  <c r="ES344" i="2" s="1"/>
  <c r="ES345" i="2" s="1"/>
  <c r="EJ344" i="2" a="1"/>
  <c r="EJ344" i="2" s="1"/>
  <c r="FG342" i="2" a="1"/>
  <c r="FG342" i="2" s="1"/>
  <c r="FG343" i="2" s="1"/>
  <c r="EU342" i="2" a="1"/>
  <c r="EU342" i="2" s="1"/>
  <c r="EU343" i="2" s="1"/>
  <c r="EQ342" i="2" a="1"/>
  <c r="EQ342" i="2" s="1"/>
  <c r="EQ343" i="2" s="1"/>
  <c r="EM342" i="2" a="1"/>
  <c r="EM342" i="2" s="1"/>
  <c r="EM343" i="2" s="1"/>
  <c r="FH340" i="2" a="1"/>
  <c r="FH340" i="2" s="1"/>
  <c r="FH341" i="2" s="1"/>
  <c r="FD340" i="2" a="1"/>
  <c r="FD340" i="2" s="1"/>
  <c r="FD341" i="2" s="1"/>
  <c r="ER340" i="2" a="1"/>
  <c r="ER340" i="2" s="1"/>
  <c r="ER341" i="2" s="1"/>
  <c r="FI338" i="2" a="1"/>
  <c r="FI338" i="2" s="1"/>
  <c r="FI339" i="2" s="1"/>
  <c r="ES338" i="2" a="1"/>
  <c r="ES338" i="2" s="1"/>
  <c r="ES339" i="2" s="1"/>
  <c r="EU336" i="2" a="1"/>
  <c r="EU336" i="2" s="1"/>
  <c r="EU337" i="2" s="1"/>
  <c r="EQ336" i="2" a="1"/>
  <c r="EQ336" i="2" s="1"/>
  <c r="EQ337" i="2" s="1"/>
  <c r="EM336" i="2" a="1"/>
  <c r="EM336" i="2" s="1"/>
  <c r="EM337" i="2" s="1"/>
  <c r="FH334" i="2" a="1"/>
  <c r="FH334" i="2" s="1"/>
  <c r="FH335" i="2" s="1"/>
  <c r="FD334" i="2" a="1"/>
  <c r="FD334" i="2" s="1"/>
  <c r="FD335" i="2" s="1"/>
  <c r="ER334" i="2" a="1"/>
  <c r="ER334" i="2" s="1"/>
  <c r="ER335" i="2" s="1"/>
  <c r="FI332" i="2" a="1"/>
  <c r="FI332" i="2" s="1"/>
  <c r="FI333" i="2" s="1"/>
  <c r="FA332" i="2" a="1"/>
  <c r="FA332" i="2" s="1"/>
  <c r="FA333" i="2" s="1"/>
  <c r="ES332" i="2" a="1"/>
  <c r="ES332" i="2" s="1"/>
  <c r="ES333" i="2" s="1"/>
  <c r="EO332" i="2" a="1"/>
  <c r="EO332" i="2" s="1"/>
  <c r="EO333" i="2" s="1"/>
  <c r="FA338" i="2" a="1"/>
  <c r="FA338" i="2" s="1"/>
  <c r="FA339" i="2" s="1"/>
  <c r="EX336" i="2" a="1"/>
  <c r="EX336" i="2" s="1"/>
  <c r="EX337" i="2" s="1"/>
  <c r="EL337" i="2" s="1"/>
  <c r="ET336" i="2" a="1"/>
  <c r="ET336" i="2" s="1"/>
  <c r="ET337" i="2" s="1"/>
  <c r="EP336" i="2" a="1"/>
  <c r="EP336" i="2" s="1"/>
  <c r="EP337" i="2" s="1"/>
  <c r="EJ336" i="2" a="1"/>
  <c r="EJ336" i="2" s="1"/>
  <c r="FG334" i="2" a="1"/>
  <c r="FG334" i="2" s="1"/>
  <c r="FG335" i="2" s="1"/>
  <c r="EU334" i="2" a="1"/>
  <c r="EU334" i="2" s="1"/>
  <c r="EU335" i="2" s="1"/>
  <c r="EQ334" i="2" a="1"/>
  <c r="EQ334" i="2" s="1"/>
  <c r="EQ335" i="2" s="1"/>
  <c r="EM334" i="2" a="1"/>
  <c r="EM334" i="2" s="1"/>
  <c r="EM335" i="2" s="1"/>
  <c r="FH332" i="2" a="1"/>
  <c r="FH332" i="2" s="1"/>
  <c r="FH333" i="2" s="1"/>
  <c r="FD332" i="2" a="1"/>
  <c r="FD332" i="2" s="1"/>
  <c r="FD333" i="2" s="1"/>
  <c r="ER332" i="2" a="1"/>
  <c r="ER332" i="2" s="1"/>
  <c r="ER333" i="2" s="1"/>
  <c r="EO338" i="2" a="1"/>
  <c r="EO338" i="2" s="1"/>
  <c r="EO339" i="2" s="1"/>
  <c r="FG336" i="2" a="1"/>
  <c r="FG336" i="2" s="1"/>
  <c r="FG337" i="2" s="1"/>
  <c r="ES336" i="2" a="1"/>
  <c r="ES336" i="2" s="1"/>
  <c r="ES337" i="2" s="1"/>
  <c r="EO336" i="2" a="1"/>
  <c r="EO336" i="2" s="1"/>
  <c r="EO337" i="2" s="1"/>
  <c r="EX334" i="2" a="1"/>
  <c r="EX334" i="2" s="1"/>
  <c r="EX335" i="2" s="1"/>
  <c r="ET334" i="2" a="1"/>
  <c r="ET334" i="2" s="1"/>
  <c r="ET335" i="2" s="1"/>
  <c r="EP334" i="2" a="1"/>
  <c r="EP334" i="2" s="1"/>
  <c r="EP335" i="2" s="1"/>
  <c r="EJ334" i="2" a="1"/>
  <c r="EJ334" i="2" s="1"/>
  <c r="FG332" i="2" a="1"/>
  <c r="FG332" i="2" s="1"/>
  <c r="FG333" i="2" s="1"/>
  <c r="EU332" i="2" a="1"/>
  <c r="EU332" i="2" s="1"/>
  <c r="EU333" i="2" s="1"/>
  <c r="EQ332" i="2" a="1"/>
  <c r="EQ332" i="2" s="1"/>
  <c r="EQ333" i="2" s="1"/>
  <c r="EM332" i="2" a="1"/>
  <c r="EM332" i="2" s="1"/>
  <c r="EM333" i="2" s="1"/>
  <c r="EK333" i="2" s="1"/>
  <c r="EJ338" i="2" a="1"/>
  <c r="EJ338" i="2" s="1"/>
  <c r="ES334" i="2" a="1"/>
  <c r="ES334" i="2" s="1"/>
  <c r="ES335" i="2" s="1"/>
  <c r="EX332" i="2" a="1"/>
  <c r="EX332" i="2" s="1"/>
  <c r="EX333" i="2" s="1"/>
  <c r="EL333" i="2" s="1"/>
  <c r="EO334" i="2" a="1"/>
  <c r="EO334" i="2" s="1"/>
  <c r="EO335" i="2" s="1"/>
  <c r="ET332" i="2" a="1"/>
  <c r="ET332" i="2" s="1"/>
  <c r="ET333" i="2" s="1"/>
  <c r="EP332" i="2" a="1"/>
  <c r="EP332" i="2" s="1"/>
  <c r="EP333" i="2" s="1"/>
  <c r="EJ332" i="2" a="1"/>
  <c r="EJ332" i="2" s="1"/>
  <c r="FI334" i="2" a="1"/>
  <c r="FI334" i="2" s="1"/>
  <c r="FI335" i="2" s="1"/>
  <c r="ER336" i="2" a="1"/>
  <c r="ER336" i="2" s="1"/>
  <c r="ER337" i="2" s="1"/>
  <c r="FA334" i="2" a="1"/>
  <c r="FA334" i="2" s="1"/>
  <c r="FA335" i="2" s="1"/>
  <c r="CM15" i="2"/>
  <c r="CB15" i="2" s="1"/>
  <c r="AH8" i="2" s="1"/>
  <c r="AI8" i="2" s="1"/>
  <c r="CU9" i="2"/>
  <c r="S60" i="1"/>
  <c r="CR9" i="2"/>
  <c r="U59" i="1" s="1"/>
  <c r="S59" i="1"/>
  <c r="V59" i="1" s="1"/>
  <c r="CK51" i="2"/>
  <c r="CY7" i="2"/>
  <c r="N62" i="1" s="1"/>
  <c r="L62" i="1"/>
  <c r="O62" i="1" s="1"/>
  <c r="CZ7" i="2"/>
  <c r="N63" i="1" s="1"/>
  <c r="L63" i="1"/>
  <c r="O63" i="1" s="1"/>
  <c r="CO53" i="2"/>
  <c r="CC31" i="2"/>
  <c r="AJ16" i="2" s="1"/>
  <c r="AK16" i="2" s="1"/>
  <c r="CC5" i="2"/>
  <c r="AJ3" i="2" s="1"/>
  <c r="U18" i="1"/>
  <c r="V12" i="1"/>
  <c r="CR5" i="2"/>
  <c r="U17" i="1" s="1"/>
  <c r="S19" i="1"/>
  <c r="V19" i="1" s="1"/>
  <c r="CB57" i="2"/>
  <c r="AH29" i="2" s="1"/>
  <c r="AI29" i="2" s="1"/>
  <c r="CM3" i="2"/>
  <c r="L20" i="1"/>
  <c r="O20" i="1" s="1"/>
  <c r="CO61" i="2"/>
  <c r="DF88" i="2"/>
  <c r="DU86" i="2" a="1"/>
  <c r="DU86" i="2" s="1"/>
  <c r="DU87" i="2" s="1"/>
  <c r="DQ86" i="2" a="1"/>
  <c r="DQ86" i="2" s="1"/>
  <c r="DQ87" i="2" s="1"/>
  <c r="DM86" i="2" a="1"/>
  <c r="DM86" i="2" s="1"/>
  <c r="DM87" i="2" s="1"/>
  <c r="DG86" i="2" a="1"/>
  <c r="DG86" i="2" s="1"/>
  <c r="ED84" i="2" a="1"/>
  <c r="ED84" i="2" s="1"/>
  <c r="ED85" i="2" s="1"/>
  <c r="DR84" i="2" a="1"/>
  <c r="DR84" i="2" s="1"/>
  <c r="DR85" i="2" s="1"/>
  <c r="DN84" i="2" a="1"/>
  <c r="DN84" i="2" s="1"/>
  <c r="DN85" i="2" s="1"/>
  <c r="DJ84" i="2" a="1"/>
  <c r="DJ84" i="2" s="1"/>
  <c r="DJ85" i="2" s="1"/>
  <c r="EE82" i="2" a="1"/>
  <c r="EE82" i="2" s="1"/>
  <c r="EE83" i="2" s="1"/>
  <c r="EA82" i="2" a="1"/>
  <c r="EA82" i="2" s="1"/>
  <c r="EA83" i="2" s="1"/>
  <c r="EE86" i="2" a="1"/>
  <c r="EE86" i="2" s="1"/>
  <c r="EE87" i="2" s="1"/>
  <c r="EA86" i="2" a="1"/>
  <c r="EA86" i="2" s="1"/>
  <c r="EA87" i="2" s="1"/>
  <c r="DO86" i="2" a="1"/>
  <c r="DO86" i="2" s="1"/>
  <c r="DO87" i="2" s="1"/>
  <c r="EA84" i="2" a="1"/>
  <c r="EA84" i="2" s="1"/>
  <c r="EA85" i="2" s="1"/>
  <c r="DL82" i="2" a="1"/>
  <c r="DL82" i="2" s="1"/>
  <c r="DL83" i="2" s="1"/>
  <c r="ED80" i="2" a="1"/>
  <c r="ED80" i="2" s="1"/>
  <c r="ED81" i="2" s="1"/>
  <c r="DP80" i="2" a="1"/>
  <c r="DP80" i="2" s="1"/>
  <c r="DP81" i="2" s="1"/>
  <c r="DL80" i="2" a="1"/>
  <c r="DL80" i="2" s="1"/>
  <c r="DL81" i="2" s="1"/>
  <c r="DU78" i="2" a="1"/>
  <c r="DU78" i="2" s="1"/>
  <c r="DU79" i="2" s="1"/>
  <c r="DQ78" i="2" a="1"/>
  <c r="DQ78" i="2" s="1"/>
  <c r="DQ79" i="2" s="1"/>
  <c r="DM78" i="2" a="1"/>
  <c r="DM78" i="2" s="1"/>
  <c r="DM79" i="2" s="1"/>
  <c r="DG78" i="2" a="1"/>
  <c r="DG78" i="2" s="1"/>
  <c r="ED76" i="2" a="1"/>
  <c r="ED76" i="2" s="1"/>
  <c r="ED77" i="2" s="1"/>
  <c r="DR76" i="2" a="1"/>
  <c r="DR76" i="2" s="1"/>
  <c r="DR77" i="2" s="1"/>
  <c r="DN76" i="2" a="1"/>
  <c r="DN76" i="2" s="1"/>
  <c r="DN77" i="2" s="1"/>
  <c r="DJ76" i="2" a="1"/>
  <c r="DJ76" i="2" s="1"/>
  <c r="DJ77" i="2" s="1"/>
  <c r="EE74" i="2" a="1"/>
  <c r="EE74" i="2" s="1"/>
  <c r="EE75" i="2" s="1"/>
  <c r="EA74" i="2" a="1"/>
  <c r="EA74" i="2" s="1"/>
  <c r="EA75" i="2" s="1"/>
  <c r="DO74" i="2" a="1"/>
  <c r="DO74" i="2" s="1"/>
  <c r="DO75" i="2" s="1"/>
  <c r="EF72" i="2" a="1"/>
  <c r="EF72" i="2" s="1"/>
  <c r="EF73" i="2" s="1"/>
  <c r="DX72" i="2" a="1"/>
  <c r="DX72" i="2" s="1"/>
  <c r="DX73" i="2" s="1"/>
  <c r="DP72" i="2" a="1"/>
  <c r="DP72" i="2" s="1"/>
  <c r="DP73" i="2" s="1"/>
  <c r="DL72" i="2" a="1"/>
  <c r="DL72" i="2" s="1"/>
  <c r="DL73" i="2" s="1"/>
  <c r="DU70" i="2" a="1"/>
  <c r="DU70" i="2" s="1"/>
  <c r="DU71" i="2" s="1"/>
  <c r="DQ70" i="2" a="1"/>
  <c r="DQ70" i="2" s="1"/>
  <c r="DQ71" i="2" s="1"/>
  <c r="DM70" i="2" a="1"/>
  <c r="DM70" i="2" s="1"/>
  <c r="DM71" i="2" s="1"/>
  <c r="DG70" i="2" a="1"/>
  <c r="DG70" i="2" s="1"/>
  <c r="ED68" i="2" a="1"/>
  <c r="ED68" i="2" s="1"/>
  <c r="ED69" i="2" s="1"/>
  <c r="DR68" i="2" a="1"/>
  <c r="DR68" i="2" s="1"/>
  <c r="DR69" i="2" s="1"/>
  <c r="DN68" i="2" a="1"/>
  <c r="DN68" i="2" s="1"/>
  <c r="DN69" i="2" s="1"/>
  <c r="DJ68" i="2" a="1"/>
  <c r="DJ68" i="2" s="1"/>
  <c r="DJ69" i="2" s="1"/>
  <c r="EE66" i="2" a="1"/>
  <c r="EE66" i="2" s="1"/>
  <c r="EE67" i="2" s="1"/>
  <c r="EA66" i="2" a="1"/>
  <c r="EA66" i="2" s="1"/>
  <c r="EA67" i="2" s="1"/>
  <c r="DO66" i="2" a="1"/>
  <c r="DO66" i="2" s="1"/>
  <c r="DO67" i="2" s="1"/>
  <c r="ED62" i="2" a="1"/>
  <c r="ED62" i="2" s="1"/>
  <c r="ED63" i="2" s="1"/>
  <c r="DR62" i="2" a="1"/>
  <c r="DR62" i="2" s="1"/>
  <c r="DR63" i="2" s="1"/>
  <c r="DN62" i="2" a="1"/>
  <c r="DN62" i="2" s="1"/>
  <c r="DN63" i="2" s="1"/>
  <c r="DJ62" i="2" a="1"/>
  <c r="DJ62" i="2" s="1"/>
  <c r="DJ63" i="2" s="1"/>
  <c r="DL86" i="2" a="1"/>
  <c r="DL86" i="2" s="1"/>
  <c r="DL87" i="2" s="1"/>
  <c r="DM84" i="2" a="1"/>
  <c r="DM84" i="2" s="1"/>
  <c r="DM85" i="2" s="1"/>
  <c r="DQ82" i="2" a="1"/>
  <c r="DQ82" i="2" s="1"/>
  <c r="DQ83" i="2" s="1"/>
  <c r="EE64" i="2" a="1"/>
  <c r="EE64" i="2" s="1"/>
  <c r="EE65" i="2" s="1"/>
  <c r="EA64" i="2" a="1"/>
  <c r="EA64" i="2" s="1"/>
  <c r="EA65" i="2" s="1"/>
  <c r="DO64" i="2" a="1"/>
  <c r="DO64" i="2" s="1"/>
  <c r="DO65" i="2" s="1"/>
  <c r="DO88" i="2"/>
  <c r="EF84" i="2" a="1"/>
  <c r="EF84" i="2" s="1"/>
  <c r="EF85" i="2" s="1"/>
  <c r="DP82" i="2" a="1"/>
  <c r="DP82" i="2" s="1"/>
  <c r="DP83" i="2" s="1"/>
  <c r="DX80" i="2" a="1"/>
  <c r="DX80" i="2" s="1"/>
  <c r="DX81" i="2" s="1"/>
  <c r="DO80" i="2" a="1"/>
  <c r="DO80" i="2" s="1"/>
  <c r="DO81" i="2" s="1"/>
  <c r="EF78" i="2" a="1"/>
  <c r="EF78" i="2" s="1"/>
  <c r="EF79" i="2" s="1"/>
  <c r="DX78" i="2" a="1"/>
  <c r="DX78" i="2" s="1"/>
  <c r="DX79" i="2" s="1"/>
  <c r="DP78" i="2" a="1"/>
  <c r="DP78" i="2" s="1"/>
  <c r="DP79" i="2" s="1"/>
  <c r="DL78" i="2" a="1"/>
  <c r="DL78" i="2" s="1"/>
  <c r="DL79" i="2" s="1"/>
  <c r="DU76" i="2" a="1"/>
  <c r="DU76" i="2" s="1"/>
  <c r="DU77" i="2" s="1"/>
  <c r="DQ76" i="2" a="1"/>
  <c r="DQ76" i="2" s="1"/>
  <c r="DQ77" i="2" s="1"/>
  <c r="DM76" i="2" a="1"/>
  <c r="DM76" i="2" s="1"/>
  <c r="DM77" i="2" s="1"/>
  <c r="DG76" i="2" a="1"/>
  <c r="DG76" i="2" s="1"/>
  <c r="ED74" i="2" a="1"/>
  <c r="ED74" i="2" s="1"/>
  <c r="ED75" i="2" s="1"/>
  <c r="DR74" i="2" a="1"/>
  <c r="DR74" i="2" s="1"/>
  <c r="DR75" i="2" s="1"/>
  <c r="DN74" i="2" a="1"/>
  <c r="DN74" i="2" s="1"/>
  <c r="DN75" i="2" s="1"/>
  <c r="DJ74" i="2" a="1"/>
  <c r="DJ74" i="2" s="1"/>
  <c r="DJ75" i="2" s="1"/>
  <c r="EE72" i="2" a="1"/>
  <c r="EE72" i="2" s="1"/>
  <c r="EE73" i="2" s="1"/>
  <c r="EA72" i="2" a="1"/>
  <c r="EA72" i="2" s="1"/>
  <c r="EA73" i="2" s="1"/>
  <c r="DO72" i="2" a="1"/>
  <c r="DO72" i="2" s="1"/>
  <c r="DO73" i="2" s="1"/>
  <c r="EF70" i="2" a="1"/>
  <c r="EF70" i="2" s="1"/>
  <c r="EF71" i="2" s="1"/>
  <c r="DX70" i="2" a="1"/>
  <c r="DX70" i="2" s="1"/>
  <c r="DX71" i="2" s="1"/>
  <c r="DP70" i="2" a="1"/>
  <c r="DP70" i="2" s="1"/>
  <c r="DP71" i="2" s="1"/>
  <c r="DL70" i="2" a="1"/>
  <c r="DL70" i="2" s="1"/>
  <c r="DL71" i="2" s="1"/>
  <c r="DU68" i="2" a="1"/>
  <c r="DU68" i="2" s="1"/>
  <c r="DU69" i="2" s="1"/>
  <c r="DQ68" i="2" a="1"/>
  <c r="DQ68" i="2" s="1"/>
  <c r="DQ69" i="2" s="1"/>
  <c r="DM68" i="2" a="1"/>
  <c r="DM68" i="2" s="1"/>
  <c r="DM69" i="2" s="1"/>
  <c r="DG68" i="2" a="1"/>
  <c r="DG68" i="2" s="1"/>
  <c r="ED66" i="2" a="1"/>
  <c r="ED66" i="2" s="1"/>
  <c r="ED67" i="2" s="1"/>
  <c r="DR66" i="2" a="1"/>
  <c r="DR66" i="2" s="1"/>
  <c r="DR67" i="2" s="1"/>
  <c r="DN66" i="2" a="1"/>
  <c r="DN66" i="2" s="1"/>
  <c r="DN67" i="2" s="1"/>
  <c r="DJ66" i="2" a="1"/>
  <c r="DJ66" i="2" s="1"/>
  <c r="DJ67" i="2" s="1"/>
  <c r="DU62" i="2" a="1"/>
  <c r="DU62" i="2" s="1"/>
  <c r="DU63" i="2" s="1"/>
  <c r="DQ62" i="2" a="1"/>
  <c r="DQ62" i="2" s="1"/>
  <c r="DQ63" i="2" s="1"/>
  <c r="DM62" i="2" a="1"/>
  <c r="DM62" i="2" s="1"/>
  <c r="DM63" i="2" s="1"/>
  <c r="DG62" i="2" a="1"/>
  <c r="DG62" i="2" s="1"/>
  <c r="DJ88" i="2"/>
  <c r="DR86" i="2" a="1"/>
  <c r="DR86" i="2" s="1"/>
  <c r="DR87" i="2" s="1"/>
  <c r="EE84" i="2" a="1"/>
  <c r="EE84" i="2" s="1"/>
  <c r="EE85" i="2" s="1"/>
  <c r="DL84" i="2" a="1"/>
  <c r="DL84" i="2" s="1"/>
  <c r="DL85" i="2" s="1"/>
  <c r="DU82" i="2" a="1"/>
  <c r="DU82" i="2" s="1"/>
  <c r="DU83" i="2" s="1"/>
  <c r="DJ82" i="2" a="1"/>
  <c r="DJ82" i="2" s="1"/>
  <c r="DJ83" i="2" s="1"/>
  <c r="DH83" i="2" s="1"/>
  <c r="ED64" i="2" a="1"/>
  <c r="ED64" i="2" s="1"/>
  <c r="ED65" i="2" s="1"/>
  <c r="DR64" i="2" a="1"/>
  <c r="DR64" i="2" s="1"/>
  <c r="DR65" i="2" s="1"/>
  <c r="DN64" i="2" a="1"/>
  <c r="DN64" i="2" s="1"/>
  <c r="DN65" i="2" s="1"/>
  <c r="DJ64" i="2" a="1"/>
  <c r="DJ64" i="2" s="1"/>
  <c r="DJ65" i="2" s="1"/>
  <c r="DJ86" i="2" a="1"/>
  <c r="DJ86" i="2" s="1"/>
  <c r="DJ87" i="2" s="1"/>
  <c r="DX84" i="2" a="1"/>
  <c r="DX84" i="2" s="1"/>
  <c r="DX85" i="2" s="1"/>
  <c r="DQ84" i="2" a="1"/>
  <c r="DQ84" i="2" s="1"/>
  <c r="DQ85" i="2" s="1"/>
  <c r="EF82" i="2" a="1"/>
  <c r="EF82" i="2" s="1"/>
  <c r="EF83" i="2" s="1"/>
  <c r="DO82" i="2" a="1"/>
  <c r="DO82" i="2" s="1"/>
  <c r="DO83" i="2" s="1"/>
  <c r="EF80" i="2" a="1"/>
  <c r="EF80" i="2" s="1"/>
  <c r="EF81" i="2" s="1"/>
  <c r="DN80" i="2" a="1"/>
  <c r="DN80" i="2" s="1"/>
  <c r="DN81" i="2" s="1"/>
  <c r="DJ80" i="2" a="1"/>
  <c r="DJ80" i="2" s="1"/>
  <c r="DJ81" i="2" s="1"/>
  <c r="EE78" i="2" a="1"/>
  <c r="EE78" i="2" s="1"/>
  <c r="EE79" i="2" s="1"/>
  <c r="EA78" i="2" a="1"/>
  <c r="EA78" i="2" s="1"/>
  <c r="EA79" i="2" s="1"/>
  <c r="DO78" i="2" a="1"/>
  <c r="DO78" i="2" s="1"/>
  <c r="DO79" i="2" s="1"/>
  <c r="EF76" i="2" a="1"/>
  <c r="EF76" i="2" s="1"/>
  <c r="EF77" i="2" s="1"/>
  <c r="DX76" i="2" a="1"/>
  <c r="DX76" i="2" s="1"/>
  <c r="DX77" i="2" s="1"/>
  <c r="DP76" i="2" a="1"/>
  <c r="DP76" i="2" s="1"/>
  <c r="DP77" i="2" s="1"/>
  <c r="DL76" i="2" a="1"/>
  <c r="DL76" i="2" s="1"/>
  <c r="DL77" i="2" s="1"/>
  <c r="DU74" i="2" a="1"/>
  <c r="DU74" i="2" s="1"/>
  <c r="DU75" i="2" s="1"/>
  <c r="DQ74" i="2" a="1"/>
  <c r="DQ74" i="2" s="1"/>
  <c r="DQ75" i="2" s="1"/>
  <c r="DM74" i="2" a="1"/>
  <c r="DM74" i="2" s="1"/>
  <c r="DM75" i="2" s="1"/>
  <c r="DG74" i="2" a="1"/>
  <c r="DG74" i="2" s="1"/>
  <c r="ED72" i="2" a="1"/>
  <c r="ED72" i="2" s="1"/>
  <c r="ED73" i="2" s="1"/>
  <c r="DR72" i="2" a="1"/>
  <c r="DR72" i="2" s="1"/>
  <c r="DR73" i="2" s="1"/>
  <c r="DN72" i="2" a="1"/>
  <c r="DN72" i="2" s="1"/>
  <c r="DN73" i="2" s="1"/>
  <c r="DJ72" i="2" a="1"/>
  <c r="DJ72" i="2" s="1"/>
  <c r="DJ73" i="2" s="1"/>
  <c r="EE70" i="2" a="1"/>
  <c r="EE70" i="2" s="1"/>
  <c r="EE71" i="2" s="1"/>
  <c r="EA70" i="2" a="1"/>
  <c r="EA70" i="2" s="1"/>
  <c r="EA71" i="2" s="1"/>
  <c r="DO70" i="2" a="1"/>
  <c r="DO70" i="2" s="1"/>
  <c r="DO71" i="2" s="1"/>
  <c r="EF68" i="2" a="1"/>
  <c r="EF68" i="2" s="1"/>
  <c r="EF69" i="2" s="1"/>
  <c r="DX68" i="2" a="1"/>
  <c r="DX68" i="2" s="1"/>
  <c r="DX69" i="2" s="1"/>
  <c r="DP68" i="2" a="1"/>
  <c r="DP68" i="2" s="1"/>
  <c r="DP69" i="2" s="1"/>
  <c r="DL68" i="2" a="1"/>
  <c r="DL68" i="2" s="1"/>
  <c r="DL69" i="2" s="1"/>
  <c r="DU66" i="2" a="1"/>
  <c r="DU66" i="2" s="1"/>
  <c r="DU67" i="2" s="1"/>
  <c r="DI67" i="2" s="1"/>
  <c r="O80" i="1" s="1"/>
  <c r="DQ66" i="2" a="1"/>
  <c r="DQ66" i="2" s="1"/>
  <c r="DQ67" i="2" s="1"/>
  <c r="DM66" i="2" a="1"/>
  <c r="DM66" i="2" s="1"/>
  <c r="DM67" i="2" s="1"/>
  <c r="DG66" i="2" a="1"/>
  <c r="DG66" i="2" s="1"/>
  <c r="EF62" i="2" a="1"/>
  <c r="EF62" i="2" s="1"/>
  <c r="EF63" i="2" s="1"/>
  <c r="DX62" i="2" a="1"/>
  <c r="DX62" i="2" s="1"/>
  <c r="DX63" i="2" s="1"/>
  <c r="DP62" i="2" a="1"/>
  <c r="DP62" i="2" s="1"/>
  <c r="DP63" i="2" s="1"/>
  <c r="DL62" i="2" a="1"/>
  <c r="DL62" i="2" s="1"/>
  <c r="DL63" i="2" s="1"/>
  <c r="DP84" i="2" a="1"/>
  <c r="DP84" i="2" s="1"/>
  <c r="DP85" i="2" s="1"/>
  <c r="DG84" i="2" a="1"/>
  <c r="DG84" i="2" s="1"/>
  <c r="ED82" i="2" a="1"/>
  <c r="ED82" i="2" s="1"/>
  <c r="ED83" i="2" s="1"/>
  <c r="DX82" i="2" a="1"/>
  <c r="DX82" i="2" s="1"/>
  <c r="DX83" i="2" s="1"/>
  <c r="EE80" i="2" a="1"/>
  <c r="EE80" i="2" s="1"/>
  <c r="EE81" i="2" s="1"/>
  <c r="DQ80" i="2" a="1"/>
  <c r="DQ80" i="2" s="1"/>
  <c r="DQ81" i="2" s="1"/>
  <c r="DM80" i="2" a="1"/>
  <c r="DM80" i="2" s="1"/>
  <c r="DM81" i="2" s="1"/>
  <c r="DG80" i="2" a="1"/>
  <c r="DG80" i="2" s="1"/>
  <c r="ED78" i="2" a="1"/>
  <c r="ED78" i="2" s="1"/>
  <c r="ED79" i="2" s="1"/>
  <c r="DR78" i="2" a="1"/>
  <c r="DR78" i="2" s="1"/>
  <c r="DR79" i="2" s="1"/>
  <c r="DN78" i="2" a="1"/>
  <c r="DN78" i="2" s="1"/>
  <c r="DN79" i="2" s="1"/>
  <c r="DJ78" i="2" a="1"/>
  <c r="DJ78" i="2" s="1"/>
  <c r="DJ79" i="2" s="1"/>
  <c r="EE76" i="2" a="1"/>
  <c r="EE76" i="2" s="1"/>
  <c r="EE77" i="2" s="1"/>
  <c r="EA76" i="2" a="1"/>
  <c r="EA76" i="2" s="1"/>
  <c r="EA77" i="2" s="1"/>
  <c r="DO76" i="2" a="1"/>
  <c r="DO76" i="2" s="1"/>
  <c r="DO77" i="2" s="1"/>
  <c r="EF74" i="2" a="1"/>
  <c r="EF74" i="2" s="1"/>
  <c r="EF75" i="2" s="1"/>
  <c r="DX74" i="2" a="1"/>
  <c r="DX74" i="2" s="1"/>
  <c r="DX75" i="2" s="1"/>
  <c r="DP74" i="2" a="1"/>
  <c r="DP74" i="2" s="1"/>
  <c r="DP75" i="2" s="1"/>
  <c r="DL74" i="2" a="1"/>
  <c r="DL74" i="2" s="1"/>
  <c r="DL75" i="2" s="1"/>
  <c r="DU72" i="2" a="1"/>
  <c r="DU72" i="2" s="1"/>
  <c r="DU73" i="2" s="1"/>
  <c r="DQ72" i="2" a="1"/>
  <c r="DQ72" i="2" s="1"/>
  <c r="DQ73" i="2" s="1"/>
  <c r="DM72" i="2" a="1"/>
  <c r="DM72" i="2" s="1"/>
  <c r="DM73" i="2" s="1"/>
  <c r="DG72" i="2" a="1"/>
  <c r="DG72" i="2" s="1"/>
  <c r="ED70" i="2" a="1"/>
  <c r="ED70" i="2" s="1"/>
  <c r="ED71" i="2" s="1"/>
  <c r="DR70" i="2" a="1"/>
  <c r="DR70" i="2" s="1"/>
  <c r="DR71" i="2" s="1"/>
  <c r="DN70" i="2" a="1"/>
  <c r="DN70" i="2" s="1"/>
  <c r="DN71" i="2" s="1"/>
  <c r="DJ70" i="2" a="1"/>
  <c r="DJ70" i="2" s="1"/>
  <c r="DJ71" i="2" s="1"/>
  <c r="EE68" i="2" a="1"/>
  <c r="EE68" i="2" s="1"/>
  <c r="EE69" i="2" s="1"/>
  <c r="EA68" i="2" a="1"/>
  <c r="EA68" i="2" s="1"/>
  <c r="EA69" i="2" s="1"/>
  <c r="DO68" i="2" a="1"/>
  <c r="DO68" i="2" s="1"/>
  <c r="DO69" i="2" s="1"/>
  <c r="EF66" i="2" a="1"/>
  <c r="EF66" i="2" s="1"/>
  <c r="EF67" i="2" s="1"/>
  <c r="DX66" i="2" a="1"/>
  <c r="DX66" i="2" s="1"/>
  <c r="DX67" i="2" s="1"/>
  <c r="DP66" i="2" a="1"/>
  <c r="DP66" i="2" s="1"/>
  <c r="DP67" i="2" s="1"/>
  <c r="DL66" i="2" a="1"/>
  <c r="DL66" i="2" s="1"/>
  <c r="DL67" i="2" s="1"/>
  <c r="EE62" i="2" a="1"/>
  <c r="EE62" i="2" s="1"/>
  <c r="EE63" i="2" s="1"/>
  <c r="EA62" i="2" a="1"/>
  <c r="EA62" i="2" s="1"/>
  <c r="EA63" i="2" s="1"/>
  <c r="DO62" i="2" a="1"/>
  <c r="DO62" i="2" s="1"/>
  <c r="DO63" i="2" s="1"/>
  <c r="ED86" i="2" a="1"/>
  <c r="ED86" i="2" s="1"/>
  <c r="ED87" i="2" s="1"/>
  <c r="DN86" i="2" a="1"/>
  <c r="DN86" i="2" s="1"/>
  <c r="DN87" i="2" s="1"/>
  <c r="DU84" i="2" a="1"/>
  <c r="DU84" i="2" s="1"/>
  <c r="DU85" i="2" s="1"/>
  <c r="DI85" i="2" s="1"/>
  <c r="DO84" i="2" a="1"/>
  <c r="DO84" i="2" s="1"/>
  <c r="DO85" i="2" s="1"/>
  <c r="DR82" i="2" a="1"/>
  <c r="DR82" i="2" s="1"/>
  <c r="DR83" i="2" s="1"/>
  <c r="DM82" i="2" a="1"/>
  <c r="DM82" i="2" s="1"/>
  <c r="DM83" i="2" s="1"/>
  <c r="DU80" i="2" a="1"/>
  <c r="DU80" i="2" s="1"/>
  <c r="DU81" i="2" s="1"/>
  <c r="EF64" i="2" a="1"/>
  <c r="EF64" i="2" s="1"/>
  <c r="EF65" i="2" s="1"/>
  <c r="DX64" i="2" a="1"/>
  <c r="DX64" i="2" s="1"/>
  <c r="DX65" i="2" s="1"/>
  <c r="DP64" i="2" a="1"/>
  <c r="DP64" i="2" s="1"/>
  <c r="DP65" i="2" s="1"/>
  <c r="DL64" i="2" a="1"/>
  <c r="DL64" i="2" s="1"/>
  <c r="DL65" i="2" s="1"/>
  <c r="DP86" i="2" a="1"/>
  <c r="DP86" i="2" s="1"/>
  <c r="DP87" i="2" s="1"/>
  <c r="DU64" i="2" a="1"/>
  <c r="DU64" i="2" s="1"/>
  <c r="DU65" i="2" s="1"/>
  <c r="DN82" i="2" a="1"/>
  <c r="DN82" i="2" s="1"/>
  <c r="DN83" i="2" s="1"/>
  <c r="DQ64" i="2" a="1"/>
  <c r="DQ64" i="2" s="1"/>
  <c r="DQ65" i="2" s="1"/>
  <c r="DG82" i="2" a="1"/>
  <c r="DG82" i="2" s="1"/>
  <c r="DM64" i="2" a="1"/>
  <c r="DM64" i="2" s="1"/>
  <c r="DM65" i="2" s="1"/>
  <c r="DG64" i="2" a="1"/>
  <c r="DG64" i="2" s="1"/>
  <c r="EF86" i="2" a="1"/>
  <c r="EF86" i="2" s="1"/>
  <c r="EF87" i="2" s="1"/>
  <c r="DX86" i="2" a="1"/>
  <c r="DX86" i="2" s="1"/>
  <c r="DX87" i="2" s="1"/>
  <c r="DR80" i="2" a="1"/>
  <c r="DR80" i="2" s="1"/>
  <c r="DR81" i="2" s="1"/>
  <c r="EA80" i="2" a="1"/>
  <c r="EA80" i="2" s="1"/>
  <c r="EA81" i="2" s="1"/>
  <c r="CC21" i="2"/>
  <c r="AJ11" i="2" s="1"/>
  <c r="AK11" i="2" s="1"/>
  <c r="FI146" i="2" a="1"/>
  <c r="FI146" i="2" s="1"/>
  <c r="FI147" i="2" s="1"/>
  <c r="FA146" i="2" a="1"/>
  <c r="FA146" i="2" s="1"/>
  <c r="FA147" i="2" s="1"/>
  <c r="ES146" i="2" a="1"/>
  <c r="ES146" i="2" s="1"/>
  <c r="ES147" i="2" s="1"/>
  <c r="EO146" i="2" a="1"/>
  <c r="EO146" i="2" s="1"/>
  <c r="EO147" i="2" s="1"/>
  <c r="EX144" i="2" a="1"/>
  <c r="EX144" i="2" s="1"/>
  <c r="EX145" i="2" s="1"/>
  <c r="ET144" i="2" a="1"/>
  <c r="ET144" i="2" s="1"/>
  <c r="ET145" i="2" s="1"/>
  <c r="EP144" i="2" a="1"/>
  <c r="EP144" i="2" s="1"/>
  <c r="EP145" i="2" s="1"/>
  <c r="EJ144" i="2" a="1"/>
  <c r="EJ144" i="2" s="1"/>
  <c r="FG142" i="2" a="1"/>
  <c r="FG142" i="2" s="1"/>
  <c r="FG143" i="2" s="1"/>
  <c r="EU142" i="2" a="1"/>
  <c r="EU142" i="2" s="1"/>
  <c r="EU143" i="2" s="1"/>
  <c r="EQ142" i="2" a="1"/>
  <c r="EQ142" i="2" s="1"/>
  <c r="EQ143" i="2" s="1"/>
  <c r="EM142" i="2" a="1"/>
  <c r="EM142" i="2" s="1"/>
  <c r="EM143" i="2" s="1"/>
  <c r="FH140" i="2" a="1"/>
  <c r="FH140" i="2" s="1"/>
  <c r="FH141" i="2" s="1"/>
  <c r="FD140" i="2" a="1"/>
  <c r="FD140" i="2" s="1"/>
  <c r="FD141" i="2" s="1"/>
  <c r="ER140" i="2" a="1"/>
  <c r="ER140" i="2" s="1"/>
  <c r="ER141" i="2" s="1"/>
  <c r="FI138" i="2" a="1"/>
  <c r="FI138" i="2" s="1"/>
  <c r="FI139" i="2" s="1"/>
  <c r="FA138" i="2" a="1"/>
  <c r="FA138" i="2" s="1"/>
  <c r="FA139" i="2" s="1"/>
  <c r="ES138" i="2" a="1"/>
  <c r="ES138" i="2" s="1"/>
  <c r="ES139" i="2" s="1"/>
  <c r="EO138" i="2" a="1"/>
  <c r="EO138" i="2" s="1"/>
  <c r="EO139" i="2" s="1"/>
  <c r="EX136" i="2" a="1"/>
  <c r="EX136" i="2" s="1"/>
  <c r="EX137" i="2" s="1"/>
  <c r="ET136" i="2" a="1"/>
  <c r="ET136" i="2" s="1"/>
  <c r="ET137" i="2" s="1"/>
  <c r="EP136" i="2" a="1"/>
  <c r="EP136" i="2" s="1"/>
  <c r="EP137" i="2" s="1"/>
  <c r="EJ136" i="2" a="1"/>
  <c r="EJ136" i="2" s="1"/>
  <c r="FG134" i="2" a="1"/>
  <c r="FG134" i="2" s="1"/>
  <c r="FG135" i="2" s="1"/>
  <c r="EU134" i="2" a="1"/>
  <c r="EU134" i="2" s="1"/>
  <c r="EU135" i="2" s="1"/>
  <c r="EQ134" i="2" a="1"/>
  <c r="EQ134" i="2" s="1"/>
  <c r="EQ135" i="2" s="1"/>
  <c r="EM134" i="2" a="1"/>
  <c r="EM134" i="2" s="1"/>
  <c r="EM135" i="2" s="1"/>
  <c r="FH132" i="2" a="1"/>
  <c r="FH132" i="2" s="1"/>
  <c r="FH133" i="2" s="1"/>
  <c r="FD132" i="2" a="1"/>
  <c r="FD132" i="2" s="1"/>
  <c r="FD133" i="2" s="1"/>
  <c r="ER132" i="2" a="1"/>
  <c r="ER132" i="2" s="1"/>
  <c r="ER133" i="2" s="1"/>
  <c r="FI130" i="2" a="1"/>
  <c r="FI130" i="2" s="1"/>
  <c r="FI131" i="2" s="1"/>
  <c r="FA130" i="2" a="1"/>
  <c r="FA130" i="2" s="1"/>
  <c r="FA131" i="2" s="1"/>
  <c r="ES130" i="2" a="1"/>
  <c r="ES130" i="2" s="1"/>
  <c r="ES131" i="2" s="1"/>
  <c r="EO130" i="2" a="1"/>
  <c r="EO130" i="2" s="1"/>
  <c r="EO131" i="2" s="1"/>
  <c r="EX128" i="2" a="1"/>
  <c r="EX128" i="2" s="1"/>
  <c r="EX129" i="2" s="1"/>
  <c r="ET128" i="2" a="1"/>
  <c r="ET128" i="2" s="1"/>
  <c r="ET129" i="2" s="1"/>
  <c r="EP128" i="2" a="1"/>
  <c r="EP128" i="2" s="1"/>
  <c r="EP129" i="2" s="1"/>
  <c r="EJ128" i="2" a="1"/>
  <c r="EJ128" i="2" s="1"/>
  <c r="FG126" i="2" a="1"/>
  <c r="FG126" i="2" s="1"/>
  <c r="FG127" i="2" s="1"/>
  <c r="ER148" i="2"/>
  <c r="FH146" i="2" a="1"/>
  <c r="FH146" i="2" s="1"/>
  <c r="FH147" i="2" s="1"/>
  <c r="FD146" i="2" a="1"/>
  <c r="FD146" i="2" s="1"/>
  <c r="FD147" i="2" s="1"/>
  <c r="ER146" i="2" a="1"/>
  <c r="ER146" i="2" s="1"/>
  <c r="ER147" i="2" s="1"/>
  <c r="FI144" i="2" a="1"/>
  <c r="FI144" i="2" s="1"/>
  <c r="FI145" i="2" s="1"/>
  <c r="FA144" i="2" a="1"/>
  <c r="FA144" i="2" s="1"/>
  <c r="FA145" i="2" s="1"/>
  <c r="ES144" i="2" a="1"/>
  <c r="ES144" i="2" s="1"/>
  <c r="ES145" i="2" s="1"/>
  <c r="EO144" i="2" a="1"/>
  <c r="EO144" i="2" s="1"/>
  <c r="EO145" i="2" s="1"/>
  <c r="EX142" i="2" a="1"/>
  <c r="EX142" i="2" s="1"/>
  <c r="EX143" i="2" s="1"/>
  <c r="ET142" i="2" a="1"/>
  <c r="ET142" i="2" s="1"/>
  <c r="ET143" i="2" s="1"/>
  <c r="EP142" i="2" a="1"/>
  <c r="EP142" i="2" s="1"/>
  <c r="EP143" i="2" s="1"/>
  <c r="EJ142" i="2" a="1"/>
  <c r="EJ142" i="2" s="1"/>
  <c r="FG140" i="2" a="1"/>
  <c r="FG140" i="2" s="1"/>
  <c r="FG141" i="2" s="1"/>
  <c r="EU140" i="2" a="1"/>
  <c r="EU140" i="2" s="1"/>
  <c r="EU141" i="2" s="1"/>
  <c r="EQ140" i="2" a="1"/>
  <c r="EQ140" i="2" s="1"/>
  <c r="EQ141" i="2" s="1"/>
  <c r="EM140" i="2" a="1"/>
  <c r="EM140" i="2" s="1"/>
  <c r="EM141" i="2" s="1"/>
  <c r="FH138" i="2" a="1"/>
  <c r="FH138" i="2" s="1"/>
  <c r="FH139" i="2" s="1"/>
  <c r="FD138" i="2" a="1"/>
  <c r="FD138" i="2" s="1"/>
  <c r="FD139" i="2" s="1"/>
  <c r="ER138" i="2" a="1"/>
  <c r="ER138" i="2" s="1"/>
  <c r="ER139" i="2" s="1"/>
  <c r="FI136" i="2" a="1"/>
  <c r="FI136" i="2" s="1"/>
  <c r="FI137" i="2" s="1"/>
  <c r="FA136" i="2" a="1"/>
  <c r="FA136" i="2" s="1"/>
  <c r="FA137" i="2" s="1"/>
  <c r="ES136" i="2" a="1"/>
  <c r="ES136" i="2" s="1"/>
  <c r="ES137" i="2" s="1"/>
  <c r="EO136" i="2" a="1"/>
  <c r="EO136" i="2" s="1"/>
  <c r="EO137" i="2" s="1"/>
  <c r="EX134" i="2" a="1"/>
  <c r="EX134" i="2" s="1"/>
  <c r="EX135" i="2" s="1"/>
  <c r="ET134" i="2" a="1"/>
  <c r="ET134" i="2" s="1"/>
  <c r="ET135" i="2" s="1"/>
  <c r="EP134" i="2" a="1"/>
  <c r="EP134" i="2" s="1"/>
  <c r="EP135" i="2" s="1"/>
  <c r="EJ134" i="2" a="1"/>
  <c r="EJ134" i="2" s="1"/>
  <c r="FG132" i="2" a="1"/>
  <c r="FG132" i="2" s="1"/>
  <c r="FG133" i="2" s="1"/>
  <c r="EU132" i="2" a="1"/>
  <c r="EU132" i="2" s="1"/>
  <c r="EU133" i="2" s="1"/>
  <c r="EQ132" i="2" a="1"/>
  <c r="EQ132" i="2" s="1"/>
  <c r="EQ133" i="2" s="1"/>
  <c r="EM132" i="2" a="1"/>
  <c r="EM132" i="2" s="1"/>
  <c r="EM133" i="2" s="1"/>
  <c r="FH130" i="2" a="1"/>
  <c r="FH130" i="2" s="1"/>
  <c r="FH131" i="2" s="1"/>
  <c r="FD130" i="2" a="1"/>
  <c r="FD130" i="2" s="1"/>
  <c r="FD131" i="2" s="1"/>
  <c r="ER130" i="2" a="1"/>
  <c r="ER130" i="2" s="1"/>
  <c r="ER131" i="2" s="1"/>
  <c r="FI128" i="2" a="1"/>
  <c r="FI128" i="2" s="1"/>
  <c r="FI129" i="2" s="1"/>
  <c r="FA128" i="2" a="1"/>
  <c r="FA128" i="2" s="1"/>
  <c r="FA129" i="2" s="1"/>
  <c r="ES128" i="2" a="1"/>
  <c r="ES128" i="2" s="1"/>
  <c r="ES129" i="2" s="1"/>
  <c r="EO128" i="2" a="1"/>
  <c r="EO128" i="2" s="1"/>
  <c r="EO129" i="2" s="1"/>
  <c r="EX126" i="2" a="1"/>
  <c r="EX126" i="2" s="1"/>
  <c r="EX127" i="2" s="1"/>
  <c r="ET126" i="2" a="1"/>
  <c r="ET126" i="2" s="1"/>
  <c r="ET127" i="2" s="1"/>
  <c r="EM148" i="2"/>
  <c r="EI148" i="2"/>
  <c r="FG146" i="2" a="1"/>
  <c r="FG146" i="2" s="1"/>
  <c r="FG147" i="2" s="1"/>
  <c r="EU146" i="2" a="1"/>
  <c r="EU146" i="2" s="1"/>
  <c r="EU147" i="2" s="1"/>
  <c r="EQ146" i="2" a="1"/>
  <c r="EQ146" i="2" s="1"/>
  <c r="EQ147" i="2" s="1"/>
  <c r="EM146" i="2" a="1"/>
  <c r="EM146" i="2" s="1"/>
  <c r="EM147" i="2" s="1"/>
  <c r="EK147" i="2" s="1"/>
  <c r="FH144" i="2" a="1"/>
  <c r="FH144" i="2" s="1"/>
  <c r="FH145" i="2" s="1"/>
  <c r="FD144" i="2" a="1"/>
  <c r="FD144" i="2" s="1"/>
  <c r="FD145" i="2" s="1"/>
  <c r="ER144" i="2" a="1"/>
  <c r="ER144" i="2" s="1"/>
  <c r="ER145" i="2" s="1"/>
  <c r="FI142" i="2" a="1"/>
  <c r="FI142" i="2" s="1"/>
  <c r="FI143" i="2" s="1"/>
  <c r="FA142" i="2" a="1"/>
  <c r="FA142" i="2" s="1"/>
  <c r="FA143" i="2" s="1"/>
  <c r="ES142" i="2" a="1"/>
  <c r="ES142" i="2" s="1"/>
  <c r="ES143" i="2" s="1"/>
  <c r="EO142" i="2" a="1"/>
  <c r="EO142" i="2" s="1"/>
  <c r="EO143" i="2" s="1"/>
  <c r="EX140" i="2" a="1"/>
  <c r="EX140" i="2" s="1"/>
  <c r="EX141" i="2" s="1"/>
  <c r="EL141" i="2" s="1"/>
  <c r="ET140" i="2" a="1"/>
  <c r="ET140" i="2" s="1"/>
  <c r="ET141" i="2" s="1"/>
  <c r="EP140" i="2" a="1"/>
  <c r="EP140" i="2" s="1"/>
  <c r="EP141" i="2" s="1"/>
  <c r="EJ140" i="2" a="1"/>
  <c r="EJ140" i="2" s="1"/>
  <c r="FG138" i="2" a="1"/>
  <c r="FG138" i="2" s="1"/>
  <c r="FG139" i="2" s="1"/>
  <c r="EU138" i="2" a="1"/>
  <c r="EU138" i="2" s="1"/>
  <c r="EU139" i="2" s="1"/>
  <c r="EQ138" i="2" a="1"/>
  <c r="EQ138" i="2" s="1"/>
  <c r="EQ139" i="2" s="1"/>
  <c r="EM138" i="2" a="1"/>
  <c r="EM138" i="2" s="1"/>
  <c r="EM139" i="2" s="1"/>
  <c r="FH136" i="2" a="1"/>
  <c r="FH136" i="2" s="1"/>
  <c r="FH137" i="2" s="1"/>
  <c r="FD136" i="2" a="1"/>
  <c r="FD136" i="2" s="1"/>
  <c r="FD137" i="2" s="1"/>
  <c r="ER136" i="2" a="1"/>
  <c r="ER136" i="2" s="1"/>
  <c r="ER137" i="2" s="1"/>
  <c r="FI134" i="2" a="1"/>
  <c r="FI134" i="2" s="1"/>
  <c r="FI135" i="2" s="1"/>
  <c r="FA134" i="2" a="1"/>
  <c r="FA134" i="2" s="1"/>
  <c r="FA135" i="2" s="1"/>
  <c r="ES134" i="2" a="1"/>
  <c r="ES134" i="2" s="1"/>
  <c r="ES135" i="2" s="1"/>
  <c r="EO134" i="2" a="1"/>
  <c r="EO134" i="2" s="1"/>
  <c r="EO135" i="2" s="1"/>
  <c r="EX132" i="2" a="1"/>
  <c r="EX132" i="2" s="1"/>
  <c r="EX133" i="2" s="1"/>
  <c r="EL133" i="2" s="1"/>
  <c r="ET132" i="2" a="1"/>
  <c r="ET132" i="2" s="1"/>
  <c r="ET133" i="2" s="1"/>
  <c r="EP132" i="2" a="1"/>
  <c r="EP132" i="2" s="1"/>
  <c r="EP133" i="2" s="1"/>
  <c r="EJ132" i="2" a="1"/>
  <c r="EJ132" i="2" s="1"/>
  <c r="FG130" i="2" a="1"/>
  <c r="FG130" i="2" s="1"/>
  <c r="FG131" i="2" s="1"/>
  <c r="EU130" i="2" a="1"/>
  <c r="EU130" i="2" s="1"/>
  <c r="EU131" i="2" s="1"/>
  <c r="EQ130" i="2" a="1"/>
  <c r="EQ130" i="2" s="1"/>
  <c r="EQ131" i="2" s="1"/>
  <c r="EM130" i="2" a="1"/>
  <c r="EM130" i="2" s="1"/>
  <c r="EM131" i="2" s="1"/>
  <c r="FH128" i="2" a="1"/>
  <c r="FH128" i="2" s="1"/>
  <c r="FH129" i="2" s="1"/>
  <c r="FD128" i="2" a="1"/>
  <c r="FD128" i="2" s="1"/>
  <c r="FD129" i="2" s="1"/>
  <c r="ER128" i="2" a="1"/>
  <c r="ER128" i="2" s="1"/>
  <c r="ER129" i="2" s="1"/>
  <c r="FI126" i="2" a="1"/>
  <c r="FI126" i="2" s="1"/>
  <c r="FI127" i="2" s="1"/>
  <c r="FA126" i="2" a="1"/>
  <c r="FA126" i="2" s="1"/>
  <c r="FA127" i="2" s="1"/>
  <c r="ES126" i="2" a="1"/>
  <c r="ES126" i="2" s="1"/>
  <c r="ES127" i="2" s="1"/>
  <c r="EO126" i="2" a="1"/>
  <c r="EO126" i="2" s="1"/>
  <c r="EO127" i="2" s="1"/>
  <c r="EX124" i="2" a="1"/>
  <c r="EX124" i="2" s="1"/>
  <c r="EX125" i="2" s="1"/>
  <c r="ET124" i="2" a="1"/>
  <c r="ET124" i="2" s="1"/>
  <c r="ET125" i="2" s="1"/>
  <c r="EP124" i="2" a="1"/>
  <c r="EP124" i="2" s="1"/>
  <c r="EP125" i="2" s="1"/>
  <c r="EJ124" i="2" a="1"/>
  <c r="EJ124" i="2" s="1"/>
  <c r="EX146" i="2" a="1"/>
  <c r="EX146" i="2" s="1"/>
  <c r="EX147" i="2" s="1"/>
  <c r="ET146" i="2" a="1"/>
  <c r="ET146" i="2" s="1"/>
  <c r="ET147" i="2" s="1"/>
  <c r="EQ144" i="2" a="1"/>
  <c r="EQ144" i="2" s="1"/>
  <c r="EQ145" i="2" s="1"/>
  <c r="FI140" i="2" a="1"/>
  <c r="FI140" i="2" s="1"/>
  <c r="FI141" i="2" s="1"/>
  <c r="EM136" i="2" a="1"/>
  <c r="EM136" i="2" s="1"/>
  <c r="EM137" i="2" s="1"/>
  <c r="FH134" i="2" a="1"/>
  <c r="FH134" i="2" s="1"/>
  <c r="FH135" i="2" s="1"/>
  <c r="ER134" i="2" a="1"/>
  <c r="ER134" i="2" s="1"/>
  <c r="ER135" i="2" s="1"/>
  <c r="EX130" i="2" a="1"/>
  <c r="EX130" i="2" s="1"/>
  <c r="EX131" i="2" s="1"/>
  <c r="EL131" i="2" s="1"/>
  <c r="EM128" i="2" a="1"/>
  <c r="EM128" i="2" s="1"/>
  <c r="EM129" i="2" s="1"/>
  <c r="EU124" i="2" a="1"/>
  <c r="EU124" i="2" s="1"/>
  <c r="EU125" i="2" s="1"/>
  <c r="EO124" i="2" a="1"/>
  <c r="EO124" i="2" s="1"/>
  <c r="EO125" i="2" s="1"/>
  <c r="EM144" i="2" a="1"/>
  <c r="EM144" i="2" s="1"/>
  <c r="EM145" i="2" s="1"/>
  <c r="EK145" i="2" s="1"/>
  <c r="EU126" i="2" a="1"/>
  <c r="EU126" i="2" s="1"/>
  <c r="EU127" i="2" s="1"/>
  <c r="FG122" i="2" a="1"/>
  <c r="FG122" i="2" s="1"/>
  <c r="FG123" i="2" s="1"/>
  <c r="EU122" i="2" a="1"/>
  <c r="EU122" i="2" s="1"/>
  <c r="EU123" i="2" s="1"/>
  <c r="EQ122" i="2" a="1"/>
  <c r="EQ122" i="2" s="1"/>
  <c r="EQ123" i="2" s="1"/>
  <c r="EM122" i="2" a="1"/>
  <c r="EM122" i="2" s="1"/>
  <c r="EM123" i="2" s="1"/>
  <c r="ER142" i="2" a="1"/>
  <c r="ER142" i="2" s="1"/>
  <c r="ER143" i="2" s="1"/>
  <c r="FA140" i="2" a="1"/>
  <c r="FA140" i="2" s="1"/>
  <c r="FA141" i="2" s="1"/>
  <c r="FD134" i="2" a="1"/>
  <c r="FD134" i="2" s="1"/>
  <c r="FD135" i="2" s="1"/>
  <c r="FI132" i="2" a="1"/>
  <c r="FI132" i="2" s="1"/>
  <c r="FI133" i="2" s="1"/>
  <c r="ES132" i="2" a="1"/>
  <c r="ES132" i="2" s="1"/>
  <c r="ES133" i="2" s="1"/>
  <c r="ET130" i="2" a="1"/>
  <c r="ET130" i="2" s="1"/>
  <c r="ET131" i="2" s="1"/>
  <c r="EM126" i="2" a="1"/>
  <c r="EM126" i="2" s="1"/>
  <c r="EM127" i="2" s="1"/>
  <c r="FI124" i="2" a="1"/>
  <c r="FI124" i="2" s="1"/>
  <c r="FI125" i="2" s="1"/>
  <c r="FD124" i="2" a="1"/>
  <c r="FD124" i="2" s="1"/>
  <c r="FD125" i="2" s="1"/>
  <c r="ES124" i="2" a="1"/>
  <c r="ES124" i="2" s="1"/>
  <c r="ES125" i="2" s="1"/>
  <c r="ER126" i="2" a="1"/>
  <c r="ER126" i="2" s="1"/>
  <c r="ER127" i="2" s="1"/>
  <c r="EX122" i="2" a="1"/>
  <c r="EX122" i="2" s="1"/>
  <c r="EX123" i="2" s="1"/>
  <c r="ET122" i="2" a="1"/>
  <c r="ET122" i="2" s="1"/>
  <c r="ET123" i="2" s="1"/>
  <c r="EP122" i="2" a="1"/>
  <c r="EP122" i="2" s="1"/>
  <c r="EP123" i="2" s="1"/>
  <c r="EJ122" i="2" a="1"/>
  <c r="EJ122" i="2" s="1"/>
  <c r="FG144" i="2" a="1"/>
  <c r="FG144" i="2" s="1"/>
  <c r="FG145" i="2" s="1"/>
  <c r="ES140" i="2" a="1"/>
  <c r="ES140" i="2" s="1"/>
  <c r="ES141" i="2" s="1"/>
  <c r="EX138" i="2" a="1"/>
  <c r="EX138" i="2" s="1"/>
  <c r="EX139" i="2" s="1"/>
  <c r="EL139" i="2" s="1"/>
  <c r="EU136" i="2" a="1"/>
  <c r="EU136" i="2" s="1"/>
  <c r="EU137" i="2" s="1"/>
  <c r="EO132" i="2" a="1"/>
  <c r="EO132" i="2" s="1"/>
  <c r="EO133" i="2" s="1"/>
  <c r="EP130" i="2" a="1"/>
  <c r="EP130" i="2" s="1"/>
  <c r="EP131" i="2" s="1"/>
  <c r="EU128" i="2" a="1"/>
  <c r="EU128" i="2" s="1"/>
  <c r="EU129" i="2" s="1"/>
  <c r="FH126" i="2" a="1"/>
  <c r="FH126" i="2" s="1"/>
  <c r="FH127" i="2" s="1"/>
  <c r="EJ126" i="2" a="1"/>
  <c r="EJ126" i="2" s="1"/>
  <c r="FH124" i="2" a="1"/>
  <c r="FH124" i="2" s="1"/>
  <c r="FH125" i="2" s="1"/>
  <c r="ER124" i="2" a="1"/>
  <c r="ER124" i="2" s="1"/>
  <c r="ER125" i="2" s="1"/>
  <c r="EM124" i="2" a="1"/>
  <c r="EM124" i="2" s="1"/>
  <c r="EM125" i="2" s="1"/>
  <c r="EO140" i="2" a="1"/>
  <c r="EO140" i="2" s="1"/>
  <c r="EO141" i="2" s="1"/>
  <c r="ET138" i="2" a="1"/>
  <c r="ET138" i="2" s="1"/>
  <c r="ET139" i="2" s="1"/>
  <c r="EQ126" i="2" a="1"/>
  <c r="EQ126" i="2" s="1"/>
  <c r="EQ127" i="2" s="1"/>
  <c r="FI122" i="2" a="1"/>
  <c r="FI122" i="2" s="1"/>
  <c r="FI123" i="2" s="1"/>
  <c r="FA122" i="2" a="1"/>
  <c r="FA122" i="2" s="1"/>
  <c r="FA123" i="2" s="1"/>
  <c r="ES122" i="2" a="1"/>
  <c r="ES122" i="2" s="1"/>
  <c r="ES123" i="2" s="1"/>
  <c r="EO122" i="2" a="1"/>
  <c r="EO122" i="2" s="1"/>
  <c r="EO123" i="2" s="1"/>
  <c r="EP146" i="2" a="1"/>
  <c r="EP146" i="2" s="1"/>
  <c r="EP147" i="2" s="1"/>
  <c r="FH142" i="2" a="1"/>
  <c r="FH142" i="2" s="1"/>
  <c r="FH143" i="2" s="1"/>
  <c r="EP138" i="2" a="1"/>
  <c r="EP138" i="2" s="1"/>
  <c r="EP139" i="2" s="1"/>
  <c r="FG136" i="2" a="1"/>
  <c r="FG136" i="2" s="1"/>
  <c r="FG137" i="2" s="1"/>
  <c r="EQ136" i="2" a="1"/>
  <c r="EQ136" i="2" s="1"/>
  <c r="EQ137" i="2" s="1"/>
  <c r="FA132" i="2" a="1"/>
  <c r="FA132" i="2" s="1"/>
  <c r="FA133" i="2" s="1"/>
  <c r="EJ130" i="2" a="1"/>
  <c r="EJ130" i="2" s="1"/>
  <c r="FG128" i="2" a="1"/>
  <c r="FG128" i="2" s="1"/>
  <c r="FG129" i="2" s="1"/>
  <c r="EQ128" i="2" a="1"/>
  <c r="EQ128" i="2" s="1"/>
  <c r="EQ129" i="2" s="1"/>
  <c r="FG124" i="2" a="1"/>
  <c r="FG124" i="2" s="1"/>
  <c r="FG125" i="2" s="1"/>
  <c r="FA124" i="2" a="1"/>
  <c r="FA124" i="2" s="1"/>
  <c r="FA125" i="2" s="1"/>
  <c r="EQ124" i="2" a="1"/>
  <c r="EQ124" i="2" s="1"/>
  <c r="EQ125" i="2" s="1"/>
  <c r="EJ146" i="2" a="1"/>
  <c r="EJ146" i="2" s="1"/>
  <c r="EU144" i="2" a="1"/>
  <c r="EU144" i="2" s="1"/>
  <c r="EU145" i="2" s="1"/>
  <c r="FD142" i="2" a="1"/>
  <c r="FD142" i="2" s="1"/>
  <c r="FD143" i="2" s="1"/>
  <c r="EJ138" i="2" a="1"/>
  <c r="EJ138" i="2" s="1"/>
  <c r="FD126" i="2" a="1"/>
  <c r="FD126" i="2" s="1"/>
  <c r="FD127" i="2" s="1"/>
  <c r="EP126" i="2" a="1"/>
  <c r="EP126" i="2" s="1"/>
  <c r="EP127" i="2" s="1"/>
  <c r="FH122" i="2" a="1"/>
  <c r="FH122" i="2" s="1"/>
  <c r="FH123" i="2" s="1"/>
  <c r="FD122" i="2" a="1"/>
  <c r="FD122" i="2" s="1"/>
  <c r="FD123" i="2" s="1"/>
  <c r="ER122" i="2" a="1"/>
  <c r="ER122" i="2" s="1"/>
  <c r="ER123" i="2" s="1"/>
  <c r="CC41" i="2"/>
  <c r="AJ21" i="2" s="1"/>
  <c r="AK21" i="2" s="1"/>
  <c r="EX296" i="2" a="1"/>
  <c r="EX296" i="2" s="1"/>
  <c r="EX297" i="2" s="1"/>
  <c r="ET296" i="2" a="1"/>
  <c r="ET296" i="2" s="1"/>
  <c r="ET297" i="2" s="1"/>
  <c r="EP296" i="2" a="1"/>
  <c r="EP296" i="2" s="1"/>
  <c r="EP297" i="2" s="1"/>
  <c r="EJ296" i="2" a="1"/>
  <c r="EJ296" i="2" s="1"/>
  <c r="FG294" i="2" a="1"/>
  <c r="FG294" i="2" s="1"/>
  <c r="FG295" i="2" s="1"/>
  <c r="EU294" i="2" a="1"/>
  <c r="EU294" i="2" s="1"/>
  <c r="EU295" i="2" s="1"/>
  <c r="EQ294" i="2" a="1"/>
  <c r="EQ294" i="2" s="1"/>
  <c r="EQ295" i="2" s="1"/>
  <c r="EM294" i="2" a="1"/>
  <c r="EM294" i="2" s="1"/>
  <c r="EM295" i="2" s="1"/>
  <c r="FH292" i="2" a="1"/>
  <c r="FH292" i="2" s="1"/>
  <c r="FH293" i="2" s="1"/>
  <c r="FD292" i="2" a="1"/>
  <c r="FD292" i="2" s="1"/>
  <c r="FD293" i="2" s="1"/>
  <c r="ER292" i="2" a="1"/>
  <c r="ER292" i="2" s="1"/>
  <c r="ER293" i="2" s="1"/>
  <c r="FI290" i="2" a="1"/>
  <c r="FI290" i="2" s="1"/>
  <c r="FI291" i="2" s="1"/>
  <c r="FA290" i="2" a="1"/>
  <c r="FA290" i="2" s="1"/>
  <c r="FA291" i="2" s="1"/>
  <c r="ES290" i="2" a="1"/>
  <c r="ES290" i="2" s="1"/>
  <c r="ES291" i="2" s="1"/>
  <c r="EO290" i="2" a="1"/>
  <c r="EO290" i="2" s="1"/>
  <c r="EO291" i="2" s="1"/>
  <c r="FI296" i="2" a="1"/>
  <c r="FI296" i="2" s="1"/>
  <c r="FI297" i="2" s="1"/>
  <c r="FA296" i="2" a="1"/>
  <c r="FA296" i="2" s="1"/>
  <c r="FA297" i="2" s="1"/>
  <c r="ES296" i="2" a="1"/>
  <c r="ES296" i="2" s="1"/>
  <c r="ES297" i="2" s="1"/>
  <c r="EO296" i="2" a="1"/>
  <c r="EO296" i="2" s="1"/>
  <c r="EO297" i="2" s="1"/>
  <c r="EX294" i="2" a="1"/>
  <c r="EX294" i="2" s="1"/>
  <c r="EX295" i="2" s="1"/>
  <c r="ET294" i="2" a="1"/>
  <c r="ET294" i="2" s="1"/>
  <c r="ET295" i="2" s="1"/>
  <c r="EP294" i="2" a="1"/>
  <c r="EP294" i="2" s="1"/>
  <c r="EP295" i="2" s="1"/>
  <c r="EJ294" i="2" a="1"/>
  <c r="EJ294" i="2" s="1"/>
  <c r="FG292" i="2" a="1"/>
  <c r="FG292" i="2" s="1"/>
  <c r="FG293" i="2" s="1"/>
  <c r="FD296" i="2" a="1"/>
  <c r="FD296" i="2" s="1"/>
  <c r="FD297" i="2" s="1"/>
  <c r="EM292" i="2" a="1"/>
  <c r="EM292" i="2" s="1"/>
  <c r="EM293" i="2" s="1"/>
  <c r="FH296" i="2" a="1"/>
  <c r="FH296" i="2" s="1"/>
  <c r="FH297" i="2" s="1"/>
  <c r="ER296" i="2" a="1"/>
  <c r="ER296" i="2" s="1"/>
  <c r="ER297" i="2" s="1"/>
  <c r="EM296" i="2" a="1"/>
  <c r="EM296" i="2" s="1"/>
  <c r="EM297" i="2" s="1"/>
  <c r="EK297" i="2" s="1"/>
  <c r="EU292" i="2" a="1"/>
  <c r="EU292" i="2" s="1"/>
  <c r="EU293" i="2" s="1"/>
  <c r="EJ292" i="2" a="1"/>
  <c r="EJ292" i="2" s="1"/>
  <c r="EM290" i="2" a="1"/>
  <c r="EM290" i="2" s="1"/>
  <c r="EM291" i="2" s="1"/>
  <c r="ER298" i="2"/>
  <c r="FG296" i="2" a="1"/>
  <c r="FG296" i="2" s="1"/>
  <c r="FG297" i="2" s="1"/>
  <c r="EQ296" i="2" a="1"/>
  <c r="EQ296" i="2" s="1"/>
  <c r="EQ297" i="2" s="1"/>
  <c r="ET292" i="2" a="1"/>
  <c r="ET292" i="2" s="1"/>
  <c r="ET293" i="2" s="1"/>
  <c r="FD290" i="2" a="1"/>
  <c r="FD290" i="2" s="1"/>
  <c r="FD291" i="2" s="1"/>
  <c r="EU290" i="2" a="1"/>
  <c r="EU290" i="2" s="1"/>
  <c r="EU291" i="2" s="1"/>
  <c r="EJ290" i="2" a="1"/>
  <c r="EJ290" i="2" s="1"/>
  <c r="EM298" i="2"/>
  <c r="FH294" i="2" a="1"/>
  <c r="FH294" i="2" s="1"/>
  <c r="FH295" i="2" s="1"/>
  <c r="ER294" i="2" a="1"/>
  <c r="ER294" i="2" s="1"/>
  <c r="ER295" i="2" s="1"/>
  <c r="FI292" i="2" a="1"/>
  <c r="FI292" i="2" s="1"/>
  <c r="FI293" i="2" s="1"/>
  <c r="EX292" i="2" a="1"/>
  <c r="EX292" i="2" s="1"/>
  <c r="EX293" i="2" s="1"/>
  <c r="EO292" i="2" a="1"/>
  <c r="EO292" i="2" s="1"/>
  <c r="EO293" i="2" s="1"/>
  <c r="FH290" i="2" a="1"/>
  <c r="FH290" i="2" s="1"/>
  <c r="FH291" i="2" s="1"/>
  <c r="EP290" i="2" a="1"/>
  <c r="EP290" i="2" s="1"/>
  <c r="EP291" i="2" s="1"/>
  <c r="EI298" i="2"/>
  <c r="EU296" i="2" a="1"/>
  <c r="EU296" i="2" s="1"/>
  <c r="EU297" i="2" s="1"/>
  <c r="ES292" i="2" a="1"/>
  <c r="ES292" i="2" s="1"/>
  <c r="ES293" i="2" s="1"/>
  <c r="ET290" i="2" a="1"/>
  <c r="ET290" i="2" s="1"/>
  <c r="ET291" i="2" s="1"/>
  <c r="FA294" i="2" a="1"/>
  <c r="FA294" i="2" s="1"/>
  <c r="FA295" i="2" s="1"/>
  <c r="FG290" i="2" a="1"/>
  <c r="FG290" i="2" s="1"/>
  <c r="FG291" i="2" s="1"/>
  <c r="EX290" i="2" a="1"/>
  <c r="EX290" i="2" s="1"/>
  <c r="EX291" i="2" s="1"/>
  <c r="EL291" i="2" s="1"/>
  <c r="EX288" i="2" a="1"/>
  <c r="EX288" i="2" s="1"/>
  <c r="EX289" i="2" s="1"/>
  <c r="EQ292" i="2" a="1"/>
  <c r="EQ292" i="2" s="1"/>
  <c r="EQ293" i="2" s="1"/>
  <c r="FA288" i="2" a="1"/>
  <c r="FA288" i="2" s="1"/>
  <c r="FA289" i="2" s="1"/>
  <c r="ER288" i="2" a="1"/>
  <c r="ER288" i="2" s="1"/>
  <c r="ER289" i="2" s="1"/>
  <c r="ET286" i="2" a="1"/>
  <c r="ET286" i="2" s="1"/>
  <c r="ET287" i="2" s="1"/>
  <c r="EJ286" i="2" a="1"/>
  <c r="EJ286" i="2" s="1"/>
  <c r="ES284" i="2" a="1"/>
  <c r="ES284" i="2" s="1"/>
  <c r="ES285" i="2" s="1"/>
  <c r="EM284" i="2" a="1"/>
  <c r="EM284" i="2" s="1"/>
  <c r="EM285" i="2" s="1"/>
  <c r="EK285" i="2" s="1"/>
  <c r="FH280" i="2" a="1"/>
  <c r="FH280" i="2" s="1"/>
  <c r="FH281" i="2" s="1"/>
  <c r="FD280" i="2" a="1"/>
  <c r="FD280" i="2" s="1"/>
  <c r="FD281" i="2" s="1"/>
  <c r="ER280" i="2" a="1"/>
  <c r="ER280" i="2" s="1"/>
  <c r="ER281" i="2" s="1"/>
  <c r="FI278" i="2" a="1"/>
  <c r="FI278" i="2" s="1"/>
  <c r="FI279" i="2" s="1"/>
  <c r="FA278" i="2" a="1"/>
  <c r="FA278" i="2" s="1"/>
  <c r="FA279" i="2" s="1"/>
  <c r="ES278" i="2" a="1"/>
  <c r="ES278" i="2" s="1"/>
  <c r="ES279" i="2" s="1"/>
  <c r="EO278" i="2" a="1"/>
  <c r="EO278" i="2" s="1"/>
  <c r="EO279" i="2" s="1"/>
  <c r="EX276" i="2" a="1"/>
  <c r="EX276" i="2" s="1"/>
  <c r="EX277" i="2" s="1"/>
  <c r="ET276" i="2" a="1"/>
  <c r="ET276" i="2" s="1"/>
  <c r="ET277" i="2" s="1"/>
  <c r="EP276" i="2" a="1"/>
  <c r="EP276" i="2" s="1"/>
  <c r="EP277" i="2" s="1"/>
  <c r="EJ276" i="2" a="1"/>
  <c r="EJ276" i="2" s="1"/>
  <c r="FG274" i="2" a="1"/>
  <c r="FG274" i="2" s="1"/>
  <c r="FG275" i="2" s="1"/>
  <c r="EU274" i="2" a="1"/>
  <c r="EU274" i="2" s="1"/>
  <c r="EU275" i="2" s="1"/>
  <c r="EQ274" i="2" a="1"/>
  <c r="EQ274" i="2" s="1"/>
  <c r="EQ275" i="2" s="1"/>
  <c r="EM274" i="2" a="1"/>
  <c r="EM274" i="2" s="1"/>
  <c r="EM275" i="2" s="1"/>
  <c r="FH272" i="2" a="1"/>
  <c r="FH272" i="2" s="1"/>
  <c r="FH273" i="2" s="1"/>
  <c r="FD272" i="2" a="1"/>
  <c r="FD272" i="2" s="1"/>
  <c r="FD273" i="2" s="1"/>
  <c r="ER272" i="2" a="1"/>
  <c r="ER272" i="2" s="1"/>
  <c r="ER273" i="2" s="1"/>
  <c r="FD294" i="2" a="1"/>
  <c r="FD294" i="2" s="1"/>
  <c r="FD295" i="2" s="1"/>
  <c r="EP292" i="2" a="1"/>
  <c r="EP292" i="2" s="1"/>
  <c r="EP293" i="2" s="1"/>
  <c r="EQ288" i="2" a="1"/>
  <c r="EQ288" i="2" s="1"/>
  <c r="EQ289" i="2" s="1"/>
  <c r="FI286" i="2" a="1"/>
  <c r="FI286" i="2" s="1"/>
  <c r="FI287" i="2" s="1"/>
  <c r="FA286" i="2" a="1"/>
  <c r="FA286" i="2" s="1"/>
  <c r="FA287" i="2" s="1"/>
  <c r="ES286" i="2" a="1"/>
  <c r="ES286" i="2" s="1"/>
  <c r="ES287" i="2" s="1"/>
  <c r="ER284" i="2" a="1"/>
  <c r="ER284" i="2" s="1"/>
  <c r="ER285" i="2" s="1"/>
  <c r="EJ284" i="2" a="1"/>
  <c r="EJ284" i="2" s="1"/>
  <c r="FA282" i="2" a="1"/>
  <c r="FA282" i="2" s="1"/>
  <c r="FA283" i="2" s="1"/>
  <c r="ER282" i="2" a="1"/>
  <c r="ER282" i="2" s="1"/>
  <c r="ER283" i="2" s="1"/>
  <c r="FI288" i="2" a="1"/>
  <c r="FI288" i="2" s="1"/>
  <c r="FI289" i="2" s="1"/>
  <c r="EP288" i="2" a="1"/>
  <c r="EP288" i="2" s="1"/>
  <c r="EP289" i="2" s="1"/>
  <c r="FH286" i="2" a="1"/>
  <c r="FH286" i="2" s="1"/>
  <c r="FH287" i="2" s="1"/>
  <c r="ER286" i="2" a="1"/>
  <c r="ER286" i="2" s="1"/>
  <c r="ER287" i="2" s="1"/>
  <c r="FD284" i="2" a="1"/>
  <c r="FD284" i="2" s="1"/>
  <c r="FD285" i="2" s="1"/>
  <c r="EX284" i="2" a="1"/>
  <c r="EX284" i="2" s="1"/>
  <c r="EX285" i="2" s="1"/>
  <c r="EM282" i="2" a="1"/>
  <c r="EM282" i="2" s="1"/>
  <c r="EM283" i="2" s="1"/>
  <c r="FG280" i="2" a="1"/>
  <c r="FG280" i="2" s="1"/>
  <c r="FG281" i="2" s="1"/>
  <c r="EU280" i="2" a="1"/>
  <c r="EU280" i="2" s="1"/>
  <c r="EU281" i="2" s="1"/>
  <c r="EQ280" i="2" a="1"/>
  <c r="EQ280" i="2" s="1"/>
  <c r="EQ281" i="2" s="1"/>
  <c r="EM280" i="2" a="1"/>
  <c r="EM280" i="2" s="1"/>
  <c r="EM281" i="2" s="1"/>
  <c r="FH278" i="2" a="1"/>
  <c r="FH278" i="2" s="1"/>
  <c r="FH279" i="2" s="1"/>
  <c r="FD278" i="2" a="1"/>
  <c r="FD278" i="2" s="1"/>
  <c r="FD279" i="2" s="1"/>
  <c r="ER278" i="2" a="1"/>
  <c r="ER278" i="2" s="1"/>
  <c r="ER279" i="2" s="1"/>
  <c r="FI276" i="2" a="1"/>
  <c r="FI276" i="2" s="1"/>
  <c r="FI277" i="2" s="1"/>
  <c r="FA276" i="2" a="1"/>
  <c r="FA276" i="2" s="1"/>
  <c r="FA277" i="2" s="1"/>
  <c r="ES276" i="2" a="1"/>
  <c r="ES276" i="2" s="1"/>
  <c r="ES277" i="2" s="1"/>
  <c r="EO276" i="2" a="1"/>
  <c r="EO276" i="2" s="1"/>
  <c r="EO277" i="2" s="1"/>
  <c r="EX274" i="2" a="1"/>
  <c r="EX274" i="2" s="1"/>
  <c r="EX275" i="2" s="1"/>
  <c r="ET274" i="2" a="1"/>
  <c r="ET274" i="2" s="1"/>
  <c r="ET275" i="2" s="1"/>
  <c r="EP274" i="2" a="1"/>
  <c r="EP274" i="2" s="1"/>
  <c r="EP275" i="2" s="1"/>
  <c r="EJ274" i="2" a="1"/>
  <c r="EJ274" i="2" s="1"/>
  <c r="FG272" i="2" a="1"/>
  <c r="FG272" i="2" s="1"/>
  <c r="FG273" i="2" s="1"/>
  <c r="EU272" i="2" a="1"/>
  <c r="EU272" i="2" s="1"/>
  <c r="EU273" i="2" s="1"/>
  <c r="EQ272" i="2" a="1"/>
  <c r="EQ272" i="2" s="1"/>
  <c r="EQ273" i="2" s="1"/>
  <c r="EM272" i="2" a="1"/>
  <c r="EM272" i="2" s="1"/>
  <c r="EM273" i="2" s="1"/>
  <c r="FH288" i="2" a="1"/>
  <c r="FH288" i="2" s="1"/>
  <c r="FH289" i="2" s="1"/>
  <c r="EO288" i="2" a="1"/>
  <c r="EO288" i="2" s="1"/>
  <c r="EO289" i="2" s="1"/>
  <c r="FG286" i="2" a="1"/>
  <c r="FG286" i="2" s="1"/>
  <c r="FG287" i="2" s="1"/>
  <c r="EQ286" i="2" a="1"/>
  <c r="EQ286" i="2" s="1"/>
  <c r="EQ287" i="2" s="1"/>
  <c r="EQ284" i="2" a="1"/>
  <c r="EQ284" i="2" s="1"/>
  <c r="EQ285" i="2" s="1"/>
  <c r="FI282" i="2" a="1"/>
  <c r="FI282" i="2" s="1"/>
  <c r="FI283" i="2" s="1"/>
  <c r="EQ282" i="2" a="1"/>
  <c r="EQ282" i="2" s="1"/>
  <c r="EQ283" i="2" s="1"/>
  <c r="EJ282" i="2" a="1"/>
  <c r="EJ282" i="2" s="1"/>
  <c r="FA292" i="2" a="1"/>
  <c r="FA292" i="2" s="1"/>
  <c r="FA293" i="2" s="1"/>
  <c r="FG288" i="2" a="1"/>
  <c r="FG288" i="2" s="1"/>
  <c r="FG289" i="2" s="1"/>
  <c r="EX286" i="2" a="1"/>
  <c r="EX286" i="2" s="1"/>
  <c r="EX287" i="2" s="1"/>
  <c r="EP286" i="2" a="1"/>
  <c r="EP286" i="2" s="1"/>
  <c r="EP287" i="2" s="1"/>
  <c r="FI284" i="2" a="1"/>
  <c r="FI284" i="2" s="1"/>
  <c r="FI285" i="2" s="1"/>
  <c r="EP284" i="2" a="1"/>
  <c r="EP284" i="2" s="1"/>
  <c r="EP285" i="2" s="1"/>
  <c r="FD282" i="2" a="1"/>
  <c r="FD282" i="2" s="1"/>
  <c r="FD283" i="2" s="1"/>
  <c r="EU282" i="2" a="1"/>
  <c r="EU282" i="2" s="1"/>
  <c r="EU283" i="2" s="1"/>
  <c r="EP282" i="2" a="1"/>
  <c r="EP282" i="2" s="1"/>
  <c r="EP283" i="2" s="1"/>
  <c r="EX280" i="2" a="1"/>
  <c r="EX280" i="2" s="1"/>
  <c r="EX281" i="2" s="1"/>
  <c r="EL281" i="2" s="1"/>
  <c r="ET280" i="2" a="1"/>
  <c r="ET280" i="2" s="1"/>
  <c r="ET281" i="2" s="1"/>
  <c r="EP280" i="2" a="1"/>
  <c r="EP280" i="2" s="1"/>
  <c r="EP281" i="2" s="1"/>
  <c r="EJ280" i="2" a="1"/>
  <c r="EJ280" i="2" s="1"/>
  <c r="FG278" i="2" a="1"/>
  <c r="FG278" i="2" s="1"/>
  <c r="FG279" i="2" s="1"/>
  <c r="EU278" i="2" a="1"/>
  <c r="EU278" i="2" s="1"/>
  <c r="EU279" i="2" s="1"/>
  <c r="EQ278" i="2" a="1"/>
  <c r="EQ278" i="2" s="1"/>
  <c r="EQ279" i="2" s="1"/>
  <c r="EM278" i="2" a="1"/>
  <c r="EM278" i="2" s="1"/>
  <c r="EM279" i="2" s="1"/>
  <c r="EK279" i="2" s="1"/>
  <c r="FH276" i="2" a="1"/>
  <c r="FH276" i="2" s="1"/>
  <c r="FH277" i="2" s="1"/>
  <c r="FD276" i="2" a="1"/>
  <c r="FD276" i="2" s="1"/>
  <c r="FD277" i="2" s="1"/>
  <c r="ER276" i="2" a="1"/>
  <c r="ER276" i="2" s="1"/>
  <c r="ER277" i="2" s="1"/>
  <c r="FI274" i="2" a="1"/>
  <c r="FI274" i="2" s="1"/>
  <c r="FI275" i="2" s="1"/>
  <c r="FA274" i="2" a="1"/>
  <c r="FA274" i="2" s="1"/>
  <c r="FA275" i="2" s="1"/>
  <c r="ES274" i="2" a="1"/>
  <c r="ES274" i="2" s="1"/>
  <c r="ES275" i="2" s="1"/>
  <c r="EO274" i="2" a="1"/>
  <c r="EO274" i="2" s="1"/>
  <c r="EO275" i="2" s="1"/>
  <c r="EX272" i="2" a="1"/>
  <c r="EX272" i="2" s="1"/>
  <c r="EX273" i="2" s="1"/>
  <c r="ET272" i="2" a="1"/>
  <c r="ET272" i="2" s="1"/>
  <c r="ET273" i="2" s="1"/>
  <c r="EP272" i="2" a="1"/>
  <c r="EP272" i="2" s="1"/>
  <c r="EP273" i="2" s="1"/>
  <c r="EJ272" i="2" a="1"/>
  <c r="EJ272" i="2" s="1"/>
  <c r="EO294" i="2" a="1"/>
  <c r="EO294" i="2" s="1"/>
  <c r="EO295" i="2" s="1"/>
  <c r="ER290" i="2" a="1"/>
  <c r="ER290" i="2" s="1"/>
  <c r="ER291" i="2" s="1"/>
  <c r="FD288" i="2" a="1"/>
  <c r="FD288" i="2" s="1"/>
  <c r="FD289" i="2" s="1"/>
  <c r="ET288" i="2" a="1"/>
  <c r="ET288" i="2" s="1"/>
  <c r="ET289" i="2" s="1"/>
  <c r="EJ288" i="2" a="1"/>
  <c r="EJ288" i="2" s="1"/>
  <c r="FD286" i="2" a="1"/>
  <c r="FD286" i="2" s="1"/>
  <c r="FD287" i="2" s="1"/>
  <c r="FA284" i="2" a="1"/>
  <c r="FA284" i="2" s="1"/>
  <c r="FA285" i="2" s="1"/>
  <c r="EU284" i="2" a="1"/>
  <c r="EU284" i="2" s="1"/>
  <c r="EU285" i="2" s="1"/>
  <c r="EX282" i="2" a="1"/>
  <c r="EX282" i="2" s="1"/>
  <c r="EX283" i="2" s="1"/>
  <c r="EO282" i="2" a="1"/>
  <c r="EO282" i="2" s="1"/>
  <c r="EO283" i="2" s="1"/>
  <c r="FI280" i="2" a="1"/>
  <c r="FI280" i="2" s="1"/>
  <c r="FI281" i="2" s="1"/>
  <c r="FA280" i="2" a="1"/>
  <c r="FA280" i="2" s="1"/>
  <c r="FA281" i="2" s="1"/>
  <c r="ES280" i="2" a="1"/>
  <c r="ES280" i="2" s="1"/>
  <c r="ES281" i="2" s="1"/>
  <c r="EO280" i="2" a="1"/>
  <c r="EO280" i="2" s="1"/>
  <c r="EO281" i="2" s="1"/>
  <c r="EX278" i="2" a="1"/>
  <c r="EX278" i="2" s="1"/>
  <c r="EX279" i="2" s="1"/>
  <c r="ET278" i="2" a="1"/>
  <c r="ET278" i="2" s="1"/>
  <c r="ET279" i="2" s="1"/>
  <c r="EP278" i="2" a="1"/>
  <c r="EP278" i="2" s="1"/>
  <c r="EP279" i="2" s="1"/>
  <c r="EJ278" i="2" a="1"/>
  <c r="EJ278" i="2" s="1"/>
  <c r="FG276" i="2" a="1"/>
  <c r="FG276" i="2" s="1"/>
  <c r="FG277" i="2" s="1"/>
  <c r="EU276" i="2" a="1"/>
  <c r="EU276" i="2" s="1"/>
  <c r="EU277" i="2" s="1"/>
  <c r="EQ276" i="2" a="1"/>
  <c r="EQ276" i="2" s="1"/>
  <c r="EQ277" i="2" s="1"/>
  <c r="EM276" i="2" a="1"/>
  <c r="EM276" i="2" s="1"/>
  <c r="EM277" i="2" s="1"/>
  <c r="EK277" i="2" s="1"/>
  <c r="FH274" i="2" a="1"/>
  <c r="FH274" i="2" s="1"/>
  <c r="FH275" i="2" s="1"/>
  <c r="FD274" i="2" a="1"/>
  <c r="FD274" i="2" s="1"/>
  <c r="FD275" i="2" s="1"/>
  <c r="ER274" i="2" a="1"/>
  <c r="ER274" i="2" s="1"/>
  <c r="ER275" i="2" s="1"/>
  <c r="FI272" i="2" a="1"/>
  <c r="FI272" i="2" s="1"/>
  <c r="FI273" i="2" s="1"/>
  <c r="FA272" i="2" a="1"/>
  <c r="FA272" i="2" s="1"/>
  <c r="FA273" i="2" s="1"/>
  <c r="ES272" i="2" a="1"/>
  <c r="ES272" i="2" s="1"/>
  <c r="ES273" i="2" s="1"/>
  <c r="EO272" i="2" a="1"/>
  <c r="EO272" i="2" s="1"/>
  <c r="EO273" i="2" s="1"/>
  <c r="FI294" i="2" a="1"/>
  <c r="FI294" i="2" s="1"/>
  <c r="FI295" i="2" s="1"/>
  <c r="EQ290" i="2" a="1"/>
  <c r="EQ290" i="2" s="1"/>
  <c r="EQ291" i="2" s="1"/>
  <c r="ES288" i="2" a="1"/>
  <c r="ES288" i="2" s="1"/>
  <c r="ES289" i="2" s="1"/>
  <c r="EU286" i="2" a="1"/>
  <c r="EU286" i="2" s="1"/>
  <c r="EU287" i="2" s="1"/>
  <c r="EM286" i="2" a="1"/>
  <c r="EM286" i="2" s="1"/>
  <c r="EM287" i="2" s="1"/>
  <c r="FG284" i="2" a="1"/>
  <c r="FG284" i="2" s="1"/>
  <c r="FG285" i="2" s="1"/>
  <c r="ET284" i="2" a="1"/>
  <c r="ET284" i="2" s="1"/>
  <c r="ET285" i="2" s="1"/>
  <c r="FG282" i="2" a="1"/>
  <c r="FG282" i="2" s="1"/>
  <c r="FG283" i="2" s="1"/>
  <c r="ES282" i="2" a="1"/>
  <c r="ES282" i="2" s="1"/>
  <c r="ES283" i="2" s="1"/>
  <c r="EM288" i="2" a="1"/>
  <c r="EM288" i="2" s="1"/>
  <c r="EM289" i="2" s="1"/>
  <c r="FH282" i="2" a="1"/>
  <c r="FH282" i="2" s="1"/>
  <c r="FH283" i="2" s="1"/>
  <c r="EO286" i="2" a="1"/>
  <c r="EO286" i="2" s="1"/>
  <c r="EO287" i="2" s="1"/>
  <c r="FH284" i="2" a="1"/>
  <c r="FH284" i="2" s="1"/>
  <c r="FH285" i="2" s="1"/>
  <c r="ET282" i="2" a="1"/>
  <c r="ET282" i="2" s="1"/>
  <c r="ET283" i="2" s="1"/>
  <c r="ES294" i="2" a="1"/>
  <c r="ES294" i="2" s="1"/>
  <c r="ES295" i="2" s="1"/>
  <c r="EO284" i="2" a="1"/>
  <c r="EO284" i="2" s="1"/>
  <c r="EO285" i="2" s="1"/>
  <c r="EU288" i="2" a="1"/>
  <c r="EU288" i="2" s="1"/>
  <c r="EU289" i="2" s="1"/>
  <c r="CY9" i="2"/>
  <c r="U62" i="1" s="1"/>
  <c r="S62" i="1"/>
  <c r="O57" i="1"/>
  <c r="O61" i="1"/>
  <c r="CC53" i="2"/>
  <c r="AJ27" i="2" s="1"/>
  <c r="AK27" i="2" s="1"/>
  <c r="V15" i="1"/>
  <c r="DO178" i="2"/>
  <c r="ED176" i="2" a="1"/>
  <c r="ED176" i="2" s="1"/>
  <c r="ED177" i="2" s="1"/>
  <c r="DR176" i="2" a="1"/>
  <c r="DR176" i="2" s="1"/>
  <c r="DR177" i="2" s="1"/>
  <c r="DN176" i="2" a="1"/>
  <c r="DN176" i="2" s="1"/>
  <c r="DN177" i="2" s="1"/>
  <c r="DJ176" i="2" a="1"/>
  <c r="DJ176" i="2" s="1"/>
  <c r="DJ177" i="2" s="1"/>
  <c r="EE174" i="2" a="1"/>
  <c r="EE174" i="2" s="1"/>
  <c r="EE175" i="2" s="1"/>
  <c r="EA174" i="2" a="1"/>
  <c r="EA174" i="2" s="1"/>
  <c r="EA175" i="2" s="1"/>
  <c r="DP176" i="2" a="1"/>
  <c r="DP176" i="2" s="1"/>
  <c r="DP177" i="2" s="1"/>
  <c r="DR174" i="2" a="1"/>
  <c r="DR174" i="2" s="1"/>
  <c r="DR175" i="2" s="1"/>
  <c r="DN174" i="2" a="1"/>
  <c r="DN174" i="2" s="1"/>
  <c r="DN175" i="2" s="1"/>
  <c r="DJ174" i="2" a="1"/>
  <c r="DJ174" i="2" s="1"/>
  <c r="DJ175" i="2" s="1"/>
  <c r="EE172" i="2" a="1"/>
  <c r="EE172" i="2" s="1"/>
  <c r="EE173" i="2" s="1"/>
  <c r="EA172" i="2" a="1"/>
  <c r="EA172" i="2" s="1"/>
  <c r="EA173" i="2" s="1"/>
  <c r="DO172" i="2" a="1"/>
  <c r="DO172" i="2" s="1"/>
  <c r="DO173" i="2" s="1"/>
  <c r="EF170" i="2" a="1"/>
  <c r="EF170" i="2" s="1"/>
  <c r="EF171" i="2" s="1"/>
  <c r="DX170" i="2" a="1"/>
  <c r="DX170" i="2" s="1"/>
  <c r="DX171" i="2" s="1"/>
  <c r="DP170" i="2" a="1"/>
  <c r="DP170" i="2" s="1"/>
  <c r="DP171" i="2" s="1"/>
  <c r="DL170" i="2" a="1"/>
  <c r="DL170" i="2" s="1"/>
  <c r="DL171" i="2" s="1"/>
  <c r="DU168" i="2" a="1"/>
  <c r="DU168" i="2" s="1"/>
  <c r="DU169" i="2" s="1"/>
  <c r="DI169" i="2" s="1"/>
  <c r="DQ168" i="2" a="1"/>
  <c r="DQ168" i="2" s="1"/>
  <c r="DQ169" i="2" s="1"/>
  <c r="DM168" i="2" a="1"/>
  <c r="DM168" i="2" s="1"/>
  <c r="DM169" i="2" s="1"/>
  <c r="DG168" i="2" a="1"/>
  <c r="DG168" i="2" s="1"/>
  <c r="ED166" i="2" a="1"/>
  <c r="ED166" i="2" s="1"/>
  <c r="ED167" i="2" s="1"/>
  <c r="DR166" i="2" a="1"/>
  <c r="DR166" i="2" s="1"/>
  <c r="DR167" i="2" s="1"/>
  <c r="DN166" i="2" a="1"/>
  <c r="DN166" i="2" s="1"/>
  <c r="DN167" i="2" s="1"/>
  <c r="DJ166" i="2" a="1"/>
  <c r="DJ166" i="2" s="1"/>
  <c r="DJ167" i="2" s="1"/>
  <c r="EE164" i="2" a="1"/>
  <c r="EE164" i="2" s="1"/>
  <c r="EE165" i="2" s="1"/>
  <c r="EA164" i="2" a="1"/>
  <c r="EA164" i="2" s="1"/>
  <c r="EA165" i="2" s="1"/>
  <c r="DO164" i="2" a="1"/>
  <c r="DO164" i="2" s="1"/>
  <c r="DO165" i="2" s="1"/>
  <c r="EF162" i="2" a="1"/>
  <c r="EF162" i="2" s="1"/>
  <c r="EF163" i="2" s="1"/>
  <c r="DX162" i="2" a="1"/>
  <c r="DX162" i="2" s="1"/>
  <c r="DX163" i="2" s="1"/>
  <c r="ED174" i="2" a="1"/>
  <c r="ED174" i="2" s="1"/>
  <c r="ED175" i="2" s="1"/>
  <c r="DX176" i="2" a="1"/>
  <c r="DX176" i="2" s="1"/>
  <c r="DX177" i="2" s="1"/>
  <c r="DO176" i="2" a="1"/>
  <c r="DO176" i="2" s="1"/>
  <c r="DO177" i="2" s="1"/>
  <c r="DU174" i="2" a="1"/>
  <c r="DU174" i="2" s="1"/>
  <c r="DU175" i="2" s="1"/>
  <c r="DI175" i="2" s="1"/>
  <c r="DQ174" i="2" a="1"/>
  <c r="DQ174" i="2" s="1"/>
  <c r="DQ175" i="2" s="1"/>
  <c r="DM174" i="2" a="1"/>
  <c r="DM174" i="2" s="1"/>
  <c r="DM175" i="2" s="1"/>
  <c r="DG174" i="2" a="1"/>
  <c r="DG174" i="2" s="1"/>
  <c r="ED172" i="2" a="1"/>
  <c r="ED172" i="2" s="1"/>
  <c r="ED173" i="2" s="1"/>
  <c r="DR172" i="2" a="1"/>
  <c r="DR172" i="2" s="1"/>
  <c r="DR173" i="2" s="1"/>
  <c r="DN172" i="2" a="1"/>
  <c r="DN172" i="2" s="1"/>
  <c r="DN173" i="2" s="1"/>
  <c r="DJ172" i="2" a="1"/>
  <c r="DJ172" i="2" s="1"/>
  <c r="DJ173" i="2" s="1"/>
  <c r="EE170" i="2" a="1"/>
  <c r="EE170" i="2" s="1"/>
  <c r="EE171" i="2" s="1"/>
  <c r="EA170" i="2" a="1"/>
  <c r="EA170" i="2" s="1"/>
  <c r="EA171" i="2" s="1"/>
  <c r="DO170" i="2" a="1"/>
  <c r="DO170" i="2" s="1"/>
  <c r="DO171" i="2" s="1"/>
  <c r="EF168" i="2" a="1"/>
  <c r="EF168" i="2" s="1"/>
  <c r="EF169" i="2" s="1"/>
  <c r="DX168" i="2" a="1"/>
  <c r="DX168" i="2" s="1"/>
  <c r="DX169" i="2" s="1"/>
  <c r="DP168" i="2" a="1"/>
  <c r="DP168" i="2" s="1"/>
  <c r="DP169" i="2" s="1"/>
  <c r="DL168" i="2" a="1"/>
  <c r="DL168" i="2" s="1"/>
  <c r="DL169" i="2" s="1"/>
  <c r="DU166" i="2" a="1"/>
  <c r="DU166" i="2" s="1"/>
  <c r="DU167" i="2" s="1"/>
  <c r="DI167" i="2" s="1"/>
  <c r="DQ166" i="2" a="1"/>
  <c r="DQ166" i="2" s="1"/>
  <c r="DQ167" i="2" s="1"/>
  <c r="DM166" i="2" a="1"/>
  <c r="DM166" i="2" s="1"/>
  <c r="DM167" i="2" s="1"/>
  <c r="DG166" i="2" a="1"/>
  <c r="DG166" i="2" s="1"/>
  <c r="ED164" i="2" a="1"/>
  <c r="ED164" i="2" s="1"/>
  <c r="ED165" i="2" s="1"/>
  <c r="DR164" i="2" a="1"/>
  <c r="DR164" i="2" s="1"/>
  <c r="DR165" i="2" s="1"/>
  <c r="DN164" i="2" a="1"/>
  <c r="DN164" i="2" s="1"/>
  <c r="DN165" i="2" s="1"/>
  <c r="DJ164" i="2" a="1"/>
  <c r="DJ164" i="2" s="1"/>
  <c r="DJ165" i="2" s="1"/>
  <c r="EE162" i="2" a="1"/>
  <c r="EE162" i="2" s="1"/>
  <c r="EE163" i="2" s="1"/>
  <c r="EA162" i="2" a="1"/>
  <c r="EA162" i="2" s="1"/>
  <c r="EA163" i="2" s="1"/>
  <c r="DO162" i="2" a="1"/>
  <c r="DO162" i="2" s="1"/>
  <c r="DO163" i="2" s="1"/>
  <c r="DJ178" i="2"/>
  <c r="DF178" i="2"/>
  <c r="EF176" i="2" a="1"/>
  <c r="EF176" i="2" s="1"/>
  <c r="EF177" i="2" s="1"/>
  <c r="DG176" i="2" a="1"/>
  <c r="DG176" i="2" s="1"/>
  <c r="DX174" i="2" a="1"/>
  <c r="DX174" i="2" s="1"/>
  <c r="DX175" i="2" s="1"/>
  <c r="DP174" i="2" a="1"/>
  <c r="DP174" i="2" s="1"/>
  <c r="DP175" i="2" s="1"/>
  <c r="DL174" i="2" a="1"/>
  <c r="DL174" i="2" s="1"/>
  <c r="DL175" i="2" s="1"/>
  <c r="DU172" i="2" a="1"/>
  <c r="DU172" i="2" s="1"/>
  <c r="DU173" i="2" s="1"/>
  <c r="DQ172" i="2" a="1"/>
  <c r="DQ172" i="2" s="1"/>
  <c r="DQ173" i="2" s="1"/>
  <c r="DM172" i="2" a="1"/>
  <c r="DM172" i="2" s="1"/>
  <c r="DM173" i="2" s="1"/>
  <c r="DG172" i="2" a="1"/>
  <c r="DG172" i="2" s="1"/>
  <c r="ED170" i="2" a="1"/>
  <c r="ED170" i="2" s="1"/>
  <c r="ED171" i="2" s="1"/>
  <c r="DR170" i="2" a="1"/>
  <c r="DR170" i="2" s="1"/>
  <c r="DR171" i="2" s="1"/>
  <c r="DN170" i="2" a="1"/>
  <c r="DN170" i="2" s="1"/>
  <c r="DN171" i="2" s="1"/>
  <c r="DJ170" i="2" a="1"/>
  <c r="DJ170" i="2" s="1"/>
  <c r="DJ171" i="2" s="1"/>
  <c r="DH171" i="2" s="1"/>
  <c r="EE168" i="2" a="1"/>
  <c r="EE168" i="2" s="1"/>
  <c r="EE169" i="2" s="1"/>
  <c r="EA168" i="2" a="1"/>
  <c r="EA168" i="2" s="1"/>
  <c r="EA169" i="2" s="1"/>
  <c r="DO168" i="2" a="1"/>
  <c r="DO168" i="2" s="1"/>
  <c r="DO169" i="2" s="1"/>
  <c r="EF166" i="2" a="1"/>
  <c r="EF166" i="2" s="1"/>
  <c r="EF167" i="2" s="1"/>
  <c r="DX166" i="2" a="1"/>
  <c r="DX166" i="2" s="1"/>
  <c r="DX167" i="2" s="1"/>
  <c r="DP166" i="2" a="1"/>
  <c r="DP166" i="2" s="1"/>
  <c r="DP167" i="2" s="1"/>
  <c r="DL166" i="2" a="1"/>
  <c r="DL166" i="2" s="1"/>
  <c r="DL167" i="2" s="1"/>
  <c r="DU164" i="2" a="1"/>
  <c r="DU164" i="2" s="1"/>
  <c r="DU165" i="2" s="1"/>
  <c r="DI165" i="2" s="1"/>
  <c r="DQ164" i="2" a="1"/>
  <c r="DQ164" i="2" s="1"/>
  <c r="DQ165" i="2" s="1"/>
  <c r="DM164" i="2" a="1"/>
  <c r="DM164" i="2" s="1"/>
  <c r="DM165" i="2" s="1"/>
  <c r="DG164" i="2" a="1"/>
  <c r="DG164" i="2" s="1"/>
  <c r="ED162" i="2" a="1"/>
  <c r="ED162" i="2" s="1"/>
  <c r="ED163" i="2" s="1"/>
  <c r="DR162" i="2" a="1"/>
  <c r="DR162" i="2" s="1"/>
  <c r="DR163" i="2" s="1"/>
  <c r="DN162" i="2" a="1"/>
  <c r="DN162" i="2" s="1"/>
  <c r="DN163" i="2" s="1"/>
  <c r="EA176" i="2" a="1"/>
  <c r="EA176" i="2" s="1"/>
  <c r="EA177" i="2" s="1"/>
  <c r="DM176" i="2" a="1"/>
  <c r="DM176" i="2" s="1"/>
  <c r="DM177" i="2" s="1"/>
  <c r="EE176" i="2" a="1"/>
  <c r="EE176" i="2" s="1"/>
  <c r="EE177" i="2" s="1"/>
  <c r="DQ176" i="2" a="1"/>
  <c r="DQ176" i="2" s="1"/>
  <c r="DQ177" i="2" s="1"/>
  <c r="EF174" i="2" a="1"/>
  <c r="EF174" i="2" s="1"/>
  <c r="EF175" i="2" s="1"/>
  <c r="DO174" i="2" a="1"/>
  <c r="DO174" i="2" s="1"/>
  <c r="DO175" i="2" s="1"/>
  <c r="EF172" i="2" a="1"/>
  <c r="EF172" i="2" s="1"/>
  <c r="EF173" i="2" s="1"/>
  <c r="DX172" i="2" a="1"/>
  <c r="DX172" i="2" s="1"/>
  <c r="DX173" i="2" s="1"/>
  <c r="DP172" i="2" a="1"/>
  <c r="DP172" i="2" s="1"/>
  <c r="DP173" i="2" s="1"/>
  <c r="DL172" i="2" a="1"/>
  <c r="DL172" i="2" s="1"/>
  <c r="DL173" i="2" s="1"/>
  <c r="DU170" i="2" a="1"/>
  <c r="DU170" i="2" s="1"/>
  <c r="DU171" i="2" s="1"/>
  <c r="DQ170" i="2" a="1"/>
  <c r="DQ170" i="2" s="1"/>
  <c r="DQ171" i="2" s="1"/>
  <c r="DM170" i="2" a="1"/>
  <c r="DM170" i="2" s="1"/>
  <c r="DM171" i="2" s="1"/>
  <c r="DG170" i="2" a="1"/>
  <c r="DG170" i="2" s="1"/>
  <c r="ED168" i="2" a="1"/>
  <c r="ED168" i="2" s="1"/>
  <c r="ED169" i="2" s="1"/>
  <c r="DR168" i="2" a="1"/>
  <c r="DR168" i="2" s="1"/>
  <c r="DR169" i="2" s="1"/>
  <c r="DN168" i="2" a="1"/>
  <c r="DN168" i="2" s="1"/>
  <c r="DN169" i="2" s="1"/>
  <c r="DJ168" i="2" a="1"/>
  <c r="DJ168" i="2" s="1"/>
  <c r="DJ169" i="2" s="1"/>
  <c r="DH169" i="2" s="1"/>
  <c r="EE166" i="2" a="1"/>
  <c r="EE166" i="2" s="1"/>
  <c r="EE167" i="2" s="1"/>
  <c r="EA166" i="2" a="1"/>
  <c r="EA166" i="2" s="1"/>
  <c r="EA167" i="2" s="1"/>
  <c r="DO166" i="2" a="1"/>
  <c r="DO166" i="2" s="1"/>
  <c r="DO167" i="2" s="1"/>
  <c r="EF164" i="2" a="1"/>
  <c r="EF164" i="2" s="1"/>
  <c r="EF165" i="2" s="1"/>
  <c r="DX164" i="2" a="1"/>
  <c r="DX164" i="2" s="1"/>
  <c r="DX165" i="2" s="1"/>
  <c r="DP164" i="2" a="1"/>
  <c r="DP164" i="2" s="1"/>
  <c r="DP165" i="2" s="1"/>
  <c r="DL164" i="2" a="1"/>
  <c r="DL164" i="2" s="1"/>
  <c r="DL165" i="2" s="1"/>
  <c r="DU162" i="2" a="1"/>
  <c r="DU162" i="2" s="1"/>
  <c r="DU163" i="2" s="1"/>
  <c r="DI163" i="2" s="1"/>
  <c r="DQ162" i="2" a="1"/>
  <c r="DQ162" i="2" s="1"/>
  <c r="DQ163" i="2" s="1"/>
  <c r="DM162" i="2" a="1"/>
  <c r="DM162" i="2" s="1"/>
  <c r="DM163" i="2" s="1"/>
  <c r="DG162" i="2" a="1"/>
  <c r="DG162" i="2" s="1"/>
  <c r="EF160" i="2" a="1"/>
  <c r="EF160" i="2" s="1"/>
  <c r="EF161" i="2" s="1"/>
  <c r="DN160" i="2" a="1"/>
  <c r="DN160" i="2" s="1"/>
  <c r="DN161" i="2" s="1"/>
  <c r="EA160" i="2" a="1"/>
  <c r="EA160" i="2" s="1"/>
  <c r="EA161" i="2" s="1"/>
  <c r="DR160" i="2" a="1"/>
  <c r="DR160" i="2" s="1"/>
  <c r="DR161" i="2" s="1"/>
  <c r="DG160" i="2" a="1"/>
  <c r="DG160" i="2" s="1"/>
  <c r="ED158" i="2" a="1"/>
  <c r="ED158" i="2" s="1"/>
  <c r="ED159" i="2" s="1"/>
  <c r="DR158" i="2" a="1"/>
  <c r="DR158" i="2" s="1"/>
  <c r="DR159" i="2" s="1"/>
  <c r="DN158" i="2" a="1"/>
  <c r="DN158" i="2" s="1"/>
  <c r="DN159" i="2" s="1"/>
  <c r="DJ158" i="2" a="1"/>
  <c r="DJ158" i="2" s="1"/>
  <c r="DJ159" i="2" s="1"/>
  <c r="EE156" i="2" a="1"/>
  <c r="EE156" i="2" s="1"/>
  <c r="EE157" i="2" s="1"/>
  <c r="EA156" i="2" a="1"/>
  <c r="EA156" i="2" s="1"/>
  <c r="EA157" i="2" s="1"/>
  <c r="DO156" i="2" a="1"/>
  <c r="DO156" i="2" s="1"/>
  <c r="DO157" i="2" s="1"/>
  <c r="EF154" i="2" a="1"/>
  <c r="EF154" i="2" s="1"/>
  <c r="EF155" i="2" s="1"/>
  <c r="DX154" i="2" a="1"/>
  <c r="DX154" i="2" s="1"/>
  <c r="DX155" i="2" s="1"/>
  <c r="DP154" i="2" a="1"/>
  <c r="DP154" i="2" s="1"/>
  <c r="DP155" i="2" s="1"/>
  <c r="DL154" i="2" a="1"/>
  <c r="DL154" i="2" s="1"/>
  <c r="DL155" i="2" s="1"/>
  <c r="DU152" i="2" a="1"/>
  <c r="DU152" i="2" s="1"/>
  <c r="DU153" i="2" s="1"/>
  <c r="DQ152" i="2" a="1"/>
  <c r="DQ152" i="2" s="1"/>
  <c r="DQ153" i="2" s="1"/>
  <c r="DM152" i="2" a="1"/>
  <c r="DM152" i="2" s="1"/>
  <c r="DM153" i="2" s="1"/>
  <c r="DG152" i="2" a="1"/>
  <c r="DG152" i="2" s="1"/>
  <c r="EE160" i="2" a="1"/>
  <c r="EE160" i="2" s="1"/>
  <c r="EE161" i="2" s="1"/>
  <c r="DM160" i="2" a="1"/>
  <c r="DM160" i="2" s="1"/>
  <c r="DM161" i="2" s="1"/>
  <c r="DP162" i="2" a="1"/>
  <c r="DP162" i="2" s="1"/>
  <c r="DP163" i="2" s="1"/>
  <c r="DQ160" i="2" a="1"/>
  <c r="DQ160" i="2" s="1"/>
  <c r="DQ161" i="2" s="1"/>
  <c r="DL160" i="2" a="1"/>
  <c r="DL160" i="2" s="1"/>
  <c r="DL161" i="2" s="1"/>
  <c r="DU158" i="2" a="1"/>
  <c r="DU158" i="2" s="1"/>
  <c r="DU159" i="2" s="1"/>
  <c r="DQ158" i="2" a="1"/>
  <c r="DQ158" i="2" s="1"/>
  <c r="DQ159" i="2" s="1"/>
  <c r="DM158" i="2" a="1"/>
  <c r="DM158" i="2" s="1"/>
  <c r="DM159" i="2" s="1"/>
  <c r="DG158" i="2" a="1"/>
  <c r="DG158" i="2" s="1"/>
  <c r="ED156" i="2" a="1"/>
  <c r="ED156" i="2" s="1"/>
  <c r="ED157" i="2" s="1"/>
  <c r="DR156" i="2" a="1"/>
  <c r="DR156" i="2" s="1"/>
  <c r="DR157" i="2" s="1"/>
  <c r="DN156" i="2" a="1"/>
  <c r="DN156" i="2" s="1"/>
  <c r="DN157" i="2" s="1"/>
  <c r="DJ156" i="2" a="1"/>
  <c r="DJ156" i="2" s="1"/>
  <c r="DJ157" i="2" s="1"/>
  <c r="EE154" i="2" a="1"/>
  <c r="EE154" i="2" s="1"/>
  <c r="EE155" i="2" s="1"/>
  <c r="EA154" i="2" a="1"/>
  <c r="EA154" i="2" s="1"/>
  <c r="EA155" i="2" s="1"/>
  <c r="DO154" i="2" a="1"/>
  <c r="DO154" i="2" s="1"/>
  <c r="DO155" i="2" s="1"/>
  <c r="EF152" i="2" a="1"/>
  <c r="EF152" i="2" s="1"/>
  <c r="EF153" i="2" s="1"/>
  <c r="DX152" i="2" a="1"/>
  <c r="DX152" i="2" s="1"/>
  <c r="DX153" i="2" s="1"/>
  <c r="DP152" i="2" a="1"/>
  <c r="DP152" i="2" s="1"/>
  <c r="DP153" i="2" s="1"/>
  <c r="DL152" i="2" a="1"/>
  <c r="DL152" i="2" s="1"/>
  <c r="DL153" i="2" s="1"/>
  <c r="DU176" i="2" a="1"/>
  <c r="DU176" i="2" s="1"/>
  <c r="DU177" i="2" s="1"/>
  <c r="ED160" i="2" a="1"/>
  <c r="ED160" i="2" s="1"/>
  <c r="ED161" i="2" s="1"/>
  <c r="DU160" i="2" a="1"/>
  <c r="DU160" i="2" s="1"/>
  <c r="DU161" i="2" s="1"/>
  <c r="DP160" i="2" a="1"/>
  <c r="DP160" i="2" s="1"/>
  <c r="DP161" i="2" s="1"/>
  <c r="DL162" i="2" a="1"/>
  <c r="DL162" i="2" s="1"/>
  <c r="DL163" i="2" s="1"/>
  <c r="EF158" i="2" a="1"/>
  <c r="EF158" i="2" s="1"/>
  <c r="EF159" i="2" s="1"/>
  <c r="DX158" i="2" a="1"/>
  <c r="DX158" i="2" s="1"/>
  <c r="DX159" i="2" s="1"/>
  <c r="DP158" i="2" a="1"/>
  <c r="DP158" i="2" s="1"/>
  <c r="DP159" i="2" s="1"/>
  <c r="DL158" i="2" a="1"/>
  <c r="DL158" i="2" s="1"/>
  <c r="DL159" i="2" s="1"/>
  <c r="DU156" i="2" a="1"/>
  <c r="DU156" i="2" s="1"/>
  <c r="DU157" i="2" s="1"/>
  <c r="DQ156" i="2" a="1"/>
  <c r="DQ156" i="2" s="1"/>
  <c r="DQ157" i="2" s="1"/>
  <c r="DM156" i="2" a="1"/>
  <c r="DM156" i="2" s="1"/>
  <c r="DM157" i="2" s="1"/>
  <c r="DG156" i="2" a="1"/>
  <c r="DG156" i="2" s="1"/>
  <c r="ED154" i="2" a="1"/>
  <c r="ED154" i="2" s="1"/>
  <c r="ED155" i="2" s="1"/>
  <c r="DR154" i="2" a="1"/>
  <c r="DR154" i="2" s="1"/>
  <c r="DR155" i="2" s="1"/>
  <c r="DN154" i="2" a="1"/>
  <c r="DN154" i="2" s="1"/>
  <c r="DN155" i="2" s="1"/>
  <c r="DJ154" i="2" a="1"/>
  <c r="DJ154" i="2" s="1"/>
  <c r="DJ155" i="2" s="1"/>
  <c r="EE152" i="2" a="1"/>
  <c r="EE152" i="2" s="1"/>
  <c r="EE153" i="2" s="1"/>
  <c r="EA152" i="2" a="1"/>
  <c r="EA152" i="2" s="1"/>
  <c r="EA153" i="2" s="1"/>
  <c r="DO152" i="2" a="1"/>
  <c r="DO152" i="2" s="1"/>
  <c r="DO153" i="2" s="1"/>
  <c r="DL176" i="2" a="1"/>
  <c r="DL176" i="2" s="1"/>
  <c r="DL177" i="2" s="1"/>
  <c r="DJ162" i="2" a="1"/>
  <c r="DJ162" i="2" s="1"/>
  <c r="DJ163" i="2" s="1"/>
  <c r="DX160" i="2" a="1"/>
  <c r="DX160" i="2" s="1"/>
  <c r="DX161" i="2" s="1"/>
  <c r="DO160" i="2" a="1"/>
  <c r="DO160" i="2" s="1"/>
  <c r="DO161" i="2" s="1"/>
  <c r="DJ160" i="2" a="1"/>
  <c r="DJ160" i="2" s="1"/>
  <c r="DJ161" i="2" s="1"/>
  <c r="EE158" i="2" a="1"/>
  <c r="EE158" i="2" s="1"/>
  <c r="EE159" i="2" s="1"/>
  <c r="EA158" i="2" a="1"/>
  <c r="EA158" i="2" s="1"/>
  <c r="EA159" i="2" s="1"/>
  <c r="DO158" i="2" a="1"/>
  <c r="DO158" i="2" s="1"/>
  <c r="DO159" i="2" s="1"/>
  <c r="EF156" i="2" a="1"/>
  <c r="EF156" i="2" s="1"/>
  <c r="EF157" i="2" s="1"/>
  <c r="DX156" i="2" a="1"/>
  <c r="DX156" i="2" s="1"/>
  <c r="DX157" i="2" s="1"/>
  <c r="DP156" i="2" a="1"/>
  <c r="DP156" i="2" s="1"/>
  <c r="DP157" i="2" s="1"/>
  <c r="DL156" i="2" a="1"/>
  <c r="DL156" i="2" s="1"/>
  <c r="DL157" i="2" s="1"/>
  <c r="DU154" i="2" a="1"/>
  <c r="DU154" i="2" s="1"/>
  <c r="DU155" i="2" s="1"/>
  <c r="DQ154" i="2" a="1"/>
  <c r="DQ154" i="2" s="1"/>
  <c r="DQ155" i="2" s="1"/>
  <c r="DM154" i="2" a="1"/>
  <c r="DM154" i="2" s="1"/>
  <c r="DM155" i="2" s="1"/>
  <c r="DG154" i="2" a="1"/>
  <c r="DG154" i="2" s="1"/>
  <c r="ED152" i="2" a="1"/>
  <c r="ED152" i="2" s="1"/>
  <c r="ED153" i="2" s="1"/>
  <c r="DR152" i="2" a="1"/>
  <c r="DR152" i="2" s="1"/>
  <c r="DR153" i="2" s="1"/>
  <c r="DN152" i="2" a="1"/>
  <c r="DN152" i="2" s="1"/>
  <c r="DN153" i="2" s="1"/>
  <c r="DJ152" i="2" a="1"/>
  <c r="DJ152" i="2" s="1"/>
  <c r="DJ153" i="2" s="1"/>
  <c r="X3" i="2" a="1"/>
  <c r="AE2" i="2" a="1"/>
  <c r="AE4" i="2" a="1"/>
  <c r="X4" i="2" a="1"/>
  <c r="AE3" i="2" a="1"/>
  <c r="X2" i="2" a="1"/>
  <c r="X2" i="2" l="1"/>
  <c r="L5" i="1" s="1"/>
  <c r="AE3" i="2"/>
  <c r="S4" i="1" s="1"/>
  <c r="X4" i="2"/>
  <c r="AE4" i="2"/>
  <c r="AE2" i="2"/>
  <c r="L4" i="1" s="1"/>
  <c r="X3" i="2"/>
  <c r="S5" i="1" s="1"/>
  <c r="EL277" i="2"/>
  <c r="EK281" i="2"/>
  <c r="DI157" i="2"/>
  <c r="DI153" i="2"/>
  <c r="DI77" i="2"/>
  <c r="DH63" i="2"/>
  <c r="DH85" i="2"/>
  <c r="EO359" i="2"/>
  <c r="EK177" i="2"/>
  <c r="EL101" i="2"/>
  <c r="EK107" i="2"/>
  <c r="CB13" i="2"/>
  <c r="AH7" i="2" s="1"/>
  <c r="AI7" i="2" s="1"/>
  <c r="EL305" i="2"/>
  <c r="EL319" i="2"/>
  <c r="EL321" i="2"/>
  <c r="CB5" i="2"/>
  <c r="AH3" i="2" s="1"/>
  <c r="U9" i="1"/>
  <c r="CB41" i="2"/>
  <c r="AH21" i="2" s="1"/>
  <c r="AI21" i="2" s="1"/>
  <c r="EK69" i="2"/>
  <c r="S81" i="1" s="1"/>
  <c r="EL75" i="2"/>
  <c r="EL77" i="2"/>
  <c r="CB61" i="2"/>
  <c r="AH31" i="2" s="1"/>
  <c r="AI31" i="2" s="1"/>
  <c r="EL185" i="2"/>
  <c r="EK191" i="2"/>
  <c r="EL195" i="2"/>
  <c r="EK201" i="2"/>
  <c r="DH9" i="2"/>
  <c r="Z27" i="1" s="1"/>
  <c r="CB29" i="2"/>
  <c r="AH15" i="2" s="1"/>
  <c r="AI15" i="2" s="1"/>
  <c r="DH207" i="2"/>
  <c r="DI333" i="2"/>
  <c r="DI349" i="2"/>
  <c r="EK35" i="2"/>
  <c r="DH265" i="2"/>
  <c r="EK17" i="2"/>
  <c r="AG34" i="1" s="1"/>
  <c r="AI26" i="1"/>
  <c r="EL19" i="2"/>
  <c r="AJ35" i="1" s="1"/>
  <c r="DI217" i="2"/>
  <c r="DH223" i="2"/>
  <c r="DH229" i="2"/>
  <c r="DI161" i="2"/>
  <c r="DH161" i="2"/>
  <c r="EK287" i="2"/>
  <c r="EK293" i="2"/>
  <c r="DI83" i="2"/>
  <c r="DI63" i="2"/>
  <c r="DI69" i="2"/>
  <c r="O81" i="1" s="1"/>
  <c r="DH75" i="2"/>
  <c r="AK3" i="2"/>
  <c r="V7" i="1" s="1"/>
  <c r="S7" i="1"/>
  <c r="EL357" i="2"/>
  <c r="EL349" i="2"/>
  <c r="EL169" i="2"/>
  <c r="EK175" i="2"/>
  <c r="N9" i="1"/>
  <c r="CB3" i="2"/>
  <c r="AH2" i="2" s="1"/>
  <c r="EL247" i="2"/>
  <c r="EL253" i="2"/>
  <c r="EK259" i="2"/>
  <c r="DH305" i="2"/>
  <c r="DI313" i="2"/>
  <c r="DI305" i="2"/>
  <c r="DH319" i="2"/>
  <c r="DH317" i="2"/>
  <c r="DH327" i="2"/>
  <c r="EL233" i="2"/>
  <c r="EL217" i="2"/>
  <c r="EK223" i="2"/>
  <c r="EK93" i="2"/>
  <c r="EL115" i="2"/>
  <c r="EL93" i="2"/>
  <c r="EK99" i="2"/>
  <c r="CB35" i="2"/>
  <c r="AH18" i="2" s="1"/>
  <c r="AI18" i="2" s="1"/>
  <c r="V18" i="1"/>
  <c r="EK305" i="2"/>
  <c r="EL313" i="2"/>
  <c r="EU329" i="2" s="1"/>
  <c r="EK303" i="2"/>
  <c r="EL311" i="2"/>
  <c r="EK317" i="2"/>
  <c r="ET329" i="2" s="1"/>
  <c r="EK319" i="2"/>
  <c r="EL327" i="2"/>
  <c r="V20" i="1"/>
  <c r="DI93" i="2"/>
  <c r="DI105" i="2"/>
  <c r="DH111" i="2"/>
  <c r="DI117" i="2"/>
  <c r="DI111" i="2"/>
  <c r="DH117" i="2"/>
  <c r="DH279" i="2"/>
  <c r="DI281" i="2"/>
  <c r="DH289" i="2"/>
  <c r="EK63" i="2"/>
  <c r="EL67" i="2"/>
  <c r="V80" i="1" s="1"/>
  <c r="EK73" i="2"/>
  <c r="EL63" i="2"/>
  <c r="EL69" i="2"/>
  <c r="V81" i="1" s="1"/>
  <c r="EK75" i="2"/>
  <c r="EK81" i="2"/>
  <c r="EL85" i="2"/>
  <c r="CB37" i="2"/>
  <c r="AH19" i="2" s="1"/>
  <c r="AI19" i="2" s="1"/>
  <c r="DH137" i="2"/>
  <c r="DI123" i="2"/>
  <c r="DH125" i="2"/>
  <c r="DI39" i="2"/>
  <c r="DH49" i="2"/>
  <c r="L68" i="1" s="1"/>
  <c r="DI51" i="2"/>
  <c r="O69" i="1" s="1"/>
  <c r="EK187" i="2"/>
  <c r="EL187" i="2"/>
  <c r="EK193" i="2"/>
  <c r="EL207" i="2"/>
  <c r="DH3" i="2"/>
  <c r="DH7" i="2"/>
  <c r="Z26" i="1" s="1"/>
  <c r="AB26" i="1" s="1"/>
  <c r="DI11" i="2"/>
  <c r="AC28" i="1" s="1"/>
  <c r="DH203" i="2"/>
  <c r="DH339" i="2"/>
  <c r="DI343" i="2"/>
  <c r="DR359" i="2" s="1"/>
  <c r="DH345" i="2"/>
  <c r="DH347" i="2"/>
  <c r="EL49" i="2"/>
  <c r="V68" i="1" s="1"/>
  <c r="EL33" i="2"/>
  <c r="EL51" i="2"/>
  <c r="V69" i="1" s="1"/>
  <c r="EK57" i="2"/>
  <c r="S75" i="1" s="1"/>
  <c r="EL57" i="2"/>
  <c r="V75" i="1" s="1"/>
  <c r="DH245" i="2"/>
  <c r="DL269" i="2" s="1"/>
  <c r="DH249" i="2"/>
  <c r="DH267" i="2"/>
  <c r="EL17" i="2"/>
  <c r="AJ34" i="1" s="1"/>
  <c r="EL9" i="2"/>
  <c r="AJ27" i="1" s="1"/>
  <c r="EK11" i="2"/>
  <c r="AG28" i="1" s="1"/>
  <c r="EK25" i="2"/>
  <c r="AG38" i="1" s="1"/>
  <c r="DH215" i="2"/>
  <c r="DI237" i="2"/>
  <c r="DH155" i="2"/>
  <c r="DI177" i="2"/>
  <c r="DH159" i="2"/>
  <c r="EK125" i="2"/>
  <c r="DH177" i="2"/>
  <c r="EL283" i="2"/>
  <c r="EK283" i="2"/>
  <c r="EL297" i="2"/>
  <c r="EL143" i="2"/>
  <c r="DI81" i="2"/>
  <c r="DI73" i="2"/>
  <c r="DH79" i="2"/>
  <c r="DH67" i="2"/>
  <c r="L80" i="1" s="1"/>
  <c r="EK349" i="2"/>
  <c r="EL343" i="2"/>
  <c r="EK347" i="2"/>
  <c r="EL155" i="2"/>
  <c r="EK157" i="2"/>
  <c r="EL153" i="2"/>
  <c r="EK159" i="2"/>
  <c r="EL177" i="2"/>
  <c r="EK245" i="2"/>
  <c r="EK251" i="2"/>
  <c r="EL267" i="2"/>
  <c r="EL215" i="2"/>
  <c r="EK221" i="2"/>
  <c r="EK215" i="2"/>
  <c r="EL107" i="2"/>
  <c r="EK113" i="2"/>
  <c r="O59" i="1"/>
  <c r="O58" i="1"/>
  <c r="EL307" i="2"/>
  <c r="EL315" i="2"/>
  <c r="EK309" i="2"/>
  <c r="EK327" i="2"/>
  <c r="DH103" i="2"/>
  <c r="DI109" i="2"/>
  <c r="DH115" i="2"/>
  <c r="DI103" i="2"/>
  <c r="DH109" i="2"/>
  <c r="DH285" i="2"/>
  <c r="DI297" i="2"/>
  <c r="DH297" i="2"/>
  <c r="CB21" i="2"/>
  <c r="AH11" i="2" s="1"/>
  <c r="AI11" i="2" s="1"/>
  <c r="EK85" i="2"/>
  <c r="EK67" i="2"/>
  <c r="S80" i="1" s="1"/>
  <c r="U80" i="1" s="1"/>
  <c r="EL87" i="2"/>
  <c r="EK83" i="2"/>
  <c r="DI139" i="2"/>
  <c r="DI143" i="2"/>
  <c r="DI45" i="2"/>
  <c r="O66" i="1" s="1"/>
  <c r="EL183" i="2"/>
  <c r="EK185" i="2"/>
  <c r="EL205" i="2"/>
  <c r="EK205" i="2"/>
  <c r="DI9" i="2"/>
  <c r="AC27" i="1" s="1"/>
  <c r="DH11" i="2"/>
  <c r="Z28" i="1" s="1"/>
  <c r="AB28" i="1" s="1"/>
  <c r="O55" i="1"/>
  <c r="DI207" i="2"/>
  <c r="DH337" i="2"/>
  <c r="DI341" i="2"/>
  <c r="DH351" i="2"/>
  <c r="DI357" i="2"/>
  <c r="EL55" i="2"/>
  <c r="V74" i="1" s="1"/>
  <c r="EK37" i="2"/>
  <c r="EK51" i="2"/>
  <c r="S69" i="1" s="1"/>
  <c r="U69" i="1" s="1"/>
  <c r="EK49" i="2"/>
  <c r="S68" i="1" s="1"/>
  <c r="U68" i="1" s="1"/>
  <c r="EK53" i="2"/>
  <c r="S70" i="1" s="1"/>
  <c r="CB49" i="2"/>
  <c r="AH25" i="2" s="1"/>
  <c r="AI25" i="2" s="1"/>
  <c r="DH247" i="2"/>
  <c r="DI261" i="2"/>
  <c r="DI263" i="2"/>
  <c r="EL5" i="2"/>
  <c r="AJ25" i="1" s="1"/>
  <c r="EK5" i="2"/>
  <c r="AG25" i="1" s="1"/>
  <c r="EL13" i="2"/>
  <c r="EL27" i="2"/>
  <c r="AJ39" i="1" s="1"/>
  <c r="EK19" i="2"/>
  <c r="AG35" i="1" s="1"/>
  <c r="DI229" i="2"/>
  <c r="DH235" i="2"/>
  <c r="DI233" i="2"/>
  <c r="DH173" i="2"/>
  <c r="DH165" i="2"/>
  <c r="DI155" i="2"/>
  <c r="DH157" i="2"/>
  <c r="DH153" i="2"/>
  <c r="DH163" i="2"/>
  <c r="DI171" i="2"/>
  <c r="DI173" i="2"/>
  <c r="DR179" i="2" s="1"/>
  <c r="V62" i="1"/>
  <c r="EL285" i="2"/>
  <c r="EK291" i="2"/>
  <c r="EK295" i="2"/>
  <c r="EK123" i="2"/>
  <c r="EK129" i="2"/>
  <c r="EL147" i="2"/>
  <c r="EL135" i="2"/>
  <c r="EK141" i="2"/>
  <c r="DH71" i="2"/>
  <c r="DH87" i="2"/>
  <c r="V60" i="1"/>
  <c r="EK341" i="2"/>
  <c r="EK351" i="2"/>
  <c r="EK353" i="2"/>
  <c r="EL351" i="2"/>
  <c r="EK153" i="2"/>
  <c r="EL173" i="2"/>
  <c r="EL245" i="2"/>
  <c r="DH321" i="2"/>
  <c r="DI325" i="2"/>
  <c r="EK213" i="2"/>
  <c r="EL219" i="2"/>
  <c r="EL237" i="2"/>
  <c r="EL99" i="2"/>
  <c r="EK105" i="2"/>
  <c r="V56" i="1"/>
  <c r="DI101" i="2"/>
  <c r="DH107" i="2"/>
  <c r="DI95" i="2"/>
  <c r="DH101" i="2"/>
  <c r="DI279" i="2"/>
  <c r="CB43" i="2"/>
  <c r="AH22" i="2" s="1"/>
  <c r="AI22" i="2" s="1"/>
  <c r="DH127" i="2"/>
  <c r="DI141" i="2"/>
  <c r="DH147" i="2"/>
  <c r="DI135" i="2"/>
  <c r="DH141" i="2"/>
  <c r="DI145" i="2"/>
  <c r="DH35" i="2"/>
  <c r="DH41" i="2"/>
  <c r="DI37" i="2"/>
  <c r="DI49" i="2"/>
  <c r="O68" i="1" s="1"/>
  <c r="EK203" i="2"/>
  <c r="DI5" i="2"/>
  <c r="AC25" i="1" s="1"/>
  <c r="DI13" i="2"/>
  <c r="O13" i="1"/>
  <c r="DI205" i="2"/>
  <c r="DI339" i="2"/>
  <c r="DI337" i="2"/>
  <c r="DI345" i="2"/>
  <c r="DH355" i="2"/>
  <c r="O14" i="1"/>
  <c r="DI253" i="2"/>
  <c r="DH259" i="2"/>
  <c r="DI255" i="2"/>
  <c r="DH261" i="2"/>
  <c r="CB23" i="2"/>
  <c r="AH12" i="2" s="1"/>
  <c r="AI12" i="2" s="1"/>
  <c r="EK3" i="2"/>
  <c r="EK9" i="2"/>
  <c r="AG27" i="1" s="1"/>
  <c r="AI27" i="1" s="1"/>
  <c r="EL25" i="2"/>
  <c r="AJ38" i="1" s="1"/>
  <c r="EL23" i="2"/>
  <c r="AJ37" i="1" s="1"/>
  <c r="EK21" i="2"/>
  <c r="AG36" i="1" s="1"/>
  <c r="EK23" i="2"/>
  <c r="AG37" i="1" s="1"/>
  <c r="DI225" i="2"/>
  <c r="DI223" i="2"/>
  <c r="DI235" i="2"/>
  <c r="DH227" i="2"/>
  <c r="DH231" i="2"/>
  <c r="DH175" i="2"/>
  <c r="EK289" i="2"/>
  <c r="EL279" i="2"/>
  <c r="EL287" i="2"/>
  <c r="EL289" i="2"/>
  <c r="EK127" i="2"/>
  <c r="EL127" i="2"/>
  <c r="EK133" i="2"/>
  <c r="DI65" i="2"/>
  <c r="O79" i="1" s="1"/>
  <c r="DI75" i="2"/>
  <c r="DH81" i="2"/>
  <c r="DH65" i="2"/>
  <c r="L79" i="1" s="1"/>
  <c r="CC9" i="2"/>
  <c r="U60" i="1"/>
  <c r="EL347" i="2"/>
  <c r="EL165" i="2"/>
  <c r="EK171" i="2"/>
  <c r="EL243" i="2"/>
  <c r="EK243" i="2"/>
  <c r="EL263" i="2"/>
  <c r="DI317" i="2"/>
  <c r="DI323" i="2"/>
  <c r="DI327" i="2"/>
  <c r="EL221" i="2"/>
  <c r="EK239" i="2" s="1"/>
  <c r="EK217" i="2"/>
  <c r="EL235" i="2"/>
  <c r="EL229" i="2"/>
  <c r="EK235" i="2"/>
  <c r="EL113" i="2"/>
  <c r="EK97" i="2"/>
  <c r="L7" i="1"/>
  <c r="AK2" i="2"/>
  <c r="O7" i="1" s="1"/>
  <c r="V63" i="1"/>
  <c r="DI115" i="2"/>
  <c r="DH99" i="2"/>
  <c r="DH93" i="2"/>
  <c r="DH277" i="2"/>
  <c r="DI291" i="2"/>
  <c r="DI285" i="2"/>
  <c r="DI293" i="2"/>
  <c r="EL83" i="2"/>
  <c r="DI125" i="2"/>
  <c r="DI133" i="2"/>
  <c r="DR149" i="2" s="1"/>
  <c r="DH139" i="2"/>
  <c r="DI127" i="2"/>
  <c r="DH133" i="2"/>
  <c r="DI137" i="2"/>
  <c r="DH143" i="2"/>
  <c r="N74" i="1"/>
  <c r="DI53" i="2"/>
  <c r="O70" i="1" s="1"/>
  <c r="DH17" i="2"/>
  <c r="Z34" i="1" s="1"/>
  <c r="AB34" i="1" s="1"/>
  <c r="CB51" i="2"/>
  <c r="AH26" i="2" s="1"/>
  <c r="AI26" i="2" s="1"/>
  <c r="DH187" i="2"/>
  <c r="DI335" i="2"/>
  <c r="DH335" i="2"/>
  <c r="DH349" i="2"/>
  <c r="EK47" i="2"/>
  <c r="S67" i="1" s="1"/>
  <c r="U67" i="1" s="1"/>
  <c r="EK45" i="2"/>
  <c r="S66" i="1" s="1"/>
  <c r="DH251" i="2"/>
  <c r="DH253" i="2"/>
  <c r="DI257" i="2"/>
  <c r="DH263" i="2"/>
  <c r="EK13" i="2"/>
  <c r="DI213" i="2"/>
  <c r="DH219" i="2"/>
  <c r="DI215" i="2"/>
  <c r="DH221" i="2"/>
  <c r="DI219" i="2"/>
  <c r="DH233" i="2"/>
  <c r="DH167" i="2"/>
  <c r="EL145" i="2"/>
  <c r="DH73" i="2"/>
  <c r="DI79" i="2"/>
  <c r="EK359" i="2"/>
  <c r="EL157" i="2"/>
  <c r="EK161" i="2"/>
  <c r="EK163" i="2"/>
  <c r="EL167" i="2"/>
  <c r="EK173" i="2"/>
  <c r="EL255" i="2"/>
  <c r="EK261" i="2"/>
  <c r="EL257" i="2"/>
  <c r="DI307" i="2"/>
  <c r="EL227" i="2"/>
  <c r="EK233" i="2"/>
  <c r="EL231" i="2"/>
  <c r="EK237" i="2"/>
  <c r="EK111" i="2"/>
  <c r="EL309" i="2"/>
  <c r="EL325" i="2"/>
  <c r="CB31" i="2"/>
  <c r="AH16" i="2" s="1"/>
  <c r="AI16" i="2" s="1"/>
  <c r="DI107" i="2"/>
  <c r="DI277" i="2"/>
  <c r="DH283" i="2"/>
  <c r="DI287" i="2"/>
  <c r="EK65" i="2"/>
  <c r="S79" i="1" s="1"/>
  <c r="U79" i="1" s="1"/>
  <c r="DH123" i="2"/>
  <c r="DH131" i="2"/>
  <c r="DI129" i="2"/>
  <c r="DH135" i="2"/>
  <c r="N69" i="1"/>
  <c r="DH57" i="2"/>
  <c r="L75" i="1" s="1"/>
  <c r="N75" i="1" s="1"/>
  <c r="EK183" i="2"/>
  <c r="AC24" i="1"/>
  <c r="DI19" i="2"/>
  <c r="AC35" i="1" s="1"/>
  <c r="AC40" i="1" s="1"/>
  <c r="DH19" i="2"/>
  <c r="Z35" i="1" s="1"/>
  <c r="DI201" i="2"/>
  <c r="DI195" i="2"/>
  <c r="DH201" i="2"/>
  <c r="DH343" i="2"/>
  <c r="DQ359" i="2" s="1"/>
  <c r="DI347" i="2"/>
  <c r="DH357" i="2"/>
  <c r="EL45" i="2"/>
  <c r="V66" i="1" s="1"/>
  <c r="EK55" i="2"/>
  <c r="S74" i="1" s="1"/>
  <c r="U74" i="1" s="1"/>
  <c r="EL53" i="2"/>
  <c r="V70" i="1" s="1"/>
  <c r="DH257" i="2"/>
  <c r="DI267" i="2"/>
  <c r="DI249" i="2"/>
  <c r="DH255" i="2"/>
  <c r="EL3" i="2"/>
  <c r="DH213" i="2"/>
  <c r="DH217" i="2"/>
  <c r="DH225" i="2"/>
  <c r="EL273" i="2"/>
  <c r="EL275" i="2"/>
  <c r="EU149" i="2"/>
  <c r="EK139" i="2"/>
  <c r="EL137" i="2"/>
  <c r="EK143" i="2"/>
  <c r="DI71" i="2"/>
  <c r="DH77" i="2"/>
  <c r="EL345" i="2"/>
  <c r="EK355" i="2"/>
  <c r="EK155" i="2"/>
  <c r="EK167" i="2"/>
  <c r="EL171" i="2"/>
  <c r="EL159" i="2"/>
  <c r="EK165" i="2"/>
  <c r="CC7" i="2"/>
  <c r="N60" i="1"/>
  <c r="EK253" i="2"/>
  <c r="EL249" i="2"/>
  <c r="EK255" i="2"/>
  <c r="EK267" i="2"/>
  <c r="DH303" i="2"/>
  <c r="DH311" i="2"/>
  <c r="DH307" i="2"/>
  <c r="DI303" i="2"/>
  <c r="DH309" i="2"/>
  <c r="EK225" i="2"/>
  <c r="EL223" i="2"/>
  <c r="EK229" i="2"/>
  <c r="EL111" i="2"/>
  <c r="EK117" i="2"/>
  <c r="EL97" i="2"/>
  <c r="EK103" i="2"/>
  <c r="EL117" i="2"/>
  <c r="EK307" i="2"/>
  <c r="EL303" i="2"/>
  <c r="EK321" i="2"/>
  <c r="EL317" i="2"/>
  <c r="EK323" i="2"/>
  <c r="CB9" i="2"/>
  <c r="U51" i="1"/>
  <c r="DI99" i="2"/>
  <c r="DH105" i="2"/>
  <c r="DI273" i="2"/>
  <c r="DH281" i="2"/>
  <c r="DH275" i="2"/>
  <c r="DI283" i="2"/>
  <c r="EK79" i="2"/>
  <c r="EL65" i="2"/>
  <c r="V79" i="1" s="1"/>
  <c r="EL81" i="2"/>
  <c r="EK87" i="2"/>
  <c r="CB33" i="2"/>
  <c r="AH17" i="2" s="1"/>
  <c r="AI17" i="2" s="1"/>
  <c r="O51" i="1"/>
  <c r="DH47" i="2"/>
  <c r="L67" i="1" s="1"/>
  <c r="N67" i="1" s="1"/>
  <c r="DH33" i="2"/>
  <c r="DM59" i="2"/>
  <c r="DH37" i="2"/>
  <c r="DH45" i="2"/>
  <c r="L66" i="1" s="1"/>
  <c r="DI43" i="2"/>
  <c r="DI57" i="2"/>
  <c r="O75" i="1" s="1"/>
  <c r="EL201" i="2"/>
  <c r="EK207" i="2"/>
  <c r="DH5" i="2"/>
  <c r="Z25" i="1" s="1"/>
  <c r="AB25" i="1" s="1"/>
  <c r="DH13" i="2"/>
  <c r="DI17" i="2"/>
  <c r="AC34" i="1" s="1"/>
  <c r="DH183" i="2"/>
  <c r="DH197" i="2"/>
  <c r="DH199" i="2"/>
  <c r="DI187" i="2"/>
  <c r="DH193" i="2"/>
  <c r="DI353" i="2"/>
  <c r="EK33" i="2"/>
  <c r="EL47" i="2"/>
  <c r="V67" i="1" s="1"/>
  <c r="EK41" i="2"/>
  <c r="EK39" i="2"/>
  <c r="EK27" i="2"/>
  <c r="AG39" i="1" s="1"/>
  <c r="EK275" i="2"/>
  <c r="DI159" i="2"/>
  <c r="EK273" i="2"/>
  <c r="EL293" i="2"/>
  <c r="EL295" i="2"/>
  <c r="EL123" i="2"/>
  <c r="EK137" i="2"/>
  <c r="EL125" i="2"/>
  <c r="EK131" i="2"/>
  <c r="EL129" i="2"/>
  <c r="EK135" i="2"/>
  <c r="DH69" i="2"/>
  <c r="L81" i="1" s="1"/>
  <c r="N81" i="1" s="1"/>
  <c r="DI87" i="2"/>
  <c r="EL335" i="2"/>
  <c r="EP359" i="2" s="1"/>
  <c r="EK335" i="2"/>
  <c r="EJ359" i="2" s="1"/>
  <c r="EK337" i="2"/>
  <c r="EK343" i="2"/>
  <c r="EK345" i="2"/>
  <c r="EL341" i="2"/>
  <c r="O19" i="1"/>
  <c r="EL163" i="2"/>
  <c r="EU179" i="2" s="1"/>
  <c r="EK169" i="2"/>
  <c r="EK247" i="2"/>
  <c r="EL251" i="2"/>
  <c r="EK257" i="2"/>
  <c r="EK265" i="2"/>
  <c r="DI309" i="2"/>
  <c r="DH315" i="2"/>
  <c r="DQ329" i="2" s="1"/>
  <c r="DH323" i="2"/>
  <c r="DI319" i="2"/>
  <c r="DH325" i="2"/>
  <c r="DI321" i="2"/>
  <c r="V17" i="1"/>
  <c r="EL103" i="2"/>
  <c r="EK109" i="2"/>
  <c r="EK95" i="2"/>
  <c r="EL109" i="2"/>
  <c r="EK115" i="2"/>
  <c r="V16" i="1"/>
  <c r="CB11" i="2"/>
  <c r="AH6" i="2" s="1"/>
  <c r="AI6" i="2" s="1"/>
  <c r="V9" i="1"/>
  <c r="DI97" i="2"/>
  <c r="DH97" i="2"/>
  <c r="DH293" i="2"/>
  <c r="DH273" i="2"/>
  <c r="DI289" i="2"/>
  <c r="DI295" i="2"/>
  <c r="EL73" i="2"/>
  <c r="EL71" i="2"/>
  <c r="EK77" i="2"/>
  <c r="CB7" i="2"/>
  <c r="N51" i="1"/>
  <c r="DH145" i="2"/>
  <c r="DH39" i="2"/>
  <c r="DI55" i="2"/>
  <c r="O74" i="1" s="1"/>
  <c r="DH53" i="2"/>
  <c r="L70" i="1" s="1"/>
  <c r="N70" i="1" s="1"/>
  <c r="EL197" i="2"/>
  <c r="EL191" i="2"/>
  <c r="EK197" i="2"/>
  <c r="EL193" i="2"/>
  <c r="EU209" i="2" s="1"/>
  <c r="EK199" i="2"/>
  <c r="DI7" i="2"/>
  <c r="AC26" i="1" s="1"/>
  <c r="DH15" i="2"/>
  <c r="Z33" i="1" s="1"/>
  <c r="AB33" i="1" s="1"/>
  <c r="DI15" i="2"/>
  <c r="AC33" i="1" s="1"/>
  <c r="DI197" i="2"/>
  <c r="DR209" i="2" s="1"/>
  <c r="DH189" i="2"/>
  <c r="DI185" i="2"/>
  <c r="DM209" i="2" s="1"/>
  <c r="DH191" i="2"/>
  <c r="DH185" i="2"/>
  <c r="DH341" i="2"/>
  <c r="DL359" i="2" s="1"/>
  <c r="DI355" i="2"/>
  <c r="EK43" i="2"/>
  <c r="ET59" i="2" s="1"/>
  <c r="EL39" i="2"/>
  <c r="DI243" i="2"/>
  <c r="DI245" i="2"/>
  <c r="DI265" i="2"/>
  <c r="EL15" i="2"/>
  <c r="AJ33" i="1" s="1"/>
  <c r="DI231" i="2"/>
  <c r="DH237" i="2"/>
  <c r="DL299" i="2" l="1"/>
  <c r="DG299" i="2"/>
  <c r="EJ209" i="2"/>
  <c r="EO209" i="2"/>
  <c r="AH4" i="2"/>
  <c r="AI4" i="2" s="1"/>
  <c r="L48" i="1"/>
  <c r="EO299" i="2"/>
  <c r="EJ299" i="2"/>
  <c r="EU89" i="2"/>
  <c r="DL239" i="2"/>
  <c r="DG239" i="2"/>
  <c r="DM29" i="2"/>
  <c r="EP239" i="2"/>
  <c r="AJ5" i="2"/>
  <c r="AK5" i="2" s="1"/>
  <c r="S49" i="1"/>
  <c r="DR239" i="2"/>
  <c r="AI25" i="1"/>
  <c r="DH149" i="2"/>
  <c r="DM149" i="2"/>
  <c r="ET89" i="2"/>
  <c r="DH89" i="2"/>
  <c r="DM89" i="2"/>
  <c r="O78" i="1"/>
  <c r="O82" i="1" s="1"/>
  <c r="DL209" i="2"/>
  <c r="DG209" i="2"/>
  <c r="EJ269" i="2"/>
  <c r="EO269" i="2"/>
  <c r="ET239" i="2"/>
  <c r="EP149" i="2"/>
  <c r="EK149" i="2"/>
  <c r="DR59" i="2"/>
  <c r="DM299" i="2"/>
  <c r="DH299" i="2"/>
  <c r="EK329" i="2"/>
  <c r="EP329" i="2"/>
  <c r="EU239" i="2"/>
  <c r="AI33" i="1"/>
  <c r="EU59" i="2"/>
  <c r="DH29" i="2"/>
  <c r="DG149" i="2"/>
  <c r="DL149" i="2"/>
  <c r="DQ269" i="2"/>
  <c r="DL119" i="2"/>
  <c r="DG119" i="2"/>
  <c r="N79" i="1"/>
  <c r="EO179" i="2"/>
  <c r="EJ179" i="2"/>
  <c r="ET209" i="2"/>
  <c r="EO329" i="2"/>
  <c r="EJ329" i="2"/>
  <c r="EO119" i="2"/>
  <c r="EJ119" i="2"/>
  <c r="DR329" i="2"/>
  <c r="AJ40" i="1"/>
  <c r="DM359" i="2"/>
  <c r="DH359" i="2"/>
  <c r="AI37" i="1"/>
  <c r="AB37" i="1"/>
  <c r="EO59" i="2"/>
  <c r="EJ59" i="2"/>
  <c r="ET269" i="2"/>
  <c r="DH209" i="2"/>
  <c r="S71" i="1"/>
  <c r="U71" i="1" s="1"/>
  <c r="U66" i="1"/>
  <c r="EP269" i="2"/>
  <c r="EK269" i="2"/>
  <c r="AI36" i="1"/>
  <c r="AB36" i="1"/>
  <c r="DR119" i="2"/>
  <c r="EU359" i="2"/>
  <c r="ET299" i="2"/>
  <c r="DM119" i="2"/>
  <c r="DH119" i="2"/>
  <c r="AI34" i="1"/>
  <c r="V71" i="1"/>
  <c r="ET119" i="2"/>
  <c r="DM329" i="2"/>
  <c r="DH329" i="2"/>
  <c r="EP299" i="2"/>
  <c r="EK299" i="2"/>
  <c r="DQ299" i="2"/>
  <c r="DR269" i="2"/>
  <c r="DR29" i="2"/>
  <c r="AC32" i="1"/>
  <c r="EJ239" i="2"/>
  <c r="EO239" i="2"/>
  <c r="DQ179" i="2"/>
  <c r="EU299" i="2"/>
  <c r="AI38" i="1"/>
  <c r="AB38" i="1"/>
  <c r="U75" i="1"/>
  <c r="EU269" i="2"/>
  <c r="AB27" i="1"/>
  <c r="U81" i="1"/>
  <c r="DL89" i="2"/>
  <c r="DG89" i="2"/>
  <c r="L78" i="1"/>
  <c r="S46" i="1"/>
  <c r="L46" i="1"/>
  <c r="DQ29" i="2"/>
  <c r="Z32" i="1"/>
  <c r="AB32" i="1" s="1"/>
  <c r="DM269" i="2"/>
  <c r="DH269" i="2"/>
  <c r="DQ209" i="2"/>
  <c r="DH59" i="2"/>
  <c r="L76" i="1" s="1"/>
  <c r="AH5" i="2"/>
  <c r="AI5" i="2" s="1"/>
  <c r="S48" i="1"/>
  <c r="AJ4" i="2"/>
  <c r="AK4" i="2" s="1"/>
  <c r="L49" i="1"/>
  <c r="AB35" i="1"/>
  <c r="Z40" i="1"/>
  <c r="AB40" i="1" s="1"/>
  <c r="DQ59" i="2"/>
  <c r="DQ89" i="2"/>
  <c r="DM239" i="2"/>
  <c r="DH239" i="2"/>
  <c r="ET149" i="2"/>
  <c r="EO149" i="2"/>
  <c r="EJ149" i="2"/>
  <c r="DL179" i="2"/>
  <c r="DG179" i="2"/>
  <c r="AG40" i="1"/>
  <c r="AI35" i="1"/>
  <c r="N80" i="1"/>
  <c r="AI28" i="1"/>
  <c r="N68" i="1"/>
  <c r="DG269" i="2"/>
  <c r="L47" i="1"/>
  <c r="S47" i="1"/>
  <c r="N66" i="1"/>
  <c r="L71" i="1"/>
  <c r="EU119" i="2"/>
  <c r="ET359" i="2"/>
  <c r="DG59" i="2"/>
  <c r="DL59" i="2"/>
  <c r="DR299" i="2"/>
  <c r="DG359" i="2"/>
  <c r="ET29" i="2"/>
  <c r="AG32" i="1"/>
  <c r="U70" i="1"/>
  <c r="EK209" i="2"/>
  <c r="EP209" i="2"/>
  <c r="DQ119" i="2"/>
  <c r="EP59" i="2"/>
  <c r="EK59" i="2"/>
  <c r="S76" i="1" s="1"/>
  <c r="U76" i="1" s="1"/>
  <c r="L6" i="1"/>
  <c r="AI2" i="2"/>
  <c r="O6" i="1" s="1"/>
  <c r="DM179" i="2"/>
  <c r="DH179" i="2"/>
  <c r="EP29" i="2"/>
  <c r="EK29" i="2"/>
  <c r="AJ24" i="1"/>
  <c r="AJ29" i="1" s="1"/>
  <c r="EJ89" i="2"/>
  <c r="EO89" i="2"/>
  <c r="S78" i="1"/>
  <c r="AI39" i="1"/>
  <c r="AB39" i="1"/>
  <c r="DG329" i="2"/>
  <c r="DL329" i="2"/>
  <c r="AC29" i="1"/>
  <c r="ET179" i="2"/>
  <c r="DQ149" i="2"/>
  <c r="EJ29" i="2"/>
  <c r="EO29" i="2"/>
  <c r="AG24" i="1"/>
  <c r="EU29" i="2"/>
  <c r="AJ32" i="1"/>
  <c r="O71" i="1"/>
  <c r="EK179" i="2"/>
  <c r="EP179" i="2"/>
  <c r="DR89" i="2"/>
  <c r="DL29" i="2"/>
  <c r="DG29" i="2"/>
  <c r="Z24" i="1"/>
  <c r="EP89" i="2"/>
  <c r="EK89" i="2"/>
  <c r="V78" i="1"/>
  <c r="V82" i="1" s="1"/>
  <c r="EP119" i="2"/>
  <c r="EK119" i="2"/>
  <c r="DQ239" i="2"/>
  <c r="AI3" i="2"/>
  <c r="V6" i="1" s="1"/>
  <c r="S6" i="1"/>
  <c r="AB24" i="1" l="1"/>
  <c r="Z29" i="1"/>
  <c r="AI24" i="1"/>
  <c r="AG29" i="1"/>
  <c r="AI29" i="1" s="1"/>
  <c r="U78" i="1"/>
  <c r="S82" i="1"/>
  <c r="U82" i="1" s="1"/>
  <c r="AI32" i="1"/>
  <c r="N71" i="1"/>
  <c r="B5" i="1"/>
  <c r="D5" i="1" s="1"/>
  <c r="H5" i="1" s="1"/>
  <c r="AI40" i="1"/>
  <c r="N76" i="1"/>
  <c r="N78" i="1"/>
  <c r="L82" i="1"/>
  <c r="N82" i="1" l="1"/>
  <c r="AB29" i="1"/>
</calcChain>
</file>

<file path=xl/sharedStrings.xml><?xml version="1.0" encoding="utf-8"?>
<sst xmlns="http://schemas.openxmlformats.org/spreadsheetml/2006/main" count="35214" uniqueCount="2748">
  <si>
    <t>核對</t>
  </si>
  <si>
    <t>A. Benintendi</t>
  </si>
  <si>
    <t>Andrew Benintendi</t>
  </si>
  <si>
    <t>白襪</t>
  </si>
  <si>
    <t>A. Burleson</t>
  </si>
  <si>
    <t>Alec Burleson</t>
  </si>
  <si>
    <t>紅雀</t>
  </si>
  <si>
    <t>A. Del Castillo</t>
  </si>
  <si>
    <t>響尾蛇</t>
  </si>
  <si>
    <t>A. Freeland</t>
  </si>
  <si>
    <t>Alex Freeland</t>
  </si>
  <si>
    <t>道奇</t>
  </si>
  <si>
    <t>A. Garcia</t>
  </si>
  <si>
    <t>Adolis Garcia</t>
  </si>
  <si>
    <t>費城人</t>
  </si>
  <si>
    <t>A. Gimenez</t>
  </si>
  <si>
    <t>Andres Gimenez</t>
  </si>
  <si>
    <t>藍鳥</t>
  </si>
  <si>
    <t>A. Hedges</t>
  </si>
  <si>
    <t>Austin Hedges</t>
  </si>
  <si>
    <t>守護者</t>
  </si>
  <si>
    <t>A. Martinez</t>
  </si>
  <si>
    <t>Angel Martinez</t>
  </si>
  <si>
    <t>A. McCutchen</t>
  </si>
  <si>
    <t>Andrew McCutchen</t>
  </si>
  <si>
    <t>遊騎兵</t>
  </si>
  <si>
    <t>A. Osuna</t>
  </si>
  <si>
    <t>Alejandro Osuna</t>
  </si>
  <si>
    <t>A. Ramirez</t>
  </si>
  <si>
    <t>Agustin Ramirez</t>
  </si>
  <si>
    <t>馬林魚</t>
  </si>
  <si>
    <t>A. Rutschman</t>
  </si>
  <si>
    <t>Adley Rutschman</t>
  </si>
  <si>
    <t>金鶯</t>
  </si>
  <si>
    <t>Aaron Judge</t>
  </si>
  <si>
    <t>洋基</t>
  </si>
  <si>
    <t>Adam Frazier</t>
  </si>
  <si>
    <t>天使</t>
  </si>
  <si>
    <t>Alec Bohm</t>
  </si>
  <si>
    <t>Alek Thomas</t>
  </si>
  <si>
    <t>Alex Bregman</t>
  </si>
  <si>
    <t>小熊</t>
  </si>
  <si>
    <t>Andy Pages</t>
  </si>
  <si>
    <t>Austin Riley</t>
  </si>
  <si>
    <t>勇士</t>
  </si>
  <si>
    <t>Austin Wells</t>
  </si>
  <si>
    <t>B. Doyle</t>
  </si>
  <si>
    <t>Brenton Doyle</t>
  </si>
  <si>
    <t>落磯</t>
  </si>
  <si>
    <t>B. Lockridge</t>
  </si>
  <si>
    <t>Brandon Lockridge</t>
  </si>
  <si>
    <t>釀酒人</t>
  </si>
  <si>
    <t>B. Marsh</t>
  </si>
  <si>
    <t>Brandon Marsh</t>
  </si>
  <si>
    <t>B. Matthews</t>
  </si>
  <si>
    <t>Brice Matthews</t>
  </si>
  <si>
    <t>太空人</t>
  </si>
  <si>
    <t>B. Nimmo</t>
  </si>
  <si>
    <t>Brandon Nimmo</t>
  </si>
  <si>
    <t>B. Reynolds</t>
  </si>
  <si>
    <t>Bryan Reynolds</t>
  </si>
  <si>
    <t>海盜</t>
  </si>
  <si>
    <t>B. Rocchio</t>
  </si>
  <si>
    <t>Brayan Rocchio</t>
  </si>
  <si>
    <t>B. Teodosio</t>
  </si>
  <si>
    <t>Bryce Teodosio</t>
  </si>
  <si>
    <t>B. Williamson</t>
  </si>
  <si>
    <t>Ben Williamson</t>
  </si>
  <si>
    <t>光芒</t>
  </si>
  <si>
    <t>Ben Rice</t>
  </si>
  <si>
    <t>Bo Bichette</t>
  </si>
  <si>
    <t>大都會</t>
  </si>
  <si>
    <t>Bo Naylor</t>
  </si>
  <si>
    <t>Bobby Witt</t>
  </si>
  <si>
    <t>皇家</t>
  </si>
  <si>
    <t>Brady House</t>
  </si>
  <si>
    <t>國民</t>
  </si>
  <si>
    <t>Brandon Lowe</t>
  </si>
  <si>
    <t>Brent Rooker</t>
  </si>
  <si>
    <t>運動家</t>
  </si>
  <si>
    <t>Brett Baty</t>
  </si>
  <si>
    <t>Brice Turang</t>
  </si>
  <si>
    <t>Brooks Lee</t>
  </si>
  <si>
    <t>雙城</t>
  </si>
  <si>
    <t>Bryce Harper</t>
  </si>
  <si>
    <t>Bryson Stott</t>
  </si>
  <si>
    <t>Byron Buxton</t>
  </si>
  <si>
    <t>C. Bellinger</t>
  </si>
  <si>
    <t>Cody Bellinger</t>
  </si>
  <si>
    <t>C. Carroll</t>
  </si>
  <si>
    <t>Corbin Carroll</t>
  </si>
  <si>
    <t>C. Correa</t>
  </si>
  <si>
    <t>Carlos Correa</t>
  </si>
  <si>
    <t>C. DeLauter</t>
  </si>
  <si>
    <t>Chase DeLauter</t>
  </si>
  <si>
    <t>C. Jensen</t>
  </si>
  <si>
    <t>Carter Jensen</t>
  </si>
  <si>
    <t>C. Meidroth</t>
  </si>
  <si>
    <t>Chase Meidroth</t>
  </si>
  <si>
    <t>C. Montgomery</t>
  </si>
  <si>
    <t>Colson Montgomery</t>
  </si>
  <si>
    <t>C. Mullins</t>
  </si>
  <si>
    <t>Cedric Mullins</t>
  </si>
  <si>
    <t>C. Narvaez</t>
  </si>
  <si>
    <t>Carlos Narvaez</t>
  </si>
  <si>
    <t>紅襪</t>
  </si>
  <si>
    <t>C. Rafaela</t>
  </si>
  <si>
    <t>Ceddanne Rafaela</t>
  </si>
  <si>
    <t>C. Schmitt</t>
  </si>
  <si>
    <t>Casey Schmitt</t>
  </si>
  <si>
    <t>巨人</t>
  </si>
  <si>
    <t>C. Simpson</t>
  </si>
  <si>
    <t>Chandler Simpson</t>
  </si>
  <si>
    <t>C. Walker</t>
  </si>
  <si>
    <t>Christian Walker</t>
  </si>
  <si>
    <t>CJ Abrams</t>
  </si>
  <si>
    <t>Cal Raleigh</t>
  </si>
  <si>
    <t>水手</t>
  </si>
  <si>
    <t>Caleb Durbin</t>
  </si>
  <si>
    <t>Cam Smith</t>
  </si>
  <si>
    <t>Carson Benge</t>
  </si>
  <si>
    <t>Carson Kelly</t>
  </si>
  <si>
    <t>Coby Mayo</t>
  </si>
  <si>
    <t>Colby Thomas</t>
  </si>
  <si>
    <t>Cole Young</t>
  </si>
  <si>
    <t>Colt Keith</t>
  </si>
  <si>
    <t>老虎</t>
  </si>
  <si>
    <t>Connor Joe</t>
  </si>
  <si>
    <t>Connor Norby</t>
  </si>
  <si>
    <t>Corey Seager</t>
  </si>
  <si>
    <t>D. Baldwin</t>
  </si>
  <si>
    <t>Drake Baldwin</t>
  </si>
  <si>
    <t>D. Beavers</t>
  </si>
  <si>
    <t>Dylan Beavers</t>
  </si>
  <si>
    <t>D. Canzone</t>
  </si>
  <si>
    <t>Dominic Canzone</t>
  </si>
  <si>
    <t>D. Dingler</t>
  </si>
  <si>
    <t>Dillon Dingler</t>
  </si>
  <si>
    <t>D. Hamilton</t>
  </si>
  <si>
    <t>David Hamilton</t>
  </si>
  <si>
    <t>D. Harris</t>
  </si>
  <si>
    <t>Dustin Harris</t>
  </si>
  <si>
    <t>D. Hernaiz</t>
  </si>
  <si>
    <t>Darell Hernaiz</t>
  </si>
  <si>
    <t>D. Schneemann</t>
  </si>
  <si>
    <t>Daniel Schneemann</t>
  </si>
  <si>
    <t>D. Schneider</t>
  </si>
  <si>
    <t>Davis Schneider</t>
  </si>
  <si>
    <t>D. Smith</t>
  </si>
  <si>
    <t>Dominic Smith</t>
  </si>
  <si>
    <t>D. Swanson</t>
  </si>
  <si>
    <t>Dansby Swanson</t>
  </si>
  <si>
    <t>D. Varsho</t>
  </si>
  <si>
    <t>Daulton Varsho</t>
  </si>
  <si>
    <t>David Fry</t>
  </si>
  <si>
    <t>Daylen Lile</t>
  </si>
  <si>
    <t>E. Clement</t>
  </si>
  <si>
    <t>Ernie Clement</t>
  </si>
  <si>
    <t>E. De La Cruz</t>
  </si>
  <si>
    <t>紅人</t>
  </si>
  <si>
    <t>E. Duran</t>
  </si>
  <si>
    <t>Ezequiel Duran</t>
  </si>
  <si>
    <t>E. Julien</t>
  </si>
  <si>
    <t>Edouard Julien</t>
  </si>
  <si>
    <t>E. Pereira</t>
  </si>
  <si>
    <t>Everson Pereira</t>
  </si>
  <si>
    <t>E. Tovar</t>
  </si>
  <si>
    <t>Ezequiel Tovar</t>
  </si>
  <si>
    <t>Edgar Quero</t>
  </si>
  <si>
    <t>Eloy Jimenez</t>
  </si>
  <si>
    <t>Evan Carter</t>
  </si>
  <si>
    <t>F. Alvarez</t>
  </si>
  <si>
    <t>Francisco Alvarez</t>
  </si>
  <si>
    <t>F. Fermin</t>
  </si>
  <si>
    <t>Freddy Fermin</t>
  </si>
  <si>
    <t>教士</t>
  </si>
  <si>
    <t>F. Freeman</t>
  </si>
  <si>
    <t>Freddie Freeman</t>
  </si>
  <si>
    <t>F. Tatis</t>
  </si>
  <si>
    <t>G. Henderson</t>
  </si>
  <si>
    <t>Gunnar Henderson</t>
  </si>
  <si>
    <t>G. Mitchell</t>
  </si>
  <si>
    <t>Garrett Mitchell</t>
  </si>
  <si>
    <t>G. Pauley</t>
  </si>
  <si>
    <t>Graham Pauley</t>
  </si>
  <si>
    <t>G. Perdomo</t>
  </si>
  <si>
    <t>Geraldo Perdomo</t>
  </si>
  <si>
    <t>G. Stanton</t>
  </si>
  <si>
    <t>Giancarlo Stanton</t>
  </si>
  <si>
    <t>G. Torres</t>
  </si>
  <si>
    <t>Gleyber Torres</t>
  </si>
  <si>
    <t>G. Valera</t>
  </si>
  <si>
    <t>George Valera</t>
  </si>
  <si>
    <t>Gary Sanchez</t>
  </si>
  <si>
    <t>Gavin Sheets</t>
  </si>
  <si>
    <t>H. Goodman</t>
  </si>
  <si>
    <t>Hunter Goodman</t>
  </si>
  <si>
    <t>Heliot Ramos</t>
  </si>
  <si>
    <t>Hyeseong Kim</t>
  </si>
  <si>
    <t>I. Collins</t>
  </si>
  <si>
    <t>I. Paredes</t>
  </si>
  <si>
    <t>Isaac Paredes</t>
  </si>
  <si>
    <t>I. Vargas</t>
  </si>
  <si>
    <t>Ildemaro Vargas</t>
  </si>
  <si>
    <t>Ian Happ</t>
  </si>
  <si>
    <t>Ivan Herrera</t>
  </si>
  <si>
    <t>J. Aranda</t>
  </si>
  <si>
    <t>Jonathan Aranda</t>
  </si>
  <si>
    <t>J. Caballero</t>
  </si>
  <si>
    <t>Jose Caballero</t>
  </si>
  <si>
    <t>J. Caminero</t>
  </si>
  <si>
    <t>Junior Caminero</t>
  </si>
  <si>
    <t>J. Chisholm</t>
  </si>
  <si>
    <t>J. Crawford</t>
  </si>
  <si>
    <t>J. Cronenworth</t>
  </si>
  <si>
    <t>Jake Cronenworth</t>
  </si>
  <si>
    <t>J. Encarnacion</t>
  </si>
  <si>
    <t>Jerar Encarnacion</t>
  </si>
  <si>
    <t>J. Fernandez</t>
  </si>
  <si>
    <t>Jose Fernandez</t>
  </si>
  <si>
    <t>J. Jackson</t>
  </si>
  <si>
    <t>Jeremiah Jackson</t>
  </si>
  <si>
    <t>J. Merrill</t>
  </si>
  <si>
    <t>Jackson Merrill</t>
  </si>
  <si>
    <t>J. Rodriguez</t>
  </si>
  <si>
    <t>Julio Rodriguez</t>
  </si>
  <si>
    <t>J. Walker</t>
  </si>
  <si>
    <t>Jordan Walker</t>
  </si>
  <si>
    <t>J. Wetherholt</t>
  </si>
  <si>
    <t>JJ Wetherholt</t>
  </si>
  <si>
    <t>Jacob Wilson</t>
  </si>
  <si>
    <t>Jacob Young</t>
  </si>
  <si>
    <t>Jake Bauers</t>
  </si>
  <si>
    <t>Jake Burger</t>
  </si>
  <si>
    <t>Jake Fraley</t>
  </si>
  <si>
    <t>Jakob Marsee</t>
  </si>
  <si>
    <t>James Wood</t>
  </si>
  <si>
    <t>Jarren Duran</t>
  </si>
  <si>
    <t>Javier Baez</t>
  </si>
  <si>
    <t>Jo Adell</t>
  </si>
  <si>
    <t>Joc Pederson</t>
  </si>
  <si>
    <t>Joey Bart</t>
  </si>
  <si>
    <t>Jonny DeLuca</t>
  </si>
  <si>
    <t>Jorge Soler</t>
  </si>
  <si>
    <t>Jose Altuve</t>
  </si>
  <si>
    <t>Jose Ramirez</t>
  </si>
  <si>
    <t>Jose Tena</t>
  </si>
  <si>
    <t>Josh Bell</t>
  </si>
  <si>
    <t>Josh Jung</t>
  </si>
  <si>
    <t>Josh Lowe</t>
  </si>
  <si>
    <t>Josh Naylor</t>
  </si>
  <si>
    <t>Josh Smith</t>
  </si>
  <si>
    <t>Juan Brito</t>
  </si>
  <si>
    <t>Juan Soto</t>
  </si>
  <si>
    <t>Jung Hoo Lee</t>
  </si>
  <si>
    <t>K. Carpenter</t>
  </si>
  <si>
    <t>Kerry Carpenter</t>
  </si>
  <si>
    <t>K. Griffin</t>
  </si>
  <si>
    <t>Konnor Griffin</t>
  </si>
  <si>
    <t>K. Hayes</t>
  </si>
  <si>
    <t>Ke'Bryan Hayes</t>
  </si>
  <si>
    <t>K. Higashioka</t>
  </si>
  <si>
    <t>Kyle Higashioka</t>
  </si>
  <si>
    <t>K. Manzardo</t>
  </si>
  <si>
    <t>Kyle Manzardo</t>
  </si>
  <si>
    <t>K. McGonigle</t>
  </si>
  <si>
    <t>Kevin McGonigle</t>
  </si>
  <si>
    <t>K. Okamoto</t>
  </si>
  <si>
    <t>Kazuma Okamoto</t>
  </si>
  <si>
    <t>K. Schwarber</t>
  </si>
  <si>
    <t>Kyle Schwarber</t>
  </si>
  <si>
    <t>Keibert Ruiz</t>
  </si>
  <si>
    <t>Ketel Marte</t>
  </si>
  <si>
    <t>Kody Clemens</t>
  </si>
  <si>
    <t>Kyle Karros</t>
  </si>
  <si>
    <t>Kyle Stowers</t>
  </si>
  <si>
    <t>Kyle Tucker</t>
  </si>
  <si>
    <t>L. Acuna</t>
  </si>
  <si>
    <t>Luisangel Acuna</t>
  </si>
  <si>
    <t>L. Campusano</t>
  </si>
  <si>
    <t>Luis Campusano</t>
  </si>
  <si>
    <t>L. Gurriel</t>
  </si>
  <si>
    <t>L. Keaschall</t>
  </si>
  <si>
    <t>Luke Keaschall</t>
  </si>
  <si>
    <t>L. Taveras</t>
  </si>
  <si>
    <t>Leody Taveras</t>
  </si>
  <si>
    <t>Lane Thomas</t>
  </si>
  <si>
    <t>Leo Rivas</t>
  </si>
  <si>
    <t>Liam Hicks</t>
  </si>
  <si>
    <t>Luis Arraez</t>
  </si>
  <si>
    <t>Luis Garcia</t>
  </si>
  <si>
    <t>Luis Rengifo</t>
  </si>
  <si>
    <t>Luis Robert</t>
  </si>
  <si>
    <t>Luke Raley</t>
  </si>
  <si>
    <t>M. Andujar</t>
  </si>
  <si>
    <t>Miguel Andujar</t>
  </si>
  <si>
    <t>M. Ballesteros</t>
  </si>
  <si>
    <t>Moises Ballesteros</t>
  </si>
  <si>
    <t>M. Busch</t>
  </si>
  <si>
    <t>Michael Busch</t>
  </si>
  <si>
    <t>M. Dubon</t>
  </si>
  <si>
    <t>Mauricio Dubon</t>
  </si>
  <si>
    <t>M. Garcia</t>
  </si>
  <si>
    <t>Maikel Garcia</t>
  </si>
  <si>
    <t>M. Harris</t>
  </si>
  <si>
    <t>M. Machado</t>
  </si>
  <si>
    <t>Manny Machado</t>
  </si>
  <si>
    <t>M. Mayer</t>
  </si>
  <si>
    <t>Marcelo Mayer</t>
  </si>
  <si>
    <t>M. Moniak</t>
  </si>
  <si>
    <t>Mickey Moniak</t>
  </si>
  <si>
    <t>M. Murakami</t>
  </si>
  <si>
    <t>Munetaka Murakami</t>
  </si>
  <si>
    <t>M. Ozuna</t>
  </si>
  <si>
    <t>Marcell Ozuna</t>
  </si>
  <si>
    <t>M. Semien</t>
  </si>
  <si>
    <t>Marcus Semien</t>
  </si>
  <si>
    <t>M. Vargas</t>
  </si>
  <si>
    <t>Miguel Vargas</t>
  </si>
  <si>
    <t>M. Yastrzemski</t>
  </si>
  <si>
    <t>Mike Yastrzemski</t>
  </si>
  <si>
    <t>Mark Vientos</t>
  </si>
  <si>
    <t>Masyn Winn</t>
  </si>
  <si>
    <t>Matt Chapman</t>
  </si>
  <si>
    <t>Matt McLain</t>
  </si>
  <si>
    <t>Matt Olson</t>
  </si>
  <si>
    <t>Matt Wallner</t>
  </si>
  <si>
    <t>Max Muncy</t>
  </si>
  <si>
    <t>Mike Trout</t>
  </si>
  <si>
    <t>Myles Straw</t>
  </si>
  <si>
    <t>N. Arenado</t>
  </si>
  <si>
    <t>Nolan Arenado</t>
  </si>
  <si>
    <t>N. Castellanos</t>
  </si>
  <si>
    <t>Nick Castellanos</t>
  </si>
  <si>
    <t>N. Church</t>
  </si>
  <si>
    <t>Nathan Church</t>
  </si>
  <si>
    <t>N. Lowe</t>
  </si>
  <si>
    <t>Nathaniel Lowe</t>
  </si>
  <si>
    <t>N. Schanuel</t>
  </si>
  <si>
    <t>Nolan Schanuel</t>
  </si>
  <si>
    <t>Nasim Nunez</t>
  </si>
  <si>
    <t>Nick Fortes</t>
  </si>
  <si>
    <t>Nick Kurtz</t>
  </si>
  <si>
    <t>Nick Loftin</t>
  </si>
  <si>
    <t>Nick Yorke</t>
  </si>
  <si>
    <t>Nico Hoerner</t>
  </si>
  <si>
    <t>Nolan Gorman</t>
  </si>
  <si>
    <t>O. Peraza</t>
  </si>
  <si>
    <t>Oswald Peraza</t>
  </si>
  <si>
    <t>Oneil Cruz</t>
  </si>
  <si>
    <t>Otto Lopez</t>
  </si>
  <si>
    <t>Owen Caissie</t>
  </si>
  <si>
    <t>Ozzie Albies</t>
  </si>
  <si>
    <t>P. Bailey</t>
  </si>
  <si>
    <t>Patrick Bailey</t>
  </si>
  <si>
    <t>P. Crow-Armstrong</t>
  </si>
  <si>
    <t>Pete Crow-Armstrong</t>
  </si>
  <si>
    <t>Pedro Pages</t>
  </si>
  <si>
    <t>Pete Alonso</t>
  </si>
  <si>
    <t>R. Anthony</t>
  </si>
  <si>
    <t>Roman Anthony</t>
  </si>
  <si>
    <t>R. Arozarena</t>
  </si>
  <si>
    <t>Randy Arozarena</t>
  </si>
  <si>
    <t>R. Devers</t>
  </si>
  <si>
    <t>Rafael Devers</t>
  </si>
  <si>
    <t>R. Laureano</t>
  </si>
  <si>
    <t>Ramon Laureano</t>
  </si>
  <si>
    <t>R. Marchan</t>
  </si>
  <si>
    <t>Rafael Marchan</t>
  </si>
  <si>
    <t>R. Mauricio</t>
  </si>
  <si>
    <t>Ronny Mauricio</t>
  </si>
  <si>
    <t>R. Palacios</t>
  </si>
  <si>
    <t>Richie Palacios</t>
  </si>
  <si>
    <t>R. Refsnyder</t>
  </si>
  <si>
    <t>Rob Refsnyder</t>
  </si>
  <si>
    <t>Rece Hinds</t>
  </si>
  <si>
    <t>Rhys Hoskins</t>
  </si>
  <si>
    <t>Riley Greene</t>
  </si>
  <si>
    <t>Ronald Acuna</t>
  </si>
  <si>
    <t>Royce Lewis</t>
  </si>
  <si>
    <t>Ryan Jeffers</t>
  </si>
  <si>
    <t>Ryan McMahon</t>
  </si>
  <si>
    <t>Ryan O'Hearn</t>
  </si>
  <si>
    <t>Ryan Vilade</t>
  </si>
  <si>
    <t>S. Antonacci</t>
  </si>
  <si>
    <t>Sam Antonacci</t>
  </si>
  <si>
    <t>S. Basallo</t>
  </si>
  <si>
    <t>Samuel Basallo</t>
  </si>
  <si>
    <t>S. Horwitz</t>
  </si>
  <si>
    <t>Spencer Horwitz</t>
  </si>
  <si>
    <t>S. Langeliers</t>
  </si>
  <si>
    <t>Shea Langeliers</t>
  </si>
  <si>
    <t>S. Marte</t>
  </si>
  <si>
    <t>Starling Marte</t>
  </si>
  <si>
    <t>S. Ohtani</t>
  </si>
  <si>
    <t>Shohei Ohtani</t>
  </si>
  <si>
    <t>S. Perez</t>
  </si>
  <si>
    <t>Salvador Perez</t>
  </si>
  <si>
    <t>S. Steer</t>
  </si>
  <si>
    <t>Spencer Steer</t>
  </si>
  <si>
    <t>S. Torkelson</t>
  </si>
  <si>
    <t>Spencer Torkelson</t>
  </si>
  <si>
    <t>Sal Frelick</t>
  </si>
  <si>
    <t>Sal Stewart</t>
  </si>
  <si>
    <t>Sam Haggerty</t>
  </si>
  <si>
    <t>Seiya Suzuki</t>
  </si>
  <si>
    <t>Steven Kwan</t>
  </si>
  <si>
    <t>T. Grisham</t>
  </si>
  <si>
    <t>Trent Grisham</t>
  </si>
  <si>
    <t>T. Heineman</t>
  </si>
  <si>
    <t>Tyler Heineman</t>
  </si>
  <si>
    <t>T. Hernandez</t>
  </si>
  <si>
    <t>Teoscar Hernandez</t>
  </si>
  <si>
    <t>T. Johnston</t>
  </si>
  <si>
    <t>Troy Johnston</t>
  </si>
  <si>
    <t>T. Larnach</t>
  </si>
  <si>
    <t>Trevor Larnach</t>
  </si>
  <si>
    <t>T. Soderstrom</t>
  </si>
  <si>
    <t>Tyler Soderstrom</t>
  </si>
  <si>
    <t>T. Stephenson</t>
  </si>
  <si>
    <t>Tyler Stephenson</t>
  </si>
  <si>
    <t>T. d'Arnaud</t>
  </si>
  <si>
    <t>Travis d'Arnaud</t>
  </si>
  <si>
    <t>TJ Friedl</t>
  </si>
  <si>
    <t>TJ Rumfield</t>
  </si>
  <si>
    <t>Taylor Walls</t>
  </si>
  <si>
    <t>Taylor Ward</t>
  </si>
  <si>
    <t>Trea Turner</t>
  </si>
  <si>
    <t>Trevor Story</t>
  </si>
  <si>
    <t>Ty France</t>
  </si>
  <si>
    <t>V. Grissom</t>
  </si>
  <si>
    <t>Vaughn Grissom</t>
  </si>
  <si>
    <t>V. Guerrero</t>
  </si>
  <si>
    <t>V. Pasquantino</t>
  </si>
  <si>
    <t>Vinnie Pasquantino</t>
  </si>
  <si>
    <t>Victor Scott</t>
  </si>
  <si>
    <t>W. Contreras</t>
  </si>
  <si>
    <t>W. Perez</t>
  </si>
  <si>
    <t>Wenceel Perez</t>
  </si>
  <si>
    <t>Will Smith</t>
  </si>
  <si>
    <t>Willi Castro</t>
  </si>
  <si>
    <t>Willy Adames</t>
  </si>
  <si>
    <t>Wilyer Abreu</t>
  </si>
  <si>
    <t>X. Bogaerts</t>
  </si>
  <si>
    <t>Xander Bogaerts</t>
  </si>
  <si>
    <t>X. Edwards</t>
  </si>
  <si>
    <t>Xavier Edwards</t>
  </si>
  <si>
    <t>Y. Alvarez</t>
  </si>
  <si>
    <t>Yordan Alvarez</t>
  </si>
  <si>
    <t>Yainer Diaz</t>
  </si>
  <si>
    <t>Yandy Diaz</t>
  </si>
  <si>
    <t>Yoan Moncada</t>
  </si>
  <si>
    <t>Zach Neto</t>
  </si>
  <si>
    <t>Zack Gelof</t>
  </si>
  <si>
    <t>第一場</t>
  </si>
  <si>
    <t>客隊</t>
  </si>
  <si>
    <t>主場</t>
  </si>
  <si>
    <t>甜過頭</t>
  </si>
  <si>
    <t>合理讓分</t>
  </si>
  <si>
    <t>金流</t>
  </si>
  <si>
    <t>合理性</t>
  </si>
  <si>
    <t>很甜</t>
  </si>
  <si>
    <t>有點甜</t>
  </si>
  <si>
    <t>甜</t>
  </si>
  <si>
    <t>稍微甜</t>
  </si>
  <si>
    <t>合理</t>
  </si>
  <si>
    <t>稍微硬</t>
  </si>
  <si>
    <t>有點硬</t>
  </si>
  <si>
    <t>硬</t>
  </si>
  <si>
    <t>很硬</t>
  </si>
  <si>
    <t>硬過頭</t>
  </si>
  <si>
    <t>ERA</t>
  </si>
  <si>
    <t>戰力</t>
  </si>
  <si>
    <t>命中率</t>
  </si>
  <si>
    <t>WHIP</t>
  </si>
  <si>
    <t>IP</t>
  </si>
  <si>
    <t>H</t>
  </si>
  <si>
    <t>K</t>
  </si>
  <si>
    <t>BB</t>
  </si>
  <si>
    <t>HR</t>
  </si>
  <si>
    <t>打擊率</t>
  </si>
  <si>
    <t>打數-安打</t>
  </si>
  <si>
    <t>上壘率</t>
  </si>
  <si>
    <t>全壘打</t>
  </si>
  <si>
    <t>長打率</t>
  </si>
  <si>
    <t>第二場</t>
  </si>
  <si>
    <t>GP/出賽</t>
  </si>
  <si>
    <t>整體平均</t>
  </si>
  <si>
    <t>攻擊力</t>
  </si>
  <si>
    <t>AB/打數</t>
  </si>
  <si>
    <t>R/得分</t>
  </si>
  <si>
    <t>H/安打</t>
  </si>
  <si>
    <t>2B/二壘打</t>
  </si>
  <si>
    <t>3B/三壘打</t>
  </si>
  <si>
    <t>HR/全壘打</t>
  </si>
  <si>
    <t>RBI/打點</t>
  </si>
  <si>
    <t>TB/壘打數</t>
  </si>
  <si>
    <t>BB/保送</t>
  </si>
  <si>
    <t>SO/三振</t>
  </si>
  <si>
    <t>SB/盜壘</t>
  </si>
  <si>
    <t>AVG/打擊率</t>
  </si>
  <si>
    <t>OBP/上壘率</t>
  </si>
  <si>
    <t>SLG/長打率</t>
  </si>
  <si>
    <t>OPS/整體攻擊指數</t>
  </si>
  <si>
    <t>WAR/勝場貢獻值</t>
  </si>
  <si>
    <t>RC/得分創造</t>
  </si>
  <si>
    <t>RC/27/每27出局得分創造</t>
  </si>
  <si>
    <t>BB/PA/保送率</t>
  </si>
  <si>
    <t>BB/K/保送三振比</t>
  </si>
  <si>
    <t>ISOP/純長打率</t>
  </si>
  <si>
    <t>SECA/次級攻擊指數</t>
  </si>
  <si>
    <t>P/PA/每打席用球數</t>
  </si>
  <si>
    <t>XBH/長打數</t>
  </si>
  <si>
    <t>PA/打席</t>
  </si>
  <si>
    <t>AB/HR/全壘打打數比</t>
  </si>
  <si>
    <t>R/G每場得分</t>
  </si>
  <si>
    <t>RBI/每場打點</t>
  </si>
  <si>
    <t>PTS/得分</t>
  </si>
  <si>
    <t>REB/籃板</t>
  </si>
  <si>
    <t>AST/助攻</t>
  </si>
  <si>
    <t>STL/抄截</t>
  </si>
  <si>
    <t>BLK/阻攻</t>
  </si>
  <si>
    <t>日期</t>
  </si>
  <si>
    <t>時間</t>
  </si>
  <si>
    <t>結果</t>
  </si>
  <si>
    <t>讓分</t>
  </si>
  <si>
    <t>比例</t>
  </si>
  <si>
    <t>主隊</t>
  </si>
  <si>
    <t>HR/G每場全壘打</t>
  </si>
  <si>
    <t>BB/SO/四壞/三振</t>
  </si>
  <si>
    <t>基本數據分級</t>
  </si>
  <si>
    <t>進階數據分級</t>
  </si>
  <si>
    <t>TO/失誤</t>
  </si>
  <si>
    <t>PF/犯規</t>
  </si>
  <si>
    <t>AST/TO助攻失誤比</t>
  </si>
  <si>
    <t>C-</t>
  </si>
  <si>
    <t>C</t>
  </si>
  <si>
    <t>C+</t>
  </si>
  <si>
    <t>B-</t>
  </si>
  <si>
    <t>B</t>
  </si>
  <si>
    <t>B+</t>
  </si>
  <si>
    <t>A-</t>
  </si>
  <si>
    <t>A</t>
  </si>
  <si>
    <t>A+</t>
  </si>
  <si>
    <t>S</t>
  </si>
  <si>
    <t>S+</t>
  </si>
  <si>
    <t>RC/27/每27局得分</t>
  </si>
  <si>
    <t>ISO/純長打率</t>
  </si>
  <si>
    <t>SecA/次級攻擊指數</t>
  </si>
  <si>
    <t>FG%/命中率</t>
  </si>
  <si>
    <t>3P%/三分命中率</t>
  </si>
  <si>
    <t>FT%/罰球命中率</t>
  </si>
  <si>
    <t>2P%/兩分命中率</t>
  </si>
  <si>
    <t>SC-EFF/得分效率</t>
  </si>
  <si>
    <t>OR/進攻籃板</t>
  </si>
  <si>
    <t>FGM/命中</t>
  </si>
  <si>
    <t>FGA/出手</t>
  </si>
  <si>
    <t>3PM/三分</t>
  </si>
  <si>
    <t>3PA/三分出手次數</t>
  </si>
  <si>
    <t>FTM/罰球</t>
  </si>
  <si>
    <t>FTA/罰球次數</t>
  </si>
  <si>
    <t>2PM/兩分</t>
  </si>
  <si>
    <t>2PA/兩分出手次數</t>
  </si>
  <si>
    <t>SH-EFF/投籃效率</t>
  </si>
  <si>
    <t>比賽時間</t>
  </si>
  <si>
    <t>客隊分數</t>
  </si>
  <si>
    <t>讓分(客)</t>
  </si>
  <si>
    <t>比例(客)</t>
  </si>
  <si>
    <t>主隊分數</t>
  </si>
  <si>
    <t>讓分(主)</t>
  </si>
  <si>
    <t>比例(主)</t>
  </si>
  <si>
    <t>20260326</t>
  </si>
  <si>
    <t>08:05</t>
  </si>
  <si>
    <t>1分贏</t>
  </si>
  <si>
    <t>20260327</t>
  </si>
  <si>
    <t>01:15</t>
  </si>
  <si>
    <t>02:10</t>
  </si>
  <si>
    <t>1分輸</t>
  </si>
  <si>
    <t>02:20</t>
  </si>
  <si>
    <t>03:05</t>
  </si>
  <si>
    <t>04:10</t>
  </si>
  <si>
    <t>04:15</t>
  </si>
  <si>
    <t>08:30</t>
  </si>
  <si>
    <t>2分輸</t>
  </si>
  <si>
    <t>10:10</t>
  </si>
  <si>
    <t>20260328</t>
  </si>
  <si>
    <t>04:35</t>
  </si>
  <si>
    <t>07:07</t>
  </si>
  <si>
    <t>2分贏</t>
  </si>
  <si>
    <t>07:10</t>
  </si>
  <si>
    <t>07:15</t>
  </si>
  <si>
    <t>08:15</t>
  </si>
  <si>
    <t>09:40</t>
  </si>
  <si>
    <t>09:45</t>
  </si>
  <si>
    <t>20260329</t>
  </si>
  <si>
    <t>02:15</t>
  </si>
  <si>
    <t>03:07</t>
  </si>
  <si>
    <t>04:05</t>
  </si>
  <si>
    <t>08:40</t>
  </si>
  <si>
    <t>09:10</t>
  </si>
  <si>
    <t>20260330</t>
  </si>
  <si>
    <t>01:35</t>
  </si>
  <si>
    <t>01:37</t>
  </si>
  <si>
    <t>01:40</t>
  </si>
  <si>
    <t>07:20</t>
  </si>
  <si>
    <t>20260331</t>
  </si>
  <si>
    <t>06:35</t>
  </si>
  <si>
    <t>06:40</t>
  </si>
  <si>
    <t>07:40</t>
  </si>
  <si>
    <t>07:45</t>
  </si>
  <si>
    <t>08:10</t>
  </si>
  <si>
    <t>20260401</t>
  </si>
  <si>
    <t>0分贏</t>
  </si>
  <si>
    <t>20260402</t>
  </si>
  <si>
    <t>01:05</t>
  </si>
  <si>
    <t>01:07</t>
  </si>
  <si>
    <t>01:10</t>
  </si>
  <si>
    <t>03:40</t>
  </si>
  <si>
    <t>08:20</t>
  </si>
  <si>
    <t>12:15</t>
  </si>
  <si>
    <t>12:35</t>
  </si>
  <si>
    <t>12:40</t>
  </si>
  <si>
    <t>20260403</t>
  </si>
  <si>
    <t>藍鳥Dylan Cease</t>
  </si>
  <si>
    <t>白襪Sean Burke</t>
  </si>
  <si>
    <t>20260404</t>
  </si>
  <si>
    <t>3分贏</t>
  </si>
  <si>
    <t>04:12</t>
  </si>
  <si>
    <t>釀酒人Chad Patrick</t>
  </si>
  <si>
    <t>皇家Luinder Avila</t>
  </si>
  <si>
    <t>09:38</t>
  </si>
  <si>
    <t>10:15</t>
  </si>
  <si>
    <t>20260405</t>
  </si>
  <si>
    <t>07:05</t>
  </si>
  <si>
    <t>小熊今永昇太</t>
  </si>
  <si>
    <t>守護者Slade Cecconi</t>
  </si>
  <si>
    <t>09:05</t>
  </si>
  <si>
    <t>20260406</t>
  </si>
  <si>
    <t>02:35</t>
  </si>
  <si>
    <t>03:10</t>
  </si>
  <si>
    <t>04:07</t>
  </si>
  <si>
    <t>04:40</t>
  </si>
  <si>
    <t>20260407</t>
  </si>
  <si>
    <t>06:10</t>
  </si>
  <si>
    <t>06:45</t>
  </si>
  <si>
    <t>20260408</t>
  </si>
  <si>
    <t>20260409</t>
  </si>
  <si>
    <t>03:45</t>
  </si>
  <si>
    <t>20260410</t>
  </si>
  <si>
    <t>12:10</t>
  </si>
  <si>
    <t>20260411</t>
  </si>
  <si>
    <t>20260412</t>
  </si>
  <si>
    <t>20260413</t>
  </si>
  <si>
    <t>20260414</t>
  </si>
  <si>
    <t>20260415</t>
  </si>
  <si>
    <t>0分輸</t>
  </si>
  <si>
    <t>20260416</t>
  </si>
  <si>
    <t>20260417</t>
  </si>
  <si>
    <t>20260418</t>
  </si>
  <si>
    <t>20260419</t>
  </si>
  <si>
    <t>03:30</t>
  </si>
  <si>
    <t>20260420</t>
  </si>
  <si>
    <t>20260421</t>
  </si>
  <si>
    <t>12:01</t>
  </si>
  <si>
    <t>20260422</t>
  </si>
  <si>
    <t>20260423</t>
  </si>
  <si>
    <t>00:10</t>
  </si>
  <si>
    <t>20260424</t>
  </si>
  <si>
    <t>20260425</t>
  </si>
  <si>
    <t>20260426</t>
  </si>
  <si>
    <t>00:05</t>
  </si>
  <si>
    <t>06:05</t>
  </si>
  <si>
    <t>20260427</t>
  </si>
  <si>
    <t>20260428</t>
  </si>
  <si>
    <t>天數</t>
  </si>
  <si>
    <t>星期</t>
  </si>
  <si>
    <t>四</t>
  </si>
  <si>
    <t>五</t>
  </si>
  <si>
    <t>六</t>
  </si>
  <si>
    <t>日</t>
  </si>
  <si>
    <t>一</t>
  </si>
  <si>
    <t>二</t>
  </si>
  <si>
    <t>三</t>
  </si>
  <si>
    <t>O</t>
  </si>
  <si>
    <t>X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</si>
  <si>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</si>
  <si>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</si>
  <si>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</si>
  <si>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</si>
  <si>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</si>
  <si>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</si>
  <si>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</si>
  <si>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</si>
  <si>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</si>
  <si>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場次</t>
  </si>
  <si>
    <t>W/L累計</t>
  </si>
  <si>
    <t>近10場W/L</t>
  </si>
  <si>
    <t>L.L.W.L.L.W.L.W.L.L</t>
  </si>
  <si>
    <t>W/L</t>
  </si>
  <si>
    <t>W</t>
  </si>
  <si>
    <t>L</t>
  </si>
  <si>
    <t>W/L加總</t>
  </si>
  <si>
    <t>O/X累計</t>
  </si>
  <si>
    <t>近10場O/X</t>
  </si>
  <si>
    <t>X.X.O.X.X.O.X.O.X.X</t>
  </si>
  <si>
    <t>O/X</t>
  </si>
  <si>
    <t>O/X加總</t>
  </si>
  <si>
    <t>大/小累計</t>
  </si>
  <si>
    <t>近10場大/小</t>
  </si>
  <si>
    <t>大/小</t>
  </si>
  <si>
    <t>大/小加總</t>
  </si>
  <si>
    <t>W.W.L.L.W.L.L.L.W.W</t>
  </si>
  <si>
    <t>O.O.X.X.O.X.X.X.O.O</t>
  </si>
  <si>
    <t>W.L.W.W.W.W.W.W.W.L</t>
  </si>
  <si>
    <t>X.X.O.O.O.O.O.O.O.X</t>
  </si>
  <si>
    <t>W.W.L.W.L.L.L.W.W.W</t>
  </si>
  <si>
    <t>O.O.X.O.X.X.X.O.O.O</t>
  </si>
  <si>
    <t>L.L.L.L.W.W.W.L.W.W</t>
  </si>
  <si>
    <t>X.X.X.X.O.O.O.X.O.O</t>
  </si>
  <si>
    <t>L.L.W.L.W.W.W.W.L.L</t>
  </si>
  <si>
    <t>X.X.O.O.O.O.O.O.X.X</t>
  </si>
  <si>
    <t>L.W.L.W.W.L.W.W.L.L</t>
  </si>
  <si>
    <t>X.O.X.O.O.X.O.O.X.X</t>
  </si>
  <si>
    <t>10/23~3/11</t>
  </si>
  <si>
    <t>W.L.W.W.L.L.W.L.L.W</t>
  </si>
  <si>
    <t>O.X.O.O.X.X.X.X.X.O</t>
  </si>
  <si>
    <t>L.L.L.L.L.L.W.W.W.W</t>
  </si>
  <si>
    <t>X.X.X.X.X.X.O.O.O.O</t>
  </si>
  <si>
    <t>W.L.L.L.L.W.L.L.L.L</t>
  </si>
  <si>
    <t>O.X.X.X.X.O.X.X.X.X</t>
  </si>
  <si>
    <t>W.L.L.L.L.W.L.L.L.W</t>
  </si>
  <si>
    <t>O.X.X.X.X.O.X.X.X.O</t>
  </si>
  <si>
    <t>L.W.W.L.L.L.L.L.L.L</t>
  </si>
  <si>
    <t>O.O.O.X.O.X.X.X.X.X</t>
  </si>
  <si>
    <t>W.L.L.W.L.W.W.W.L.W</t>
  </si>
  <si>
    <t>O.X.X.X.X.O.O.O.X.O</t>
  </si>
  <si>
    <t>L.L.L.W.W.L.L.W.W.W</t>
  </si>
  <si>
    <t>X.X.X.O.O.X.X.O.O.O</t>
  </si>
  <si>
    <t>L.W.W.L.L.W.W.L.W.L</t>
  </si>
  <si>
    <t>X.O.O.X.X.O.O.X.O.X</t>
  </si>
  <si>
    <t>W.W.W.W.W.L.W.W.L.W</t>
  </si>
  <si>
    <t>O.O.O.O.O.X.O.O.X.O</t>
  </si>
  <si>
    <t>L.L.L.L.W.W.L.W.L.L</t>
  </si>
  <si>
    <t>O.X.X.X.O.O.X.O.X.X</t>
  </si>
  <si>
    <t>L.L.L.L.L.L.L.W.L.L</t>
  </si>
  <si>
    <t>X.O.X.X.X.X.X.O.X.X</t>
  </si>
  <si>
    <t>L.L.L.L.L.L.L.L.W.L</t>
  </si>
  <si>
    <t>X.X.X.X.X.X.X.X.O.X</t>
  </si>
  <si>
    <t>W.L.L.W.L.W.L.L.W.W</t>
  </si>
  <si>
    <t>O.X.X.O.X.O.X.X.O.O</t>
  </si>
  <si>
    <t>W.W.W.W.W.W.W.W.L.L</t>
  </si>
  <si>
    <t>O.O.O.O.O.O.O.O.X.X</t>
  </si>
  <si>
    <t>O.X.O.O.O.O.O.O.O.X</t>
  </si>
  <si>
    <t>W.W.W.W.L.W.L.L.L.W</t>
  </si>
  <si>
    <t>O.O.O.O.X.O.O.X.X.O</t>
  </si>
  <si>
    <t>W.L.W.L.W.L.L.W.W.L</t>
  </si>
  <si>
    <t>O.X.O.X.O.X.X.O.O.X</t>
  </si>
  <si>
    <t>W.W.W.W.W.L.W.L.L.L</t>
  </si>
  <si>
    <t>O.O.O.O.O.X.O.X.X.X</t>
  </si>
  <si>
    <t>L.W.W.W.W.L.L.L.L.W</t>
  </si>
  <si>
    <t>X.O.O.O.O.X.X.X.X.O</t>
  </si>
  <si>
    <t>L.W.L.W.W.L.L.L.W.W</t>
  </si>
  <si>
    <t>X.O.X.O.O.X.O.X.O.O</t>
  </si>
  <si>
    <t>W.W.L.L.W.L.W.L.W.W</t>
  </si>
  <si>
    <t>O.O.X.X.O.X.O.X.O.O</t>
  </si>
  <si>
    <t>W.W.W.L.W.W.W.W.W.L</t>
  </si>
  <si>
    <t>O.O.O.X.O.X.X.O.O.X</t>
  </si>
  <si>
    <t>L.W.W.W.L.W.L.L.W.W</t>
  </si>
  <si>
    <t>X.O.O.O.X.O.X.X.O.O</t>
  </si>
  <si>
    <t>球隊</t>
  </si>
  <si>
    <t>球員</t>
  </si>
  <si>
    <t>位置</t>
  </si>
  <si>
    <t>SS</t>
  </si>
  <si>
    <t>28</t>
  </si>
  <si>
    <t>119</t>
  </si>
  <si>
    <t>19</t>
  </si>
  <si>
    <t>25</t>
  </si>
  <si>
    <t>4</t>
  </si>
  <si>
    <t>1</t>
  </si>
  <si>
    <t>9</t>
  </si>
  <si>
    <t>18</t>
  </si>
  <si>
    <t>58</t>
  </si>
  <si>
    <t>11</t>
  </si>
  <si>
    <t>41</t>
  </si>
  <si>
    <t>.210</t>
  </si>
  <si>
    <t>.280</t>
  </si>
  <si>
    <t>.487</t>
  </si>
  <si>
    <t>.768</t>
  </si>
  <si>
    <t>0.6</t>
  </si>
  <si>
    <t>17.1</t>
  </si>
  <si>
    <t>4.8</t>
  </si>
  <si>
    <t>.083</t>
  </si>
  <si>
    <t>0.27</t>
  </si>
  <si>
    <t>.277</t>
  </si>
  <si>
    <t>.395</t>
  </si>
  <si>
    <t>4.27</t>
  </si>
  <si>
    <t>14</t>
  </si>
  <si>
    <t>132</t>
  </si>
  <si>
    <t>13.2</t>
  </si>
  <si>
    <t>LF</t>
  </si>
  <si>
    <t>109</t>
  </si>
  <si>
    <t>34</t>
  </si>
  <si>
    <t>13</t>
  </si>
  <si>
    <t>0</t>
  </si>
  <si>
    <t>50</t>
  </si>
  <si>
    <t>21</t>
  </si>
  <si>
    <t>.312</t>
  </si>
  <si>
    <t>.424</t>
  </si>
  <si>
    <t>.459</t>
  </si>
  <si>
    <t>.883</t>
  </si>
  <si>
    <t>1.3</t>
  </si>
  <si>
    <t>22.4</t>
  </si>
  <si>
    <t>7.7</t>
  </si>
  <si>
    <t>.159</t>
  </si>
  <si>
    <t>1.11</t>
  </si>
  <si>
    <t>.147</t>
  </si>
  <si>
    <t>.339</t>
  </si>
  <si>
    <t>4.28</t>
  </si>
  <si>
    <t>109.0</t>
  </si>
  <si>
    <t>1B</t>
  </si>
  <si>
    <t>107</t>
  </si>
  <si>
    <t>6</t>
  </si>
  <si>
    <t>3</t>
  </si>
  <si>
    <t>10</t>
  </si>
  <si>
    <t>36</t>
  </si>
  <si>
    <t>15</t>
  </si>
  <si>
    <t>32</t>
  </si>
  <si>
    <t>.196</t>
  </si>
  <si>
    <t>.301</t>
  </si>
  <si>
    <t>.336</t>
  </si>
  <si>
    <t>.637</t>
  </si>
  <si>
    <t>0.2</t>
  </si>
  <si>
    <t>10.9</t>
  </si>
  <si>
    <t>3.3</t>
  </si>
  <si>
    <t>.122</t>
  </si>
  <si>
    <t>0.47</t>
  </si>
  <si>
    <t>.140</t>
  </si>
  <si>
    <t>.290</t>
  </si>
  <si>
    <t>4.02</t>
  </si>
  <si>
    <t>123</t>
  </si>
  <si>
    <t>35.7</t>
  </si>
  <si>
    <t>2B</t>
  </si>
  <si>
    <t>26</t>
  </si>
  <si>
    <t>89</t>
  </si>
  <si>
    <t>24</t>
  </si>
  <si>
    <t>2</t>
  </si>
  <si>
    <t>5</t>
  </si>
  <si>
    <t>.270</t>
  </si>
  <si>
    <t>.461</t>
  </si>
  <si>
    <t>.751</t>
  </si>
  <si>
    <t>0.8</t>
  </si>
  <si>
    <t>10.0</t>
  </si>
  <si>
    <t>3.8</t>
  </si>
  <si>
    <t>.022</t>
  </si>
  <si>
    <t>0.10</t>
  </si>
  <si>
    <t>.191</t>
  </si>
  <si>
    <t>.213</t>
  </si>
  <si>
    <t>3.24</t>
  </si>
  <si>
    <t>7</t>
  </si>
  <si>
    <t>93</t>
  </si>
  <si>
    <t>17.8</t>
  </si>
  <si>
    <t>73</t>
  </si>
  <si>
    <t>17</t>
  </si>
  <si>
    <t>8</t>
  </si>
  <si>
    <t>33</t>
  </si>
  <si>
    <t>.233</t>
  </si>
  <si>
    <t>.325</t>
  </si>
  <si>
    <t>.452</t>
  </si>
  <si>
    <t>.777</t>
  </si>
  <si>
    <t>0.4</t>
  </si>
  <si>
    <t>11.3</t>
  </si>
  <si>
    <t>5.5</t>
  </si>
  <si>
    <t>.120</t>
  </si>
  <si>
    <t>0.53</t>
  </si>
  <si>
    <t>.219</t>
  </si>
  <si>
    <t>.356</t>
  </si>
  <si>
    <t>3.42</t>
  </si>
  <si>
    <t>83</t>
  </si>
  <si>
    <t>14.6</t>
  </si>
  <si>
    <t>RF</t>
  </si>
  <si>
    <t>70</t>
  </si>
  <si>
    <t>.243</t>
  </si>
  <si>
    <t>.308</t>
  </si>
  <si>
    <t>.371</t>
  </si>
  <si>
    <t>.679</t>
  </si>
  <si>
    <t>-0.1</t>
  </si>
  <si>
    <t>8.0</t>
  </si>
  <si>
    <t>3.9</t>
  </si>
  <si>
    <t>.090</t>
  </si>
  <si>
    <t>0.41</t>
  </si>
  <si>
    <t>.129</t>
  </si>
  <si>
    <t>.229</t>
  </si>
  <si>
    <t>4.22</t>
  </si>
  <si>
    <t>78</t>
  </si>
  <si>
    <t>35.0</t>
  </si>
  <si>
    <t>23</t>
  </si>
  <si>
    <t>69</t>
  </si>
  <si>
    <t>.188</t>
  </si>
  <si>
    <t>.273</t>
  </si>
  <si>
    <t>.362</t>
  </si>
  <si>
    <t>.635</t>
  </si>
  <si>
    <t>-0.3</t>
  </si>
  <si>
    <t>7.0</t>
  </si>
  <si>
    <t>.104</t>
  </si>
  <si>
    <t>0.38</t>
  </si>
  <si>
    <t>.174</t>
  </si>
  <si>
    <t>.304</t>
  </si>
  <si>
    <t>3.96</t>
  </si>
  <si>
    <t>77</t>
  </si>
  <si>
    <t>23.0</t>
  </si>
  <si>
    <t>OF</t>
  </si>
  <si>
    <t>59</t>
  </si>
  <si>
    <t>.288</t>
  </si>
  <si>
    <t>.400</t>
  </si>
  <si>
    <t>.441</t>
  </si>
  <si>
    <t>.841</t>
  </si>
  <si>
    <t>11.0</t>
  </si>
  <si>
    <t>6.8</t>
  </si>
  <si>
    <t>.155</t>
  </si>
  <si>
    <t>0.79</t>
  </si>
  <si>
    <t>.153</t>
  </si>
  <si>
    <t>3.90</t>
  </si>
  <si>
    <t>71</t>
  </si>
  <si>
    <t>29.5</t>
  </si>
  <si>
    <t>Blaze Alexander</t>
  </si>
  <si>
    <t>22</t>
  </si>
  <si>
    <t>20</t>
  </si>
  <si>
    <t>.172</t>
  </si>
  <si>
    <t>.238</t>
  </si>
  <si>
    <t>.190</t>
  </si>
  <si>
    <t>.428</t>
  </si>
  <si>
    <t>-0.5</t>
  </si>
  <si>
    <t>0.7</t>
  </si>
  <si>
    <t>.062</t>
  </si>
  <si>
    <t>0.20</t>
  </si>
  <si>
    <t>.017</t>
  </si>
  <si>
    <t>.121</t>
  </si>
  <si>
    <t>3.80</t>
  </si>
  <si>
    <t>65</t>
  </si>
  <si>
    <t>0.0</t>
  </si>
  <si>
    <t>Colton Cowser</t>
  </si>
  <si>
    <t>55</t>
  </si>
  <si>
    <t>.200</t>
  </si>
  <si>
    <t>.274</t>
  </si>
  <si>
    <t>.236</t>
  </si>
  <si>
    <t>.511</t>
  </si>
  <si>
    <t>-0.2</t>
  </si>
  <si>
    <t>3.1</t>
  </si>
  <si>
    <t>1.7</t>
  </si>
  <si>
    <t>.095</t>
  </si>
  <si>
    <t>0.30</t>
  </si>
  <si>
    <t>.036</t>
  </si>
  <si>
    <t>.127</t>
  </si>
  <si>
    <t>4.24</t>
  </si>
  <si>
    <t>63</t>
  </si>
  <si>
    <t>51</t>
  </si>
  <si>
    <t>.333</t>
  </si>
  <si>
    <t>.393</t>
  </si>
  <si>
    <t>.627</t>
  </si>
  <si>
    <t>1.020</t>
  </si>
  <si>
    <t>0.9</t>
  </si>
  <si>
    <t>12.0</t>
  </si>
  <si>
    <t>9.5</t>
  </si>
  <si>
    <t>.089</t>
  </si>
  <si>
    <t>0.71</t>
  </si>
  <si>
    <t>.294</t>
  </si>
  <si>
    <t>.392</t>
  </si>
  <si>
    <t>3.86</t>
  </si>
  <si>
    <t>56</t>
  </si>
  <si>
    <t>17.0</t>
  </si>
  <si>
    <t>Tyler O'Neill</t>
  </si>
  <si>
    <t>12</t>
  </si>
  <si>
    <t>37</t>
  </si>
  <si>
    <t>.216</t>
  </si>
  <si>
    <t>.310</t>
  </si>
  <si>
    <t>.297</t>
  </si>
  <si>
    <t>.607</t>
  </si>
  <si>
    <t>3.7</t>
  </si>
  <si>
    <t>3.5</t>
  </si>
  <si>
    <t>.071</t>
  </si>
  <si>
    <t>.081</t>
  </si>
  <si>
    <t>.162</t>
  </si>
  <si>
    <t>3.71</t>
  </si>
  <si>
    <t>42</t>
  </si>
  <si>
    <t>37.0</t>
  </si>
  <si>
    <t>Ryan Mountcastle</t>
  </si>
  <si>
    <t>.286</t>
  </si>
  <si>
    <t>.357</t>
  </si>
  <si>
    <t>.690</t>
  </si>
  <si>
    <t>4.7</t>
  </si>
  <si>
    <t>.067</t>
  </si>
  <si>
    <t>0.50</t>
  </si>
  <si>
    <t>.143</t>
  </si>
  <si>
    <t>3.60</t>
  </si>
  <si>
    <t>Weston Wilson</t>
  </si>
  <si>
    <t>.300</t>
  </si>
  <si>
    <t>.462</t>
  </si>
  <si>
    <t>.862</t>
  </si>
  <si>
    <t>2.0</t>
  </si>
  <si>
    <t>6.7</t>
  </si>
  <si>
    <t>.154</t>
  </si>
  <si>
    <t>0.40</t>
  </si>
  <si>
    <t>.100</t>
  </si>
  <si>
    <t>5.38</t>
  </si>
  <si>
    <t>Sam Huff</t>
  </si>
  <si>
    <t>.222</t>
  </si>
  <si>
    <t>.556</t>
  </si>
  <si>
    <t>2.3</t>
  </si>
  <si>
    <t>.000</t>
  </si>
  <si>
    <t>0.00</t>
  </si>
  <si>
    <t>.111</t>
  </si>
  <si>
    <t>Johnathan Rodriguez</t>
  </si>
  <si>
    <t>0.75</t>
  </si>
  <si>
    <t>.429</t>
  </si>
  <si>
    <t>5.00</t>
  </si>
  <si>
    <t>27</t>
  </si>
  <si>
    <t>111</t>
  </si>
  <si>
    <t>.198</t>
  </si>
  <si>
    <t>.235</t>
  </si>
  <si>
    <t>.533</t>
  </si>
  <si>
    <t>0.1</t>
  </si>
  <si>
    <t>6.4</t>
  </si>
  <si>
    <t>1.8</t>
  </si>
  <si>
    <t>.050</t>
  </si>
  <si>
    <t>0.16</t>
  </si>
  <si>
    <t>.099</t>
  </si>
  <si>
    <t>.171</t>
  </si>
  <si>
    <t>3.55</t>
  </si>
  <si>
    <t>55.5</t>
  </si>
  <si>
    <t>104</t>
  </si>
  <si>
    <t>31</t>
  </si>
  <si>
    <t>.298</t>
  </si>
  <si>
    <t>.354</t>
  </si>
  <si>
    <t>.481</t>
  </si>
  <si>
    <t>.835</t>
  </si>
  <si>
    <t>1.4</t>
  </si>
  <si>
    <t>16.3</t>
  </si>
  <si>
    <t>5.7</t>
  </si>
  <si>
    <t>.080</t>
  </si>
  <si>
    <t>0.45</t>
  </si>
  <si>
    <t>.183</t>
  </si>
  <si>
    <t>.260</t>
  </si>
  <si>
    <t>113</t>
  </si>
  <si>
    <t>26.0</t>
  </si>
  <si>
    <t>Willson Contreras</t>
  </si>
  <si>
    <t>95</t>
  </si>
  <si>
    <t>44</t>
  </si>
  <si>
    <t>.253</t>
  </si>
  <si>
    <t>.374</t>
  </si>
  <si>
    <t>.463</t>
  </si>
  <si>
    <t>.837</t>
  </si>
  <si>
    <t>1.0</t>
  </si>
  <si>
    <t>6.2</t>
  </si>
  <si>
    <t>.211</t>
  </si>
  <si>
    <t>.358</t>
  </si>
  <si>
    <t>4.04</t>
  </si>
  <si>
    <t>115</t>
  </si>
  <si>
    <t>15.8</t>
  </si>
  <si>
    <t>90</t>
  </si>
  <si>
    <t>.189</t>
  </si>
  <si>
    <t>.255</t>
  </si>
  <si>
    <t>.278</t>
  </si>
  <si>
    <t>7.2</t>
  </si>
  <si>
    <t>2.7</t>
  </si>
  <si>
    <t>0.28</t>
  </si>
  <si>
    <t>3.58</t>
  </si>
  <si>
    <t>98</t>
  </si>
  <si>
    <t>90.0</t>
  </si>
  <si>
    <t>3B</t>
  </si>
  <si>
    <t>.169</t>
  </si>
  <si>
    <t>.530</t>
  </si>
  <si>
    <t>5.6</t>
  </si>
  <si>
    <t>1.9</t>
  </si>
  <si>
    <t>0.60</t>
  </si>
  <si>
    <t>.101</t>
  </si>
  <si>
    <t>.225</t>
  </si>
  <si>
    <t>3.73</t>
  </si>
  <si>
    <t>100</t>
  </si>
  <si>
    <t>89.0</t>
  </si>
  <si>
    <t>CF</t>
  </si>
  <si>
    <t>87</t>
  </si>
  <si>
    <t>35</t>
  </si>
  <si>
    <t>.276</t>
  </si>
  <si>
    <t>.351</t>
  </si>
  <si>
    <t>.402</t>
  </si>
  <si>
    <t>.753</t>
  </si>
  <si>
    <t>10.3</t>
  </si>
  <si>
    <t>4.0</t>
  </si>
  <si>
    <t>.126</t>
  </si>
  <si>
    <t>.161</t>
  </si>
  <si>
    <t>3.78</t>
  </si>
  <si>
    <t>97</t>
  </si>
  <si>
    <t>87.0</t>
  </si>
  <si>
    <t>.217</t>
  </si>
  <si>
    <t>.313</t>
  </si>
  <si>
    <t>.670</t>
  </si>
  <si>
    <t>0.5</t>
  </si>
  <si>
    <t>11.4</t>
  </si>
  <si>
    <t>.168</t>
  </si>
  <si>
    <t>0.63</t>
  </si>
  <si>
    <t>.096</t>
  </si>
  <si>
    <t>101</t>
  </si>
  <si>
    <t>83.0</t>
  </si>
  <si>
    <t>67</t>
  </si>
  <si>
    <t>.224</t>
  </si>
  <si>
    <t>.293</t>
  </si>
  <si>
    <t>.652</t>
  </si>
  <si>
    <t>6.9</t>
  </si>
  <si>
    <t>.079</t>
  </si>
  <si>
    <t>0.46</t>
  </si>
  <si>
    <t>.134</t>
  </si>
  <si>
    <t>.254</t>
  </si>
  <si>
    <t>3.63</t>
  </si>
  <si>
    <t>76</t>
  </si>
  <si>
    <t>67.0</t>
  </si>
  <si>
    <t>57</t>
  </si>
  <si>
    <t>.246</t>
  </si>
  <si>
    <t>.271</t>
  </si>
  <si>
    <t>.605</t>
  </si>
  <si>
    <t>-0.4</t>
  </si>
  <si>
    <t>4.9</t>
  </si>
  <si>
    <t>3.0</t>
  </si>
  <si>
    <t>.033</t>
  </si>
  <si>
    <t>0.12</t>
  </si>
  <si>
    <t>.088</t>
  </si>
  <si>
    <t>3.88</t>
  </si>
  <si>
    <t>60</t>
  </si>
  <si>
    <t>57.0</t>
  </si>
  <si>
    <t>Masataka Yoshida</t>
  </si>
  <si>
    <t>46</t>
  </si>
  <si>
    <t>.261</t>
  </si>
  <si>
    <t>.326</t>
  </si>
  <si>
    <t>.719</t>
  </si>
  <si>
    <t>7.3</t>
  </si>
  <si>
    <t>5.8</t>
  </si>
  <si>
    <t>1.50</t>
  </si>
  <si>
    <t>.065</t>
  </si>
  <si>
    <t>.283</t>
  </si>
  <si>
    <t>Andruw Monasterio</t>
  </si>
  <si>
    <t>.244</t>
  </si>
  <si>
    <t>.311</t>
  </si>
  <si>
    <t>.415</t>
  </si>
  <si>
    <t>.726</t>
  </si>
  <si>
    <t>5.0</t>
  </si>
  <si>
    <t>4.1</t>
  </si>
  <si>
    <t>.268</t>
  </si>
  <si>
    <t>4.33</t>
  </si>
  <si>
    <t>45</t>
  </si>
  <si>
    <t>41.0</t>
  </si>
  <si>
    <t>Connor Wong</t>
  </si>
  <si>
    <t>.368</t>
  </si>
  <si>
    <t>.793</t>
  </si>
  <si>
    <t>5.4</t>
  </si>
  <si>
    <t>.103</t>
  </si>
  <si>
    <t>0.67</t>
  </si>
  <si>
    <t>.152</t>
  </si>
  <si>
    <t>.303</t>
  </si>
  <si>
    <t>3.64</t>
  </si>
  <si>
    <t>39</t>
  </si>
  <si>
    <t>Isiah Kiner-Falefa</t>
  </si>
  <si>
    <t>.212</t>
  </si>
  <si>
    <t>.257</t>
  </si>
  <si>
    <t>.469</t>
  </si>
  <si>
    <t>.057</t>
  </si>
  <si>
    <t>0.29</t>
  </si>
  <si>
    <t>3.37</t>
  </si>
  <si>
    <t>.230</t>
  </si>
  <si>
    <t>.369</t>
  </si>
  <si>
    <t>.560</t>
  </si>
  <si>
    <t>.929</t>
  </si>
  <si>
    <t>1.2</t>
  </si>
  <si>
    <t>20.9</t>
  </si>
  <si>
    <t>0.62</t>
  </si>
  <si>
    <t>.330</t>
  </si>
  <si>
    <t>.570</t>
  </si>
  <si>
    <t>4.45</t>
  </si>
  <si>
    <t>Jazz Chisholm Jr.</t>
  </si>
  <si>
    <t>.633</t>
  </si>
  <si>
    <t>11.7</t>
  </si>
  <si>
    <t>0.33</t>
  </si>
  <si>
    <t>.113</t>
  </si>
  <si>
    <t>.309</t>
  </si>
  <si>
    <t>48.5</t>
  </si>
  <si>
    <t>96</t>
  </si>
  <si>
    <t>40</t>
  </si>
  <si>
    <t>.314</t>
  </si>
  <si>
    <t>.417</t>
  </si>
  <si>
    <t>.730</t>
  </si>
  <si>
    <t>1.1</t>
  </si>
  <si>
    <t>12.2</t>
  </si>
  <si>
    <t>4.3</t>
  </si>
  <si>
    <t>.039</t>
  </si>
  <si>
    <t>0.17</t>
  </si>
  <si>
    <t>.146</t>
  </si>
  <si>
    <t>.281</t>
  </si>
  <si>
    <t>3.89</t>
  </si>
  <si>
    <t>102</t>
  </si>
  <si>
    <t>32.0</t>
  </si>
  <si>
    <t>38</t>
  </si>
  <si>
    <t>.250</t>
  </si>
  <si>
    <t>.396</t>
  </si>
  <si>
    <t>.758</t>
  </si>
  <si>
    <t>15.1</t>
  </si>
  <si>
    <t>5.3</t>
  </si>
  <si>
    <t>1.20</t>
  </si>
  <si>
    <t>3.72</t>
  </si>
  <si>
    <t>116</t>
  </si>
  <si>
    <t>DH</t>
  </si>
  <si>
    <t>29</t>
  </si>
  <si>
    <t>.256</t>
  </si>
  <si>
    <t>.302</t>
  </si>
  <si>
    <t>.422</t>
  </si>
  <si>
    <t>.724</t>
  </si>
  <si>
    <t>11.1</t>
  </si>
  <si>
    <t>4.4</t>
  </si>
  <si>
    <t>.063</t>
  </si>
  <si>
    <t>0.21</t>
  </si>
  <si>
    <t>.167</t>
  </si>
  <si>
    <t>4.00</t>
  </si>
  <si>
    <t>30.0</t>
  </si>
  <si>
    <t>86</t>
  </si>
  <si>
    <t>30</t>
  </si>
  <si>
    <t>.450</t>
  </si>
  <si>
    <t>.733</t>
  </si>
  <si>
    <t>1.182</t>
  </si>
  <si>
    <t>1.5</t>
  </si>
  <si>
    <t>27.4</t>
  </si>
  <si>
    <t>12.3</t>
  </si>
  <si>
    <t>.407</t>
  </si>
  <si>
    <t>.651</t>
  </si>
  <si>
    <t>9.6</t>
  </si>
  <si>
    <t>81</t>
  </si>
  <si>
    <t>16</t>
  </si>
  <si>
    <t>.160</t>
  </si>
  <si>
    <t>.317</t>
  </si>
  <si>
    <t>.346</t>
  </si>
  <si>
    <t>.663</t>
  </si>
  <si>
    <t>9.9</t>
  </si>
  <si>
    <t>0.95</t>
  </si>
  <si>
    <t>.185</t>
  </si>
  <si>
    <t>.420</t>
  </si>
  <si>
    <t>3.98</t>
  </si>
  <si>
    <t>20.3</t>
  </si>
  <si>
    <t>64</t>
  </si>
  <si>
    <t>.338</t>
  </si>
  <si>
    <t>.634</t>
  </si>
  <si>
    <t>1.07</t>
  </si>
  <si>
    <t>.109</t>
  </si>
  <si>
    <t>.344</t>
  </si>
  <si>
    <t>3.95</t>
  </si>
  <si>
    <t>80</t>
  </si>
  <si>
    <t>62</t>
  </si>
  <si>
    <t>.177</t>
  </si>
  <si>
    <t>.292</t>
  </si>
  <si>
    <t>.566</t>
  </si>
  <si>
    <t>2.2</t>
  </si>
  <si>
    <t>.139</t>
  </si>
  <si>
    <t>.097</t>
  </si>
  <si>
    <t>.258</t>
  </si>
  <si>
    <t>72</t>
  </si>
  <si>
    <t>31.0</t>
  </si>
  <si>
    <t>Amed Rosario</t>
  </si>
  <si>
    <t>.263</t>
  </si>
  <si>
    <t>.526</t>
  </si>
  <si>
    <t>.828</t>
  </si>
  <si>
    <t>9.2</t>
  </si>
  <si>
    <t>0.36</t>
  </si>
  <si>
    <t>3.56</t>
  </si>
  <si>
    <t>14.3</t>
  </si>
  <si>
    <t>Randal Grichuk</t>
  </si>
  <si>
    <t>.194</t>
  </si>
  <si>
    <t>.323</t>
  </si>
  <si>
    <t>.535</t>
  </si>
  <si>
    <t>2.1</t>
  </si>
  <si>
    <t>.030</t>
  </si>
  <si>
    <t>J.C. Escarra</t>
  </si>
  <si>
    <t>.214</t>
  </si>
  <si>
    <t>.241</t>
  </si>
  <si>
    <t>.599</t>
  </si>
  <si>
    <t>2.4</t>
  </si>
  <si>
    <t>2.9</t>
  </si>
  <si>
    <t>.034</t>
  </si>
  <si>
    <t>0.11</t>
  </si>
  <si>
    <t>.179</t>
  </si>
  <si>
    <t>4.10</t>
  </si>
  <si>
    <t>Paul Goldschmidt</t>
  </si>
  <si>
    <t>.732</t>
  </si>
  <si>
    <t>4.6</t>
  </si>
  <si>
    <t>28.0</t>
  </si>
  <si>
    <t>108</t>
  </si>
  <si>
    <t>.259</t>
  </si>
  <si>
    <t>.509</t>
  </si>
  <si>
    <t>.845</t>
  </si>
  <si>
    <t>17.7</t>
  </si>
  <si>
    <t>.107</t>
  </si>
  <si>
    <t>0.72</t>
  </si>
  <si>
    <t>.361</t>
  </si>
  <si>
    <t>3.84</t>
  </si>
  <si>
    <t>122</t>
  </si>
  <si>
    <t>13.5</t>
  </si>
  <si>
    <t>106</t>
  </si>
  <si>
    <t>.321</t>
  </si>
  <si>
    <t>.712</t>
  </si>
  <si>
    <t>15.0</t>
  </si>
  <si>
    <t>5.1</t>
  </si>
  <si>
    <t>.052</t>
  </si>
  <si>
    <t>.038</t>
  </si>
  <si>
    <t>.151</t>
  </si>
  <si>
    <t>3.22</t>
  </si>
  <si>
    <t>52</t>
  </si>
  <si>
    <t>.337</t>
  </si>
  <si>
    <t>.425</t>
  </si>
  <si>
    <t>.500</t>
  </si>
  <si>
    <t>.925</t>
  </si>
  <si>
    <t>21.9</t>
  </si>
  <si>
    <t>8.3</t>
  </si>
  <si>
    <t>.092</t>
  </si>
  <si>
    <t>.163</t>
  </si>
  <si>
    <t>.279</t>
  </si>
  <si>
    <t>120</t>
  </si>
  <si>
    <t>.227</t>
  </si>
  <si>
    <t>.350</t>
  </si>
  <si>
    <t>.454</t>
  </si>
  <si>
    <t>.804</t>
  </si>
  <si>
    <t>16.9</t>
  </si>
  <si>
    <t>.158</t>
  </si>
  <si>
    <t>0.68</t>
  </si>
  <si>
    <t>.423</t>
  </si>
  <si>
    <t>4.19</t>
  </si>
  <si>
    <t>16.2</t>
  </si>
  <si>
    <t>.138</t>
  </si>
  <si>
    <t>.453</t>
  </si>
  <si>
    <t>0.25</t>
  </si>
  <si>
    <t>.115</t>
  </si>
  <si>
    <t>3.82</t>
  </si>
  <si>
    <t>43.5</t>
  </si>
  <si>
    <t>.689</t>
  </si>
  <si>
    <t>0.3</t>
  </si>
  <si>
    <t>8.6</t>
  </si>
  <si>
    <t>.098</t>
  </si>
  <si>
    <t>0.44</t>
  </si>
  <si>
    <t>3.99</t>
  </si>
  <si>
    <t>82</t>
  </si>
  <si>
    <t>.406</t>
  </si>
  <si>
    <t>.744</t>
  </si>
  <si>
    <t>4.2</t>
  </si>
  <si>
    <t>.027</t>
  </si>
  <si>
    <t>0.22</t>
  </si>
  <si>
    <t>.116</t>
  </si>
  <si>
    <t>.145</t>
  </si>
  <si>
    <t>3.38</t>
  </si>
  <si>
    <t>74</t>
  </si>
  <si>
    <t>69.0</t>
  </si>
  <si>
    <t>.322</t>
  </si>
  <si>
    <t>.482</t>
  </si>
  <si>
    <t>7.6</t>
  </si>
  <si>
    <t>.051</t>
  </si>
  <si>
    <t>3.41</t>
  </si>
  <si>
    <t>53</t>
  </si>
  <si>
    <t>.245</t>
  </si>
  <si>
    <t>.775</t>
  </si>
  <si>
    <t>.102</t>
  </si>
  <si>
    <t>0.43</t>
  </si>
  <si>
    <t>.208</t>
  </si>
  <si>
    <t>26.5</t>
  </si>
  <si>
    <t>.531</t>
  </si>
  <si>
    <t>.066</t>
  </si>
  <si>
    <t>3.87</t>
  </si>
  <si>
    <t>61</t>
  </si>
  <si>
    <t>.412</t>
  </si>
  <si>
    <t>.359</t>
  </si>
  <si>
    <t>.771</t>
  </si>
  <si>
    <t>7.1</t>
  </si>
  <si>
    <t>6.0</t>
  </si>
  <si>
    <t>.157</t>
  </si>
  <si>
    <t>1.14</t>
  </si>
  <si>
    <t>39.0</t>
  </si>
  <si>
    <t>.355</t>
  </si>
  <si>
    <t>Hunter Feduccia</t>
  </si>
  <si>
    <t>.382</t>
  </si>
  <si>
    <t>.632</t>
  </si>
  <si>
    <t>4.5</t>
  </si>
  <si>
    <t>.176</t>
  </si>
  <si>
    <t>Carson Williams</t>
  </si>
  <si>
    <t>.130</t>
  </si>
  <si>
    <t>.341</t>
  </si>
  <si>
    <t>.040</t>
  </si>
  <si>
    <t>.043</t>
  </si>
  <si>
    <t>.087</t>
  </si>
  <si>
    <t>3.68</t>
  </si>
  <si>
    <t>112</t>
  </si>
  <si>
    <t>49</t>
  </si>
  <si>
    <t>.327</t>
  </si>
  <si>
    <t>.438</t>
  </si>
  <si>
    <t>.765</t>
  </si>
  <si>
    <t>14.9</t>
  </si>
  <si>
    <t>.009</t>
  </si>
  <si>
    <t>2.99</t>
  </si>
  <si>
    <t>Vladimir Guerrero Jr.</t>
  </si>
  <si>
    <t>.340</t>
  </si>
  <si>
    <t>.426</t>
  </si>
  <si>
    <t>.460</t>
  </si>
  <si>
    <t>.886</t>
  </si>
  <si>
    <t>20.0</t>
  </si>
  <si>
    <t>7.9</t>
  </si>
  <si>
    <t>1.08</t>
  </si>
  <si>
    <t>3.57</t>
  </si>
  <si>
    <t>50.0</t>
  </si>
  <si>
    <t>.315</t>
  </si>
  <si>
    <t>.721</t>
  </si>
  <si>
    <t>11.8</t>
  </si>
  <si>
    <t>0.34</t>
  </si>
  <si>
    <t>4.44</t>
  </si>
  <si>
    <t>19.2</t>
  </si>
  <si>
    <t>94</t>
  </si>
  <si>
    <t>.287</t>
  </si>
  <si>
    <t>.468</t>
  </si>
  <si>
    <t>.781</t>
  </si>
  <si>
    <t>14.1</t>
  </si>
  <si>
    <t>.181</t>
  </si>
  <si>
    <t>.266</t>
  </si>
  <si>
    <t>31.3</t>
  </si>
  <si>
    <t>.379</t>
  </si>
  <si>
    <t>.681</t>
  </si>
  <si>
    <t>.149</t>
  </si>
  <si>
    <t>.264</t>
  </si>
  <si>
    <t>3.59</t>
  </si>
  <si>
    <t>29.0</t>
  </si>
  <si>
    <t>Jesus Sanchez</t>
  </si>
  <si>
    <t>79</t>
  </si>
  <si>
    <t>.456</t>
  </si>
  <si>
    <t>.770</t>
  </si>
  <si>
    <t>.056</t>
  </si>
  <si>
    <t>0.31</t>
  </si>
  <si>
    <t>3.83</t>
  </si>
  <si>
    <t>19.8</t>
  </si>
  <si>
    <t>George Springer</t>
  </si>
  <si>
    <t>54</t>
  </si>
  <si>
    <t>.370</t>
  </si>
  <si>
    <t>.661</t>
  </si>
  <si>
    <t>6.1</t>
  </si>
  <si>
    <t>0.57</t>
  </si>
  <si>
    <t>4.05</t>
  </si>
  <si>
    <t>27.0</t>
  </si>
  <si>
    <t>Nathan Lukes</t>
  </si>
  <si>
    <t>.613</t>
  </si>
  <si>
    <t>.018</t>
  </si>
  <si>
    <t>0.14</t>
  </si>
  <si>
    <t>.077</t>
  </si>
  <si>
    <t>43</t>
  </si>
  <si>
    <t>.558</t>
  </si>
  <si>
    <t>0.59</t>
  </si>
  <si>
    <t>.349</t>
  </si>
  <si>
    <t>4.42</t>
  </si>
  <si>
    <t>43.0</t>
  </si>
  <si>
    <t>.205</t>
  </si>
  <si>
    <t>.449</t>
  </si>
  <si>
    <t>.023</t>
  </si>
  <si>
    <t>0.09</t>
  </si>
  <si>
    <t>.026</t>
  </si>
  <si>
    <t>.316</t>
  </si>
  <si>
    <t>.366</t>
  </si>
  <si>
    <t>.447</t>
  </si>
  <si>
    <t>.813</t>
  </si>
  <si>
    <t>1.00</t>
  </si>
  <si>
    <t>.132</t>
  </si>
  <si>
    <t>3.67</t>
  </si>
  <si>
    <t>38.0</t>
  </si>
  <si>
    <t>Brandon Valenzuela</t>
  </si>
  <si>
    <t>.029</t>
  </si>
  <si>
    <t>0.07</t>
  </si>
  <si>
    <t>.118</t>
  </si>
  <si>
    <t>34.0</t>
  </si>
  <si>
    <t>.360</t>
  </si>
  <si>
    <t>.414</t>
  </si>
  <si>
    <t>.774</t>
  </si>
  <si>
    <t>5.9</t>
  </si>
  <si>
    <t>Lenyn Sosa</t>
  </si>
  <si>
    <t>.240</t>
  </si>
  <si>
    <t>.231</t>
  </si>
  <si>
    <t>.320</t>
  </si>
  <si>
    <t>.551</t>
  </si>
  <si>
    <t>3.15</t>
  </si>
  <si>
    <t>Alejandro Kirk</t>
  </si>
  <si>
    <t>.150</t>
  </si>
  <si>
    <t>.577</t>
  </si>
  <si>
    <t>.091</t>
  </si>
  <si>
    <t>3.36</t>
  </si>
  <si>
    <t>Addison Barger</t>
  </si>
  <si>
    <t>.053</t>
  </si>
  <si>
    <t>.105</t>
  </si>
  <si>
    <t>-0.6</t>
  </si>
  <si>
    <t>4.09</t>
  </si>
  <si>
    <t>Yohendrick Pinango</t>
  </si>
  <si>
    <t>1.000</t>
  </si>
  <si>
    <t>3.50</t>
  </si>
  <si>
    <t>99</t>
  </si>
  <si>
    <t>.232</t>
  </si>
  <si>
    <t>.935</t>
  </si>
  <si>
    <t>20.8</t>
  </si>
  <si>
    <t>.180</t>
  </si>
  <si>
    <t>0.54</t>
  </si>
  <si>
    <t>.545</t>
  </si>
  <si>
    <t>9.0</t>
  </si>
  <si>
    <t>.345</t>
  </si>
  <si>
    <t>.343</t>
  </si>
  <si>
    <t>.112</t>
  </si>
  <si>
    <t>4.21</t>
  </si>
  <si>
    <t>99.0</t>
  </si>
  <si>
    <t>.204</t>
  </si>
  <si>
    <t>.347</t>
  </si>
  <si>
    <t>.418</t>
  </si>
  <si>
    <t>16.4</t>
  </si>
  <si>
    <t>.165</t>
  </si>
  <si>
    <t>1.05</t>
  </si>
  <si>
    <t>121</t>
  </si>
  <si>
    <t>19.6</t>
  </si>
  <si>
    <t>48</t>
  </si>
  <si>
    <t>.490</t>
  </si>
  <si>
    <t>.829</t>
  </si>
  <si>
    <t>16.6</t>
  </si>
  <si>
    <t>.265</t>
  </si>
  <si>
    <t>.378</t>
  </si>
  <si>
    <t>3.76</t>
  </si>
  <si>
    <t>14.0</t>
  </si>
  <si>
    <t>.207</t>
  </si>
  <si>
    <t>.628</t>
  </si>
  <si>
    <t>7.5</t>
  </si>
  <si>
    <t>4.01</t>
  </si>
  <si>
    <t>88</t>
  </si>
  <si>
    <t>.437</t>
  </si>
  <si>
    <t>.015</t>
  </si>
  <si>
    <t>75</t>
  </si>
  <si>
    <t>.451</t>
  </si>
  <si>
    <t>.016</t>
  </si>
  <si>
    <t>Tristan Peters</t>
  </si>
  <si>
    <t>.267</t>
  </si>
  <si>
    <t>.629</t>
  </si>
  <si>
    <t>6.6</t>
  </si>
  <si>
    <t>.838</t>
  </si>
  <si>
    <t>3.26</t>
  </si>
  <si>
    <t>19.3</t>
  </si>
  <si>
    <t>Derek Hill</t>
  </si>
  <si>
    <t>.324</t>
  </si>
  <si>
    <t>.657</t>
  </si>
  <si>
    <t>3.4</t>
  </si>
  <si>
    <t>.125</t>
  </si>
  <si>
    <t>.515</t>
  </si>
  <si>
    <t>4.15</t>
  </si>
  <si>
    <t>Austin Hays</t>
  </si>
  <si>
    <t>.242</t>
  </si>
  <si>
    <t>.586</t>
  </si>
  <si>
    <t>0.08</t>
  </si>
  <si>
    <t>3.85</t>
  </si>
  <si>
    <t>.433</t>
  </si>
  <si>
    <t>.785</t>
  </si>
  <si>
    <t>3.92</t>
  </si>
  <si>
    <t>Reese McGuire</t>
  </si>
  <si>
    <t>.445</t>
  </si>
  <si>
    <t>1.6</t>
  </si>
  <si>
    <t>.059</t>
  </si>
  <si>
    <t>.069</t>
  </si>
  <si>
    <t>Tanner Murray</t>
  </si>
  <si>
    <t>.603</t>
  </si>
  <si>
    <t>3.2</t>
  </si>
  <si>
    <t>.061</t>
  </si>
  <si>
    <t>3.12</t>
  </si>
  <si>
    <t>8.1</t>
  </si>
  <si>
    <t>.583</t>
  </si>
  <si>
    <t>3.31</t>
  </si>
  <si>
    <t>Drew Romo</t>
  </si>
  <si>
    <t>2.00</t>
  </si>
  <si>
    <t>.667</t>
  </si>
  <si>
    <t>4.20</t>
  </si>
  <si>
    <t>105</t>
  </si>
  <si>
    <t>.457</t>
  </si>
  <si>
    <t>.814</t>
  </si>
  <si>
    <t>20.4</t>
  </si>
  <si>
    <t>1.24</t>
  </si>
  <si>
    <t>4.26</t>
  </si>
  <si>
    <t>126</t>
  </si>
  <si>
    <t>17.5</t>
  </si>
  <si>
    <t>.284</t>
  </si>
  <si>
    <t>.595</t>
  </si>
  <si>
    <t>0.86</t>
  </si>
  <si>
    <t>.186</t>
  </si>
  <si>
    <t>117</t>
  </si>
  <si>
    <t>102.0</t>
  </si>
  <si>
    <t>.363</t>
  </si>
  <si>
    <t>.411</t>
  </si>
  <si>
    <t>13.1</t>
  </si>
  <si>
    <t>0.91</t>
  </si>
  <si>
    <t>.133</t>
  </si>
  <si>
    <t>4.14</t>
  </si>
  <si>
    <t>103</t>
  </si>
  <si>
    <t>.478</t>
  </si>
  <si>
    <t>.805</t>
  </si>
  <si>
    <t>13.9</t>
  </si>
  <si>
    <t>.389</t>
  </si>
  <si>
    <t>18.0</t>
  </si>
  <si>
    <t>.289</t>
  </si>
  <si>
    <t>.860</t>
  </si>
  <si>
    <t>0.18</t>
  </si>
  <si>
    <t>4.08</t>
  </si>
  <si>
    <t>.192</t>
  </si>
  <si>
    <t>.541</t>
  </si>
  <si>
    <t>.064</t>
  </si>
  <si>
    <t>78.0</t>
  </si>
  <si>
    <t>66</t>
  </si>
  <si>
    <t>.318</t>
  </si>
  <si>
    <t>.561</t>
  </si>
  <si>
    <t>.961</t>
  </si>
  <si>
    <t>0.39</t>
  </si>
  <si>
    <t>.364</t>
  </si>
  <si>
    <t>22.0</t>
  </si>
  <si>
    <t>.691</t>
  </si>
  <si>
    <t>8.9</t>
  </si>
  <si>
    <t>0.65</t>
  </si>
  <si>
    <t>.348</t>
  </si>
  <si>
    <t>4.52</t>
  </si>
  <si>
    <t>66.0</t>
  </si>
  <si>
    <t>.388</t>
  </si>
  <si>
    <t>.075</t>
  </si>
  <si>
    <t>4.40</t>
  </si>
  <si>
    <t>62.0</t>
  </si>
  <si>
    <t>.505</t>
  </si>
  <si>
    <t>2.8</t>
  </si>
  <si>
    <t>0.24</t>
  </si>
  <si>
    <t>.078</t>
  </si>
  <si>
    <t>.564</t>
  </si>
  <si>
    <t>.028</t>
  </si>
  <si>
    <t>.086</t>
  </si>
  <si>
    <t>.114</t>
  </si>
  <si>
    <t>3.06</t>
  </si>
  <si>
    <t>.353</t>
  </si>
  <si>
    <t>4.49</t>
  </si>
  <si>
    <t>.306</t>
  </si>
  <si>
    <t>.639</t>
  </si>
  <si>
    <t>3.6</t>
  </si>
  <si>
    <t>Gabriel Arias</t>
  </si>
  <si>
    <t>.683</t>
  </si>
  <si>
    <t>CJ Kayfus</t>
  </si>
  <si>
    <t>.182</t>
  </si>
  <si>
    <t>.644</t>
  </si>
  <si>
    <t>4.32</t>
  </si>
  <si>
    <t>.528</t>
  </si>
  <si>
    <t>.951</t>
  </si>
  <si>
    <t>24.2</t>
  </si>
  <si>
    <t>4.07</t>
  </si>
  <si>
    <t>53.0</t>
  </si>
  <si>
    <t>.466</t>
  </si>
  <si>
    <t>.866</t>
  </si>
  <si>
    <t>19.1</t>
  </si>
  <si>
    <t>.142</t>
  </si>
  <si>
    <t>4.38</t>
  </si>
  <si>
    <t>34.3</t>
  </si>
  <si>
    <t>.472</t>
  </si>
  <si>
    <t>.836</t>
  </si>
  <si>
    <t>15.6</t>
  </si>
  <si>
    <t>.416</t>
  </si>
  <si>
    <t>4.36</t>
  </si>
  <si>
    <t>84</t>
  </si>
  <si>
    <t>.319</t>
  </si>
  <si>
    <t>.464</t>
  </si>
  <si>
    <t>.783</t>
  </si>
  <si>
    <t>.226</t>
  </si>
  <si>
    <t>3.70</t>
  </si>
  <si>
    <t>16.8</t>
  </si>
  <si>
    <t>.047</t>
  </si>
  <si>
    <t>.085</t>
  </si>
  <si>
    <t>.237</t>
  </si>
  <si>
    <t>.852</t>
  </si>
  <si>
    <t>13.8</t>
  </si>
  <si>
    <t>.408</t>
  </si>
  <si>
    <t>12.7</t>
  </si>
  <si>
    <t>.695</t>
  </si>
  <si>
    <t>8.2</t>
  </si>
  <si>
    <t>.025</t>
  </si>
  <si>
    <t>0.13</t>
  </si>
  <si>
    <t>3.45</t>
  </si>
  <si>
    <t>Matt Vierling</t>
  </si>
  <si>
    <t>Zach McKinstry</t>
  </si>
  <si>
    <t>.209</t>
  </si>
  <si>
    <t>.073</t>
  </si>
  <si>
    <t>3.44</t>
  </si>
  <si>
    <t>Parker Meadows</t>
  </si>
  <si>
    <t>.641</t>
  </si>
  <si>
    <t>4.18</t>
  </si>
  <si>
    <t>Jahmai Jones</t>
  </si>
  <si>
    <t>.467</t>
  </si>
  <si>
    <t>.725</t>
  </si>
  <si>
    <t>2.5</t>
  </si>
  <si>
    <t>2.6</t>
  </si>
  <si>
    <t>.032</t>
  </si>
  <si>
    <t>3.35</t>
  </si>
  <si>
    <t>Jake Rogers</t>
  </si>
  <si>
    <t>.148</t>
  </si>
  <si>
    <t>.074</t>
  </si>
  <si>
    <t>Hao-Yu Lee</t>
  </si>
  <si>
    <t>.421</t>
  </si>
  <si>
    <t>.671</t>
  </si>
  <si>
    <t>19.0</t>
  </si>
  <si>
    <t>Bobby Witt Jr.</t>
  </si>
  <si>
    <t>.790</t>
  </si>
  <si>
    <t>.128</t>
  </si>
  <si>
    <t>125</t>
  </si>
  <si>
    <t>.187</t>
  </si>
  <si>
    <t>.221</t>
  </si>
  <si>
    <t>.548</t>
  </si>
  <si>
    <t>.035</t>
  </si>
  <si>
    <t>.178</t>
  </si>
  <si>
    <t>26.8</t>
  </si>
  <si>
    <t>9.1</t>
  </si>
  <si>
    <t>33.3</t>
  </si>
  <si>
    <t>.384</t>
  </si>
  <si>
    <t>.723</t>
  </si>
  <si>
    <t>3.93</t>
  </si>
  <si>
    <t>49.5</t>
  </si>
  <si>
    <t>.512</t>
  </si>
  <si>
    <t>.863</t>
  </si>
  <si>
    <t>6.5</t>
  </si>
  <si>
    <t>.106</t>
  </si>
  <si>
    <t>13.7</t>
  </si>
  <si>
    <t>Jac Caglianone</t>
  </si>
  <si>
    <t>.769</t>
  </si>
  <si>
    <t>11.5</t>
  </si>
  <si>
    <t>40.0</t>
  </si>
  <si>
    <t>Isaac Michael Collins</t>
  </si>
  <si>
    <t>.123</t>
  </si>
  <si>
    <t>0.37</t>
  </si>
  <si>
    <t>4.06</t>
  </si>
  <si>
    <t>34.5</t>
  </si>
  <si>
    <t>Isaac Collins</t>
  </si>
  <si>
    <t>Kyle Isbel</t>
  </si>
  <si>
    <t>.470</t>
  </si>
  <si>
    <t>.817</t>
  </si>
  <si>
    <t>12.1</t>
  </si>
  <si>
    <t>Jonathan India</t>
  </si>
  <si>
    <t>.623</t>
  </si>
  <si>
    <t>24.0</t>
  </si>
  <si>
    <t>Michael Massey</t>
  </si>
  <si>
    <t>.432</t>
  </si>
  <si>
    <t>.708</t>
  </si>
  <si>
    <t>47</t>
  </si>
  <si>
    <t>44.0</t>
  </si>
  <si>
    <t>.800</t>
  </si>
  <si>
    <t>2.50</t>
  </si>
  <si>
    <t>Elias Diaz</t>
  </si>
  <si>
    <t>.714</t>
  </si>
  <si>
    <t>1.214</t>
  </si>
  <si>
    <t>3.25</t>
  </si>
  <si>
    <t>Tyler Tolbert</t>
  </si>
  <si>
    <t>-2.0</t>
  </si>
  <si>
    <t>2.80</t>
  </si>
  <si>
    <t>.519</t>
  </si>
  <si>
    <t>0.35</t>
  </si>
  <si>
    <t>.170</t>
  </si>
  <si>
    <t>114</t>
  </si>
  <si>
    <t>106.0</t>
  </si>
  <si>
    <t>.716</t>
  </si>
  <si>
    <t>21.0</t>
  </si>
  <si>
    <t>.234</t>
  </si>
  <si>
    <t>.383</t>
  </si>
  <si>
    <t>.713</t>
  </si>
  <si>
    <t>.119</t>
  </si>
  <si>
    <t>3.81</t>
  </si>
  <si>
    <t>.581</t>
  </si>
  <si>
    <t>-0.8</t>
  </si>
  <si>
    <t>.124</t>
  </si>
  <si>
    <t>4.11</t>
  </si>
  <si>
    <t>29.7</t>
  </si>
  <si>
    <t>.448</t>
  </si>
  <si>
    <t>.764</t>
  </si>
  <si>
    <t>12.5</t>
  </si>
  <si>
    <t>.195</t>
  </si>
  <si>
    <t>17.4</t>
  </si>
  <si>
    <t>Victor Caratini</t>
  </si>
  <si>
    <t>.596</t>
  </si>
  <si>
    <t>72.0</t>
  </si>
  <si>
    <t>.269</t>
  </si>
  <si>
    <t>.865</t>
  </si>
  <si>
    <t>0.93</t>
  </si>
  <si>
    <t>.403</t>
  </si>
  <si>
    <t>4.43</t>
  </si>
  <si>
    <t>22.3</t>
  </si>
  <si>
    <t>.175</t>
  </si>
  <si>
    <t>28.5</t>
  </si>
  <si>
    <t>.701</t>
  </si>
  <si>
    <t>.375</t>
  </si>
  <si>
    <t>3.94</t>
  </si>
  <si>
    <t>18.7</t>
  </si>
  <si>
    <t>Austin Martin</t>
  </si>
  <si>
    <t>.455</t>
  </si>
  <si>
    <t>.955</t>
  </si>
  <si>
    <t>8.8</t>
  </si>
  <si>
    <t>1.38</t>
  </si>
  <si>
    <t>.436</t>
  </si>
  <si>
    <t>4.34</t>
  </si>
  <si>
    <t>55.0</t>
  </si>
  <si>
    <t>.352</t>
  </si>
  <si>
    <t>8.7</t>
  </si>
  <si>
    <t>1.15</t>
  </si>
  <si>
    <t>54.0</t>
  </si>
  <si>
    <t>Tristan Gray</t>
  </si>
  <si>
    <t>.489</t>
  </si>
  <si>
    <t>.795</t>
  </si>
  <si>
    <t>James Outman</t>
  </si>
  <si>
    <t>Ryan Kreidler</t>
  </si>
  <si>
    <t>1.103</t>
  </si>
  <si>
    <t>1.33</t>
  </si>
  <si>
    <t>.786</t>
  </si>
  <si>
    <t>.465</t>
  </si>
  <si>
    <t>.755</t>
  </si>
  <si>
    <t>1.220</t>
  </si>
  <si>
    <t>34.2</t>
  </si>
  <si>
    <t>1.73</t>
  </si>
  <si>
    <t>.585</t>
  </si>
  <si>
    <t>129</t>
  </si>
  <si>
    <t>.413</t>
  </si>
  <si>
    <t>.772</t>
  </si>
  <si>
    <t>15.3</t>
  </si>
  <si>
    <t>0.73</t>
  </si>
  <si>
    <t>34.7</t>
  </si>
  <si>
    <t>.291</t>
  </si>
  <si>
    <t>.373</t>
  </si>
  <si>
    <t>.573</t>
  </si>
  <si>
    <t>.946</t>
  </si>
  <si>
    <t>20.6</t>
  </si>
  <si>
    <t>.110</t>
  </si>
  <si>
    <t>.282</t>
  </si>
  <si>
    <t>118</t>
  </si>
  <si>
    <t>14.7</t>
  </si>
  <si>
    <t>.677</t>
  </si>
  <si>
    <t>12.4</t>
  </si>
  <si>
    <t>.144</t>
  </si>
  <si>
    <t>4.23</t>
  </si>
  <si>
    <t>32.3</t>
  </si>
  <si>
    <t>.792</t>
  </si>
  <si>
    <t>0.83</t>
  </si>
  <si>
    <t>.135</t>
  </si>
  <si>
    <t>48.0</t>
  </si>
  <si>
    <t>.710</t>
  </si>
  <si>
    <t>.082</t>
  </si>
  <si>
    <t>4.41</t>
  </si>
  <si>
    <t>28.7</t>
  </si>
  <si>
    <t>.215</t>
  </si>
  <si>
    <t>.329</t>
  </si>
  <si>
    <t>.567</t>
  </si>
  <si>
    <t>0.23</t>
  </si>
  <si>
    <t>3.27</t>
  </si>
  <si>
    <t>39.5</t>
  </si>
  <si>
    <t>Joey Loperfido</t>
  </si>
  <si>
    <t>.711</t>
  </si>
  <si>
    <t>7.8</t>
  </si>
  <si>
    <t>0.32</t>
  </si>
  <si>
    <t>Christian Vazquez</t>
  </si>
  <si>
    <t>.380</t>
  </si>
  <si>
    <t>.913</t>
  </si>
  <si>
    <t>4.31</t>
  </si>
  <si>
    <t>22.5</t>
  </si>
  <si>
    <t>.136</t>
  </si>
  <si>
    <t>.497</t>
  </si>
  <si>
    <t>4.66</t>
  </si>
  <si>
    <t>Jeremy Pena</t>
  </si>
  <si>
    <t>.653</t>
  </si>
  <si>
    <t>.093</t>
  </si>
  <si>
    <t>3.91</t>
  </si>
  <si>
    <t>Jake Meyers</t>
  </si>
  <si>
    <t>.704</t>
  </si>
  <si>
    <t>3.49</t>
  </si>
  <si>
    <t>Taylor Trammell</t>
  </si>
  <si>
    <t>.873</t>
  </si>
  <si>
    <t>8.4</t>
  </si>
  <si>
    <t>3.33</t>
  </si>
  <si>
    <t>Nick Allen</t>
  </si>
  <si>
    <t>.618</t>
  </si>
  <si>
    <t>3.05</t>
  </si>
  <si>
    <t>-0.7</t>
  </si>
  <si>
    <t>Shay Whitcomb</t>
  </si>
  <si>
    <t>.582</t>
  </si>
  <si>
    <t>Shay Lane Whitcomb</t>
  </si>
  <si>
    <t>Daniel Johnson</t>
  </si>
  <si>
    <t>3.10</t>
  </si>
  <si>
    <t>Braden Shewmake</t>
  </si>
  <si>
    <t>.600</t>
  </si>
  <si>
    <t>.385</t>
  </si>
  <si>
    <t>.694</t>
  </si>
  <si>
    <t>13.4</t>
  </si>
  <si>
    <t>0.15</t>
  </si>
  <si>
    <t>29.3</t>
  </si>
  <si>
    <t>.443</t>
  </si>
  <si>
    <t>4.13</t>
  </si>
  <si>
    <t>136</t>
  </si>
  <si>
    <t>.631</t>
  </si>
  <si>
    <t>0.56</t>
  </si>
  <si>
    <t>.223</t>
  </si>
  <si>
    <t>1.12</t>
  </si>
  <si>
    <t>.646</t>
  </si>
  <si>
    <t>130</t>
  </si>
  <si>
    <t>91</t>
  </si>
  <si>
    <t>.784</t>
  </si>
  <si>
    <t>.220</t>
  </si>
  <si>
    <t>18.2</t>
  </si>
  <si>
    <t>Logan O'Hoppe</t>
  </si>
  <si>
    <t>.579</t>
  </si>
  <si>
    <t>0.48</t>
  </si>
  <si>
    <t>4.03</t>
  </si>
  <si>
    <t>10.1</t>
  </si>
  <si>
    <t>92</t>
  </si>
  <si>
    <t>25.0</t>
  </si>
  <si>
    <t>.493</t>
  </si>
  <si>
    <t>.843</t>
  </si>
  <si>
    <t>6.3</t>
  </si>
  <si>
    <t>3.77</t>
  </si>
  <si>
    <t>18.8</t>
  </si>
  <si>
    <t>.365</t>
  </si>
  <si>
    <t>.444</t>
  </si>
  <si>
    <t>.810</t>
  </si>
  <si>
    <t>45.0</t>
  </si>
  <si>
    <t>.921</t>
  </si>
  <si>
    <t>3.00</t>
  </si>
  <si>
    <t>3.75</t>
  </si>
  <si>
    <t>.492</t>
  </si>
  <si>
    <t>Jeimer Candelario</t>
  </si>
  <si>
    <t>.665</t>
  </si>
  <si>
    <t>11.6</t>
  </si>
  <si>
    <t>57.5</t>
  </si>
  <si>
    <t>.563</t>
  </si>
  <si>
    <t>.923</t>
  </si>
  <si>
    <t>21.1</t>
  </si>
  <si>
    <t>0.61</t>
  </si>
  <si>
    <t>3.62</t>
  </si>
  <si>
    <t>.856</t>
  </si>
  <si>
    <t>4.60</t>
  </si>
  <si>
    <t>.239</t>
  </si>
  <si>
    <t>.058</t>
  </si>
  <si>
    <t>46.0</t>
  </si>
  <si>
    <t>Lawrence Butler</t>
  </si>
  <si>
    <t>.542</t>
  </si>
  <si>
    <t>3.97</t>
  </si>
  <si>
    <t>Jeff McNeil</t>
  </si>
  <si>
    <t>.381</t>
  </si>
  <si>
    <t>.739</t>
  </si>
  <si>
    <t>84.0</t>
  </si>
  <si>
    <t>Carlos Cortes</t>
  </si>
  <si>
    <t>.377</t>
  </si>
  <si>
    <t>1.121</t>
  </si>
  <si>
    <t>10.7</t>
  </si>
  <si>
    <t>.410</t>
  </si>
  <si>
    <t>Denzel Clarke</t>
  </si>
  <si>
    <t>.228</t>
  </si>
  <si>
    <t>.019</t>
  </si>
  <si>
    <t>.507</t>
  </si>
  <si>
    <t>3.28</t>
  </si>
  <si>
    <t>Austin Wynns</t>
  </si>
  <si>
    <t>3.74</t>
  </si>
  <si>
    <t>.656</t>
  </si>
  <si>
    <t>0.80</t>
  </si>
  <si>
    <t>4.59</t>
  </si>
  <si>
    <t>Andy Ibanez</t>
  </si>
  <si>
    <t>4.75</t>
  </si>
  <si>
    <t>.398</t>
  </si>
  <si>
    <t>.687</t>
  </si>
  <si>
    <t>128</t>
  </si>
  <si>
    <t>.664</t>
  </si>
  <si>
    <t>13.0</t>
  </si>
  <si>
    <t>56.0</t>
  </si>
  <si>
    <t>18.3</t>
  </si>
  <si>
    <t>52.5</t>
  </si>
  <si>
    <t>.757</t>
  </si>
  <si>
    <t>0.42</t>
  </si>
  <si>
    <t>33.7</t>
  </si>
  <si>
    <t>.248</t>
  </si>
  <si>
    <t>.538</t>
  </si>
  <si>
    <t>.868</t>
  </si>
  <si>
    <t>85</t>
  </si>
  <si>
    <t>J.P. Crawford</t>
  </si>
  <si>
    <t>.616</t>
  </si>
  <si>
    <t>0.94</t>
  </si>
  <si>
    <t>70.0</t>
  </si>
  <si>
    <t>68</t>
  </si>
  <si>
    <t>.275</t>
  </si>
  <si>
    <t>.206</t>
  </si>
  <si>
    <t>.044</t>
  </si>
  <si>
    <t>4.51</t>
  </si>
  <si>
    <t>.525</t>
  </si>
  <si>
    <t>.328</t>
  </si>
  <si>
    <t>Brendan Donovan</t>
  </si>
  <si>
    <t>.518</t>
  </si>
  <si>
    <t>.954</t>
  </si>
  <si>
    <t>.514</t>
  </si>
  <si>
    <t>16.5</t>
  </si>
  <si>
    <t>Mitch Garver</t>
  </si>
  <si>
    <t>4.29</t>
  </si>
  <si>
    <t>.552</t>
  </si>
  <si>
    <t>4.73</t>
  </si>
  <si>
    <t>Victor Robles</t>
  </si>
  <si>
    <t>Will Wilson</t>
  </si>
  <si>
    <t>2.000</t>
  </si>
  <si>
    <t>2.500</t>
  </si>
  <si>
    <t>38.4</t>
  </si>
  <si>
    <t>1.500</t>
  </si>
  <si>
    <t>Ryan Bliss</t>
  </si>
  <si>
    <t>-2.9</t>
  </si>
  <si>
    <t>4.50</t>
  </si>
  <si>
    <t>Patrick Wisdom</t>
  </si>
  <si>
    <t>.816</t>
  </si>
  <si>
    <t>.184</t>
  </si>
  <si>
    <t>10.4</t>
  </si>
  <si>
    <t>22.2</t>
  </si>
  <si>
    <t>.440</t>
  </si>
  <si>
    <t>.756</t>
  </si>
  <si>
    <t>16.7</t>
  </si>
  <si>
    <t>.920</t>
  </si>
  <si>
    <t>17.3</t>
  </si>
  <si>
    <t>.070</t>
  </si>
  <si>
    <t>22.8</t>
  </si>
  <si>
    <t>.699</t>
  </si>
  <si>
    <t>27.3</t>
  </si>
  <si>
    <t>Wyatt Langford</t>
  </si>
  <si>
    <t>.636</t>
  </si>
  <si>
    <t>.048</t>
  </si>
  <si>
    <t>80.0</t>
  </si>
  <si>
    <t>.141</t>
  </si>
  <si>
    <t>0.81</t>
  </si>
  <si>
    <t>Danny Jansen</t>
  </si>
  <si>
    <t>.593</t>
  </si>
  <si>
    <t>.072</t>
  </si>
  <si>
    <t>63.0</t>
  </si>
  <si>
    <t>.295</t>
  </si>
  <si>
    <t>.655</t>
  </si>
  <si>
    <t>.262</t>
  </si>
  <si>
    <t>4.25</t>
  </si>
  <si>
    <t>61.0</t>
  </si>
  <si>
    <t>.108</t>
  </si>
  <si>
    <t>.620</t>
  </si>
  <si>
    <t>4.78</t>
  </si>
  <si>
    <t>.045</t>
  </si>
  <si>
    <t>.571</t>
  </si>
  <si>
    <t>.971</t>
  </si>
  <si>
    <t>7.4</t>
  </si>
  <si>
    <t>.521</t>
  </si>
  <si>
    <t>.909</t>
  </si>
  <si>
    <t>134</t>
  </si>
  <si>
    <t>.296</t>
  </si>
  <si>
    <t>.609</t>
  </si>
  <si>
    <t>.983</t>
  </si>
  <si>
    <t>25.1</t>
  </si>
  <si>
    <t>4.39</t>
  </si>
  <si>
    <t>131</t>
  </si>
  <si>
    <t>14.4</t>
  </si>
  <si>
    <t>.491</t>
  </si>
  <si>
    <t>.846</t>
  </si>
  <si>
    <t>3.43</t>
  </si>
  <si>
    <t>124</t>
  </si>
  <si>
    <t>110</t>
  </si>
  <si>
    <t>4.16</t>
  </si>
  <si>
    <t>36.7</t>
  </si>
  <si>
    <t>Ronald Acuna Jr.</t>
  </si>
  <si>
    <t>15.9</t>
  </si>
  <si>
    <t>54.5</t>
  </si>
  <si>
    <t>.434</t>
  </si>
  <si>
    <t>.202</t>
  </si>
  <si>
    <t>Michael Harris II</t>
  </si>
  <si>
    <t>.559</t>
  </si>
  <si>
    <t>.919</t>
  </si>
  <si>
    <t>.247</t>
  </si>
  <si>
    <t>.513</t>
  </si>
  <si>
    <t>.945</t>
  </si>
  <si>
    <t>Eli White</t>
  </si>
  <si>
    <t>3.61</t>
  </si>
  <si>
    <t>Jonah Heim</t>
  </si>
  <si>
    <t>3.53</t>
  </si>
  <si>
    <t>Jorge Mateo</t>
  </si>
  <si>
    <t>.762</t>
  </si>
  <si>
    <t>Kyle Farmer</t>
  </si>
  <si>
    <t>3.14</t>
  </si>
  <si>
    <t>Luke Williams</t>
  </si>
  <si>
    <t>.555</t>
  </si>
  <si>
    <t>10.6</t>
  </si>
  <si>
    <t>.084</t>
  </si>
  <si>
    <t>107.0</t>
  </si>
  <si>
    <t>.892</t>
  </si>
  <si>
    <t>105.0</t>
  </si>
  <si>
    <t>.486</t>
  </si>
  <si>
    <t>18.9</t>
  </si>
  <si>
    <t>.367</t>
  </si>
  <si>
    <t>10.2</t>
  </si>
  <si>
    <t>49.0</t>
  </si>
  <si>
    <t>.523</t>
  </si>
  <si>
    <t>.877</t>
  </si>
  <si>
    <t>17.2</t>
  </si>
  <si>
    <t>.727</t>
  </si>
  <si>
    <t>11.2</t>
  </si>
  <si>
    <t>27.7</t>
  </si>
  <si>
    <t>.218</t>
  </si>
  <si>
    <t>.372</t>
  </si>
  <si>
    <t>4.17</t>
  </si>
  <si>
    <t>Heriberto Hernandez</t>
  </si>
  <si>
    <t>.474</t>
  </si>
  <si>
    <t>.621</t>
  </si>
  <si>
    <t>60.0</t>
  </si>
  <si>
    <t>Javier Sanoja</t>
  </si>
  <si>
    <t>.796</t>
  </si>
  <si>
    <t>9.4</t>
  </si>
  <si>
    <t>.054</t>
  </si>
  <si>
    <t>Austin Slater</t>
  </si>
  <si>
    <t>Griffin Conine</t>
  </si>
  <si>
    <t>.591</t>
  </si>
  <si>
    <t>8.5</t>
  </si>
  <si>
    <t>.409</t>
  </si>
  <si>
    <t>.794</t>
  </si>
  <si>
    <t>Leo Jimenez</t>
  </si>
  <si>
    <t>.643</t>
  </si>
  <si>
    <t>Deyvison De Los Santos</t>
  </si>
  <si>
    <t>4.86</t>
  </si>
  <si>
    <t>Esteury Ruiz</t>
  </si>
  <si>
    <t>-2.7</t>
  </si>
  <si>
    <t>.049</t>
  </si>
  <si>
    <t>3.65</t>
  </si>
  <si>
    <t>116.0</t>
  </si>
  <si>
    <t>.575</t>
  </si>
  <si>
    <t>100.0</t>
  </si>
  <si>
    <t>Francisco Lindor</t>
  </si>
  <si>
    <t>.669</t>
  </si>
  <si>
    <t>10.5</t>
  </si>
  <si>
    <t>0.58</t>
  </si>
  <si>
    <t>4.37</t>
  </si>
  <si>
    <t>46.5</t>
  </si>
  <si>
    <t>Luis Robert Jr.</t>
  </si>
  <si>
    <t>0.76</t>
  </si>
  <si>
    <t>42.5</t>
  </si>
  <si>
    <t>82.0</t>
  </si>
  <si>
    <t>.529</t>
  </si>
  <si>
    <t>.427</t>
  </si>
  <si>
    <t>.760</t>
  </si>
  <si>
    <t>9.7</t>
  </si>
  <si>
    <t>.307</t>
  </si>
  <si>
    <t>Jorge Polanco</t>
  </si>
  <si>
    <t>.532</t>
  </si>
  <si>
    <t>.831</t>
  </si>
  <si>
    <t>.164</t>
  </si>
  <si>
    <t>1.13</t>
  </si>
  <si>
    <t>Tyrone Taylor</t>
  </si>
  <si>
    <t>.614</t>
  </si>
  <si>
    <t>Luis Torrens</t>
  </si>
  <si>
    <t>MJ Melendez</t>
  </si>
  <si>
    <t>.879</t>
  </si>
  <si>
    <t>Jared Young</t>
  </si>
  <si>
    <t>.391</t>
  </si>
  <si>
    <t>Tommy Pham</t>
  </si>
  <si>
    <t>-1.1</t>
  </si>
  <si>
    <t>-2.2</t>
  </si>
  <si>
    <t>.658</t>
  </si>
  <si>
    <t>0.52</t>
  </si>
  <si>
    <t>37.7</t>
  </si>
  <si>
    <t>18.1</t>
  </si>
  <si>
    <t>.520</t>
  </si>
  <si>
    <t>.864</t>
  </si>
  <si>
    <t>.510</t>
  </si>
  <si>
    <t>.684</t>
  </si>
  <si>
    <t>3.69</t>
  </si>
  <si>
    <t>98.0</t>
  </si>
  <si>
    <t>.473</t>
  </si>
  <si>
    <t>.042</t>
  </si>
  <si>
    <t>Justin Crawford</t>
  </si>
  <si>
    <t>3.51</t>
  </si>
  <si>
    <t>3.79</t>
  </si>
  <si>
    <t>J.T. Realmuto</t>
  </si>
  <si>
    <t>.696</t>
  </si>
  <si>
    <t>Edmundo Sosa</t>
  </si>
  <si>
    <t>Otto Kemp</t>
  </si>
  <si>
    <t>Felix Reyes</t>
  </si>
  <si>
    <t>3.17</t>
  </si>
  <si>
    <t>Dylan Moore</t>
  </si>
  <si>
    <t>5.43</t>
  </si>
  <si>
    <t>Garrett Stubbs</t>
  </si>
  <si>
    <t>.619</t>
  </si>
  <si>
    <t>15.7</t>
  </si>
  <si>
    <t>.094</t>
  </si>
  <si>
    <t>127</t>
  </si>
  <si>
    <t>38.3</t>
  </si>
  <si>
    <t>.404</t>
  </si>
  <si>
    <t>.568</t>
  </si>
  <si>
    <t>.972</t>
  </si>
  <si>
    <t>.199</t>
  </si>
  <si>
    <t>0.64</t>
  </si>
  <si>
    <t>141</t>
  </si>
  <si>
    <t>.654</t>
  </si>
  <si>
    <t>.897</t>
  </si>
  <si>
    <t>Luis Garcia Jr.</t>
  </si>
  <si>
    <t>3.48</t>
  </si>
  <si>
    <t>91.0</t>
  </si>
  <si>
    <t>.299</t>
  </si>
  <si>
    <t>0.55</t>
  </si>
  <si>
    <t>.012</t>
  </si>
  <si>
    <t>4.12</t>
  </si>
  <si>
    <t>Curtis Mead</t>
  </si>
  <si>
    <t>.386</t>
  </si>
  <si>
    <t>Jorbit Vivas</t>
  </si>
  <si>
    <t>3.52</t>
  </si>
  <si>
    <t>Joey Wiemer</t>
  </si>
  <si>
    <t>.580</t>
  </si>
  <si>
    <t>.994</t>
  </si>
  <si>
    <t>Drew Millas</t>
  </si>
  <si>
    <t>.682</t>
  </si>
  <si>
    <t>5.2</t>
  </si>
  <si>
    <t>47.0</t>
  </si>
  <si>
    <t>Andres Chaparro</t>
  </si>
  <si>
    <t>3.30</t>
  </si>
  <si>
    <t>.252</t>
  </si>
  <si>
    <t>0.70</t>
  </si>
  <si>
    <t>.855</t>
  </si>
  <si>
    <t>22.7</t>
  </si>
  <si>
    <t>0.92</t>
  </si>
  <si>
    <t>.076</t>
  </si>
  <si>
    <t>3.66</t>
  </si>
  <si>
    <t>.610</t>
  </si>
  <si>
    <t>51.5</t>
  </si>
  <si>
    <t>.480</t>
  </si>
  <si>
    <t>.830</t>
  </si>
  <si>
    <t>.740</t>
  </si>
  <si>
    <t>13.6</t>
  </si>
  <si>
    <t>Matt Shaw</t>
  </si>
  <si>
    <t>31.5</t>
  </si>
  <si>
    <t>.305</t>
  </si>
  <si>
    <t>.940</t>
  </si>
  <si>
    <t>14.8</t>
  </si>
  <si>
    <t>.397</t>
  </si>
  <si>
    <t>.446</t>
  </si>
  <si>
    <t>1.136</t>
  </si>
  <si>
    <t>14.5</t>
  </si>
  <si>
    <t>Miguel Amaya</t>
  </si>
  <si>
    <t>.728</t>
  </si>
  <si>
    <t>23.5</t>
  </si>
  <si>
    <t>Michael Conforto</t>
  </si>
  <si>
    <t>.458</t>
  </si>
  <si>
    <t>.927</t>
  </si>
  <si>
    <t>Scott Kingery</t>
  </si>
  <si>
    <t>Dylan Carlson</t>
  </si>
  <si>
    <t>-2.8</t>
  </si>
  <si>
    <t>Nicky Lopez</t>
  </si>
  <si>
    <t>7.00</t>
  </si>
  <si>
    <t>Elly De La Cruz</t>
  </si>
  <si>
    <t>.907</t>
  </si>
  <si>
    <t>12.6</t>
  </si>
  <si>
    <t>.602</t>
  </si>
  <si>
    <t>.987</t>
  </si>
  <si>
    <t>0.77</t>
  </si>
  <si>
    <t>.544</t>
  </si>
  <si>
    <t>.666</t>
  </si>
  <si>
    <t>11.9</t>
  </si>
  <si>
    <t>50.5</t>
  </si>
  <si>
    <t>96.0</t>
  </si>
  <si>
    <t>Eugenio Suarez</t>
  </si>
  <si>
    <t>30.3</t>
  </si>
  <si>
    <t>.702</t>
  </si>
  <si>
    <t>0.26</t>
  </si>
  <si>
    <t>.193</t>
  </si>
  <si>
    <t>3.39</t>
  </si>
  <si>
    <t>.156</t>
  </si>
  <si>
    <t>.938</t>
  </si>
  <si>
    <t>10.8</t>
  </si>
  <si>
    <t>Dane Myers</t>
  </si>
  <si>
    <t>.342</t>
  </si>
  <si>
    <t>.746</t>
  </si>
  <si>
    <t>0.89</t>
  </si>
  <si>
    <t>Will Benson</t>
  </si>
  <si>
    <t>.554</t>
  </si>
  <si>
    <t>Noelvi Marte</t>
  </si>
  <si>
    <t>.331</t>
  </si>
  <si>
    <t>Jose Trevino</t>
  </si>
  <si>
    <t>-0.9</t>
  </si>
  <si>
    <t>P.J. Higgins</t>
  </si>
  <si>
    <t>JJ Bleday</t>
  </si>
  <si>
    <t>4.000</t>
  </si>
  <si>
    <t>5.000</t>
  </si>
  <si>
    <t>3.000</t>
  </si>
  <si>
    <t>6.00</t>
  </si>
  <si>
    <t>William Contreras</t>
  </si>
  <si>
    <t>.720</t>
  </si>
  <si>
    <t>12.9</t>
  </si>
  <si>
    <t>0.85</t>
  </si>
  <si>
    <t>.854</t>
  </si>
  <si>
    <t>17.9</t>
  </si>
  <si>
    <t>.484</t>
  </si>
  <si>
    <t>23.3</t>
  </si>
  <si>
    <t>.477</t>
  </si>
  <si>
    <t>13.3</t>
  </si>
  <si>
    <t>17.6</t>
  </si>
  <si>
    <t>81.0</t>
  </si>
  <si>
    <t>.173</t>
  </si>
  <si>
    <t>.503</t>
  </si>
  <si>
    <t>.778</t>
  </si>
  <si>
    <t>68.0</t>
  </si>
  <si>
    <t>.660</t>
  </si>
  <si>
    <t>4.46</t>
  </si>
  <si>
    <t>Joey Ortiz</t>
  </si>
  <si>
    <t>.943</t>
  </si>
  <si>
    <t>Christian Yelich</t>
  </si>
  <si>
    <t>.826</t>
  </si>
  <si>
    <t>.137</t>
  </si>
  <si>
    <t>51.0</t>
  </si>
  <si>
    <t>Blake Perkins</t>
  </si>
  <si>
    <t>Luis Matos</t>
  </si>
  <si>
    <t>Greg Jones</t>
  </si>
  <si>
    <t>Tyler Black</t>
  </si>
  <si>
    <t>.625</t>
  </si>
  <si>
    <t>Andrew Vaughn</t>
  </si>
  <si>
    <t>Jeferson Quero</t>
  </si>
  <si>
    <t>19.5</t>
  </si>
  <si>
    <t>.387</t>
  </si>
  <si>
    <t>.761</t>
  </si>
  <si>
    <t>.131</t>
  </si>
  <si>
    <t>33.0</t>
  </si>
  <si>
    <t>.527</t>
  </si>
  <si>
    <t>.867</t>
  </si>
  <si>
    <t>.893</t>
  </si>
  <si>
    <t>Nick Gonzales</t>
  </si>
  <si>
    <t>.496</t>
  </si>
  <si>
    <t>44.5</t>
  </si>
  <si>
    <t>.060</t>
  </si>
  <si>
    <t>0.19</t>
  </si>
  <si>
    <t>76.0</t>
  </si>
  <si>
    <t>.203</t>
  </si>
  <si>
    <t>64.0</t>
  </si>
  <si>
    <t>Jake Mangum</t>
  </si>
  <si>
    <t>.601</t>
  </si>
  <si>
    <t>Henry Davis</t>
  </si>
  <si>
    <t>3.46</t>
  </si>
  <si>
    <t>Jared Triolo</t>
  </si>
  <si>
    <t>.569</t>
  </si>
  <si>
    <t>Billy Cook</t>
  </si>
  <si>
    <t>0.87</t>
  </si>
  <si>
    <t>20.2</t>
  </si>
  <si>
    <t>.926</t>
  </si>
  <si>
    <t>.820</t>
  </si>
  <si>
    <t>1.06</t>
  </si>
  <si>
    <t>.645</t>
  </si>
  <si>
    <t>Victor Scott II</t>
  </si>
  <si>
    <t>.818</t>
  </si>
  <si>
    <t>3.47</t>
  </si>
  <si>
    <t>Thomas Saggese</t>
  </si>
  <si>
    <t>Ramon Urias</t>
  </si>
  <si>
    <t>.648</t>
  </si>
  <si>
    <t>3.32</t>
  </si>
  <si>
    <t>Jose Fermin</t>
  </si>
  <si>
    <t>Yohel Pozo</t>
  </si>
  <si>
    <t>-1.3</t>
  </si>
  <si>
    <t>-1.9</t>
  </si>
  <si>
    <t>26.3</t>
  </si>
  <si>
    <t>.752</t>
  </si>
  <si>
    <t>.952</t>
  </si>
  <si>
    <t>20.1</t>
  </si>
  <si>
    <t>.494</t>
  </si>
  <si>
    <t>.743</t>
  </si>
  <si>
    <t>.722</t>
  </si>
  <si>
    <t>1.104</t>
  </si>
  <si>
    <t>19.9</t>
  </si>
  <si>
    <t>.024</t>
  </si>
  <si>
    <t>.859</t>
  </si>
  <si>
    <t>.197</t>
  </si>
  <si>
    <t>25.3</t>
  </si>
  <si>
    <t>37.5</t>
  </si>
  <si>
    <t>Jorge Barrosa</t>
  </si>
  <si>
    <t>.672</t>
  </si>
  <si>
    <t>4.30</t>
  </si>
  <si>
    <t>58.0</t>
  </si>
  <si>
    <t>Adrian Del Castillo</t>
  </si>
  <si>
    <t>.612</t>
  </si>
  <si>
    <t>.021</t>
  </si>
  <si>
    <t>Tim Tawa</t>
  </si>
  <si>
    <t>.502</t>
  </si>
  <si>
    <t>James McCann</t>
  </si>
  <si>
    <t>.483</t>
  </si>
  <si>
    <t>Gabriel Moreno</t>
  </si>
  <si>
    <t>Carlos Santana</t>
  </si>
  <si>
    <t>Lourdes Gurriel Jr.</t>
  </si>
  <si>
    <t>Jordan Lawlar</t>
  </si>
  <si>
    <t>.956</t>
  </si>
  <si>
    <t>4.55</t>
  </si>
  <si>
    <t>Pavin Smith</t>
  </si>
  <si>
    <t>5.88</t>
  </si>
  <si>
    <t>Luken Baker</t>
  </si>
  <si>
    <t>4.80</t>
  </si>
  <si>
    <t>Aramis Garcia</t>
  </si>
  <si>
    <t>.547</t>
  </si>
  <si>
    <t>.887</t>
  </si>
  <si>
    <t>.821</t>
  </si>
  <si>
    <t>4.48</t>
  </si>
  <si>
    <t>1.036</t>
  </si>
  <si>
    <t>77.0</t>
  </si>
  <si>
    <t>74.0</t>
  </si>
  <si>
    <t>Jake McCarthy</t>
  </si>
  <si>
    <t>Jordan Beck</t>
  </si>
  <si>
    <t>52.0</t>
  </si>
  <si>
    <t>Tyler Freeman</t>
  </si>
  <si>
    <t>Brett Sullivan</t>
  </si>
  <si>
    <t>Ryan Ritter</t>
  </si>
  <si>
    <t>Braxton Fulford</t>
  </si>
  <si>
    <t>1.400</t>
  </si>
  <si>
    <t>.117</t>
  </si>
  <si>
    <t>.442</t>
  </si>
  <si>
    <t>.776</t>
  </si>
  <si>
    <t>.485</t>
  </si>
  <si>
    <t>.876</t>
  </si>
  <si>
    <t>20.7</t>
  </si>
  <si>
    <t>.933</t>
  </si>
  <si>
    <t>21.3</t>
  </si>
  <si>
    <t>.272</t>
  </si>
  <si>
    <t>.394</t>
  </si>
  <si>
    <t>1.028</t>
  </si>
  <si>
    <t>21.4</t>
  </si>
  <si>
    <t>.729</t>
  </si>
  <si>
    <t>.848</t>
  </si>
  <si>
    <t>Miguel Rojas</t>
  </si>
  <si>
    <t>.912</t>
  </si>
  <si>
    <t>Dalton Rushing</t>
  </si>
  <si>
    <t>.974</t>
  </si>
  <si>
    <t>1.429</t>
  </si>
  <si>
    <t>.068</t>
  </si>
  <si>
    <t>.590</t>
  </si>
  <si>
    <t>Mookie Betts</t>
  </si>
  <si>
    <t>Alex Call</t>
  </si>
  <si>
    <t>.798</t>
  </si>
  <si>
    <t>4.53</t>
  </si>
  <si>
    <t>Santiago Espinal</t>
  </si>
  <si>
    <t>.522</t>
  </si>
  <si>
    <t>Ryan Ward</t>
  </si>
  <si>
    <t>.642</t>
  </si>
  <si>
    <t>Fernando Tatis Jr.</t>
  </si>
  <si>
    <t>24.5</t>
  </si>
  <si>
    <t>.780</t>
  </si>
  <si>
    <t>15.5</t>
  </si>
  <si>
    <t>24.3</t>
  </si>
  <si>
    <t>.046</t>
  </si>
  <si>
    <t>.031</t>
  </si>
  <si>
    <t>.750</t>
  </si>
  <si>
    <t>1.145</t>
  </si>
  <si>
    <t>.475</t>
  </si>
  <si>
    <t>3.19</t>
  </si>
  <si>
    <t>Bryce Johnson</t>
  </si>
  <si>
    <t>.626</t>
  </si>
  <si>
    <t>9.3</t>
  </si>
  <si>
    <t>.717</t>
  </si>
  <si>
    <t>.833</t>
  </si>
  <si>
    <t>32.7</t>
  </si>
  <si>
    <t>.543</t>
  </si>
  <si>
    <t>Harrison Bader</t>
  </si>
  <si>
    <t>Drew Gilbert</t>
  </si>
  <si>
    <t>.747</t>
  </si>
  <si>
    <t>.037</t>
  </si>
  <si>
    <t>4.63</t>
  </si>
  <si>
    <t>Daniel Susac</t>
  </si>
  <si>
    <t>1.152</t>
  </si>
  <si>
    <t>3.54</t>
  </si>
  <si>
    <t>Christian Koss</t>
  </si>
  <si>
    <t>2.42</t>
  </si>
  <si>
    <t>Jared Oliva</t>
  </si>
  <si>
    <t>-1.0</t>
  </si>
  <si>
    <t>Will Brennan</t>
  </si>
  <si>
    <t>-3.5</t>
  </si>
  <si>
    <t>3.29</t>
  </si>
  <si>
    <t>Eric Haase</t>
  </si>
  <si>
    <t>936</t>
  </si>
  <si>
    <t>223</t>
  </si>
  <si>
    <t>374</t>
  </si>
  <si>
    <t>257</t>
  </si>
  <si>
    <t>121.8</t>
  </si>
  <si>
    <t>1063</t>
  </si>
  <si>
    <t>27.5</t>
  </si>
  <si>
    <t>218</t>
  </si>
  <si>
    <t>333</t>
  </si>
  <si>
    <t>235</t>
  </si>
  <si>
    <t>105.3</t>
  </si>
  <si>
    <t>1054</t>
  </si>
  <si>
    <t>49.3</t>
  </si>
  <si>
    <t>916</t>
  </si>
  <si>
    <t>146</t>
  </si>
  <si>
    <t>213</t>
  </si>
  <si>
    <t>138</t>
  </si>
  <si>
    <t>393</t>
  </si>
  <si>
    <t>259</t>
  </si>
  <si>
    <t>136.7</t>
  </si>
  <si>
    <t>1066</t>
  </si>
  <si>
    <t>923</t>
  </si>
  <si>
    <t>238</t>
  </si>
  <si>
    <t>364</t>
  </si>
  <si>
    <t>191</t>
  </si>
  <si>
    <t>.335</t>
  </si>
  <si>
    <t>126.2</t>
  </si>
  <si>
    <t>1051</t>
  </si>
  <si>
    <t>35.5</t>
  </si>
  <si>
    <t>919</t>
  </si>
  <si>
    <t>234</t>
  </si>
  <si>
    <t>355</t>
  </si>
  <si>
    <t>188</t>
  </si>
  <si>
    <t>.700</t>
  </si>
  <si>
    <t>111.6</t>
  </si>
  <si>
    <t>1016</t>
  </si>
  <si>
    <t>924</t>
  </si>
  <si>
    <t>205</t>
  </si>
  <si>
    <t>345</t>
  </si>
  <si>
    <t>264</t>
  </si>
  <si>
    <t>114.2</t>
  </si>
  <si>
    <t>1073</t>
  </si>
  <si>
    <t>947</t>
  </si>
  <si>
    <t>219</t>
  </si>
  <si>
    <t>360</t>
  </si>
  <si>
    <t>228</t>
  </si>
  <si>
    <t>117.4</t>
  </si>
  <si>
    <t>1076</t>
  </si>
  <si>
    <t>31.6</t>
  </si>
  <si>
    <t>965</t>
  </si>
  <si>
    <t>244</t>
  </si>
  <si>
    <t>402</t>
  </si>
  <si>
    <t>135.0</t>
  </si>
  <si>
    <t>1095</t>
  </si>
  <si>
    <t>31.1</t>
  </si>
  <si>
    <t>221</t>
  </si>
  <si>
    <t>356</t>
  </si>
  <si>
    <t>236</t>
  </si>
  <si>
    <t>.707</t>
  </si>
  <si>
    <t>117.8</t>
  </si>
  <si>
    <t>927</t>
  </si>
  <si>
    <t>210</t>
  </si>
  <si>
    <t>347</t>
  </si>
  <si>
    <t>249</t>
  </si>
  <si>
    <t>.698</t>
  </si>
  <si>
    <t>118.7</t>
  </si>
  <si>
    <t>1075</t>
  </si>
  <si>
    <t>28.1</t>
  </si>
  <si>
    <t>982</t>
  </si>
  <si>
    <t>151</t>
  </si>
  <si>
    <t>254</t>
  </si>
  <si>
    <t>143</t>
  </si>
  <si>
    <t>430</t>
  </si>
  <si>
    <t>150.2</t>
  </si>
  <si>
    <t>1128</t>
  </si>
  <si>
    <t>964</t>
  </si>
  <si>
    <t>139</t>
  </si>
  <si>
    <t>224</t>
  </si>
  <si>
    <t>133</t>
  </si>
  <si>
    <t>380</t>
  </si>
  <si>
    <t>286</t>
  </si>
  <si>
    <t>.334</t>
  </si>
  <si>
    <t>131.6</t>
  </si>
  <si>
    <t>1129</t>
  </si>
  <si>
    <t>25.4</t>
  </si>
  <si>
    <t>950</t>
  </si>
  <si>
    <t>229</t>
  </si>
  <si>
    <t>373</t>
  </si>
  <si>
    <t>250</t>
  </si>
  <si>
    <t>.709</t>
  </si>
  <si>
    <t>120.3</t>
  </si>
  <si>
    <t>1072</t>
  </si>
  <si>
    <t>30.6</t>
  </si>
  <si>
    <t>960</t>
  </si>
  <si>
    <t>363</t>
  </si>
  <si>
    <t>123.7</t>
  </si>
  <si>
    <t>1101</t>
  </si>
  <si>
    <t>932</t>
  </si>
  <si>
    <t>358</t>
  </si>
  <si>
    <t>258</t>
  </si>
  <si>
    <t>115.0</t>
  </si>
  <si>
    <t>1053</t>
  </si>
  <si>
    <t>1007</t>
  </si>
  <si>
    <t>166</t>
  </si>
  <si>
    <t>276</t>
  </si>
  <si>
    <t>161</t>
  </si>
  <si>
    <t>456</t>
  </si>
  <si>
    <t>214</t>
  </si>
  <si>
    <t>155.9</t>
  </si>
  <si>
    <t>1123</t>
  </si>
  <si>
    <t>25.2</t>
  </si>
  <si>
    <t>930</t>
  </si>
  <si>
    <t>237</t>
  </si>
  <si>
    <t>359</t>
  </si>
  <si>
    <t>.332</t>
  </si>
  <si>
    <t>.718</t>
  </si>
  <si>
    <t>126.4</t>
  </si>
  <si>
    <t>939</t>
  </si>
  <si>
    <t>212</t>
  </si>
  <si>
    <t>316</t>
  </si>
  <si>
    <t>89.2</t>
  </si>
  <si>
    <t>1036</t>
  </si>
  <si>
    <t>951</t>
  </si>
  <si>
    <t>208</t>
  </si>
  <si>
    <t>344</t>
  </si>
  <si>
    <t>231</t>
  </si>
  <si>
    <t>106.4</t>
  </si>
  <si>
    <t>1061</t>
  </si>
  <si>
    <t>31.7</t>
  </si>
  <si>
    <t>156</t>
  </si>
  <si>
    <t>245</t>
  </si>
  <si>
    <t>398</t>
  </si>
  <si>
    <t>135.8</t>
  </si>
  <si>
    <t>1144</t>
  </si>
  <si>
    <t>29.6</t>
  </si>
  <si>
    <t>149</t>
  </si>
  <si>
    <t>135</t>
  </si>
  <si>
    <t>412</t>
  </si>
  <si>
    <t>239</t>
  </si>
  <si>
    <t>151.1</t>
  </si>
  <si>
    <t>1116</t>
  </si>
  <si>
    <t>26.1</t>
  </si>
  <si>
    <t>925</t>
  </si>
  <si>
    <t>197</t>
  </si>
  <si>
    <t>349</t>
  </si>
  <si>
    <t>263</t>
  </si>
  <si>
    <t>1062</t>
  </si>
  <si>
    <t>892</t>
  </si>
  <si>
    <t>206</t>
  </si>
  <si>
    <t>311</t>
  </si>
  <si>
    <t>225</t>
  </si>
  <si>
    <t>112.1</t>
  </si>
  <si>
    <t>1042</t>
  </si>
  <si>
    <t>46.9</t>
  </si>
  <si>
    <t>971</t>
  </si>
  <si>
    <t>361</t>
  </si>
  <si>
    <t>271</t>
  </si>
  <si>
    <t>.697</t>
  </si>
  <si>
    <t>121.5</t>
  </si>
  <si>
    <t>1106</t>
  </si>
  <si>
    <t>33.5</t>
  </si>
  <si>
    <t>901</t>
  </si>
  <si>
    <t>351</t>
  </si>
  <si>
    <t>.390</t>
  </si>
  <si>
    <t>118.2</t>
  </si>
  <si>
    <t>1045</t>
  </si>
  <si>
    <t>903</t>
  </si>
  <si>
    <t>230</t>
  </si>
  <si>
    <t>385</t>
  </si>
  <si>
    <t>209</t>
  </si>
  <si>
    <t>.736</t>
  </si>
  <si>
    <t>118.0</t>
  </si>
  <si>
    <t>992</t>
  </si>
  <si>
    <t>33.4</t>
  </si>
  <si>
    <t>974</t>
  </si>
  <si>
    <t>241</t>
  </si>
  <si>
    <t>381</t>
  </si>
  <si>
    <t>272</t>
  </si>
  <si>
    <t>121.0</t>
  </si>
  <si>
    <t>1084</t>
  </si>
  <si>
    <t>36.1</t>
  </si>
  <si>
    <t>949</t>
  </si>
  <si>
    <t>159</t>
  </si>
  <si>
    <t>449</t>
  </si>
  <si>
    <t>233</t>
  </si>
  <si>
    <t>159.7</t>
  </si>
  <si>
    <t>1082</t>
  </si>
  <si>
    <t>898</t>
  </si>
  <si>
    <t>211</t>
  </si>
  <si>
    <t>343</t>
  </si>
  <si>
    <t>222</t>
  </si>
  <si>
    <t>.693</t>
  </si>
  <si>
    <t>110.8</t>
  </si>
  <si>
    <t>1014</t>
  </si>
  <si>
    <t>35.9</t>
  </si>
  <si>
    <t>943</t>
  </si>
  <si>
    <t>.668</t>
  </si>
  <si>
    <t>98.7</t>
  </si>
  <si>
    <t>1015</t>
  </si>
  <si>
    <t>49.6</t>
  </si>
  <si>
    <t>傷勢</t>
  </si>
  <si>
    <t>狀態</t>
  </si>
  <si>
    <t>更新日期</t>
  </si>
  <si>
    <t>客隊先發投手</t>
  </si>
  <si>
    <t>主隊先發投手</t>
  </si>
  <si>
    <t>客隊先發1棒</t>
  </si>
  <si>
    <t>客隊先發2棒</t>
  </si>
  <si>
    <t>客隊先發3棒</t>
  </si>
  <si>
    <t>客隊先發4棒</t>
  </si>
  <si>
    <t>客隊先發5棒</t>
  </si>
  <si>
    <t>客隊先發6棒</t>
  </si>
  <si>
    <t>客隊先發7棒</t>
  </si>
  <si>
    <t>客隊先發8棒</t>
  </si>
  <si>
    <t>客隊先發9棒</t>
  </si>
  <si>
    <t>主隊先發1棒</t>
  </si>
  <si>
    <t>主隊先發2棒</t>
  </si>
  <si>
    <t>主隊先發3棒</t>
  </si>
  <si>
    <t>主隊先發4棒</t>
  </si>
  <si>
    <t>主隊先發5棒</t>
  </si>
  <si>
    <t>主隊先發6棒</t>
  </si>
  <si>
    <t>主隊先發7棒</t>
  </si>
  <si>
    <t>主隊先發8棒</t>
  </si>
  <si>
    <t>主隊先發9棒</t>
  </si>
  <si>
    <t>2026/04/27</t>
  </si>
  <si>
    <t>6:10 PM ET</t>
  </si>
  <si>
    <t>Steven Matz</t>
  </si>
  <si>
    <t>Parker Messick</t>
  </si>
  <si>
    <t>6:40 PM ET</t>
  </si>
  <si>
    <t>Dustin May</t>
  </si>
  <si>
    <t>Wilber Dotel</t>
  </si>
  <si>
    <t>7:07 PM ET</t>
  </si>
  <si>
    <t>Ranger Suarez</t>
  </si>
  <si>
    <t>Dylan Cease</t>
  </si>
  <si>
    <t>7:40 PM ET</t>
  </si>
  <si>
    <t>Jack Kochanowicz</t>
  </si>
  <si>
    <t>Anthony Kay</t>
  </si>
  <si>
    <t>Luis Castillo</t>
  </si>
  <si>
    <t>Connor Prielipp</t>
  </si>
  <si>
    <t>8:05 PM ET</t>
  </si>
  <si>
    <t>Max Fried</t>
  </si>
  <si>
    <t>Jack Leiter</t>
  </si>
  <si>
    <t>9:40 PM ET</t>
  </si>
  <si>
    <t>Matthew Boyd</t>
  </si>
  <si>
    <t>Randy Vasquez</t>
  </si>
  <si>
    <t>10:10 PM ET</t>
  </si>
  <si>
    <t>Chris Paddack</t>
  </si>
  <si>
    <t>Y. Yamamoto</t>
  </si>
  <si>
    <t>You may also be interested in...</t>
  </si>
  <si>
    <t>2026/04/28</t>
  </si>
  <si>
    <t>Nick Martinez</t>
  </si>
  <si>
    <t>Tanner Bibee</t>
  </si>
  <si>
    <t>6:35 PM ET</t>
  </si>
  <si>
    <t>Ryan Weiss</t>
  </si>
  <si>
    <t>Shane Baz</t>
  </si>
  <si>
    <t>Tomoyuki Sugano</t>
  </si>
  <si>
    <t>Chase Burns</t>
  </si>
  <si>
    <t>Tyler Mahle</t>
  </si>
  <si>
    <t>Jesus Luzardo</t>
  </si>
  <si>
    <t>Kyle Leahy</t>
  </si>
  <si>
    <t>Braxton Ashcraft</t>
  </si>
  <si>
    <t>Payton Tolle</t>
  </si>
  <si>
    <t>Trey Yesavage</t>
  </si>
  <si>
    <t>7:10 PM ET</t>
  </si>
  <si>
    <t>Zack Littell</t>
  </si>
  <si>
    <t>Clay Holmes</t>
  </si>
  <si>
    <t>7:15 PM ET</t>
  </si>
  <si>
    <t>Casey Mize</t>
  </si>
  <si>
    <t>Martin Perez</t>
  </si>
  <si>
    <t>Jose Soriano</t>
  </si>
  <si>
    <t>Davis Martin</t>
  </si>
  <si>
    <t>Merrill Kelly</t>
  </si>
  <si>
    <t>Chad Patrick</t>
  </si>
  <si>
    <t>Logan Gilbert</t>
  </si>
  <si>
    <t>Joe Ryan</t>
  </si>
  <si>
    <t>Cam Schlittler</t>
  </si>
  <si>
    <t>Jacob deGrom</t>
  </si>
  <si>
    <t>Kris Bubic</t>
  </si>
  <si>
    <t>Aaron Civale</t>
  </si>
  <si>
    <t>Edward Cabrera</t>
  </si>
  <si>
    <t>Walker Buehler</t>
  </si>
  <si>
    <t>Janson Junk</t>
  </si>
  <si>
    <t>隊名</t>
    <phoneticPr fontId="1" type="noConversion"/>
  </si>
  <si>
    <t>球員狀況</t>
    <phoneticPr fontId="1" type="noConversion"/>
  </si>
  <si>
    <t>先發名單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</si>
</sst>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m&quot;月&quot;d&quot;日&quot;"/>
  </numFmts>
  <fonts count="8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1"/>
      <color theme="1"/>
      <name val="新細明體"/>
      <family val="2"/>
      <scheme val="minor"/>
    </font>
    <font>
      <sz val="11"/>
      <name val="新細明體"/>
      <family val="2"/>
      <scheme val="minor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28"/>
    <xf numFmtId="9" fontId="3" fillId="0" borderId="28">
      <alignment vertical="center"/>
    </xf>
  </cellStyleXfs>
  <cellXfs count="110">
    <xf numFmtId="0" fontId="0" fillId="0" borderId="0" xfId="0" applyBorder="1"/>
    <xf numFmtId="0" fontId="0" fillId="0" borderId="0" xfId="0" applyBorder="1" applyAlignment="1">
      <alignment horizontal="center" vertical="center"/>
    </xf>
    <xf numFmtId="9" fontId="3" fillId="0" borderId="0" xfId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3" borderId="0" xfId="0" applyFill="1" applyBorder="1"/>
    <xf numFmtId="0" fontId="0" fillId="3" borderId="0" xfId="0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4" xfId="1" applyNumberFormat="1" applyBorder="1">
      <alignment vertical="center"/>
    </xf>
    <xf numFmtId="0" fontId="0" fillId="0" borderId="5" xfId="0" applyBorder="1"/>
    <xf numFmtId="177" fontId="0" fillId="0" borderId="5" xfId="0" applyNumberFormat="1" applyBorder="1"/>
    <xf numFmtId="9" fontId="3" fillId="0" borderId="6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8" xfId="0" applyBorder="1"/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4" fillId="2" borderId="17" xfId="0" applyFont="1" applyFill="1" applyBorder="1" applyAlignment="1">
      <alignment horizontal="center"/>
    </xf>
    <xf numFmtId="0" fontId="0" fillId="5" borderId="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5" borderId="18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9" borderId="0" xfId="0" applyFont="1" applyFill="1" applyBorder="1" applyAlignment="1">
      <alignment horizontal="center" vertical="center"/>
    </xf>
    <xf numFmtId="0" fontId="0" fillId="8" borderId="0" xfId="0" applyFill="1" applyBorder="1" applyAlignment="1">
      <alignment horizontal="center"/>
    </xf>
    <xf numFmtId="0" fontId="0" fillId="10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0" fillId="0" borderId="19" xfId="0" applyBorder="1"/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10" borderId="24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0" fillId="0" borderId="24" xfId="0" applyNumberFormat="1" applyBorder="1" applyAlignment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5" xfId="0" applyBorder="1" applyAlignment="1">
      <alignment horizontal="center"/>
    </xf>
    <xf numFmtId="0" fontId="2" fillId="0" borderId="28" xfId="0" applyFont="1" applyAlignment="1">
      <alignment horizontal="center" vertical="center"/>
    </xf>
    <xf numFmtId="0" fontId="0" fillId="0" borderId="28" xfId="0" applyAlignment="1">
      <alignment horizontal="center" vertical="center"/>
    </xf>
    <xf numFmtId="9" fontId="3" fillId="0" borderId="28" xfId="1" applyAlignment="1">
      <alignment horizontal="center" vertical="center"/>
    </xf>
    <xf numFmtId="0" fontId="7" fillId="0" borderId="28" xfId="0" applyFont="1" applyAlignment="1">
      <alignment horizontal="center" vertical="center"/>
    </xf>
    <xf numFmtId="9" fontId="7" fillId="0" borderId="28" xfId="0" applyNumberFormat="1" applyFont="1" applyAlignment="1">
      <alignment horizontal="center" vertical="center"/>
    </xf>
    <xf numFmtId="0" fontId="5" fillId="0" borderId="28" xfId="0" applyFont="1" applyAlignment="1">
      <alignment horizontal="center" vertical="center"/>
    </xf>
    <xf numFmtId="9" fontId="5" fillId="0" borderId="28" xfId="0" applyNumberFormat="1" applyFont="1" applyAlignment="1">
      <alignment horizontal="center" vertical="center"/>
    </xf>
    <xf numFmtId="0" fontId="6" fillId="0" borderId="28" xfId="0" applyFont="1" applyAlignment="1">
      <alignment horizontal="center" vertical="center"/>
    </xf>
    <xf numFmtId="9" fontId="6" fillId="0" borderId="28" xfId="0" applyNumberFormat="1" applyFont="1" applyAlignment="1">
      <alignment horizontal="center" vertical="center"/>
    </xf>
    <xf numFmtId="0" fontId="0" fillId="0" borderId="28" xfId="0"/>
    <xf numFmtId="0" fontId="0" fillId="0" borderId="30" xfId="0" applyBorder="1" applyAlignment="1">
      <alignment horizontal="center"/>
    </xf>
    <xf numFmtId="0" fontId="0" fillId="0" borderId="30" xfId="0" applyBorder="1"/>
    <xf numFmtId="0" fontId="0" fillId="0" borderId="35" xfId="0" applyBorder="1"/>
    <xf numFmtId="0" fontId="0" fillId="0" borderId="28" xfId="0" applyAlignment="1">
      <alignment horizontal="center"/>
    </xf>
    <xf numFmtId="0" fontId="0" fillId="0" borderId="0" xfId="0" applyBorder="1"/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9" xfId="0" applyBorder="1" applyAlignment="1">
      <alignment horizontal="center"/>
    </xf>
    <xf numFmtId="0" fontId="0" fillId="0" borderId="28" xfId="0" applyAlignment="1">
      <alignment horizontal="center" vertical="center"/>
    </xf>
    <xf numFmtId="0" fontId="0" fillId="0" borderId="19" xfId="0" applyBorder="1"/>
    <xf numFmtId="0" fontId="0" fillId="0" borderId="25" xfId="0" applyBorder="1" applyAlignment="1">
      <alignment horizontal="center" vertical="center"/>
    </xf>
    <xf numFmtId="9" fontId="0" fillId="0" borderId="25" xfId="0" applyNumberFormat="1" applyBorder="1" applyAlignment="1">
      <alignment horizontal="center"/>
    </xf>
    <xf numFmtId="0" fontId="0" fillId="0" borderId="27" xfId="0" applyBorder="1"/>
    <xf numFmtId="9" fontId="0" fillId="0" borderId="28" xfId="0" applyNumberFormat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20" xfId="0" applyBorder="1"/>
    <xf numFmtId="0" fontId="0" fillId="0" borderId="31" xfId="0" applyBorder="1" applyAlignment="1">
      <alignment horizontal="center"/>
    </xf>
    <xf numFmtId="0" fontId="0" fillId="0" borderId="32" xfId="0" applyBorder="1"/>
    <xf numFmtId="9" fontId="3" fillId="0" borderId="28" xfId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0" borderId="7" xfId="0" applyBorder="1"/>
    <xf numFmtId="0" fontId="4" fillId="4" borderId="28" xfId="0" applyFont="1" applyFill="1" applyAlignment="1">
      <alignment horizontal="center" vertical="center"/>
    </xf>
    <xf numFmtId="0" fontId="0" fillId="8" borderId="9" xfId="0" applyFill="1" applyBorder="1" applyAlignment="1">
      <alignment horizontal="center"/>
    </xf>
    <xf numFmtId="0" fontId="0" fillId="0" borderId="10" xfId="0" applyBorder="1"/>
    <xf numFmtId="0" fontId="0" fillId="4" borderId="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2" borderId="28" xfId="0" applyFill="1" applyAlignment="1">
      <alignment horizontal="center" vertical="center"/>
    </xf>
    <xf numFmtId="0" fontId="0" fillId="3" borderId="28" xfId="0" applyFill="1" applyAlignment="1">
      <alignment horizontal="center" vertical="center"/>
    </xf>
  </cellXfs>
  <cellStyles count="2">
    <cellStyle name="一般" xfId="0" builtinId="0"/>
    <cellStyle name="百分比" xfId="1" builtinId="5"/>
  </cellStyles>
  <dxfs count="22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82"/>
  <sheetViews>
    <sheetView topLeftCell="P16" workbookViewId="0">
      <selection activeCell="X24" sqref="X24:Y24"/>
    </sheetView>
  </sheetViews>
  <sheetFormatPr defaultRowHeight="15"/>
  <cols>
    <col min="1" max="1" width="9.5" bestFit="1" customWidth="1"/>
    <col min="2" max="9" width="9.5" style="47" customWidth="1"/>
    <col min="16" max="16" width="9" style="44" customWidth="1"/>
  </cols>
  <sheetData>
    <row r="1" spans="1:27">
      <c r="A1" s="82">
        <v>20260428</v>
      </c>
      <c r="B1" s="46" t="s">
        <v>454</v>
      </c>
      <c r="C1" s="46"/>
      <c r="D1" s="46"/>
      <c r="E1" s="46"/>
      <c r="F1" s="46"/>
      <c r="G1" s="46"/>
      <c r="H1" s="46"/>
      <c r="I1" s="46"/>
      <c r="J1" s="62"/>
      <c r="K1" s="79" t="s">
        <v>455</v>
      </c>
      <c r="L1" s="86"/>
      <c r="M1" s="86"/>
      <c r="N1" s="86"/>
      <c r="O1" s="86"/>
      <c r="P1" s="80"/>
      <c r="Q1" s="62"/>
      <c r="R1" s="79" t="s">
        <v>456</v>
      </c>
      <c r="S1" s="86"/>
      <c r="T1" s="86"/>
      <c r="U1" s="86"/>
      <c r="V1" s="86"/>
      <c r="W1" s="80"/>
    </row>
    <row r="2" spans="1:27">
      <c r="A2" s="78"/>
      <c r="B2" s="49" t="str">
        <f>J3</f>
        <v>06:10</v>
      </c>
      <c r="J2" s="63" t="s">
        <v>454</v>
      </c>
      <c r="K2" s="79" t="str">
        <f>數據分析!E3</f>
        <v>光芒</v>
      </c>
      <c r="L2" s="86"/>
      <c r="M2" s="86"/>
      <c r="N2" s="86"/>
      <c r="O2" s="86"/>
      <c r="P2" s="80"/>
      <c r="Q2" s="62"/>
      <c r="R2" s="79" t="str">
        <f>數據分析!I3</f>
        <v>守護者</v>
      </c>
      <c r="S2" s="86"/>
      <c r="T2" s="86"/>
      <c r="U2" s="86"/>
      <c r="V2" s="86"/>
      <c r="W2" s="80"/>
      <c r="Y2" s="1">
        <v>-99</v>
      </c>
      <c r="Z2" s="1">
        <v>-8.1</v>
      </c>
      <c r="AA2" s="1" t="s">
        <v>457</v>
      </c>
    </row>
    <row r="3" spans="1:27">
      <c r="B3" s="82" t="str">
        <f>IF(K3&lt;&gt;"", K2&amp;K1, IF(R3&lt;&gt;"", R2&amp;R1, ""))</f>
        <v>光芒客隊</v>
      </c>
      <c r="C3" s="95"/>
      <c r="D3" s="82" t="s">
        <v>458</v>
      </c>
      <c r="E3" s="82" t="str">
        <f>IF(K3&lt;&gt;"", K2&amp;"讓分", IF(R3&lt;&gt;"", R2&amp;"讓分", ""))</f>
        <v>光芒讓分</v>
      </c>
      <c r="F3" s="95"/>
      <c r="G3" s="82" t="s">
        <v>459</v>
      </c>
      <c r="H3" s="82" t="s">
        <v>460</v>
      </c>
      <c r="J3" s="63" t="str">
        <f>數據分析!C3</f>
        <v>06:10</v>
      </c>
      <c r="K3" s="79">
        <f>數據分析!F3</f>
        <v>0</v>
      </c>
      <c r="L3" s="86"/>
      <c r="M3" s="80"/>
      <c r="N3" s="85">
        <f>數據分析!G3</f>
        <v>0.31</v>
      </c>
      <c r="O3" s="86"/>
      <c r="P3" s="80"/>
      <c r="Q3" s="62"/>
      <c r="R3" s="79" t="str">
        <f>數據分析!J3</f>
        <v>1分贏</v>
      </c>
      <c r="S3" s="86"/>
      <c r="T3" s="80"/>
      <c r="U3" s="85">
        <f>數據分析!K3</f>
        <v>0.69</v>
      </c>
      <c r="V3" s="86"/>
      <c r="W3" s="80"/>
      <c r="Y3" s="1">
        <v>-8</v>
      </c>
      <c r="Z3" s="1">
        <v>-6.1</v>
      </c>
      <c r="AA3" s="1" t="s">
        <v>461</v>
      </c>
    </row>
    <row r="4" spans="1:27">
      <c r="B4" s="95"/>
      <c r="C4" s="95"/>
      <c r="D4" s="95"/>
      <c r="E4" s="95"/>
      <c r="F4" s="95"/>
      <c r="G4" s="95"/>
      <c r="H4" s="95"/>
      <c r="J4" s="79" t="str">
        <f>K2&amp;"勝負"</f>
        <v>光芒勝負</v>
      </c>
      <c r="K4" s="80"/>
      <c r="L4" s="63" t="str">
        <f ca="1">數據分析!AE2</f>
        <v>3連勝</v>
      </c>
      <c r="M4" s="79" t="str">
        <f>數據分析!AB2</f>
        <v>W.W.L.W.L.L.L.W.W.W</v>
      </c>
      <c r="N4" s="86"/>
      <c r="O4" s="86"/>
      <c r="P4" s="80"/>
      <c r="Q4" s="79" t="str">
        <f>R2&amp;"勝負"</f>
        <v>守護者勝負</v>
      </c>
      <c r="R4" s="80"/>
      <c r="S4" s="63" t="str">
        <f ca="1">數據分析!AE3</f>
        <v>2連敗</v>
      </c>
      <c r="T4" s="79" t="str">
        <f>數據分析!AB3</f>
        <v>L.W.L.W.W.L.W.W.L.L</v>
      </c>
      <c r="U4" s="86"/>
      <c r="V4" s="86"/>
      <c r="W4" s="80"/>
      <c r="Y4" s="1">
        <v>-6</v>
      </c>
      <c r="Z4" s="1">
        <v>-4.0999999999999996</v>
      </c>
      <c r="AA4" s="1" t="s">
        <v>462</v>
      </c>
    </row>
    <row r="5" spans="1:27">
      <c r="B5" s="82">
        <f>ABS(L6-S6)</f>
        <v>0.80000000000000071</v>
      </c>
      <c r="C5" s="95"/>
      <c r="D5" s="82">
        <f>IF(R3&lt;&gt;0, (B5*3.5)+3, B5*3.5)</f>
        <v>5.8000000000000025</v>
      </c>
      <c r="E5" s="82" t="str">
        <f t="array" ref="E5">IF(K3&lt;&gt;"",
    "讓" &amp; (LEFT(K3, MIN(FIND({"分","贏","輸"},K3&amp;"分贏輸"))-1) + IF(ISNUMBER(FIND("輸",K3)), 1, 0)),
    IF(R3&lt;&gt;"",
       "讓" &amp; (LEFT(R3, MIN(FIND({"分","贏","輸"},R3&amp;"分贏輸"))-1) + IF(ISNUMBER(FIND("輸",R3)), 1, 0)),
       ""
    )
)</f>
        <v>讓0</v>
      </c>
      <c r="F5" s="95"/>
      <c r="G5" s="98">
        <f>IF(K3&lt;&gt;"", N3, IF(R3&lt;&gt;"", U3, ""))</f>
        <v>0.31</v>
      </c>
      <c r="H5" s="82" t="str">
        <f>VLOOKUP(D5 - VALUE(SUBSTITUTE(E5,"讓","")), $Y$2:$AA$12, 3, TRUE)</f>
        <v>硬</v>
      </c>
      <c r="J5" s="79" t="str">
        <f>K2&amp;"過盤"</f>
        <v>光芒過盤</v>
      </c>
      <c r="K5" s="80"/>
      <c r="L5" s="63" t="str">
        <f ca="1">數據分析!X2</f>
        <v>3連O</v>
      </c>
      <c r="M5" s="79" t="str">
        <f>數據分析!Y2</f>
        <v>O.O.X.O.X.X.X.O.O.O</v>
      </c>
      <c r="N5" s="86"/>
      <c r="O5" s="86"/>
      <c r="P5" s="80"/>
      <c r="Q5" s="79" t="str">
        <f>R2&amp;"過盤"</f>
        <v>守護者過盤</v>
      </c>
      <c r="R5" s="80"/>
      <c r="S5" s="63" t="str">
        <f ca="1">數據分析!X3</f>
        <v>2連X</v>
      </c>
      <c r="T5" s="79" t="str">
        <f>數據分析!Y3</f>
        <v>X.O.X.O.O.X.O.O.X.X</v>
      </c>
      <c r="U5" s="86"/>
      <c r="V5" s="86"/>
      <c r="W5" s="80"/>
      <c r="Y5" s="1">
        <v>-4</v>
      </c>
      <c r="Z5" s="1">
        <v>-2.1</v>
      </c>
      <c r="AA5" s="1" t="s">
        <v>463</v>
      </c>
    </row>
    <row r="6" spans="1:27">
      <c r="B6" s="95"/>
      <c r="C6" s="95"/>
      <c r="D6" s="95"/>
      <c r="E6" s="95"/>
      <c r="F6" s="95"/>
      <c r="G6" s="95"/>
      <c r="H6" s="95"/>
      <c r="J6" s="84" t="str">
        <f>K2&amp;"基本"</f>
        <v>光芒基本</v>
      </c>
      <c r="K6" s="80"/>
      <c r="L6" s="99">
        <f>數據分析!AH2</f>
        <v>4.8000000000000007</v>
      </c>
      <c r="M6" s="86"/>
      <c r="N6" s="80"/>
      <c r="O6" s="79" t="str">
        <f>數據分析!AI2</f>
        <v>B+</v>
      </c>
      <c r="P6" s="80"/>
      <c r="Q6" s="79" t="str">
        <f>R2&amp;"基本"</f>
        <v>守護者基本</v>
      </c>
      <c r="R6" s="80"/>
      <c r="S6" s="79">
        <f>數據分析!AH3</f>
        <v>4</v>
      </c>
      <c r="T6" s="86"/>
      <c r="U6" s="80"/>
      <c r="V6" s="79" t="str">
        <f>數據分析!AI3</f>
        <v>B-</v>
      </c>
      <c r="W6" s="80"/>
      <c r="Y6" s="1">
        <v>-2</v>
      </c>
      <c r="Z6" s="1">
        <v>-1.1000000000000001</v>
      </c>
      <c r="AA6" s="1" t="s">
        <v>464</v>
      </c>
    </row>
    <row r="7" spans="1:27">
      <c r="J7" s="79" t="str">
        <f>$K$2&amp;"進階"</f>
        <v>光芒進階</v>
      </c>
      <c r="K7" s="80"/>
      <c r="L7" s="79">
        <f>數據分析!AJ2</f>
        <v>4.25</v>
      </c>
      <c r="M7" s="86"/>
      <c r="N7" s="80"/>
      <c r="O7" s="79" t="str">
        <f>數據分析!AK2</f>
        <v>B</v>
      </c>
      <c r="P7" s="80"/>
      <c r="Q7" s="79" t="str">
        <f>$R$2&amp;"進階"</f>
        <v>守護者進階</v>
      </c>
      <c r="R7" s="80"/>
      <c r="S7" s="79">
        <f>數據分析!AJ3</f>
        <v>5.55</v>
      </c>
      <c r="T7" s="86"/>
      <c r="U7" s="80"/>
      <c r="V7" s="79" t="str">
        <f>數據分析!AK3</f>
        <v>A</v>
      </c>
      <c r="W7" s="80"/>
      <c r="Y7" s="1">
        <v>-1</v>
      </c>
      <c r="Z7" s="1">
        <v>1</v>
      </c>
      <c r="AA7" s="1" t="s">
        <v>465</v>
      </c>
    </row>
    <row r="8" spans="1:27">
      <c r="J8" s="79" t="str">
        <f>$K$2&amp;"GP/出賽"</f>
        <v>光芒GP/出賽</v>
      </c>
      <c r="K8" s="80"/>
      <c r="L8" s="79" t="str">
        <f>數據分析!$CD$2</f>
        <v>27</v>
      </c>
      <c r="M8" s="80"/>
      <c r="N8" s="63">
        <f>數據分析!$CD$3</f>
        <v>0</v>
      </c>
      <c r="O8" s="63">
        <f t="shared" ref="O8:O21" si="0">L8-S8</f>
        <v>-2</v>
      </c>
      <c r="P8" s="62"/>
      <c r="Q8" s="79" t="str">
        <f>$R$2&amp;"GP/出賽"</f>
        <v>守護者GP/出賽</v>
      </c>
      <c r="R8" s="80"/>
      <c r="S8" s="79" t="str">
        <f>數據分析!$CD$4</f>
        <v>29</v>
      </c>
      <c r="T8" s="80"/>
      <c r="U8" s="63">
        <f>數據分析!$CD$5</f>
        <v>0</v>
      </c>
      <c r="V8" s="63">
        <f t="shared" ref="V8:V21" si="1">S8-L8</f>
        <v>2</v>
      </c>
      <c r="W8" s="62"/>
      <c r="Y8" s="1">
        <v>1.1000000000000001</v>
      </c>
      <c r="Z8" s="1">
        <v>2</v>
      </c>
      <c r="AA8" s="1" t="s">
        <v>466</v>
      </c>
    </row>
    <row r="9" spans="1:27">
      <c r="J9" s="79" t="str">
        <f>K2&amp;"R/得分"</f>
        <v>光芒R/得分</v>
      </c>
      <c r="K9" s="80"/>
      <c r="L9" s="79" t="str">
        <f>數據分析!$CF$2</f>
        <v>132</v>
      </c>
      <c r="M9" s="80"/>
      <c r="N9" s="63">
        <f>數據分析!$CF$3</f>
        <v>0.75</v>
      </c>
      <c r="O9" s="63">
        <f t="shared" si="0"/>
        <v>14</v>
      </c>
      <c r="P9" s="62"/>
      <c r="Q9" s="79" t="str">
        <f>$R$2&amp;"R/得分"</f>
        <v>守護者R/得分</v>
      </c>
      <c r="R9" s="80"/>
      <c r="S9" s="79" t="str">
        <f>數據分析!$CF$4</f>
        <v>118</v>
      </c>
      <c r="T9" s="80"/>
      <c r="U9" s="63">
        <f>數據分析!$CF$5</f>
        <v>0.44999999999999996</v>
      </c>
      <c r="V9" s="63">
        <f t="shared" si="1"/>
        <v>-14</v>
      </c>
      <c r="W9" s="62"/>
      <c r="Y9" s="1">
        <v>2.1</v>
      </c>
      <c r="Z9" s="1">
        <v>4</v>
      </c>
      <c r="AA9" s="1" t="s">
        <v>467</v>
      </c>
    </row>
    <row r="10" spans="1:27">
      <c r="J10" s="79" t="str">
        <f>$K$2&amp;"H/安打"</f>
        <v>光芒H/安打</v>
      </c>
      <c r="K10" s="80"/>
      <c r="L10" s="79" t="str">
        <f>數據分析!$CG$2</f>
        <v>238</v>
      </c>
      <c r="M10" s="80"/>
      <c r="N10" s="63">
        <f>數據分析!$CG$3</f>
        <v>0</v>
      </c>
      <c r="O10" s="63">
        <f t="shared" si="0"/>
        <v>19</v>
      </c>
      <c r="P10" s="62"/>
      <c r="Q10" s="79" t="str">
        <f>$R$2&amp;"H/安打"</f>
        <v>守護者H/安打</v>
      </c>
      <c r="R10" s="80"/>
      <c r="S10" s="79" t="str">
        <f>數據分析!$CG$4</f>
        <v>219</v>
      </c>
      <c r="T10" s="80"/>
      <c r="U10" s="63">
        <f>數據分析!$CG$5</f>
        <v>0</v>
      </c>
      <c r="V10" s="63">
        <f t="shared" si="1"/>
        <v>-19</v>
      </c>
      <c r="W10" s="62"/>
      <c r="Y10" s="1">
        <v>4.0999999999999996</v>
      </c>
      <c r="Z10" s="1">
        <v>6</v>
      </c>
      <c r="AA10" s="1" t="s">
        <v>468</v>
      </c>
    </row>
    <row r="11" spans="1:27">
      <c r="J11" s="79" t="str">
        <f>$K$2&amp;"2B/二壘打"</f>
        <v>光芒2B/二壘打</v>
      </c>
      <c r="K11" s="80"/>
      <c r="L11" s="79" t="str">
        <f>數據分析!$CH$2</f>
        <v>38</v>
      </c>
      <c r="M11" s="80"/>
      <c r="N11" s="63">
        <f>數據分析!$CH$3</f>
        <v>0</v>
      </c>
      <c r="O11" s="63">
        <f t="shared" si="0"/>
        <v>-11</v>
      </c>
      <c r="P11" s="62"/>
      <c r="Q11" s="79" t="str">
        <f>$R$2&amp;"2B/二壘打"</f>
        <v>守護者2B/二壘打</v>
      </c>
      <c r="R11" s="80"/>
      <c r="S11" s="79" t="str">
        <f>數據分析!$CH$4</f>
        <v>49</v>
      </c>
      <c r="T11" s="80"/>
      <c r="U11" s="63">
        <f>數據分析!$CH$5</f>
        <v>0</v>
      </c>
      <c r="V11" s="63">
        <f t="shared" si="1"/>
        <v>11</v>
      </c>
      <c r="W11" s="62"/>
      <c r="Y11" s="1">
        <v>6.1</v>
      </c>
      <c r="Z11" s="1">
        <v>8</v>
      </c>
      <c r="AA11" s="1" t="s">
        <v>469</v>
      </c>
    </row>
    <row r="12" spans="1:27">
      <c r="J12" s="79" t="str">
        <f>$K$2&amp;"3B/三壘打"</f>
        <v>光芒3B/三壘打</v>
      </c>
      <c r="K12" s="80"/>
      <c r="L12" s="79" t="str">
        <f>數據分析!$CI$2</f>
        <v>5</v>
      </c>
      <c r="M12" s="80"/>
      <c r="N12" s="63">
        <f>數據分析!$CI$3</f>
        <v>0</v>
      </c>
      <c r="O12" s="63">
        <f t="shared" si="0"/>
        <v>4</v>
      </c>
      <c r="P12" s="62"/>
      <c r="Q12" s="79" t="str">
        <f>$R$2&amp;"3B/3壘打"</f>
        <v>守護者3B/3壘打</v>
      </c>
      <c r="R12" s="80"/>
      <c r="S12" s="79" t="str">
        <f>數據分析!$CI$4</f>
        <v>1</v>
      </c>
      <c r="T12" s="80"/>
      <c r="U12" s="63">
        <f>數據分析!$CI$5</f>
        <v>0</v>
      </c>
      <c r="V12" s="63">
        <f t="shared" si="1"/>
        <v>-4</v>
      </c>
      <c r="W12" s="62"/>
      <c r="Y12" s="48">
        <v>8.1</v>
      </c>
      <c r="Z12" s="48">
        <v>99</v>
      </c>
      <c r="AA12" s="48" t="s">
        <v>470</v>
      </c>
    </row>
    <row r="13" spans="1:27">
      <c r="J13" s="79" t="str">
        <f>$K$2&amp;"HR/全壘打"</f>
        <v>光芒HR/全壘打</v>
      </c>
      <c r="K13" s="80"/>
      <c r="L13" s="79" t="str">
        <f>數據分析!$CJ$2</f>
        <v>26</v>
      </c>
      <c r="M13" s="80"/>
      <c r="N13" s="63">
        <f>數據分析!$CJ$3</f>
        <v>0.30000000000000004</v>
      </c>
      <c r="O13" s="63">
        <f t="shared" si="0"/>
        <v>-4</v>
      </c>
      <c r="P13" s="62"/>
      <c r="Q13" s="79" t="str">
        <f>$R$2&amp;"HR/全壘打"</f>
        <v>守護者HR/全壘打</v>
      </c>
      <c r="R13" s="80"/>
      <c r="S13" s="79" t="str">
        <f>數據分析!$CJ$4</f>
        <v>30</v>
      </c>
      <c r="T13" s="80"/>
      <c r="U13" s="63">
        <f>數據分析!$CJ$5</f>
        <v>0.4</v>
      </c>
      <c r="V13" s="63">
        <f t="shared" si="1"/>
        <v>4</v>
      </c>
      <c r="W13" s="62"/>
    </row>
    <row r="14" spans="1:27">
      <c r="J14" s="79" t="str">
        <f>$K$2&amp;"RBI/打點"</f>
        <v>光芒RBI/打點</v>
      </c>
      <c r="K14" s="80"/>
      <c r="L14" s="79" t="str">
        <f>數據分析!$CK$2</f>
        <v>126</v>
      </c>
      <c r="M14" s="80"/>
      <c r="N14" s="63">
        <f>數據分析!$CK$3</f>
        <v>0.5</v>
      </c>
      <c r="O14" s="63">
        <f t="shared" si="0"/>
        <v>13</v>
      </c>
      <c r="P14" s="62"/>
      <c r="Q14" s="79" t="str">
        <f>$R$2&amp;"RBI/打點"</f>
        <v>守護者RBI/打點</v>
      </c>
      <c r="R14" s="80"/>
      <c r="S14" s="79" t="str">
        <f>數據分析!$CK$4</f>
        <v>113</v>
      </c>
      <c r="T14" s="80"/>
      <c r="U14" s="63">
        <f>數據分析!$CK$5</f>
        <v>0.30000000000000004</v>
      </c>
      <c r="V14" s="63">
        <f t="shared" si="1"/>
        <v>-13</v>
      </c>
      <c r="W14" s="62"/>
    </row>
    <row r="15" spans="1:27">
      <c r="J15" s="79" t="str">
        <f>$K$2&amp;"TB/壘打數"</f>
        <v>光芒TB/壘打數</v>
      </c>
      <c r="K15" s="80"/>
      <c r="L15" s="79" t="str">
        <f>數據分析!$CL$2</f>
        <v>364</v>
      </c>
      <c r="M15" s="80"/>
      <c r="N15" s="63">
        <f>數據分析!$CL$3</f>
        <v>0</v>
      </c>
      <c r="O15" s="63">
        <f t="shared" si="0"/>
        <v>4</v>
      </c>
      <c r="P15" s="62"/>
      <c r="Q15" s="79" t="str">
        <f>$R$2&amp;"TB/壘打數"</f>
        <v>守護者TB/壘打數</v>
      </c>
      <c r="R15" s="80"/>
      <c r="S15" s="79" t="str">
        <f>數據分析!$CL$4</f>
        <v>360</v>
      </c>
      <c r="T15" s="80"/>
      <c r="U15" s="63">
        <f>數據分析!$CL$5</f>
        <v>0</v>
      </c>
      <c r="V15" s="63">
        <f t="shared" si="1"/>
        <v>-4</v>
      </c>
      <c r="W15" s="62"/>
    </row>
    <row r="16" spans="1:27">
      <c r="J16" s="79" t="str">
        <f>$K$2&amp;"SB/盜壘"</f>
        <v>光芒SB/盜壘</v>
      </c>
      <c r="K16" s="80"/>
      <c r="L16" s="79" t="str">
        <f>數據分析!$CO$2</f>
        <v>29</v>
      </c>
      <c r="M16" s="80"/>
      <c r="N16" s="63">
        <f>數據分析!$CO$3</f>
        <v>0.35000000000000003</v>
      </c>
      <c r="O16" s="63">
        <f t="shared" si="0"/>
        <v>9</v>
      </c>
      <c r="P16" s="62"/>
      <c r="Q16" s="79" t="str">
        <f>$R$2&amp;"SB/盜壘"</f>
        <v>守護者SB/盜壘</v>
      </c>
      <c r="R16" s="80"/>
      <c r="S16" s="79" t="str">
        <f>數據分析!$CO$4</f>
        <v>20</v>
      </c>
      <c r="T16" s="80"/>
      <c r="U16" s="63">
        <f>數據分析!$CO$5</f>
        <v>0.25</v>
      </c>
      <c r="V16" s="63">
        <f t="shared" si="1"/>
        <v>-9</v>
      </c>
      <c r="W16" s="62"/>
    </row>
    <row r="17" spans="10:37">
      <c r="J17" s="79" t="str">
        <f>$K$2&amp;"AVG/打擊率"</f>
        <v>光芒AVG/打擊率</v>
      </c>
      <c r="K17" s="80"/>
      <c r="L17" s="79" t="str">
        <f>數據分析!$CP$2</f>
        <v>.258</v>
      </c>
      <c r="M17" s="80"/>
      <c r="N17" s="63">
        <f>數據分析!$CR$3</f>
        <v>0.60000000000000009</v>
      </c>
      <c r="O17" s="63">
        <f t="shared" si="0"/>
        <v>2.6999999999999996E-2</v>
      </c>
      <c r="P17" s="62"/>
      <c r="Q17" s="79" t="str">
        <f>$R$2&amp;"AVG/打擊率"</f>
        <v>守護者AVG/打擊率</v>
      </c>
      <c r="R17" s="80"/>
      <c r="S17" s="79" t="str">
        <f>數據分析!$CP$4</f>
        <v>.231</v>
      </c>
      <c r="T17" s="80"/>
      <c r="U17" s="63">
        <f>數據分析!$CR$5</f>
        <v>0.60000000000000009</v>
      </c>
      <c r="V17" s="63">
        <f t="shared" si="1"/>
        <v>-2.6999999999999996E-2</v>
      </c>
      <c r="W17" s="62"/>
    </row>
    <row r="18" spans="10:37">
      <c r="J18" s="79" t="str">
        <f>$K$2&amp;"OBP/上壘率"</f>
        <v>光芒OBP/上壘率</v>
      </c>
      <c r="K18" s="80"/>
      <c r="L18" s="79" t="str">
        <f>數據分析!$CQ$2</f>
        <v>.335</v>
      </c>
      <c r="M18" s="80"/>
      <c r="N18" s="63">
        <f>數據分析!$CU$3</f>
        <v>0.9</v>
      </c>
      <c r="O18" s="63">
        <f t="shared" si="0"/>
        <v>1.6000000000000014E-2</v>
      </c>
      <c r="P18" s="62"/>
      <c r="Q18" s="79" t="str">
        <f>$R$2&amp;"OBP/上壘率"</f>
        <v>守護者OBP/上壘率</v>
      </c>
      <c r="R18" s="80"/>
      <c r="S18" s="79" t="str">
        <f>數據分析!$CQ$4</f>
        <v>.319</v>
      </c>
      <c r="T18" s="80"/>
      <c r="U18" s="63">
        <f>數據分析!$CU$5</f>
        <v>0.8</v>
      </c>
      <c r="V18" s="63">
        <f t="shared" si="1"/>
        <v>-1.6000000000000014E-2</v>
      </c>
      <c r="W18" s="62"/>
    </row>
    <row r="19" spans="10:37">
      <c r="J19" s="79" t="str">
        <f>$K$2&amp;"SLG/長打率"</f>
        <v>光芒SLG/長打率</v>
      </c>
      <c r="K19" s="80"/>
      <c r="L19" s="79" t="str">
        <f>數據分析!$CR$2</f>
        <v>.394</v>
      </c>
      <c r="M19" s="80"/>
      <c r="N19" s="63">
        <f>數據分析!$CX$3</f>
        <v>0</v>
      </c>
      <c r="O19" s="63">
        <f t="shared" si="0"/>
        <v>1.4000000000000012E-2</v>
      </c>
      <c r="P19" s="62"/>
      <c r="Q19" s="79" t="str">
        <f>$R$2&amp;"SLG/長打率"</f>
        <v>守護者SLG/長打率</v>
      </c>
      <c r="R19" s="80"/>
      <c r="S19" s="79" t="str">
        <f>數據分析!$CR$4</f>
        <v>.380</v>
      </c>
      <c r="T19" s="80"/>
      <c r="U19" s="63">
        <f>數據分析!$CX$5</f>
        <v>0</v>
      </c>
      <c r="V19" s="63">
        <f t="shared" si="1"/>
        <v>-1.4000000000000012E-2</v>
      </c>
      <c r="W19" s="62"/>
    </row>
    <row r="20" spans="10:37">
      <c r="J20" s="79" t="str">
        <f>$K$2&amp;"保送"</f>
        <v>光芒保送</v>
      </c>
      <c r="K20" s="80"/>
      <c r="L20" s="79" t="str">
        <f>數據分析!$CM$2</f>
        <v>95</v>
      </c>
      <c r="M20" s="80"/>
      <c r="N20" s="63">
        <f>數據分析!$CY$3</f>
        <v>0.60000000000000009</v>
      </c>
      <c r="O20" s="63">
        <f t="shared" si="0"/>
        <v>-19</v>
      </c>
      <c r="P20" s="62"/>
      <c r="Q20" s="79" t="str">
        <f>$R$2&amp;"保送"</f>
        <v>守護者保送</v>
      </c>
      <c r="R20" s="80"/>
      <c r="S20" s="79" t="str">
        <f>數據分析!$CM$4</f>
        <v>114</v>
      </c>
      <c r="T20" s="80"/>
      <c r="U20" s="63">
        <f>數據分析!$CY$5</f>
        <v>0.8</v>
      </c>
      <c r="V20" s="63">
        <f t="shared" si="1"/>
        <v>19</v>
      </c>
      <c r="W20" s="62"/>
    </row>
    <row r="21" spans="10:37">
      <c r="J21" s="91" t="str">
        <f>$K$2&amp;"三振"</f>
        <v>光芒三振</v>
      </c>
      <c r="K21" s="92"/>
      <c r="L21" s="91" t="str">
        <f>數據分析!$CN$2</f>
        <v>191</v>
      </c>
      <c r="M21" s="92"/>
      <c r="N21" s="74">
        <f>數據分析!$CZ$3</f>
        <v>0.6</v>
      </c>
      <c r="O21" s="74">
        <f t="shared" si="0"/>
        <v>-37</v>
      </c>
      <c r="P21" s="75"/>
      <c r="Q21" s="91" t="str">
        <f>$R$2&amp;"三振"</f>
        <v>守護者三振</v>
      </c>
      <c r="R21" s="92"/>
      <c r="S21" s="91" t="str">
        <f>數據分析!$CN$4</f>
        <v>228</v>
      </c>
      <c r="T21" s="92"/>
      <c r="U21" s="74">
        <f>數據分析!$CZ$5</f>
        <v>0.75</v>
      </c>
      <c r="V21" s="74">
        <f t="shared" si="1"/>
        <v>37</v>
      </c>
      <c r="W21" s="62"/>
    </row>
    <row r="22" spans="10:37">
      <c r="J22" s="96" t="str">
        <f>K2&amp;"投手"</f>
        <v>光芒投手</v>
      </c>
      <c r="K22" s="97"/>
      <c r="L22" s="81" t="str">
        <f>先發名單!E2</f>
        <v>Steven Matz</v>
      </c>
      <c r="M22" s="78"/>
      <c r="N22" s="78"/>
      <c r="O22" s="73"/>
      <c r="P22" s="73"/>
      <c r="Q22" s="96" t="str">
        <f>R2&amp;"投手"</f>
        <v>守護者投手</v>
      </c>
      <c r="R22" s="97"/>
      <c r="S22" s="81" t="str">
        <f>先發名單!F2</f>
        <v>Parker Messick</v>
      </c>
      <c r="T22" s="78"/>
      <c r="U22" s="78"/>
      <c r="V22" s="73"/>
      <c r="W22" s="62"/>
    </row>
    <row r="23" spans="10:37">
      <c r="J23" s="81" t="s">
        <v>471</v>
      </c>
      <c r="K23" s="78"/>
      <c r="Q23" s="81" t="s">
        <v>471</v>
      </c>
      <c r="R23" s="78"/>
      <c r="X23" s="79" t="str">
        <f>K2&amp;"先發"</f>
        <v>光芒先發</v>
      </c>
      <c r="Y23" s="80"/>
      <c r="Z23" s="79" t="s">
        <v>472</v>
      </c>
      <c r="AA23" s="80"/>
      <c r="AB23" s="62"/>
      <c r="AC23" s="79" t="s">
        <v>473</v>
      </c>
      <c r="AD23" s="80"/>
      <c r="AE23" s="79" t="str">
        <f>R2&amp;"先發"</f>
        <v>守護者先發</v>
      </c>
      <c r="AF23" s="80"/>
      <c r="AG23" s="79" t="s">
        <v>472</v>
      </c>
      <c r="AH23" s="80"/>
      <c r="AI23" s="62"/>
      <c r="AJ23" s="79" t="s">
        <v>473</v>
      </c>
      <c r="AK23" s="80"/>
    </row>
    <row r="24" spans="10:37">
      <c r="J24" s="81" t="s">
        <v>474</v>
      </c>
      <c r="K24" s="78"/>
      <c r="Q24" s="81" t="s">
        <v>474</v>
      </c>
      <c r="R24" s="78"/>
      <c r="X24" s="79" t="str">
        <f>數據分析!DF2</f>
        <v>Yandy Diaz</v>
      </c>
      <c r="Y24" s="80"/>
      <c r="Z24" s="79">
        <f>數據分析!DH3</f>
        <v>2.8</v>
      </c>
      <c r="AA24" s="80"/>
      <c r="AB24" s="63" t="e">
        <f t="shared" ref="AB24:AB29" si="2">Z24-AG24</f>
        <v>#VALUE!</v>
      </c>
      <c r="AC24" s="84">
        <f>數據分析!DI3</f>
        <v>5</v>
      </c>
      <c r="AD24" s="80"/>
      <c r="AE24" s="79" t="str">
        <f>數據分析!EI2</f>
        <v>Taylor Walls</v>
      </c>
      <c r="AF24" s="80"/>
      <c r="AG24" s="79" t="e">
        <f>數據分析!EK3</f>
        <v>#VALUE!</v>
      </c>
      <c r="AH24" s="80"/>
      <c r="AI24" s="63" t="e">
        <f t="shared" ref="AI24:AI29" si="3">AG24-Z24</f>
        <v>#VALUE!</v>
      </c>
      <c r="AJ24" s="84" t="e">
        <f>數據分析!EL3</f>
        <v>#VALUE!</v>
      </c>
      <c r="AK24" s="80"/>
    </row>
    <row r="25" spans="10:37">
      <c r="J25" s="81" t="s">
        <v>475</v>
      </c>
      <c r="K25" s="78"/>
      <c r="Q25" s="81" t="s">
        <v>475</v>
      </c>
      <c r="R25" s="78"/>
      <c r="X25" s="79" t="str">
        <f>數據分析!DF4</f>
        <v>J. Aranda</v>
      </c>
      <c r="Y25" s="80"/>
      <c r="Z25" s="79" t="e">
        <f>數據分析!DH5</f>
        <v>#VALUE!</v>
      </c>
      <c r="AA25" s="80"/>
      <c r="AB25" s="63" t="e">
        <f t="shared" si="2"/>
        <v>#VALUE!</v>
      </c>
      <c r="AC25" s="84" t="e">
        <f>數據分析!DI5</f>
        <v>#VALUE!</v>
      </c>
      <c r="AD25" s="80"/>
      <c r="AE25" s="79" t="str">
        <f>數據分析!EI4</f>
        <v>Steven Kwan</v>
      </c>
      <c r="AF25" s="80"/>
      <c r="AG25" s="79">
        <f>數據分析!EK5</f>
        <v>1.4500000000000002</v>
      </c>
      <c r="AH25" s="80"/>
      <c r="AI25" s="63" t="e">
        <f t="shared" si="3"/>
        <v>#VALUE!</v>
      </c>
      <c r="AJ25" s="84" t="e">
        <f>數據分析!EL5</f>
        <v>#N/A</v>
      </c>
      <c r="AK25" s="80"/>
    </row>
    <row r="26" spans="10:37">
      <c r="J26" s="81" t="s">
        <v>476</v>
      </c>
      <c r="K26" s="78"/>
      <c r="Q26" s="81" t="s">
        <v>476</v>
      </c>
      <c r="R26" s="78"/>
      <c r="X26" s="79" t="str">
        <f>數據分析!DF6</f>
        <v>J. Caminero</v>
      </c>
      <c r="Y26" s="80"/>
      <c r="Z26" s="79" t="e">
        <f>數據分析!DH7</f>
        <v>#VALUE!</v>
      </c>
      <c r="AA26" s="80"/>
      <c r="AB26" s="63" t="e">
        <f t="shared" si="2"/>
        <v>#VALUE!</v>
      </c>
      <c r="AC26" s="84" t="e">
        <f>數據分析!DI7</f>
        <v>#VALUE!</v>
      </c>
      <c r="AD26" s="80"/>
      <c r="AE26" s="79" t="str">
        <f>數據分析!EI6</f>
        <v>A. Martinez</v>
      </c>
      <c r="AF26" s="80"/>
      <c r="AG26" s="79" t="e">
        <f>數據分析!EK7</f>
        <v>#VALUE!</v>
      </c>
      <c r="AH26" s="80"/>
      <c r="AI26" s="63" t="e">
        <f t="shared" si="3"/>
        <v>#VALUE!</v>
      </c>
      <c r="AJ26" s="84" t="e">
        <f>數據分析!EL7</f>
        <v>#VALUE!</v>
      </c>
      <c r="AK26" s="80"/>
    </row>
    <row r="27" spans="10:37">
      <c r="J27" s="81" t="s">
        <v>477</v>
      </c>
      <c r="K27" s="78"/>
      <c r="Q27" s="81" t="s">
        <v>477</v>
      </c>
      <c r="R27" s="78"/>
      <c r="X27" s="79" t="str">
        <f>數據分析!DF8</f>
        <v>Ryan Vilade</v>
      </c>
      <c r="Y27" s="80"/>
      <c r="Z27" s="79">
        <f>數據分析!DH9</f>
        <v>0.79999999999999993</v>
      </c>
      <c r="AA27" s="80"/>
      <c r="AB27" s="63">
        <f t="shared" si="2"/>
        <v>-2.7</v>
      </c>
      <c r="AC27" s="84">
        <f>數據分析!DI9</f>
        <v>5</v>
      </c>
      <c r="AD27" s="80"/>
      <c r="AE27" s="79" t="str">
        <f>數據分析!EI8</f>
        <v>Jose Ramirez</v>
      </c>
      <c r="AF27" s="80"/>
      <c r="AG27" s="79">
        <f>數據分析!EK9</f>
        <v>3.5</v>
      </c>
      <c r="AH27" s="80"/>
      <c r="AI27" s="63">
        <f t="shared" si="3"/>
        <v>2.7</v>
      </c>
      <c r="AJ27" s="84">
        <f>數據分析!EL9</f>
        <v>5</v>
      </c>
      <c r="AK27" s="80"/>
    </row>
    <row r="28" spans="10:37" ht="15.6" customHeight="1">
      <c r="J28" s="81" t="s">
        <v>478</v>
      </c>
      <c r="K28" s="78"/>
      <c r="Q28" s="81" t="s">
        <v>478</v>
      </c>
      <c r="R28" s="78"/>
      <c r="X28" s="79" t="str">
        <f>數據分析!DF10</f>
        <v>Jonny DeLuca</v>
      </c>
      <c r="Y28" s="80"/>
      <c r="Z28" s="79">
        <f>數據分析!DH11</f>
        <v>2.8000000000000003</v>
      </c>
      <c r="AA28" s="80"/>
      <c r="AB28" s="63">
        <f t="shared" si="2"/>
        <v>0.80000000000000027</v>
      </c>
      <c r="AC28" s="84">
        <f>數據分析!DI11</f>
        <v>5</v>
      </c>
      <c r="AD28" s="80"/>
      <c r="AE28" s="79" t="str">
        <f>數據分析!EI10</f>
        <v>Rhys Hoskins</v>
      </c>
      <c r="AF28" s="80"/>
      <c r="AG28" s="79">
        <f>數據分析!EK11</f>
        <v>2</v>
      </c>
      <c r="AH28" s="80"/>
      <c r="AI28" s="63">
        <f t="shared" si="3"/>
        <v>-0.80000000000000027</v>
      </c>
      <c r="AJ28" s="84" t="e">
        <f>數據分析!EL11</f>
        <v>#N/A</v>
      </c>
      <c r="AK28" s="80"/>
    </row>
    <row r="29" spans="10:37">
      <c r="J29" s="93" t="s">
        <v>479</v>
      </c>
      <c r="K29" s="94"/>
      <c r="L29" s="76"/>
      <c r="M29" s="76"/>
      <c r="N29" s="76"/>
      <c r="O29" s="76"/>
      <c r="P29" s="76"/>
      <c r="Q29" s="93" t="s">
        <v>479</v>
      </c>
      <c r="R29" s="94"/>
      <c r="S29" s="76"/>
      <c r="T29" s="76"/>
      <c r="U29" s="76"/>
      <c r="V29" s="76"/>
      <c r="X29" s="62"/>
      <c r="Y29" s="62"/>
      <c r="Z29" s="79" t="e">
        <f>Z24+Z25+Z26+Z27+Z28</f>
        <v>#VALUE!</v>
      </c>
      <c r="AA29" s="80"/>
      <c r="AB29" s="63" t="e">
        <f t="shared" si="2"/>
        <v>#VALUE!</v>
      </c>
      <c r="AC29" s="79" t="e">
        <f>AC24+AC25+AC26+AC27+AC28</f>
        <v>#VALUE!</v>
      </c>
      <c r="AD29" s="80"/>
      <c r="AE29" s="62"/>
      <c r="AF29" s="62"/>
      <c r="AG29" s="79" t="e">
        <f>AG24+AG25+AG26+AG27+AG28</f>
        <v>#VALUE!</v>
      </c>
      <c r="AH29" s="80"/>
      <c r="AI29" s="63" t="e">
        <f t="shared" si="3"/>
        <v>#VALUE!</v>
      </c>
      <c r="AJ29" s="79" t="e">
        <f>AJ24+AJ25+AJ26+AJ27+AJ28</f>
        <v>#VALUE!</v>
      </c>
      <c r="AK29" s="80"/>
    </row>
    <row r="30" spans="10:37">
      <c r="L30" t="s">
        <v>480</v>
      </c>
      <c r="M30" t="s">
        <v>481</v>
      </c>
      <c r="N30" t="s">
        <v>482</v>
      </c>
      <c r="O30" t="s">
        <v>483</v>
      </c>
      <c r="P30" s="44" t="s">
        <v>484</v>
      </c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spans="10:37">
      <c r="J31" s="77" t="str">
        <f>先發名單!G2</f>
        <v>Yandy Diaz</v>
      </c>
      <c r="K31" s="78"/>
      <c r="X31" s="79" t="str">
        <f>K2&amp;"板凳"</f>
        <v>光芒板凳</v>
      </c>
      <c r="Y31" s="80"/>
      <c r="Z31" s="79" t="s">
        <v>472</v>
      </c>
      <c r="AA31" s="80"/>
      <c r="AB31" s="62"/>
      <c r="AC31" s="79" t="s">
        <v>473</v>
      </c>
      <c r="AD31" s="80"/>
      <c r="AE31" s="79" t="str">
        <f>R2&amp;"板凳"</f>
        <v>守護者板凳</v>
      </c>
      <c r="AF31" s="80"/>
      <c r="AG31" s="79" t="s">
        <v>472</v>
      </c>
      <c r="AH31" s="80"/>
      <c r="AI31" s="62"/>
      <c r="AJ31" s="79" t="s">
        <v>473</v>
      </c>
      <c r="AK31" s="80"/>
    </row>
    <row r="32" spans="10:37">
      <c r="J32" s="77" t="str">
        <f>先發名單!H3</f>
        <v>Ivan Herrera</v>
      </c>
      <c r="K32" s="78"/>
      <c r="X32" s="79" t="str">
        <f>數據分析!DF12</f>
        <v>B. Williamson</v>
      </c>
      <c r="Y32" s="80"/>
      <c r="Z32" s="79" t="e">
        <f>數據分析!DH13</f>
        <v>#VALUE!</v>
      </c>
      <c r="AA32" s="80"/>
      <c r="AB32" s="63" t="e">
        <f t="shared" ref="AB32:AB40" si="4">Z32-AG32</f>
        <v>#VALUE!</v>
      </c>
      <c r="AC32" s="84" t="e">
        <f>數據分析!DI13</f>
        <v>#VALUE!</v>
      </c>
      <c r="AD32" s="80"/>
      <c r="AE32" s="79" t="str">
        <f>數據分析!EI12</f>
        <v>David Fry</v>
      </c>
      <c r="AF32" s="80"/>
      <c r="AG32" s="79">
        <f>數據分析!EK13</f>
        <v>0.60000000000000009</v>
      </c>
      <c r="AH32" s="80"/>
      <c r="AI32" s="63" t="e">
        <f t="shared" ref="AI32:AI40" si="5">AG32-Z32</f>
        <v>#VALUE!</v>
      </c>
      <c r="AJ32" s="84">
        <f>數據分析!EL13</f>
        <v>5</v>
      </c>
      <c r="AK32" s="80"/>
    </row>
    <row r="33" spans="10:37">
      <c r="X33" s="79" t="str">
        <f>數據分析!DF14</f>
        <v>C. Simpson</v>
      </c>
      <c r="Y33" s="80"/>
      <c r="Z33" s="79" t="e">
        <f>數據分析!DH15</f>
        <v>#VALUE!</v>
      </c>
      <c r="AA33" s="80"/>
      <c r="AB33" s="63" t="e">
        <f t="shared" si="4"/>
        <v>#VALUE!</v>
      </c>
      <c r="AC33" s="84" t="e">
        <f>數據分析!DI15</f>
        <v>#VALUE!</v>
      </c>
      <c r="AD33" s="80"/>
      <c r="AE33" s="79" t="str">
        <f>數據分析!EI14</f>
        <v>D. Schneemann</v>
      </c>
      <c r="AF33" s="80"/>
      <c r="AG33" s="79" t="e">
        <f>數據分析!EK15</f>
        <v>#VALUE!</v>
      </c>
      <c r="AH33" s="80"/>
      <c r="AI33" s="63" t="e">
        <f t="shared" si="5"/>
        <v>#VALUE!</v>
      </c>
      <c r="AJ33" s="84" t="e">
        <f>數據分析!EL15</f>
        <v>#VALUE!</v>
      </c>
      <c r="AK33" s="80"/>
    </row>
    <row r="34" spans="10:37">
      <c r="X34" s="79" t="str">
        <f>數據分析!DF16</f>
        <v>Nick Fortes</v>
      </c>
      <c r="Y34" s="80"/>
      <c r="Z34" s="79">
        <f>數據分析!DH17</f>
        <v>1.95</v>
      </c>
      <c r="AA34" s="80"/>
      <c r="AB34" s="63">
        <f t="shared" si="4"/>
        <v>0.90000000000000013</v>
      </c>
      <c r="AC34" s="84">
        <f>數據分析!DI17</f>
        <v>5</v>
      </c>
      <c r="AD34" s="80"/>
      <c r="AE34" s="79" t="str">
        <f>數據分析!EI16</f>
        <v>Juan Brito</v>
      </c>
      <c r="AF34" s="80"/>
      <c r="AG34" s="79">
        <f>數據分析!EK17</f>
        <v>1.0499999999999998</v>
      </c>
      <c r="AH34" s="80"/>
      <c r="AI34" s="63">
        <f t="shared" si="5"/>
        <v>-0.90000000000000013</v>
      </c>
      <c r="AJ34" s="84" t="e">
        <f>數據分析!EL17</f>
        <v>#N/A</v>
      </c>
      <c r="AK34" s="80"/>
    </row>
    <row r="35" spans="10:37">
      <c r="X35" s="79" t="str">
        <f>數據分析!DF18</f>
        <v>Taylor Walls</v>
      </c>
      <c r="Y35" s="80"/>
      <c r="Z35" s="79">
        <f>數據分析!DH19</f>
        <v>0.74999999999999989</v>
      </c>
      <c r="AA35" s="80"/>
      <c r="AB35" s="63" t="e">
        <f t="shared" si="4"/>
        <v>#VALUE!</v>
      </c>
      <c r="AC35" s="84">
        <f>數據分析!DI19</f>
        <v>5</v>
      </c>
      <c r="AD35" s="80"/>
      <c r="AE35" s="79" t="str">
        <f>數據分析!EI18</f>
        <v>A. Hedges</v>
      </c>
      <c r="AF35" s="80"/>
      <c r="AG35" s="79" t="e">
        <f>數據分析!EK19</f>
        <v>#VALUE!</v>
      </c>
      <c r="AH35" s="80"/>
      <c r="AI35" s="63" t="e">
        <f t="shared" si="5"/>
        <v>#VALUE!</v>
      </c>
      <c r="AJ35" s="84" t="e">
        <f>數據分析!EL19</f>
        <v>#VALUE!</v>
      </c>
      <c r="AK35" s="80"/>
    </row>
    <row r="36" spans="10:37">
      <c r="X36" s="79">
        <f>數據分析!DF20</f>
        <v>0</v>
      </c>
      <c r="Y36" s="80"/>
      <c r="Z36" s="79">
        <f>數據分析!DH21</f>
        <v>0</v>
      </c>
      <c r="AA36" s="80"/>
      <c r="AB36" s="63" t="e">
        <f t="shared" si="4"/>
        <v>#VALUE!</v>
      </c>
      <c r="AC36" s="84">
        <f>數據分析!DI21</f>
        <v>0</v>
      </c>
      <c r="AD36" s="80"/>
      <c r="AE36" s="79" t="str">
        <f>數據分析!EI20</f>
        <v>B. Rocchio</v>
      </c>
      <c r="AF36" s="80"/>
      <c r="AG36" s="79" t="e">
        <f>數據分析!EK21</f>
        <v>#VALUE!</v>
      </c>
      <c r="AH36" s="80"/>
      <c r="AI36" s="63" t="e">
        <f t="shared" si="5"/>
        <v>#VALUE!</v>
      </c>
      <c r="AJ36" s="84" t="e">
        <f>數據分析!EL21</f>
        <v>#VALUE!</v>
      </c>
      <c r="AK36" s="80"/>
    </row>
    <row r="37" spans="10:37">
      <c r="X37" s="79">
        <f>數據分析!DF22</f>
        <v>0</v>
      </c>
      <c r="Y37" s="80"/>
      <c r="Z37" s="79">
        <f>數據分析!DH23</f>
        <v>0</v>
      </c>
      <c r="AA37" s="80"/>
      <c r="AB37" s="63" t="e">
        <f t="shared" si="4"/>
        <v>#VALUE!</v>
      </c>
      <c r="AC37" s="84">
        <f>數據分析!DI23</f>
        <v>0</v>
      </c>
      <c r="AD37" s="80"/>
      <c r="AE37" s="79">
        <f>數據分析!EI22</f>
        <v>0</v>
      </c>
      <c r="AF37" s="80"/>
      <c r="AG37" s="79" t="e">
        <f>數據分析!EK23</f>
        <v>#VALUE!</v>
      </c>
      <c r="AH37" s="80"/>
      <c r="AI37" s="63" t="e">
        <f t="shared" si="5"/>
        <v>#VALUE!</v>
      </c>
      <c r="AJ37" s="84" t="e">
        <f>數據分析!EL23</f>
        <v>#VALUE!</v>
      </c>
      <c r="AK37" s="80"/>
    </row>
    <row r="38" spans="10:37">
      <c r="X38" s="79">
        <f>數據分析!DF24</f>
        <v>0</v>
      </c>
      <c r="Y38" s="80"/>
      <c r="Z38" s="79">
        <f>數據分析!DH25</f>
        <v>0</v>
      </c>
      <c r="AA38" s="80"/>
      <c r="AB38" s="63" t="e">
        <f t="shared" si="4"/>
        <v>#VALUE!</v>
      </c>
      <c r="AC38" s="84">
        <f>數據分析!DI25</f>
        <v>0</v>
      </c>
      <c r="AD38" s="80"/>
      <c r="AE38" s="79">
        <f>數據分析!EI24</f>
        <v>0</v>
      </c>
      <c r="AF38" s="80"/>
      <c r="AG38" s="79" t="e">
        <f>數據分析!EK25</f>
        <v>#VALUE!</v>
      </c>
      <c r="AH38" s="80"/>
      <c r="AI38" s="63" t="e">
        <f t="shared" si="5"/>
        <v>#VALUE!</v>
      </c>
      <c r="AJ38" s="84" t="e">
        <f>數據分析!EL25</f>
        <v>#VALUE!</v>
      </c>
      <c r="AK38" s="80"/>
    </row>
    <row r="39" spans="10:37" ht="15.6" customHeight="1">
      <c r="X39" s="79">
        <f>數據分析!DF26</f>
        <v>0</v>
      </c>
      <c r="Y39" s="80"/>
      <c r="Z39" s="79">
        <f>數據分析!DH27</f>
        <v>0</v>
      </c>
      <c r="AA39" s="80"/>
      <c r="AB39" s="63" t="e">
        <f t="shared" si="4"/>
        <v>#VALUE!</v>
      </c>
      <c r="AC39" s="84">
        <f>數據分析!DI27</f>
        <v>0</v>
      </c>
      <c r="AD39" s="80"/>
      <c r="AE39" s="79">
        <f>數據分析!EI26</f>
        <v>0</v>
      </c>
      <c r="AF39" s="80"/>
      <c r="AG39" s="79" t="e">
        <f>數據分析!EK27</f>
        <v>#VALUE!</v>
      </c>
      <c r="AH39" s="80"/>
      <c r="AI39" s="63" t="e">
        <f t="shared" si="5"/>
        <v>#VALUE!</v>
      </c>
      <c r="AJ39" s="84" t="e">
        <f>數據分析!EL27</f>
        <v>#VALUE!</v>
      </c>
      <c r="AK39" s="80"/>
    </row>
    <row r="40" spans="10:37">
      <c r="X40" s="62"/>
      <c r="Y40" s="62"/>
      <c r="Z40" s="79">
        <f>Z35+Z36+Z37+Z38+Z39</f>
        <v>0.74999999999999989</v>
      </c>
      <c r="AA40" s="80"/>
      <c r="AB40" s="63" t="e">
        <f t="shared" si="4"/>
        <v>#VALUE!</v>
      </c>
      <c r="AC40" s="79">
        <f>AC35+AC36+AC37+AC38+AC39</f>
        <v>5</v>
      </c>
      <c r="AD40" s="80"/>
      <c r="AE40" s="62"/>
      <c r="AF40" s="62"/>
      <c r="AG40" s="79" t="e">
        <f>AG35+AG36+AG37+AG38+AG39</f>
        <v>#VALUE!</v>
      </c>
      <c r="AH40" s="80"/>
      <c r="AI40" s="63" t="e">
        <f t="shared" si="5"/>
        <v>#VALUE!</v>
      </c>
      <c r="AJ40" s="79" t="e">
        <f>AJ35+AJ36+AJ37+AJ38+AJ39</f>
        <v>#VALUE!</v>
      </c>
      <c r="AK40" s="80"/>
    </row>
    <row r="41" spans="10:37"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</row>
    <row r="43" spans="10:37">
      <c r="K43" s="77" t="s">
        <v>455</v>
      </c>
      <c r="L43" s="78"/>
      <c r="M43" s="78"/>
      <c r="N43" s="78"/>
      <c r="O43" s="78"/>
      <c r="P43" s="83"/>
      <c r="R43" s="77" t="s">
        <v>456</v>
      </c>
      <c r="S43" s="78"/>
      <c r="T43" s="78"/>
      <c r="U43" s="78"/>
      <c r="V43" s="78"/>
      <c r="W43" s="78"/>
    </row>
    <row r="44" spans="10:37">
      <c r="J44" s="4" t="s">
        <v>485</v>
      </c>
      <c r="K44" s="77" t="str">
        <f>數據分析!E4</f>
        <v>紅雀</v>
      </c>
      <c r="L44" s="78"/>
      <c r="M44" s="78"/>
      <c r="N44" s="78"/>
      <c r="O44" s="78"/>
      <c r="P44" s="83"/>
      <c r="R44" s="77" t="str">
        <f>數據分析!I4</f>
        <v>海盜</v>
      </c>
      <c r="S44" s="78"/>
      <c r="T44" s="78"/>
      <c r="U44" s="78"/>
      <c r="V44" s="78"/>
      <c r="W44" s="78"/>
    </row>
    <row r="45" spans="10:37">
      <c r="J45" s="4" t="str">
        <f>數據分析!C4</f>
        <v>06:40</v>
      </c>
      <c r="K45" s="77">
        <f>數據分析!F4</f>
        <v>0</v>
      </c>
      <c r="L45" s="78"/>
      <c r="M45" s="78"/>
      <c r="N45" s="87">
        <f>數據分析!G4</f>
        <v>0.28999999999999998</v>
      </c>
      <c r="O45" s="78"/>
      <c r="P45" s="83"/>
      <c r="R45" s="77" t="str">
        <f>數據分析!J4</f>
        <v>1分贏</v>
      </c>
      <c r="S45" s="78"/>
      <c r="T45" s="78"/>
      <c r="U45" s="87">
        <f>數據分析!K4</f>
        <v>0.71</v>
      </c>
      <c r="V45" s="78"/>
      <c r="W45" s="78"/>
    </row>
    <row r="46" spans="10:37">
      <c r="J46" s="77" t="str">
        <f>K44&amp;"勝負"</f>
        <v>紅雀勝負</v>
      </c>
      <c r="K46" s="78"/>
      <c r="L46" s="4" t="str">
        <f ca="1">數據分析!AE4</f>
        <v>3連敗</v>
      </c>
      <c r="M46" s="77" t="str">
        <f>數據分析!AB4</f>
        <v>W.W.W.W.W.L.W.L.L.L</v>
      </c>
      <c r="N46" s="78"/>
      <c r="O46" s="78"/>
      <c r="P46" s="83"/>
      <c r="Q46" s="77" t="str">
        <f>R44&amp;"勝負"</f>
        <v>海盜勝負</v>
      </c>
      <c r="R46" s="78"/>
      <c r="S46" s="4" t="str">
        <f ca="1">數據分析!AE4</f>
        <v>3連敗</v>
      </c>
      <c r="T46" s="77" t="str">
        <f>數據分析!AB4</f>
        <v>W.W.W.W.W.L.W.L.L.L</v>
      </c>
      <c r="U46" s="78"/>
      <c r="V46" s="78"/>
      <c r="W46" s="78"/>
    </row>
    <row r="47" spans="10:37">
      <c r="J47" s="77" t="str">
        <f>K44&amp;"過盤"</f>
        <v>紅雀過盤</v>
      </c>
      <c r="K47" s="78"/>
      <c r="L47" s="4" t="str">
        <f ca="1">數據分析!X4</f>
        <v>3連X</v>
      </c>
      <c r="M47" s="77" t="str">
        <f>數據分析!Y4</f>
        <v>O.O.O.O.O.X.O.X.X.X</v>
      </c>
      <c r="N47" s="78"/>
      <c r="O47" s="78"/>
      <c r="P47" s="83"/>
      <c r="Q47" s="77" t="str">
        <f>R44&amp;"過盤"</f>
        <v>海盜過盤</v>
      </c>
      <c r="R47" s="78"/>
      <c r="S47" s="4" t="str">
        <f ca="1">數據分析!X4</f>
        <v>3連X</v>
      </c>
      <c r="T47" s="77" t="str">
        <f>數據分析!Y4</f>
        <v>O.O.O.O.O.X.O.X.X.X</v>
      </c>
      <c r="U47" s="78"/>
      <c r="V47" s="78"/>
      <c r="W47" s="78"/>
    </row>
    <row r="48" spans="10:37">
      <c r="J48" s="82" t="str">
        <f>K44&amp;"平均"</f>
        <v>紅雀平均</v>
      </c>
      <c r="K48" s="78"/>
      <c r="L48" s="82">
        <f>數據分析!CB7</f>
        <v>4.5</v>
      </c>
      <c r="M48" s="78"/>
      <c r="N48" s="78"/>
      <c r="O48" s="78"/>
      <c r="P48" s="83"/>
      <c r="Q48" s="77" t="str">
        <f>R44&amp;"平均"</f>
        <v>海盜平均</v>
      </c>
      <c r="R48" s="78"/>
      <c r="S48" s="77">
        <f>數據分析!CB9</f>
        <v>4.4000000000000004</v>
      </c>
      <c r="T48" s="78"/>
      <c r="U48" s="78"/>
      <c r="V48" s="78"/>
      <c r="W48" s="78"/>
    </row>
    <row r="49" spans="10:23">
      <c r="J49" s="77" t="str">
        <f>$K$44&amp;"準度"</f>
        <v>紅雀準度</v>
      </c>
      <c r="K49" s="78"/>
      <c r="L49" s="77">
        <f>數據分析!CC7</f>
        <v>4.3499999999999996</v>
      </c>
      <c r="M49" s="78"/>
      <c r="N49" s="78"/>
      <c r="O49" s="78"/>
      <c r="P49" s="83"/>
      <c r="Q49" s="77" t="str">
        <f>$R$44&amp;"準度"</f>
        <v>海盜準度</v>
      </c>
      <c r="R49" s="78"/>
      <c r="S49" s="77">
        <f>數據分析!CC9</f>
        <v>4.7</v>
      </c>
      <c r="T49" s="78"/>
      <c r="U49" s="78"/>
      <c r="V49" s="78"/>
      <c r="W49" s="78"/>
    </row>
    <row r="50" spans="10:23">
      <c r="J50" s="77" t="str">
        <f>$K$44&amp;"PTS/得分"</f>
        <v>紅雀PTS/得分</v>
      </c>
      <c r="K50" s="78"/>
      <c r="L50" s="77" t="str">
        <f>數據分析!$CD$6</f>
        <v>27</v>
      </c>
      <c r="M50" s="78"/>
      <c r="N50" s="4">
        <f>數據分析!$CD$7</f>
        <v>0</v>
      </c>
      <c r="O50" s="4">
        <f t="shared" ref="O50:O63" si="6">L50-S50</f>
        <v>-1</v>
      </c>
      <c r="Q50" s="77" t="str">
        <f>$R$44&amp;"PTS/得分"</f>
        <v>海盜PTS/得分</v>
      </c>
      <c r="R50" s="78"/>
      <c r="S50" s="77" t="str">
        <f>數據分析!$CD$8</f>
        <v>28</v>
      </c>
      <c r="T50" s="78"/>
      <c r="U50" s="4">
        <f>數據分析!$CD$9</f>
        <v>0</v>
      </c>
      <c r="V50" s="4">
        <f t="shared" ref="V50:V63" si="7">S50-L50</f>
        <v>1</v>
      </c>
    </row>
    <row r="51" spans="10:23">
      <c r="J51" s="77" t="str">
        <f>K44&amp;"REB/籃板"</f>
        <v>紅雀REB/籃板</v>
      </c>
      <c r="K51" s="78"/>
      <c r="L51" s="77" t="str">
        <f>數據分析!$CF$6</f>
        <v>125</v>
      </c>
      <c r="M51" s="78"/>
      <c r="N51" s="4">
        <f>數據分析!$CF$7</f>
        <v>0.75</v>
      </c>
      <c r="O51" s="4">
        <f t="shared" si="6"/>
        <v>-10</v>
      </c>
      <c r="Q51" s="77" t="str">
        <f>$R$44&amp;"REB/籃板"</f>
        <v>海盜REB/籃板</v>
      </c>
      <c r="R51" s="78"/>
      <c r="S51" s="77" t="str">
        <f>數據分析!$CF$8</f>
        <v>135</v>
      </c>
      <c r="T51" s="78"/>
      <c r="U51" s="4">
        <f>數據分析!$CF$9</f>
        <v>0.75</v>
      </c>
      <c r="V51" s="4">
        <f t="shared" si="7"/>
        <v>10</v>
      </c>
    </row>
    <row r="52" spans="10:23">
      <c r="J52" s="77" t="str">
        <f>$K$44&amp;"AST/助攻"</f>
        <v>紅雀AST/助攻</v>
      </c>
      <c r="K52" s="78"/>
      <c r="L52" s="77" t="str">
        <f>數據分析!$CG$6</f>
        <v>212</v>
      </c>
      <c r="M52" s="78"/>
      <c r="N52" s="4">
        <f>數據分析!$CG$7</f>
        <v>0</v>
      </c>
      <c r="O52" s="4">
        <f t="shared" si="6"/>
        <v>-22</v>
      </c>
      <c r="Q52" s="77" t="str">
        <f>$R$44&amp;"AST/助攻"</f>
        <v>海盜AST/助攻</v>
      </c>
      <c r="R52" s="78"/>
      <c r="S52" s="77" t="str">
        <f>數據分析!$CG$8</f>
        <v>234</v>
      </c>
      <c r="T52" s="78"/>
      <c r="U52" s="4">
        <f>數據分析!$CG$9</f>
        <v>0</v>
      </c>
      <c r="V52" s="4">
        <f t="shared" si="7"/>
        <v>22</v>
      </c>
    </row>
    <row r="53" spans="10:23">
      <c r="J53" s="77" t="str">
        <f>$K$44&amp;"STL/抄截"</f>
        <v>紅雀STL/抄截</v>
      </c>
      <c r="K53" s="78"/>
      <c r="L53" s="77" t="str">
        <f>數據分析!$CH$6</f>
        <v>35</v>
      </c>
      <c r="M53" s="78"/>
      <c r="N53" s="4">
        <f>數據分析!$CH$7</f>
        <v>0</v>
      </c>
      <c r="O53" s="4">
        <f t="shared" si="6"/>
        <v>-1</v>
      </c>
      <c r="Q53" s="77" t="str">
        <f>$R$44&amp;"STL/抄截"</f>
        <v>海盜STL/抄截</v>
      </c>
      <c r="R53" s="78"/>
      <c r="S53" s="77" t="str">
        <f>數據分析!$CH$8</f>
        <v>36</v>
      </c>
      <c r="T53" s="78"/>
      <c r="U53" s="4">
        <f>數據分析!$CH$9</f>
        <v>0</v>
      </c>
      <c r="V53" s="4">
        <f t="shared" si="7"/>
        <v>1</v>
      </c>
    </row>
    <row r="54" spans="10:23">
      <c r="J54" s="77" t="str">
        <f>$K$44&amp;"BLK/阻攻"</f>
        <v>紅雀BLK/阻攻</v>
      </c>
      <c r="K54" s="78"/>
      <c r="L54" s="77" t="str">
        <f>數據分析!$CI$6</f>
        <v>1</v>
      </c>
      <c r="M54" s="78"/>
      <c r="N54" s="4">
        <f>數據分析!$CI$7</f>
        <v>0</v>
      </c>
      <c r="O54" s="4">
        <f t="shared" si="6"/>
        <v>-1</v>
      </c>
      <c r="Q54" s="77" t="str">
        <f>$R$44&amp;"BLK/阻攻"</f>
        <v>海盜BLK/阻攻</v>
      </c>
      <c r="R54" s="78"/>
      <c r="S54" s="77" t="str">
        <f>數據分析!$CI$8</f>
        <v>2</v>
      </c>
      <c r="T54" s="78"/>
      <c r="U54" s="4">
        <f>數據分析!$CI$9</f>
        <v>0</v>
      </c>
      <c r="V54" s="4">
        <f t="shared" si="7"/>
        <v>1</v>
      </c>
    </row>
    <row r="55" spans="10:23">
      <c r="J55" s="77" t="str">
        <f>$K$44&amp;"TO/失誤"</f>
        <v>紅雀TO/失誤</v>
      </c>
      <c r="K55" s="78"/>
      <c r="L55" s="77" t="str">
        <f>數據分析!$CJ$6</f>
        <v>34</v>
      </c>
      <c r="M55" s="78"/>
      <c r="N55" s="4">
        <f>數據分析!$CJ$7</f>
        <v>0.5</v>
      </c>
      <c r="O55" s="4">
        <f t="shared" si="6"/>
        <v>5</v>
      </c>
      <c r="Q55" s="77" t="str">
        <f>$R$44&amp;"TO/失誤"</f>
        <v>海盜TO/失誤</v>
      </c>
      <c r="R55" s="78"/>
      <c r="S55" s="77" t="str">
        <f>數據分析!$CJ$8</f>
        <v>29</v>
      </c>
      <c r="T55" s="78"/>
      <c r="U55" s="4">
        <f>數據分析!$CJ$9</f>
        <v>0.4</v>
      </c>
      <c r="V55" s="4">
        <f t="shared" si="7"/>
        <v>-5</v>
      </c>
    </row>
    <row r="56" spans="10:23">
      <c r="J56" s="77" t="str">
        <f>$K$44&amp;"PF/犯規"</f>
        <v>紅雀PF/犯規</v>
      </c>
      <c r="K56" s="78"/>
      <c r="L56" s="77" t="str">
        <f>數據分析!$CK$6</f>
        <v>122</v>
      </c>
      <c r="M56" s="78"/>
      <c r="N56" s="4">
        <f>數據分析!$CK$7</f>
        <v>0.5</v>
      </c>
      <c r="O56" s="4">
        <f t="shared" si="6"/>
        <v>-8</v>
      </c>
      <c r="Q56" s="77" t="str">
        <f>$R$44&amp;"PF/犯規"</f>
        <v>海盜PF/犯規</v>
      </c>
      <c r="R56" s="78"/>
      <c r="S56" s="77" t="str">
        <f>數據分析!$CK$8</f>
        <v>130</v>
      </c>
      <c r="T56" s="78"/>
      <c r="U56" s="4">
        <f>數據分析!$CK$9</f>
        <v>0.5</v>
      </c>
      <c r="V56" s="4">
        <f t="shared" si="7"/>
        <v>8</v>
      </c>
    </row>
    <row r="57" spans="10:23">
      <c r="J57" s="77" t="str">
        <f>$K$44&amp;"助攻失誤比"</f>
        <v>紅雀助攻失誤比</v>
      </c>
      <c r="K57" s="78"/>
      <c r="L57" s="77" t="str">
        <f>數據分析!$CL$6</f>
        <v>351</v>
      </c>
      <c r="M57" s="78"/>
      <c r="N57" s="4">
        <f>數據分析!$CL$7</f>
        <v>0</v>
      </c>
      <c r="O57" s="4">
        <f t="shared" si="6"/>
        <v>-10</v>
      </c>
      <c r="Q57" s="77" t="str">
        <f>$R$44&amp;"助攻失誤比"</f>
        <v>海盜助攻失誤比</v>
      </c>
      <c r="R57" s="78"/>
      <c r="S57" s="77" t="str">
        <f>數據分析!$CL$8</f>
        <v>361</v>
      </c>
      <c r="T57" s="78"/>
      <c r="U57" s="4">
        <f>數據分析!$CL$9</f>
        <v>0</v>
      </c>
      <c r="V57" s="4">
        <f t="shared" si="7"/>
        <v>10</v>
      </c>
    </row>
    <row r="58" spans="10:23">
      <c r="J58" s="77" t="str">
        <f>$K$44&amp;"命中率"</f>
        <v>紅雀命中率</v>
      </c>
      <c r="K58" s="78"/>
      <c r="L58" s="77" t="str">
        <f>數據分析!$CO$6</f>
        <v>20</v>
      </c>
      <c r="M58" s="78"/>
      <c r="N58" s="4">
        <f>數據分析!$CO$7</f>
        <v>0.25</v>
      </c>
      <c r="O58" s="4">
        <f t="shared" si="6"/>
        <v>-6</v>
      </c>
      <c r="Q58" s="77" t="str">
        <f>$R$44&amp;"命中率"</f>
        <v>海盜命中率</v>
      </c>
      <c r="R58" s="78"/>
      <c r="S58" s="77" t="str">
        <f>數據分析!$CO$8</f>
        <v>26</v>
      </c>
      <c r="T58" s="78"/>
      <c r="U58" s="4">
        <f>數據分析!$CO$9</f>
        <v>0.35000000000000003</v>
      </c>
      <c r="V58" s="4">
        <f t="shared" si="7"/>
        <v>6</v>
      </c>
    </row>
    <row r="59" spans="10:23">
      <c r="J59" s="77" t="str">
        <f>$K$44&amp;"3分"</f>
        <v>紅雀3分</v>
      </c>
      <c r="K59" s="78"/>
      <c r="L59" s="77" t="str">
        <f>數據分析!$CR$6</f>
        <v>.390</v>
      </c>
      <c r="M59" s="78"/>
      <c r="N59" s="4">
        <f>數據分析!$CR$7</f>
        <v>0.60000000000000009</v>
      </c>
      <c r="O59" s="4">
        <f t="shared" si="6"/>
        <v>1.8000000000000016E-2</v>
      </c>
      <c r="Q59" s="77" t="str">
        <f>$R$44&amp;"3分"</f>
        <v>海盜3分</v>
      </c>
      <c r="R59" s="78"/>
      <c r="S59" s="77" t="str">
        <f>數據分析!$CR$8</f>
        <v>.372</v>
      </c>
      <c r="T59" s="78"/>
      <c r="U59" s="4">
        <f>數據分析!$CR$9</f>
        <v>0.60000000000000009</v>
      </c>
      <c r="V59" s="4">
        <f t="shared" si="7"/>
        <v>-1.8000000000000016E-2</v>
      </c>
    </row>
    <row r="60" spans="10:23">
      <c r="J60" s="77" t="str">
        <f>$K$44&amp;"罰球"</f>
        <v>紅雀罰球</v>
      </c>
      <c r="K60" s="78"/>
      <c r="L60" s="77" t="str">
        <f>數據分析!$CU$6</f>
        <v>118.2</v>
      </c>
      <c r="M60" s="78"/>
      <c r="N60" s="4">
        <f>數據分析!$CU$7</f>
        <v>0.8</v>
      </c>
      <c r="O60" s="4">
        <f t="shared" si="6"/>
        <v>-3.2999999999999972</v>
      </c>
      <c r="Q60" s="77" t="str">
        <f>$R$44&amp;"罰球"</f>
        <v>海盜罰球</v>
      </c>
      <c r="R60" s="78"/>
      <c r="S60" s="77" t="str">
        <f>數據分析!$CU$8</f>
        <v>121.5</v>
      </c>
      <c r="T60" s="78"/>
      <c r="U60" s="4">
        <f>數據分析!$CU$9</f>
        <v>0.9</v>
      </c>
      <c r="V60" s="4">
        <f t="shared" si="7"/>
        <v>3.2999999999999972</v>
      </c>
    </row>
    <row r="61" spans="10:23">
      <c r="J61" s="77" t="str">
        <f>$K$44&amp;"2分命中率"</f>
        <v>紅雀2分命中率</v>
      </c>
      <c r="K61" s="78"/>
      <c r="L61" s="77" t="str">
        <f>數據分析!$CX$6</f>
        <v>0.45</v>
      </c>
      <c r="M61" s="78"/>
      <c r="N61" s="4">
        <f>數據分析!$CX$7</f>
        <v>0</v>
      </c>
      <c r="O61" s="4">
        <f t="shared" si="6"/>
        <v>4.9999999999999989E-2</v>
      </c>
      <c r="Q61" s="77" t="str">
        <f>$R$44&amp;"2分"</f>
        <v>海盜2分</v>
      </c>
      <c r="R61" s="78"/>
      <c r="S61" s="77" t="str">
        <f>數據分析!$CX$8</f>
        <v>0.40</v>
      </c>
      <c r="T61" s="78"/>
      <c r="U61" s="4">
        <f>數據分析!$CX$9</f>
        <v>0</v>
      </c>
      <c r="V61" s="4">
        <f t="shared" si="7"/>
        <v>-4.9999999999999989E-2</v>
      </c>
    </row>
    <row r="62" spans="10:23">
      <c r="J62" s="77" t="str">
        <f>$K$44&amp;"得分效率"</f>
        <v>紅雀得分效率</v>
      </c>
      <c r="K62" s="78"/>
      <c r="L62" s="77" t="str">
        <f>數據分析!$CY$6</f>
        <v>.154</v>
      </c>
      <c r="M62" s="78"/>
      <c r="N62" s="4">
        <f>數據分析!$CY$7</f>
        <v>0.8</v>
      </c>
      <c r="O62" s="4">
        <f t="shared" si="6"/>
        <v>2.2999999999999993E-2</v>
      </c>
      <c r="Q62" s="77" t="str">
        <f>$R$44&amp;"得分效率"</f>
        <v>海盜得分效率</v>
      </c>
      <c r="R62" s="78"/>
      <c r="S62" s="77" t="str">
        <f>數據分析!$CY$8</f>
        <v>.131</v>
      </c>
      <c r="T62" s="78"/>
      <c r="U62" s="4">
        <f>數據分析!$CY$9</f>
        <v>0.60000000000000009</v>
      </c>
      <c r="V62" s="4">
        <f t="shared" si="7"/>
        <v>-2.2999999999999993E-2</v>
      </c>
    </row>
    <row r="63" spans="10:23">
      <c r="J63" s="77" t="str">
        <f>$K$44&amp;"投籃效率"</f>
        <v>紅雀投籃效率</v>
      </c>
      <c r="K63" s="78"/>
      <c r="L63" s="77" t="str">
        <f>數據分析!$CZ$6</f>
        <v>.283</v>
      </c>
      <c r="M63" s="78"/>
      <c r="N63" s="4">
        <f>數據分析!$CZ$7</f>
        <v>0.75</v>
      </c>
      <c r="O63" s="4">
        <f t="shared" si="6"/>
        <v>1.699999999999996E-2</v>
      </c>
      <c r="Q63" s="77" t="str">
        <f>$R$44&amp;"投籃效率"</f>
        <v>海盜投籃效率</v>
      </c>
      <c r="R63" s="78"/>
      <c r="S63" s="77" t="str">
        <f>數據分析!$CZ$8</f>
        <v>.266</v>
      </c>
      <c r="T63" s="78"/>
      <c r="U63" s="4">
        <f>數據分析!$CZ$9</f>
        <v>0.6</v>
      </c>
      <c r="V63" s="4">
        <f t="shared" si="7"/>
        <v>-1.699999999999996E-2</v>
      </c>
    </row>
    <row r="65" spans="10:23">
      <c r="J65" s="77" t="str">
        <f>K44&amp;"先發"</f>
        <v>紅雀先發</v>
      </c>
      <c r="K65" s="78"/>
      <c r="L65" s="77" t="s">
        <v>472</v>
      </c>
      <c r="M65" s="78"/>
      <c r="O65" s="77" t="s">
        <v>473</v>
      </c>
      <c r="P65" s="83"/>
      <c r="Q65" s="77" t="str">
        <f>R44&amp;"先發"</f>
        <v>海盜先發</v>
      </c>
      <c r="R65" s="78"/>
      <c r="S65" s="77" t="s">
        <v>472</v>
      </c>
      <c r="T65" s="78"/>
      <c r="V65" s="77" t="s">
        <v>473</v>
      </c>
      <c r="W65" s="78"/>
    </row>
    <row r="66" spans="10:23">
      <c r="J66" s="77" t="str">
        <f>數據分析!DF44</f>
        <v>Nolan Gorman</v>
      </c>
      <c r="K66" s="78"/>
      <c r="L66" s="77">
        <f>數據分析!DH45</f>
        <v>1.9</v>
      </c>
      <c r="M66" s="78"/>
      <c r="N66" s="4" t="e">
        <f t="shared" ref="N66:N71" si="8">L66-S66</f>
        <v>#VALUE!</v>
      </c>
      <c r="O66" s="82">
        <f>數據分析!DI45</f>
        <v>5</v>
      </c>
      <c r="P66" s="83"/>
      <c r="Q66" s="77" t="str">
        <f>數據分析!EI44</f>
        <v>M. Ozuna</v>
      </c>
      <c r="R66" s="78"/>
      <c r="S66" s="77" t="e">
        <f>數據分析!EK45</f>
        <v>#VALUE!</v>
      </c>
      <c r="T66" s="78"/>
      <c r="U66" s="4" t="e">
        <f t="shared" ref="U66:U71" si="9">S66-L66</f>
        <v>#VALUE!</v>
      </c>
      <c r="V66" s="82" t="e">
        <f>數據分析!EL45</f>
        <v>#VALUE!</v>
      </c>
      <c r="W66" s="78"/>
    </row>
    <row r="67" spans="10:23">
      <c r="J67" s="77" t="str">
        <f>數據分析!DF46</f>
        <v>Masyn Winn</v>
      </c>
      <c r="K67" s="78"/>
      <c r="L67" s="77">
        <f>數據分析!DH47</f>
        <v>2.25</v>
      </c>
      <c r="M67" s="78"/>
      <c r="N67" s="4" t="e">
        <f t="shared" si="8"/>
        <v>#VALUE!</v>
      </c>
      <c r="O67" s="82">
        <f>數據分析!DI47</f>
        <v>5</v>
      </c>
      <c r="P67" s="83"/>
      <c r="Q67" s="77" t="str">
        <f>數據分析!EI46</f>
        <v>S. Horwitz</v>
      </c>
      <c r="R67" s="78"/>
      <c r="S67" s="77" t="e">
        <f>數據分析!EK47</f>
        <v>#VALUE!</v>
      </c>
      <c r="T67" s="78"/>
      <c r="U67" s="4" t="e">
        <f t="shared" si="9"/>
        <v>#VALUE!</v>
      </c>
      <c r="V67" s="82" t="e">
        <f>數據分析!EL47</f>
        <v>#VALUE!</v>
      </c>
      <c r="W67" s="78"/>
    </row>
    <row r="68" spans="10:23">
      <c r="J68" s="77" t="str">
        <f>數據分析!DF48</f>
        <v>N. Church</v>
      </c>
      <c r="K68" s="78"/>
      <c r="L68" s="77" t="e">
        <f>數據分析!DH49</f>
        <v>#VALUE!</v>
      </c>
      <c r="M68" s="78"/>
      <c r="N68" s="4" t="e">
        <f t="shared" si="8"/>
        <v>#VALUE!</v>
      </c>
      <c r="O68" s="82" t="e">
        <f>數據分析!DI49</f>
        <v>#VALUE!</v>
      </c>
      <c r="P68" s="83"/>
      <c r="Q68" s="77" t="str">
        <f>數據分析!EI48</f>
        <v>K. Griffin</v>
      </c>
      <c r="R68" s="78"/>
      <c r="S68" s="77" t="e">
        <f>數據分析!EK49</f>
        <v>#VALUE!</v>
      </c>
      <c r="T68" s="78"/>
      <c r="U68" s="4" t="e">
        <f t="shared" si="9"/>
        <v>#VALUE!</v>
      </c>
      <c r="V68" s="82" t="e">
        <f>數據分析!EL49</f>
        <v>#VALUE!</v>
      </c>
      <c r="W68" s="78"/>
    </row>
    <row r="69" spans="10:23">
      <c r="J69" s="77" t="e">
        <f>數據分析!DF50</f>
        <v>#REF!</v>
      </c>
      <c r="K69" s="78"/>
      <c r="L69" s="77" t="e">
        <f>數據分析!DH51</f>
        <v>#VALUE!</v>
      </c>
      <c r="M69" s="78"/>
      <c r="N69" s="4" t="e">
        <f t="shared" si="8"/>
        <v>#VALUE!</v>
      </c>
      <c r="O69" s="82" t="e">
        <f>數據分析!DI51</f>
        <v>#VALUE!</v>
      </c>
      <c r="P69" s="83"/>
      <c r="Q69" s="77" t="str">
        <f>數據分析!EI50</f>
        <v>Joey Bart</v>
      </c>
      <c r="R69" s="78"/>
      <c r="S69" s="77">
        <f>數據分析!EK51</f>
        <v>1.3499999999999999</v>
      </c>
      <c r="T69" s="78"/>
      <c r="U69" s="4" t="e">
        <f t="shared" si="9"/>
        <v>#VALUE!</v>
      </c>
      <c r="V69" s="82" t="e">
        <f>數據分析!EL51</f>
        <v>#N/A</v>
      </c>
      <c r="W69" s="78"/>
    </row>
    <row r="70" spans="10:23" ht="15.6" customHeight="1" thickBot="1">
      <c r="J70" s="88" t="e">
        <f>數據分析!DF52</f>
        <v>#REF!</v>
      </c>
      <c r="K70" s="89"/>
      <c r="L70" s="88" t="e">
        <f>數據分析!DH53</f>
        <v>#VALUE!</v>
      </c>
      <c r="M70" s="89"/>
      <c r="N70" s="45" t="e">
        <f t="shared" si="8"/>
        <v>#VALUE!</v>
      </c>
      <c r="O70" s="90" t="e">
        <f>數據分析!DI53</f>
        <v>#VALUE!</v>
      </c>
      <c r="P70" s="89"/>
      <c r="Q70" s="88">
        <f>數據分析!EI52</f>
        <v>0</v>
      </c>
      <c r="R70" s="89"/>
      <c r="S70" s="88" t="e">
        <f>數據分析!EK53</f>
        <v>#VALUE!</v>
      </c>
      <c r="T70" s="89"/>
      <c r="U70" s="45" t="e">
        <f t="shared" si="9"/>
        <v>#VALUE!</v>
      </c>
      <c r="V70" s="90" t="e">
        <f>數據分析!EL53</f>
        <v>#VALUE!</v>
      </c>
      <c r="W70" s="89"/>
    </row>
    <row r="71" spans="10:23">
      <c r="L71" s="77" t="e">
        <f>L66+L67+L68+L69+L70</f>
        <v>#VALUE!</v>
      </c>
      <c r="M71" s="78"/>
      <c r="N71" s="4" t="e">
        <f t="shared" si="8"/>
        <v>#VALUE!</v>
      </c>
      <c r="O71" s="77" t="e">
        <f>O66+O67+O68+O69+O70</f>
        <v>#VALUE!</v>
      </c>
      <c r="P71" s="83"/>
      <c r="S71" s="77" t="e">
        <f>S66+S67+S68+S69+S70</f>
        <v>#VALUE!</v>
      </c>
      <c r="T71" s="78"/>
      <c r="U71" s="4" t="e">
        <f t="shared" si="9"/>
        <v>#VALUE!</v>
      </c>
      <c r="V71" s="77" t="e">
        <f>V66+V67+V68+V69+V70</f>
        <v>#VALUE!</v>
      </c>
      <c r="W71" s="78"/>
    </row>
    <row r="73" spans="10:23">
      <c r="J73" s="77" t="str">
        <f>K44&amp;"板凳"</f>
        <v>紅雀板凳</v>
      </c>
      <c r="K73" s="78"/>
      <c r="L73" s="77" t="s">
        <v>472</v>
      </c>
      <c r="M73" s="78"/>
      <c r="O73" s="77" t="s">
        <v>473</v>
      </c>
      <c r="P73" s="83"/>
      <c r="Q73" s="77" t="str">
        <f>R44&amp;"板凳"</f>
        <v>海盜板凳</v>
      </c>
      <c r="R73" s="78"/>
      <c r="S73" s="77" t="s">
        <v>472</v>
      </c>
      <c r="T73" s="78"/>
      <c r="V73" s="77" t="s">
        <v>473</v>
      </c>
      <c r="W73" s="78"/>
    </row>
    <row r="74" spans="10:23">
      <c r="J74" s="77" t="e">
        <f>數據分析!DF54</f>
        <v>#REF!</v>
      </c>
      <c r="K74" s="78"/>
      <c r="L74" s="77" t="e">
        <f>數據分析!DH55</f>
        <v>#VALUE!</v>
      </c>
      <c r="M74" s="78"/>
      <c r="N74" s="4" t="e">
        <f t="shared" ref="N74:N82" si="10">L74-S74</f>
        <v>#VALUE!</v>
      </c>
      <c r="O74" s="82" t="e">
        <f>數據分析!DI55</f>
        <v>#VALUE!</v>
      </c>
      <c r="P74" s="83"/>
      <c r="Q74" s="77">
        <f>數據分析!EI54</f>
        <v>0</v>
      </c>
      <c r="R74" s="78"/>
      <c r="S74" s="77" t="e">
        <f>數據分析!EK55</f>
        <v>#VALUE!</v>
      </c>
      <c r="T74" s="78"/>
      <c r="U74" s="4" t="e">
        <f t="shared" ref="U74:U82" si="11">S74-L74</f>
        <v>#VALUE!</v>
      </c>
      <c r="V74" s="82" t="e">
        <f>數據分析!EL55</f>
        <v>#VALUE!</v>
      </c>
      <c r="W74" s="78"/>
    </row>
    <row r="75" spans="10:23">
      <c r="J75" s="77" t="e">
        <f>數據分析!DF56</f>
        <v>#REF!</v>
      </c>
      <c r="K75" s="78"/>
      <c r="L75" s="77" t="e">
        <f>數據分析!DH57</f>
        <v>#VALUE!</v>
      </c>
      <c r="M75" s="78"/>
      <c r="N75" s="4" t="e">
        <f t="shared" si="10"/>
        <v>#VALUE!</v>
      </c>
      <c r="O75" s="82" t="e">
        <f>數據分析!DI57</f>
        <v>#VALUE!</v>
      </c>
      <c r="P75" s="83"/>
      <c r="Q75" s="77">
        <f>數據分析!EI56</f>
        <v>0</v>
      </c>
      <c r="R75" s="78"/>
      <c r="S75" s="77" t="e">
        <f>數據分析!EK57</f>
        <v>#VALUE!</v>
      </c>
      <c r="T75" s="78"/>
      <c r="U75" s="4" t="e">
        <f t="shared" si="11"/>
        <v>#VALUE!</v>
      </c>
      <c r="V75" s="82" t="e">
        <f>數據分析!EL57</f>
        <v>#VALUE!</v>
      </c>
      <c r="W75" s="78"/>
    </row>
    <row r="76" spans="10:23">
      <c r="J76" s="77" t="str">
        <f>數據分析!DF58</f>
        <v>紅雀整體</v>
      </c>
      <c r="K76" s="78"/>
      <c r="L76" s="77" t="e">
        <f>數據分析!DH59</f>
        <v>#VALUE!</v>
      </c>
      <c r="M76" s="78"/>
      <c r="N76" s="4" t="e">
        <f t="shared" si="10"/>
        <v>#VALUE!</v>
      </c>
      <c r="O76" s="82">
        <f>數據分析!DI59</f>
        <v>0</v>
      </c>
      <c r="P76" s="83"/>
      <c r="Q76" s="77" t="str">
        <f>數據分析!EI58</f>
        <v>海盜整體</v>
      </c>
      <c r="R76" s="78"/>
      <c r="S76" s="77" t="e">
        <f>數據分析!EK59</f>
        <v>#VALUE!</v>
      </c>
      <c r="T76" s="78"/>
      <c r="U76" s="4" t="e">
        <f t="shared" si="11"/>
        <v>#VALUE!</v>
      </c>
      <c r="V76" s="82">
        <f>數據分析!EL59</f>
        <v>0</v>
      </c>
      <c r="W76" s="78"/>
    </row>
    <row r="77" spans="10:23">
      <c r="J77" s="77">
        <f>數據分析!DF60</f>
        <v>0</v>
      </c>
      <c r="K77" s="78"/>
      <c r="L77" s="77" t="str">
        <f>數據分析!DH61</f>
        <v>整體平均</v>
      </c>
      <c r="M77" s="78"/>
      <c r="N77" s="4" t="e">
        <f t="shared" si="10"/>
        <v>#VALUE!</v>
      </c>
      <c r="O77" s="82" t="str">
        <f>數據分析!DI61</f>
        <v>攻擊力</v>
      </c>
      <c r="P77" s="83"/>
      <c r="Q77" s="77">
        <f>數據分析!EI60</f>
        <v>0</v>
      </c>
      <c r="R77" s="78"/>
      <c r="S77" s="77" t="str">
        <f>數據分析!EK61</f>
        <v>整體平均</v>
      </c>
      <c r="T77" s="78"/>
      <c r="U77" s="4" t="e">
        <f t="shared" si="11"/>
        <v>#VALUE!</v>
      </c>
      <c r="V77" s="82" t="str">
        <f>數據分析!EL61</f>
        <v>攻擊力</v>
      </c>
      <c r="W77" s="78"/>
    </row>
    <row r="78" spans="10:23">
      <c r="J78" s="77" t="str">
        <f>數據分析!DF62</f>
        <v>Ranger Suarez</v>
      </c>
      <c r="K78" s="78"/>
      <c r="L78" s="77" t="e">
        <f>數據分析!DH63</f>
        <v>#VALUE!</v>
      </c>
      <c r="M78" s="78"/>
      <c r="N78" s="4" t="e">
        <f t="shared" si="10"/>
        <v>#VALUE!</v>
      </c>
      <c r="O78" s="82" t="e">
        <f>數據分析!DI63</f>
        <v>#VALUE!</v>
      </c>
      <c r="P78" s="83"/>
      <c r="Q78" s="77" t="str">
        <f>數據分析!EI62</f>
        <v>C. Narvaez</v>
      </c>
      <c r="R78" s="78"/>
      <c r="S78" s="77" t="e">
        <f>數據分析!EK63</f>
        <v>#VALUE!</v>
      </c>
      <c r="T78" s="78"/>
      <c r="U78" s="4" t="e">
        <f t="shared" si="11"/>
        <v>#VALUE!</v>
      </c>
      <c r="V78" s="82" t="e">
        <f>數據分析!EL63</f>
        <v>#VALUE!</v>
      </c>
      <c r="W78" s="78"/>
    </row>
    <row r="79" spans="10:23">
      <c r="J79" s="77" t="str">
        <f>數據分析!DF64</f>
        <v>Dylan Cease</v>
      </c>
      <c r="K79" s="78"/>
      <c r="L79" s="77" t="e">
        <f>數據分析!DH65</f>
        <v>#VALUE!</v>
      </c>
      <c r="M79" s="78"/>
      <c r="N79" s="4" t="e">
        <f t="shared" si="10"/>
        <v>#VALUE!</v>
      </c>
      <c r="O79" s="82" t="e">
        <f>數據分析!DI65</f>
        <v>#VALUE!</v>
      </c>
      <c r="P79" s="83"/>
      <c r="Q79" s="77" t="str">
        <f>數據分析!EI64</f>
        <v>E. Clement</v>
      </c>
      <c r="R79" s="78"/>
      <c r="S79" s="77" t="e">
        <f>數據分析!EK65</f>
        <v>#VALUE!</v>
      </c>
      <c r="T79" s="78"/>
      <c r="U79" s="4" t="e">
        <f t="shared" si="11"/>
        <v>#VALUE!</v>
      </c>
      <c r="V79" s="82" t="e">
        <f>數據分析!EL65</f>
        <v>#VALUE!</v>
      </c>
      <c r="W79" s="78"/>
    </row>
    <row r="80" spans="10:23">
      <c r="J80" s="77" t="str">
        <f>數據分析!DF66</f>
        <v>R. Anthony</v>
      </c>
      <c r="K80" s="78"/>
      <c r="L80" s="77" t="e">
        <f>數據分析!DH67</f>
        <v>#VALUE!</v>
      </c>
      <c r="M80" s="78"/>
      <c r="N80" s="4" t="e">
        <f t="shared" si="10"/>
        <v>#VALUE!</v>
      </c>
      <c r="O80" s="82" t="e">
        <f>數據分析!DI67</f>
        <v>#VALUE!</v>
      </c>
      <c r="P80" s="83"/>
      <c r="Q80" s="77" t="str">
        <f>數據分析!EI66</f>
        <v>V. Guerrero</v>
      </c>
      <c r="R80" s="78"/>
      <c r="S80" s="77" t="e">
        <f>數據分析!EK67</f>
        <v>#VALUE!</v>
      </c>
      <c r="T80" s="78"/>
      <c r="U80" s="4" t="e">
        <f t="shared" si="11"/>
        <v>#VALUE!</v>
      </c>
      <c r="V80" s="82" t="e">
        <f>數據分析!EL67</f>
        <v>#VALUE!</v>
      </c>
      <c r="W80" s="78"/>
    </row>
    <row r="81" spans="10:23" ht="15.6" customHeight="1" thickBot="1">
      <c r="J81" s="88" t="str">
        <f>數據分析!DF68</f>
        <v>W. Contreras</v>
      </c>
      <c r="K81" s="89"/>
      <c r="L81" s="88" t="e">
        <f>數據分析!DH69</f>
        <v>#VALUE!</v>
      </c>
      <c r="M81" s="89"/>
      <c r="N81" s="45" t="e">
        <f t="shared" si="10"/>
        <v>#VALUE!</v>
      </c>
      <c r="O81" s="90" t="e">
        <f>數據分析!DI69</f>
        <v>#VALUE!</v>
      </c>
      <c r="P81" s="89"/>
      <c r="Q81" s="88" t="str">
        <f>數據分析!EI68</f>
        <v>K. Okamoto</v>
      </c>
      <c r="R81" s="89"/>
      <c r="S81" s="88" t="e">
        <f>數據分析!EK69</f>
        <v>#VALUE!</v>
      </c>
      <c r="T81" s="89"/>
      <c r="U81" s="45" t="e">
        <f t="shared" si="11"/>
        <v>#VALUE!</v>
      </c>
      <c r="V81" s="90" t="e">
        <f>數據分析!EL69</f>
        <v>#VALUE!</v>
      </c>
      <c r="W81" s="89"/>
    </row>
    <row r="82" spans="10:23">
      <c r="L82" s="77" t="e">
        <f>L77+L78+L79+L80+L81</f>
        <v>#VALUE!</v>
      </c>
      <c r="M82" s="78"/>
      <c r="N82" s="4" t="e">
        <f t="shared" si="10"/>
        <v>#VALUE!</v>
      </c>
      <c r="O82" s="77" t="e">
        <f>O77+O78+O79+O80+O81</f>
        <v>#VALUE!</v>
      </c>
      <c r="P82" s="83"/>
      <c r="S82" s="77" t="e">
        <f>S77+S78+S79+S80+S81</f>
        <v>#VALUE!</v>
      </c>
      <c r="T82" s="78"/>
      <c r="U82" s="4" t="e">
        <f t="shared" si="11"/>
        <v>#VALUE!</v>
      </c>
      <c r="V82" s="77" t="e">
        <f>V77+V78+V79+V80+V81</f>
        <v>#VALUE!</v>
      </c>
      <c r="W82" s="78"/>
    </row>
  </sheetData>
  <mergeCells count="391">
    <mergeCell ref="S82:T82"/>
    <mergeCell ref="Q19:R19"/>
    <mergeCell ref="T5:W5"/>
    <mergeCell ref="L6:N6"/>
    <mergeCell ref="T47:W47"/>
    <mergeCell ref="AJ37:AK37"/>
    <mergeCell ref="J54:K54"/>
    <mergeCell ref="AC34:AD34"/>
    <mergeCell ref="L54:M54"/>
    <mergeCell ref="AJ24:AK24"/>
    <mergeCell ref="AE28:AF28"/>
    <mergeCell ref="AG28:AH28"/>
    <mergeCell ref="O80:P80"/>
    <mergeCell ref="J56:K56"/>
    <mergeCell ref="V7:W7"/>
    <mergeCell ref="L56:M56"/>
    <mergeCell ref="AJ26:AK26"/>
    <mergeCell ref="X25:Y25"/>
    <mergeCell ref="U45:W45"/>
    <mergeCell ref="V71:W71"/>
    <mergeCell ref="AG23:AH23"/>
    <mergeCell ref="B3:C4"/>
    <mergeCell ref="Q16:R16"/>
    <mergeCell ref="S7:U7"/>
    <mergeCell ref="S16:T16"/>
    <mergeCell ref="Q24:R24"/>
    <mergeCell ref="Q18:R18"/>
    <mergeCell ref="S18:T18"/>
    <mergeCell ref="V81:W81"/>
    <mergeCell ref="S17:T17"/>
    <mergeCell ref="V78:W78"/>
    <mergeCell ref="S11:T11"/>
    <mergeCell ref="D5:D6"/>
    <mergeCell ref="AJ23:AK23"/>
    <mergeCell ref="Q67:R67"/>
    <mergeCell ref="Q5:R5"/>
    <mergeCell ref="S67:T67"/>
    <mergeCell ref="L8:M8"/>
    <mergeCell ref="Q69:R69"/>
    <mergeCell ref="M5:P5"/>
    <mergeCell ref="S69:T69"/>
    <mergeCell ref="AC38:AD38"/>
    <mergeCell ref="AE38:AF38"/>
    <mergeCell ref="Q6:R6"/>
    <mergeCell ref="L10:M10"/>
    <mergeCell ref="AC40:AD40"/>
    <mergeCell ref="AE27:AF27"/>
    <mergeCell ref="S51:T51"/>
    <mergeCell ref="K1:P1"/>
    <mergeCell ref="X39:Y39"/>
    <mergeCell ref="AE25:AF25"/>
    <mergeCell ref="AG25:AH25"/>
    <mergeCell ref="Q28:R28"/>
    <mergeCell ref="AE35:AF35"/>
    <mergeCell ref="X32:Y32"/>
    <mergeCell ref="Z32:AA32"/>
    <mergeCell ref="Z26:AA26"/>
    <mergeCell ref="AC37:AD37"/>
    <mergeCell ref="S61:T61"/>
    <mergeCell ref="J27:K27"/>
    <mergeCell ref="Q79:R79"/>
    <mergeCell ref="J20:K20"/>
    <mergeCell ref="L20:M20"/>
    <mergeCell ref="Q81:R81"/>
    <mergeCell ref="J22:K22"/>
    <mergeCell ref="V75:W75"/>
    <mergeCell ref="J51:K51"/>
    <mergeCell ref="L80:M80"/>
    <mergeCell ref="AC27:AD27"/>
    <mergeCell ref="X31:Y31"/>
    <mergeCell ref="Z31:AA31"/>
    <mergeCell ref="J66:K66"/>
    <mergeCell ref="AG36:AH36"/>
    <mergeCell ref="Q50:R50"/>
    <mergeCell ref="Q60:R60"/>
    <mergeCell ref="S49:W49"/>
    <mergeCell ref="L51:M51"/>
    <mergeCell ref="T4:W4"/>
    <mergeCell ref="X33:Y33"/>
    <mergeCell ref="Z33:AA33"/>
    <mergeCell ref="L7:N7"/>
    <mergeCell ref="X35:Y35"/>
    <mergeCell ref="Z35:AA35"/>
    <mergeCell ref="AG39:AH39"/>
    <mergeCell ref="O7:P7"/>
    <mergeCell ref="L17:M17"/>
    <mergeCell ref="Q13:R13"/>
    <mergeCell ref="Q7:R7"/>
    <mergeCell ref="R45:T45"/>
    <mergeCell ref="L19:M19"/>
    <mergeCell ref="Q55:R55"/>
    <mergeCell ref="L12:M12"/>
    <mergeCell ref="X34:Y34"/>
    <mergeCell ref="AC24:AD24"/>
    <mergeCell ref="X28:Y28"/>
    <mergeCell ref="L14:M14"/>
    <mergeCell ref="B5:C6"/>
    <mergeCell ref="O65:P65"/>
    <mergeCell ref="D3:D4"/>
    <mergeCell ref="AJ34:AK34"/>
    <mergeCell ref="AJ36:AK36"/>
    <mergeCell ref="L59:M59"/>
    <mergeCell ref="AJ29:AK29"/>
    <mergeCell ref="J46:K46"/>
    <mergeCell ref="AG33:AH33"/>
    <mergeCell ref="J61:K61"/>
    <mergeCell ref="Q57:R57"/>
    <mergeCell ref="L61:M61"/>
    <mergeCell ref="AJ31:AK31"/>
    <mergeCell ref="J48:K48"/>
    <mergeCell ref="AG35:AH35"/>
    <mergeCell ref="AG34:AH34"/>
    <mergeCell ref="Q4:R4"/>
    <mergeCell ref="J16:K16"/>
    <mergeCell ref="S22:U22"/>
    <mergeCell ref="L9:M9"/>
    <mergeCell ref="L11:M11"/>
    <mergeCell ref="Q47:R47"/>
    <mergeCell ref="J5:K5"/>
    <mergeCell ref="AJ39:AK39"/>
    <mergeCell ref="R1:W1"/>
    <mergeCell ref="J47:K47"/>
    <mergeCell ref="J76:K76"/>
    <mergeCell ref="S79:T79"/>
    <mergeCell ref="A1:A2"/>
    <mergeCell ref="Q21:R21"/>
    <mergeCell ref="S21:T21"/>
    <mergeCell ref="AC32:AD32"/>
    <mergeCell ref="V82:W82"/>
    <mergeCell ref="K44:P44"/>
    <mergeCell ref="S81:T81"/>
    <mergeCell ref="J60:K60"/>
    <mergeCell ref="S6:U6"/>
    <mergeCell ref="M4:P4"/>
    <mergeCell ref="G3:G4"/>
    <mergeCell ref="J53:K53"/>
    <mergeCell ref="G5:G6"/>
    <mergeCell ref="V6:W6"/>
    <mergeCell ref="R2:W2"/>
    <mergeCell ref="Z39:AA39"/>
    <mergeCell ref="S10:T10"/>
    <mergeCell ref="AC25:AD25"/>
    <mergeCell ref="Q74:R74"/>
    <mergeCell ref="Q49:R49"/>
    <mergeCell ref="E3:F4"/>
    <mergeCell ref="S68:T68"/>
    <mergeCell ref="J32:K32"/>
    <mergeCell ref="J7:K7"/>
    <mergeCell ref="J63:K63"/>
    <mergeCell ref="L63:M63"/>
    <mergeCell ref="Q22:R22"/>
    <mergeCell ref="E5:F6"/>
    <mergeCell ref="AG37:AH37"/>
    <mergeCell ref="AE32:AF32"/>
    <mergeCell ref="AG27:AH27"/>
    <mergeCell ref="K45:M45"/>
    <mergeCell ref="J58:K58"/>
    <mergeCell ref="AG38:AH38"/>
    <mergeCell ref="AG40:AH40"/>
    <mergeCell ref="Q54:R54"/>
    <mergeCell ref="R3:T3"/>
    <mergeCell ref="Q29:R29"/>
    <mergeCell ref="Q23:R23"/>
    <mergeCell ref="J67:K67"/>
    <mergeCell ref="L67:M67"/>
    <mergeCell ref="J6:K6"/>
    <mergeCell ref="Q58:R58"/>
    <mergeCell ref="L62:M62"/>
    <mergeCell ref="AG24:AH24"/>
    <mergeCell ref="AJ25:AK25"/>
    <mergeCell ref="X36:Y36"/>
    <mergeCell ref="J52:K52"/>
    <mergeCell ref="L77:M77"/>
    <mergeCell ref="Z36:AA36"/>
    <mergeCell ref="AE26:AF26"/>
    <mergeCell ref="V68:W68"/>
    <mergeCell ref="AG26:AH26"/>
    <mergeCell ref="Q25:R25"/>
    <mergeCell ref="V67:W67"/>
    <mergeCell ref="S58:T58"/>
    <mergeCell ref="T46:W46"/>
    <mergeCell ref="V69:W69"/>
    <mergeCell ref="AJ38:AK38"/>
    <mergeCell ref="S66:T66"/>
    <mergeCell ref="O69:P69"/>
    <mergeCell ref="J70:K70"/>
    <mergeCell ref="AJ28:AK28"/>
    <mergeCell ref="S74:T74"/>
    <mergeCell ref="Q76:R76"/>
    <mergeCell ref="S76:T76"/>
    <mergeCell ref="J73:K73"/>
    <mergeCell ref="J77:K77"/>
    <mergeCell ref="H3:H4"/>
    <mergeCell ref="Q80:R80"/>
    <mergeCell ref="S80:T80"/>
    <mergeCell ref="AC31:AD31"/>
    <mergeCell ref="S55:T55"/>
    <mergeCell ref="H5:H6"/>
    <mergeCell ref="AE37:AF37"/>
    <mergeCell ref="J50:K50"/>
    <mergeCell ref="Z34:AA34"/>
    <mergeCell ref="Z28:AA28"/>
    <mergeCell ref="AE24:AF24"/>
    <mergeCell ref="Q8:R8"/>
    <mergeCell ref="S8:T8"/>
    <mergeCell ref="L22:N22"/>
    <mergeCell ref="Q10:R10"/>
    <mergeCell ref="S77:T77"/>
    <mergeCell ref="J74:K74"/>
    <mergeCell ref="O75:P75"/>
    <mergeCell ref="L74:M74"/>
    <mergeCell ref="L76:M76"/>
    <mergeCell ref="O79:P79"/>
    <mergeCell ref="O70:P70"/>
    <mergeCell ref="Q70:R70"/>
    <mergeCell ref="J69:K69"/>
    <mergeCell ref="K2:P2"/>
    <mergeCell ref="S70:T70"/>
    <mergeCell ref="Z25:AA25"/>
    <mergeCell ref="V77:W77"/>
    <mergeCell ref="J49:K49"/>
    <mergeCell ref="AC23:AD23"/>
    <mergeCell ref="AE23:AF23"/>
    <mergeCell ref="R43:W43"/>
    <mergeCell ref="L69:M69"/>
    <mergeCell ref="Q65:R65"/>
    <mergeCell ref="V66:W66"/>
    <mergeCell ref="S65:T65"/>
    <mergeCell ref="S63:T63"/>
    <mergeCell ref="S50:T50"/>
    <mergeCell ref="Z40:AA40"/>
    <mergeCell ref="J29:K29"/>
    <mergeCell ref="J24:K24"/>
    <mergeCell ref="Q20:R20"/>
    <mergeCell ref="Q14:R14"/>
    <mergeCell ref="L18:M18"/>
    <mergeCell ref="S14:T14"/>
    <mergeCell ref="J26:K26"/>
    <mergeCell ref="AC29:AD29"/>
    <mergeCell ref="S53:T53"/>
    <mergeCell ref="O82:P82"/>
    <mergeCell ref="Q11:R11"/>
    <mergeCell ref="L81:M81"/>
    <mergeCell ref="J23:K23"/>
    <mergeCell ref="Q75:R75"/>
    <mergeCell ref="S75:T75"/>
    <mergeCell ref="Q12:R12"/>
    <mergeCell ref="L16:M16"/>
    <mergeCell ref="V76:W76"/>
    <mergeCell ref="S12:T12"/>
    <mergeCell ref="Q52:R52"/>
    <mergeCell ref="S52:T52"/>
    <mergeCell ref="V79:W79"/>
    <mergeCell ref="Q78:R78"/>
    <mergeCell ref="S78:T78"/>
    <mergeCell ref="O81:P81"/>
    <mergeCell ref="J18:K18"/>
    <mergeCell ref="J17:K17"/>
    <mergeCell ref="O78:P78"/>
    <mergeCell ref="L82:M82"/>
    <mergeCell ref="J19:K19"/>
    <mergeCell ref="L75:M75"/>
    <mergeCell ref="S71:T71"/>
    <mergeCell ref="Q73:R73"/>
    <mergeCell ref="AC35:AD35"/>
    <mergeCell ref="X38:Y38"/>
    <mergeCell ref="L79:M79"/>
    <mergeCell ref="Q9:R9"/>
    <mergeCell ref="Z38:AA38"/>
    <mergeCell ref="K3:M3"/>
    <mergeCell ref="S9:T9"/>
    <mergeCell ref="V70:W70"/>
    <mergeCell ref="J21:K21"/>
    <mergeCell ref="L21:M21"/>
    <mergeCell ref="Q17:R17"/>
    <mergeCell ref="Z27:AA27"/>
    <mergeCell ref="AC28:AD28"/>
    <mergeCell ref="S73:T73"/>
    <mergeCell ref="AC26:AD26"/>
    <mergeCell ref="Z29:AA29"/>
    <mergeCell ref="Z23:AA23"/>
    <mergeCell ref="R44:W44"/>
    <mergeCell ref="O66:P66"/>
    <mergeCell ref="L65:M65"/>
    <mergeCell ref="Z24:AA24"/>
    <mergeCell ref="Q66:R66"/>
    <mergeCell ref="Q53:R53"/>
    <mergeCell ref="O68:P68"/>
    <mergeCell ref="J78:K78"/>
    <mergeCell ref="L78:M78"/>
    <mergeCell ref="J15:K15"/>
    <mergeCell ref="L15:M15"/>
    <mergeCell ref="L71:M71"/>
    <mergeCell ref="J80:K80"/>
    <mergeCell ref="J55:K55"/>
    <mergeCell ref="L55:M55"/>
    <mergeCell ref="J79:K79"/>
    <mergeCell ref="L73:M73"/>
    <mergeCell ref="M46:P46"/>
    <mergeCell ref="L66:M66"/>
    <mergeCell ref="J28:K28"/>
    <mergeCell ref="L53:M53"/>
    <mergeCell ref="J68:K68"/>
    <mergeCell ref="L68:M68"/>
    <mergeCell ref="M47:P47"/>
    <mergeCell ref="J75:K75"/>
    <mergeCell ref="O71:P71"/>
    <mergeCell ref="J12:K12"/>
    <mergeCell ref="O76:P76"/>
    <mergeCell ref="O73:P73"/>
    <mergeCell ref="L49:P49"/>
    <mergeCell ref="V65:W65"/>
    <mergeCell ref="L70:M70"/>
    <mergeCell ref="J81:K81"/>
    <mergeCell ref="O77:P77"/>
    <mergeCell ref="Q77:R77"/>
    <mergeCell ref="K43:P43"/>
    <mergeCell ref="J65:K65"/>
    <mergeCell ref="L58:M58"/>
    <mergeCell ref="Q59:R59"/>
    <mergeCell ref="J25:K25"/>
    <mergeCell ref="L50:M50"/>
    <mergeCell ref="Q46:R46"/>
    <mergeCell ref="L60:M60"/>
    <mergeCell ref="Q61:R61"/>
    <mergeCell ref="L52:M52"/>
    <mergeCell ref="Q48:R48"/>
    <mergeCell ref="S54:T54"/>
    <mergeCell ref="V80:W80"/>
    <mergeCell ref="U3:W3"/>
    <mergeCell ref="AG31:AH31"/>
    <mergeCell ref="S13:T13"/>
    <mergeCell ref="V74:W74"/>
    <mergeCell ref="AG32:AH32"/>
    <mergeCell ref="J11:K11"/>
    <mergeCell ref="Q15:R15"/>
    <mergeCell ref="S15:T15"/>
    <mergeCell ref="N45:P45"/>
    <mergeCell ref="X23:Y23"/>
    <mergeCell ref="AC39:AD39"/>
    <mergeCell ref="AE39:AF39"/>
    <mergeCell ref="N3:P3"/>
    <mergeCell ref="Q56:R56"/>
    <mergeCell ref="S56:T56"/>
    <mergeCell ref="J14:K14"/>
    <mergeCell ref="J13:K13"/>
    <mergeCell ref="L13:M13"/>
    <mergeCell ref="X24:Y24"/>
    <mergeCell ref="X26:Y26"/>
    <mergeCell ref="O67:P67"/>
    <mergeCell ref="J8:K8"/>
    <mergeCell ref="X27:Y27"/>
    <mergeCell ref="J10:K10"/>
    <mergeCell ref="AE34:AF34"/>
    <mergeCell ref="S20:T20"/>
    <mergeCell ref="J62:K62"/>
    <mergeCell ref="AC36:AD36"/>
    <mergeCell ref="AJ32:AK32"/>
    <mergeCell ref="AE36:AF36"/>
    <mergeCell ref="S60:T60"/>
    <mergeCell ref="L48:P48"/>
    <mergeCell ref="AG29:AH29"/>
    <mergeCell ref="J57:K57"/>
    <mergeCell ref="AJ40:AK40"/>
    <mergeCell ref="L57:M57"/>
    <mergeCell ref="AJ27:AK27"/>
    <mergeCell ref="AE31:AF31"/>
    <mergeCell ref="AJ33:AK33"/>
    <mergeCell ref="AJ35:AK35"/>
    <mergeCell ref="Q62:R62"/>
    <mergeCell ref="S62:T62"/>
    <mergeCell ref="S48:W48"/>
    <mergeCell ref="Q51:R51"/>
    <mergeCell ref="AC33:AD33"/>
    <mergeCell ref="X37:Y37"/>
    <mergeCell ref="Z37:AA37"/>
    <mergeCell ref="AE33:AF33"/>
    <mergeCell ref="V73:W73"/>
    <mergeCell ref="J59:K59"/>
    <mergeCell ref="J9:K9"/>
    <mergeCell ref="Q63:R63"/>
    <mergeCell ref="Q26:R26"/>
    <mergeCell ref="O74:P74"/>
    <mergeCell ref="J4:K4"/>
    <mergeCell ref="S19:T19"/>
    <mergeCell ref="J31:K31"/>
    <mergeCell ref="Q27:R27"/>
    <mergeCell ref="O6:P6"/>
    <mergeCell ref="S57:T57"/>
    <mergeCell ref="S59:T59"/>
    <mergeCell ref="Q68:R68"/>
  </mergeCells>
  <phoneticPr fontId="1" type="noConversion"/>
  <conditionalFormatting sqref="L6 O6">
    <cfRule type="expression" dxfId="21" priority="24">
      <formula>$L$6&gt;$S$6</formula>
    </cfRule>
  </conditionalFormatting>
  <conditionalFormatting sqref="L7">
    <cfRule type="expression" dxfId="20" priority="32">
      <formula>$L$7&gt;$S$7</formula>
    </cfRule>
  </conditionalFormatting>
  <conditionalFormatting sqref="L48:P48">
    <cfRule type="expression" dxfId="19" priority="11">
      <formula>$L$6&gt;$S$6</formula>
    </cfRule>
  </conditionalFormatting>
  <conditionalFormatting sqref="L49:P49">
    <cfRule type="expression" dxfId="18" priority="17">
      <formula>$L$7&gt;$S$7</formula>
    </cfRule>
  </conditionalFormatting>
  <conditionalFormatting sqref="N66:N71">
    <cfRule type="expression" dxfId="17" priority="13">
      <formula>$L66&gt;$S66</formula>
    </cfRule>
  </conditionalFormatting>
  <conditionalFormatting sqref="N74:N82">
    <cfRule type="expression" dxfId="16" priority="8">
      <formula>$L74&gt;$S74</formula>
    </cfRule>
  </conditionalFormatting>
  <conditionalFormatting sqref="O8:O19">
    <cfRule type="expression" dxfId="15" priority="27">
      <formula>$L8&gt;$S8</formula>
    </cfRule>
  </conditionalFormatting>
  <conditionalFormatting sqref="O20:O21">
    <cfRule type="expression" dxfId="14" priority="2">
      <formula>L20&lt;S20</formula>
    </cfRule>
  </conditionalFormatting>
  <conditionalFormatting sqref="O50:O63">
    <cfRule type="expression" dxfId="13" priority="14">
      <formula>$L50&gt;$S50</formula>
    </cfRule>
  </conditionalFormatting>
  <conditionalFormatting sqref="Q6:R6">
    <cfRule type="expression" dxfId="12" priority="34">
      <formula>"K6&gt;D6"</formula>
    </cfRule>
  </conditionalFormatting>
  <conditionalFormatting sqref="Q48:R48">
    <cfRule type="expression" dxfId="11" priority="19">
      <formula>"K6&gt;D6"</formula>
    </cfRule>
  </conditionalFormatting>
  <conditionalFormatting sqref="S6 V6">
    <cfRule type="expression" dxfId="10" priority="33">
      <formula>$S$6&gt;$L$6</formula>
    </cfRule>
  </conditionalFormatting>
  <conditionalFormatting sqref="S7">
    <cfRule type="expression" dxfId="9" priority="31">
      <formula>$S$7&gt;$L$7</formula>
    </cfRule>
  </conditionalFormatting>
  <conditionalFormatting sqref="S48:W48">
    <cfRule type="expression" dxfId="8" priority="18">
      <formula>$S$6&gt;$L$6</formula>
    </cfRule>
  </conditionalFormatting>
  <conditionalFormatting sqref="S49:W49">
    <cfRule type="expression" dxfId="7" priority="16">
      <formula>$S$7&gt;$L$7</formula>
    </cfRule>
  </conditionalFormatting>
  <conditionalFormatting sqref="U66:U71">
    <cfRule type="expression" dxfId="6" priority="12">
      <formula>$S66&gt;$L66</formula>
    </cfRule>
  </conditionalFormatting>
  <conditionalFormatting sqref="U74:U82">
    <cfRule type="expression" dxfId="5" priority="7">
      <formula>$S74&gt;$L74</formula>
    </cfRule>
  </conditionalFormatting>
  <conditionalFormatting sqref="V8:V19">
    <cfRule type="expression" dxfId="4" priority="28">
      <formula>$S8&gt;$L8</formula>
    </cfRule>
  </conditionalFormatting>
  <conditionalFormatting sqref="V20:V21">
    <cfRule type="expression" dxfId="3" priority="1">
      <formula>S20&lt;L20</formula>
    </cfRule>
  </conditionalFormatting>
  <conditionalFormatting sqref="V50:V63">
    <cfRule type="expression" dxfId="2" priority="15">
      <formula>$S50&gt;$L50</formula>
    </cfRule>
  </conditionalFormatting>
  <conditionalFormatting sqref="AB24:AB29 AB32:AB40">
    <cfRule type="expression" dxfId="1" priority="35">
      <formula>$Z24&gt;$AG24</formula>
    </cfRule>
  </conditionalFormatting>
  <conditionalFormatting sqref="AI24:AI29 AI32:AI40">
    <cfRule type="expression" dxfId="0" priority="37">
      <formula>$AG24&gt;$Z24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359"/>
  <sheetViews>
    <sheetView topLeftCell="DE1" workbookViewId="0">
      <selection activeCell="DJ22" sqref="DJ22"/>
    </sheetView>
  </sheetViews>
  <sheetFormatPr defaultRowHeight="15"/>
  <cols>
    <col min="1" max="1" width="9.5" bestFit="1" customWidth="1"/>
    <col min="2" max="2" width="9.625" bestFit="1" customWidth="1"/>
    <col min="5" max="5" width="8.25" bestFit="1" customWidth="1"/>
    <col min="9" max="9" width="8.25" bestFit="1" customWidth="1"/>
    <col min="12" max="18" width="4.125" bestFit="1" customWidth="1"/>
    <col min="19" max="20" width="6.125" bestFit="1" customWidth="1"/>
    <col min="21" max="21" width="5.125" bestFit="1" customWidth="1"/>
    <col min="23" max="23" width="8.25" bestFit="1" customWidth="1"/>
    <col min="24" max="27" width="9" style="18" customWidth="1"/>
    <col min="32" max="32" width="9" style="20" customWidth="1"/>
    <col min="33" max="33" width="9.25" bestFit="1" customWidth="1"/>
    <col min="34" max="34" width="10.5" bestFit="1" customWidth="1"/>
    <col min="35" max="35" width="10.5" style="55" customWidth="1"/>
    <col min="36" max="36" width="10.25" bestFit="1" customWidth="1"/>
    <col min="37" max="37" width="8.25" style="55" customWidth="1"/>
    <col min="38" max="38" width="9.5" bestFit="1" customWidth="1"/>
    <col min="39" max="39" width="8" bestFit="1" customWidth="1"/>
    <col min="40" max="40" width="8.125" bestFit="1" customWidth="1"/>
    <col min="41" max="42" width="11.375" bestFit="1" customWidth="1"/>
    <col min="43" max="43" width="11.875" bestFit="1" customWidth="1"/>
    <col min="44" max="44" width="10.125" bestFit="1" customWidth="1"/>
    <col min="45" max="45" width="11.625" bestFit="1" customWidth="1"/>
    <col min="46" max="46" width="9.375" bestFit="1" customWidth="1"/>
    <col min="47" max="47" width="9.25" bestFit="1" customWidth="1"/>
    <col min="48" max="48" width="9.125" bestFit="1" customWidth="1"/>
    <col min="49" max="49" width="13.75" bestFit="1" customWidth="1"/>
    <col min="50" max="50" width="13.125" bestFit="1" customWidth="1"/>
    <col min="51" max="51" width="13" bestFit="1" customWidth="1"/>
    <col min="52" max="52" width="20.375" bestFit="1" customWidth="1"/>
    <col min="53" max="53" width="19.125" bestFit="1" customWidth="1"/>
    <col min="54" max="54" width="14.25" bestFit="1" customWidth="1"/>
    <col min="55" max="55" width="26.875" bestFit="1" customWidth="1"/>
    <col min="56" max="56" width="15.375" bestFit="1" customWidth="1"/>
    <col min="57" max="57" width="19.125" bestFit="1" customWidth="1"/>
    <col min="58" max="58" width="16.25" bestFit="1" customWidth="1"/>
    <col min="59" max="59" width="22" bestFit="1" customWidth="1"/>
    <col min="60" max="60" width="21.125" bestFit="1" customWidth="1"/>
    <col min="61" max="61" width="13.625" style="55" bestFit="1" customWidth="1"/>
    <col min="62" max="62" width="9.25" style="55" bestFit="1" customWidth="1"/>
    <col min="63" max="63" width="23.25" style="55" bestFit="1" customWidth="1"/>
    <col min="80" max="80" width="10.25" bestFit="1" customWidth="1"/>
    <col min="81" max="81" width="10.25" style="30" customWidth="1"/>
    <col min="82" max="82" width="10.25" bestFit="1" customWidth="1"/>
    <col min="83" max="83" width="9.5" bestFit="1" customWidth="1"/>
    <col min="84" max="84" width="8" bestFit="1" customWidth="1"/>
    <col min="85" max="85" width="8.125" bestFit="1" customWidth="1"/>
    <col min="86" max="87" width="11.375" bestFit="1" customWidth="1"/>
    <col min="88" max="88" width="11.875" bestFit="1" customWidth="1"/>
    <col min="89" max="89" width="10.125" bestFit="1" customWidth="1"/>
    <col min="90" max="90" width="11.625" bestFit="1" customWidth="1"/>
    <col min="91" max="91" width="9.375" bestFit="1" customWidth="1"/>
    <col min="92" max="92" width="9.25" bestFit="1" customWidth="1"/>
    <col min="93" max="93" width="9.125" bestFit="1" customWidth="1"/>
    <col min="94" max="94" width="13.75" bestFit="1" customWidth="1"/>
    <col min="95" max="95" width="13.125" bestFit="1" customWidth="1"/>
    <col min="96" max="96" width="13" bestFit="1" customWidth="1"/>
    <col min="97" max="97" width="20.375" bestFit="1" customWidth="1"/>
    <col min="98" max="98" width="19.125" bestFit="1" customWidth="1"/>
    <col min="99" max="99" width="14.25" bestFit="1" customWidth="1"/>
    <col min="100" max="100" width="26.875" bestFit="1" customWidth="1"/>
    <col min="101" max="101" width="15.375" bestFit="1" customWidth="1"/>
    <col min="102" max="102" width="19.125" bestFit="1" customWidth="1"/>
    <col min="103" max="103" width="16.25" bestFit="1" customWidth="1"/>
    <col min="104" max="104" width="22" bestFit="1" customWidth="1"/>
    <col min="105" max="105" width="21.125" style="55" bestFit="1" customWidth="1"/>
    <col min="106" max="106" width="13.625" bestFit="1" customWidth="1"/>
    <col min="107" max="107" width="9.25" style="55" bestFit="1" customWidth="1"/>
    <col min="108" max="108" width="23.25" style="55" bestFit="1" customWidth="1"/>
    <col min="109" max="109" width="9" style="55" customWidth="1"/>
    <col min="110" max="110" width="26.125" bestFit="1" customWidth="1"/>
    <col min="111" max="111" width="10.5" bestFit="1" customWidth="1"/>
    <col min="137" max="137" width="23.25" style="55" bestFit="1" customWidth="1"/>
    <col min="139" max="139" width="18.875" bestFit="1" customWidth="1"/>
    <col min="166" max="166" width="23.25" bestFit="1" customWidth="1"/>
  </cols>
  <sheetData>
    <row r="1" spans="1:181" s="14" customFormat="1">
      <c r="A1" s="82">
        <f>總表!A1</f>
        <v>20260428</v>
      </c>
      <c r="L1" s="15"/>
      <c r="M1" s="15"/>
      <c r="N1" s="15"/>
      <c r="O1" s="15"/>
      <c r="P1" s="15"/>
      <c r="Q1" s="15"/>
      <c r="R1" s="15"/>
      <c r="S1" s="15"/>
      <c r="T1" s="15"/>
      <c r="U1" s="15"/>
      <c r="X1" s="18"/>
      <c r="Y1" s="18"/>
      <c r="Z1" s="18"/>
      <c r="AA1" s="18"/>
      <c r="AF1" s="20"/>
      <c r="AG1" t="s">
        <v>486</v>
      </c>
      <c r="AH1" s="1" t="s">
        <v>487</v>
      </c>
      <c r="AI1" s="54"/>
      <c r="AJ1" s="1" t="s">
        <v>488</v>
      </c>
      <c r="AK1" s="54"/>
      <c r="AL1" t="s">
        <v>489</v>
      </c>
      <c r="AM1" t="s">
        <v>490</v>
      </c>
      <c r="AN1" t="s">
        <v>491</v>
      </c>
      <c r="AO1" t="s">
        <v>492</v>
      </c>
      <c r="AP1" t="s">
        <v>493</v>
      </c>
      <c r="AQ1" t="s">
        <v>494</v>
      </c>
      <c r="AR1" t="s">
        <v>495</v>
      </c>
      <c r="AS1" t="s">
        <v>496</v>
      </c>
      <c r="AT1" t="s">
        <v>497</v>
      </c>
      <c r="AU1" t="s">
        <v>498</v>
      </c>
      <c r="AV1" t="s">
        <v>499</v>
      </c>
      <c r="AW1" t="s">
        <v>500</v>
      </c>
      <c r="AX1" t="s">
        <v>501</v>
      </c>
      <c r="AY1" t="s">
        <v>502</v>
      </c>
      <c r="AZ1" t="s">
        <v>503</v>
      </c>
      <c r="BA1" t="s">
        <v>504</v>
      </c>
      <c r="BB1" t="s">
        <v>505</v>
      </c>
      <c r="BC1" t="s">
        <v>506</v>
      </c>
      <c r="BD1" t="s">
        <v>507</v>
      </c>
      <c r="BE1" t="s">
        <v>508</v>
      </c>
      <c r="BF1" t="s">
        <v>509</v>
      </c>
      <c r="BG1" t="s">
        <v>510</v>
      </c>
      <c r="BH1" t="s">
        <v>511</v>
      </c>
      <c r="BI1" t="s">
        <v>512</v>
      </c>
      <c r="BJ1" t="s">
        <v>513</v>
      </c>
      <c r="BK1" t="s">
        <v>514</v>
      </c>
      <c r="BM1" s="104" t="s">
        <v>500</v>
      </c>
      <c r="BN1" s="103"/>
      <c r="BO1" s="21">
        <v>0.1</v>
      </c>
      <c r="BP1" s="104" t="s">
        <v>501</v>
      </c>
      <c r="BQ1" s="103"/>
      <c r="BR1" s="21">
        <v>0.2</v>
      </c>
      <c r="BS1" s="104" t="s">
        <v>502</v>
      </c>
      <c r="BT1" s="103"/>
      <c r="BU1" s="21">
        <v>0.2</v>
      </c>
      <c r="BV1" s="104" t="s">
        <v>515</v>
      </c>
      <c r="BW1" s="103"/>
      <c r="BX1" s="21">
        <v>0.15</v>
      </c>
      <c r="BY1" s="104" t="s">
        <v>516</v>
      </c>
      <c r="BZ1" s="103"/>
      <c r="CA1" s="21">
        <v>0.1</v>
      </c>
      <c r="CB1" s="20"/>
      <c r="CC1" s="30"/>
      <c r="CD1" s="1" t="s">
        <v>486</v>
      </c>
      <c r="CE1" t="s">
        <v>489</v>
      </c>
      <c r="CF1" t="s">
        <v>490</v>
      </c>
      <c r="CG1" t="s">
        <v>491</v>
      </c>
      <c r="CH1" t="s">
        <v>492</v>
      </c>
      <c r="CI1" t="s">
        <v>493</v>
      </c>
      <c r="CJ1" t="s">
        <v>494</v>
      </c>
      <c r="CK1" t="s">
        <v>495</v>
      </c>
      <c r="CL1" t="s">
        <v>496</v>
      </c>
      <c r="CM1" t="s">
        <v>497</v>
      </c>
      <c r="CN1" t="s">
        <v>498</v>
      </c>
      <c r="CO1" t="s">
        <v>499</v>
      </c>
      <c r="CP1" t="s">
        <v>500</v>
      </c>
      <c r="CQ1" t="s">
        <v>501</v>
      </c>
      <c r="CR1" t="s">
        <v>502</v>
      </c>
      <c r="CS1" t="s">
        <v>503</v>
      </c>
      <c r="CT1" t="s">
        <v>504</v>
      </c>
      <c r="CU1" t="s">
        <v>505</v>
      </c>
      <c r="CV1" t="s">
        <v>506</v>
      </c>
      <c r="CW1" t="s">
        <v>507</v>
      </c>
      <c r="CX1" t="s">
        <v>508</v>
      </c>
      <c r="CY1" t="s">
        <v>509</v>
      </c>
      <c r="CZ1" t="s">
        <v>510</v>
      </c>
      <c r="DA1" t="s">
        <v>511</v>
      </c>
      <c r="DB1" t="s">
        <v>512</v>
      </c>
      <c r="DC1" t="s">
        <v>513</v>
      </c>
      <c r="DD1" t="s">
        <v>514</v>
      </c>
      <c r="DE1" s="54"/>
      <c r="DF1" s="1" t="str">
        <f>CB2</f>
        <v>光芒</v>
      </c>
      <c r="DG1" t="s">
        <v>486</v>
      </c>
      <c r="DH1" t="s">
        <v>489</v>
      </c>
      <c r="DI1" t="s">
        <v>490</v>
      </c>
      <c r="DJ1" t="s">
        <v>491</v>
      </c>
      <c r="DK1" t="s">
        <v>492</v>
      </c>
      <c r="DL1" t="s">
        <v>493</v>
      </c>
      <c r="DM1" t="s">
        <v>494</v>
      </c>
      <c r="DN1" t="s">
        <v>495</v>
      </c>
      <c r="DO1" t="s">
        <v>496</v>
      </c>
      <c r="DP1" t="s">
        <v>497</v>
      </c>
      <c r="DQ1" t="s">
        <v>498</v>
      </c>
      <c r="DR1" t="s">
        <v>499</v>
      </c>
      <c r="DS1" t="s">
        <v>500</v>
      </c>
      <c r="DT1" t="s">
        <v>501</v>
      </c>
      <c r="DU1" t="s">
        <v>502</v>
      </c>
      <c r="DV1" t="s">
        <v>503</v>
      </c>
      <c r="DW1" t="s">
        <v>504</v>
      </c>
      <c r="DX1" t="s">
        <v>505</v>
      </c>
      <c r="DY1" t="s">
        <v>506</v>
      </c>
      <c r="DZ1" t="s">
        <v>507</v>
      </c>
      <c r="EA1" t="s">
        <v>508</v>
      </c>
      <c r="EB1" t="s">
        <v>509</v>
      </c>
      <c r="EC1" t="s">
        <v>510</v>
      </c>
      <c r="ED1" t="s">
        <v>511</v>
      </c>
      <c r="EE1" t="s">
        <v>512</v>
      </c>
      <c r="EF1" t="s">
        <v>513</v>
      </c>
      <c r="EG1" t="s">
        <v>514</v>
      </c>
      <c r="EI1" s="34" t="str">
        <f>CB4</f>
        <v>守護者</v>
      </c>
      <c r="EJ1" t="s">
        <v>486</v>
      </c>
      <c r="EK1" t="s">
        <v>489</v>
      </c>
      <c r="EL1" t="s">
        <v>490</v>
      </c>
      <c r="EM1" t="s">
        <v>491</v>
      </c>
      <c r="EN1" t="s">
        <v>492</v>
      </c>
      <c r="EO1" t="s">
        <v>493</v>
      </c>
      <c r="EP1" t="s">
        <v>494</v>
      </c>
      <c r="EQ1" t="s">
        <v>495</v>
      </c>
      <c r="ER1" t="s">
        <v>496</v>
      </c>
      <c r="ES1" t="s">
        <v>497</v>
      </c>
      <c r="ET1" t="s">
        <v>498</v>
      </c>
      <c r="EU1" t="s">
        <v>499</v>
      </c>
      <c r="EV1" t="s">
        <v>500</v>
      </c>
      <c r="EW1" t="s">
        <v>501</v>
      </c>
      <c r="EX1" t="s">
        <v>502</v>
      </c>
      <c r="EY1" t="s">
        <v>503</v>
      </c>
      <c r="EZ1" t="s">
        <v>504</v>
      </c>
      <c r="FA1" t="s">
        <v>505</v>
      </c>
      <c r="FB1" t="s">
        <v>506</v>
      </c>
      <c r="FC1" t="s">
        <v>507</v>
      </c>
      <c r="FD1" t="s">
        <v>508</v>
      </c>
      <c r="FE1" t="s">
        <v>509</v>
      </c>
      <c r="FF1" t="s">
        <v>510</v>
      </c>
      <c r="FG1" t="s">
        <v>511</v>
      </c>
      <c r="FH1" t="s">
        <v>512</v>
      </c>
      <c r="FI1" t="s">
        <v>513</v>
      </c>
      <c r="FJ1" t="s">
        <v>514</v>
      </c>
      <c r="FK1" s="102" t="s">
        <v>517</v>
      </c>
      <c r="FL1" s="103"/>
      <c r="FM1" s="21">
        <v>0.25</v>
      </c>
      <c r="FN1" s="102" t="s">
        <v>518</v>
      </c>
      <c r="FO1" s="103"/>
      <c r="FP1" s="21">
        <v>0.15</v>
      </c>
      <c r="FQ1" s="102" t="s">
        <v>519</v>
      </c>
      <c r="FR1" s="103"/>
      <c r="FS1" s="21">
        <v>0.1</v>
      </c>
      <c r="FT1" s="102" t="s">
        <v>520</v>
      </c>
      <c r="FU1" s="103"/>
      <c r="FV1" s="21">
        <v>0.1</v>
      </c>
      <c r="FW1" s="102" t="s">
        <v>521</v>
      </c>
      <c r="FX1" s="103"/>
      <c r="FY1" s="21">
        <v>0.05</v>
      </c>
    </row>
    <row r="2" spans="1:181">
      <c r="A2" s="78"/>
      <c r="B2" t="s">
        <v>522</v>
      </c>
      <c r="C2" t="s">
        <v>523</v>
      </c>
      <c r="D2" t="s">
        <v>524</v>
      </c>
      <c r="E2" t="s">
        <v>455</v>
      </c>
      <c r="F2" t="s">
        <v>525</v>
      </c>
      <c r="G2" t="s">
        <v>526</v>
      </c>
      <c r="H2" t="s">
        <v>524</v>
      </c>
      <c r="I2" t="s">
        <v>527</v>
      </c>
      <c r="J2" t="s">
        <v>525</v>
      </c>
      <c r="K2" t="s">
        <v>526</v>
      </c>
      <c r="L2" s="1" t="str">
        <f>TEXT(DATE(LEFT($A1,4), MID($A1,5,2), RIGHT($A1,2))-10, "m/d")</f>
        <v>4/18</v>
      </c>
      <c r="M2" s="1" t="str">
        <f>TEXT(DATE(LEFT($A1,4), MID($A1,5,2), RIGHT($A1,2))-9, "m/d")</f>
        <v>4/19</v>
      </c>
      <c r="N2" s="1" t="str">
        <f>TEXT(DATE(LEFT($A1,4), MID($A1,5,2), RIGHT($A1,2))-8, "m/d")</f>
        <v>4/20</v>
      </c>
      <c r="O2" s="1" t="str">
        <f>TEXT(DATE(LEFT($A1,4), MID($A1,5,2), RIGHT($A1,2))-7, "m/d")</f>
        <v>4/21</v>
      </c>
      <c r="P2" s="1" t="str">
        <f>TEXT(DATE(LEFT($A1,4), MID($A1,5,2), RIGHT($A1,2))-6, "m/d")</f>
        <v>4/22</v>
      </c>
      <c r="Q2" s="1" t="str">
        <f>TEXT(DATE(LEFT($A1,4), MID($A1,5,2), RIGHT($A1,2))-5, "m/d")</f>
        <v>4/23</v>
      </c>
      <c r="R2" s="1" t="str">
        <f>TEXT(DATE(LEFT(A1,4), MID(A1,5,2), RIGHT(A1,2))-4, "m/d")</f>
        <v>4/24</v>
      </c>
      <c r="S2" s="1" t="str">
        <f>TEXT(DATE(LEFT(A1,4), MID(A1,5,2), RIGHT(A1,2))-3, "m/d")</f>
        <v>4/25</v>
      </c>
      <c r="T2" s="1" t="str">
        <f>TEXT(DATE(LEFT(A1,4), MID(A1,5,2), RIGHT(A1,2))-2, "m/d")</f>
        <v>4/26</v>
      </c>
      <c r="U2" s="1" t="str">
        <f>TEXT(DATE(LEFT(A1,4), MID(A1,5,2), RIGHT(A1,2))-1, "m/d")</f>
        <v>4/27</v>
      </c>
      <c r="V2" s="82" t="str">
        <f>C3</f>
        <v>06:10</v>
      </c>
      <c r="W2" t="str">
        <f>E3</f>
        <v>光芒</v>
      </c>
      <c r="X2" s="17" t="str">
        <f t="array" aca="1" ref="X2" ca="1">_xlfn.LET(_xlpm.s,SUBSTITUTE(Y2,".",""),_xlpm.c,RIGHT(_xlpm.s,1),_xlpm.n,ROW(INDIRECT("1:"&amp;LEN(_xlpm.s))),_xlpm.cnt,MAX(IF(RIGHT(_xlpm.s,_xlpm.n)=REPT(_xlpm.c,_xlpm.n),_xlpm.n,0)),IF(_xlpm.cnt&gt;=2,_xlpm.cnt&amp;"連"&amp;_xlpm.c,"1"&amp;_xlpm.c))</f>
        <v>3連O</v>
      </c>
      <c r="Y2" s="82" t="str">
        <f t="array" ref="Y2">INDEX(各隊正負!$F:$F, MATCH("*"&amp;$W2&amp;"*", 各隊正負!$A:$A, 0)+6)</f>
        <v>O.O.X.O.X.X.X.O.O.O</v>
      </c>
      <c r="Z2" s="100"/>
      <c r="AA2" s="100"/>
      <c r="AB2" s="82" t="str">
        <f t="array" ref="AB2">INDEX(各隊正負!$F:$F, MATCH("*"&amp;$W2&amp;"*", 各隊正負!$A:$A, 0)+4)</f>
        <v>W.W.L.W.L.L.L.W.W.W</v>
      </c>
      <c r="AC2" s="78"/>
      <c r="AD2" s="78"/>
      <c r="AE2" s="1" t="str">
        <f t="array" aca="1" ref="AE2" ca="1">_xlfn.LET(_xlpm.s,SUBSTITUTE(AB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3連勝</v>
      </c>
      <c r="AF2" s="19" t="str">
        <f>E3</f>
        <v>光芒</v>
      </c>
      <c r="AG2" s="1" t="str">
        <f t="array" ref="AG2">IFERROR(INDEX(各隊total!$B:$AB, MATCH($AF2, 各隊total!$A:$A, 0), COLUMN(A1)), "")</f>
        <v>27</v>
      </c>
      <c r="AH2" s="32">
        <f>CB3</f>
        <v>4.8000000000000007</v>
      </c>
      <c r="AI2" s="61" t="str">
        <f t="shared" ref="AI2:AI33" si="0">VLOOKUP(AH2*1, BV$15:BX$25, 3, TRUE)</f>
        <v>B+</v>
      </c>
      <c r="AJ2" s="6">
        <f>CC3</f>
        <v>4.25</v>
      </c>
      <c r="AK2" s="60" t="str">
        <f t="shared" ref="AK2:AK33" si="1">VLOOKUP(AJ2*1, BY$15:CA$25, 3, TRUE)</f>
        <v>B</v>
      </c>
      <c r="AL2" s="1" t="str">
        <f t="array" ref="AL2">IFERROR(INDEX(各隊total!$C:$AB, MATCH($AF2, 各隊total!$A:$A, 0), COLUMN(A1)), "")</f>
        <v>923</v>
      </c>
      <c r="AM2" s="1" t="str">
        <f t="array" ref="AM2">IFERROR(INDEX(各隊total!$D:$AB, MATCH($AF2, 各隊total!$A:$A, 0), COLUMN(A1)), "")</f>
        <v>132</v>
      </c>
      <c r="AN2" s="1" t="str">
        <f t="array" ref="AN2">IFERROR(INDEX(各隊total!$E:$AB, MATCH($AF2, 各隊total!$A:$A, 0), COLUMN(A1)), "")</f>
        <v>238</v>
      </c>
      <c r="AO2" s="1" t="str">
        <f t="array" ref="AO2">IFERROR(INDEX(各隊total!$F:$AB, MATCH($AF2, 各隊total!$A:$A, 0), COLUMN(A1)), "")</f>
        <v>38</v>
      </c>
      <c r="AP2" s="1" t="str">
        <f t="array" ref="AP2">IFERROR(INDEX(各隊total!$G:$AB, MATCH($AF2, 各隊total!$A:$A, 0), COLUMN(A1)), "")</f>
        <v>5</v>
      </c>
      <c r="AQ2" s="1" t="str">
        <f t="array" ref="AQ2">IFERROR(INDEX(各隊total!$H:$AB, MATCH($AF2, 各隊total!$A:$A, 0), COLUMN(A1)), "")</f>
        <v>26</v>
      </c>
      <c r="AR2" s="1" t="str">
        <f t="array" ref="AR2">IFERROR(INDEX(各隊total!$I:$AB, MATCH($AF2, 各隊total!$A:$A, 0), COLUMN(A1)), "")</f>
        <v>126</v>
      </c>
      <c r="AS2" s="1" t="str">
        <f t="array" ref="AS2">IFERROR(INDEX(各隊total!$J:$AB, MATCH($AF2, 各隊total!$A:$A, 0), COLUMN(A1)), "")</f>
        <v>364</v>
      </c>
      <c r="AT2" s="1" t="str">
        <f t="array" ref="AT2">IFERROR(INDEX(各隊total!$K:$AB, MATCH($AF2, 各隊total!$A:$A, 0), COLUMN(A1)), "")</f>
        <v>95</v>
      </c>
      <c r="AU2" s="1" t="str">
        <f t="array" ref="AU2">IFERROR(INDEX(各隊total!$L:$AB, MATCH($AF2, 各隊total!$A:$A, 0), COLUMN(A1)), "")</f>
        <v>191</v>
      </c>
      <c r="AV2" s="1" t="str">
        <f t="array" ref="AV2">IFERROR(INDEX(各隊total!$M:$AB, MATCH($AF2, 各隊total!$A:$A, 0), COLUMN(A1)), "")</f>
        <v>29</v>
      </c>
      <c r="AW2" s="1" t="str">
        <f t="array" ref="AW2">IFERROR(INDEX(各隊total!$N:$AB, MATCH($AF2, 各隊total!$A:$A, 0), COLUMN(A1)), "")</f>
        <v>.258</v>
      </c>
      <c r="AX2" s="1" t="str">
        <f t="array" ref="AX2">IFERROR(INDEX(各隊total!$O:$AB, MATCH($AF2, 各隊total!$A:$A, 0), COLUMN(A1)), "")</f>
        <v>.335</v>
      </c>
      <c r="AY2" s="1" t="str">
        <f t="array" ref="AY2">IFERROR(INDEX(各隊total!$P:$AB, MATCH($AF2, 各隊total!$A:$A, 0), COLUMN(A1)), "")</f>
        <v>.394</v>
      </c>
      <c r="AZ2" s="1" t="str">
        <f t="array" ref="AZ2">IFERROR(INDEX(各隊total!$Q:$AB, MATCH($AF2, 各隊total!$A:$A, 0), COLUMN(A1)), "")</f>
        <v>.729</v>
      </c>
      <c r="BA2" s="1">
        <f t="array" ref="BA2">IFERROR(INDEX(各隊total!$R:$AB, MATCH($AF2, 各隊total!$A:$A, 0), COLUMN(A1)), "")</f>
        <v>0</v>
      </c>
      <c r="BB2" s="1" t="str">
        <f t="array" ref="BB2">IFERROR(INDEX(各隊total!$S:$AB, MATCH($AF2, 各隊total!$A:$A, 0), COLUMN(A1)), "")</f>
        <v>126.2</v>
      </c>
      <c r="BC2" s="1" t="str">
        <f t="array" ref="BC2">IFERROR(INDEX(各隊total!$T:$AB, MATCH($AF2, 各隊total!$A:$A, 0), COLUMN(A1)), "")</f>
        <v>4.7</v>
      </c>
      <c r="BD2" s="1" t="str">
        <f t="array" ref="BD2">IFERROR(INDEX(各隊total!$U:$AB, MATCH($AF2, 各隊total!$A:$A, 0), COLUMN(A1)), "")</f>
        <v>.090</v>
      </c>
      <c r="BE2" s="1" t="str">
        <f t="array" ref="BE2">IFERROR(INDEX(各隊total!$V:$AB, MATCH($AF2, 各隊total!$A:$A, 0), COLUMN(A1)), "")</f>
        <v>0.50</v>
      </c>
      <c r="BF2" s="1" t="str">
        <f t="array" ref="BF2">IFERROR(INDEX(各隊total!$W:$AB, MATCH($AF2, 各隊total!$A:$A, 0), COLUMN(A1)), "")</f>
        <v>.137</v>
      </c>
      <c r="BG2" s="1" t="str">
        <f t="array" ref="BG2">IFERROR(INDEX(各隊total!$X:$AB, MATCH($AF2, 各隊total!$A:$A, 0), COLUMN(A1)), "")</f>
        <v>.261</v>
      </c>
      <c r="BH2" s="1" t="str">
        <f t="array" ref="BH2">IFERROR(INDEX(各隊total!$Y:$AB, MATCH($AF2, 各隊total!$A:$A, 0), COLUMN(A1)), "")</f>
        <v>3.80</v>
      </c>
      <c r="BI2" s="1" t="str">
        <f t="array" ref="BI2">IFERROR(INDEX(各隊total!$Z:$AB, MATCH($AF2, 各隊total!$A:$A, 0), COLUMN(A1)), "")</f>
        <v>69</v>
      </c>
      <c r="BJ2" s="1" t="str">
        <f t="array" ref="BJ2">IFERROR(INDEX(各隊total!$AA:$AB, MATCH($AF2, 各隊total!$A:$A, 0), COLUMN(A1)), "")</f>
        <v>1051</v>
      </c>
      <c r="BK2" s="1" t="str">
        <f t="array" ref="BK2">IFERROR(INDEX(各隊total!$AB:$AB, MATCH($AF2, 各隊total!$A:$A, 0), COLUMN(A1)), "")</f>
        <v>35.5</v>
      </c>
      <c r="BL2" s="1" t="str">
        <f t="array" ref="BL2">IFERROR(INDEX(各隊total!$C:$AB, MATCH($AF2, 各隊total!$A:$A, 0), COLUMN(AA1)), "")</f>
        <v/>
      </c>
      <c r="BM2" s="22">
        <v>0</v>
      </c>
      <c r="BN2" s="19">
        <v>0.18</v>
      </c>
      <c r="BO2" s="23">
        <v>0</v>
      </c>
      <c r="BP2" s="22">
        <v>0</v>
      </c>
      <c r="BQ2" s="19">
        <v>0.25</v>
      </c>
      <c r="BR2" s="23">
        <v>0</v>
      </c>
      <c r="BS2" s="22">
        <v>0</v>
      </c>
      <c r="BT2" s="19">
        <v>0.31</v>
      </c>
      <c r="BU2" s="23">
        <v>0</v>
      </c>
      <c r="BV2" s="22">
        <v>0</v>
      </c>
      <c r="BW2" s="19">
        <v>3</v>
      </c>
      <c r="BX2" s="23">
        <v>0</v>
      </c>
      <c r="BY2" s="22">
        <v>0</v>
      </c>
      <c r="BZ2" s="19">
        <v>2.8</v>
      </c>
      <c r="CA2" s="23">
        <v>0</v>
      </c>
      <c r="CB2" s="19" t="str">
        <f>AF2</f>
        <v>光芒</v>
      </c>
      <c r="CC2" s="29"/>
      <c r="CD2" s="1" t="str">
        <f>AG2</f>
        <v>27</v>
      </c>
      <c r="CE2" s="1" t="str">
        <f t="shared" ref="CE2:DD2" si="2">AL2</f>
        <v>923</v>
      </c>
      <c r="CF2" s="1" t="str">
        <f t="shared" si="2"/>
        <v>132</v>
      </c>
      <c r="CG2" s="1" t="str">
        <f t="shared" si="2"/>
        <v>238</v>
      </c>
      <c r="CH2" s="1" t="str">
        <f t="shared" si="2"/>
        <v>38</v>
      </c>
      <c r="CI2" s="1" t="str">
        <f t="shared" si="2"/>
        <v>5</v>
      </c>
      <c r="CJ2" s="1" t="str">
        <f t="shared" si="2"/>
        <v>26</v>
      </c>
      <c r="CK2" s="1" t="str">
        <f t="shared" si="2"/>
        <v>126</v>
      </c>
      <c r="CL2" s="1" t="str">
        <f t="shared" si="2"/>
        <v>364</v>
      </c>
      <c r="CM2" s="1" t="str">
        <f t="shared" si="2"/>
        <v>95</v>
      </c>
      <c r="CN2" s="1" t="str">
        <f t="shared" si="2"/>
        <v>191</v>
      </c>
      <c r="CO2" s="1" t="str">
        <f t="shared" si="2"/>
        <v>29</v>
      </c>
      <c r="CP2" s="1" t="str">
        <f t="shared" si="2"/>
        <v>.258</v>
      </c>
      <c r="CQ2" s="1" t="str">
        <f t="shared" si="2"/>
        <v>.335</v>
      </c>
      <c r="CR2" s="1" t="str">
        <f t="shared" si="2"/>
        <v>.394</v>
      </c>
      <c r="CS2" s="1" t="str">
        <f t="shared" si="2"/>
        <v>.729</v>
      </c>
      <c r="CT2" s="1">
        <f t="shared" si="2"/>
        <v>0</v>
      </c>
      <c r="CU2" s="1" t="str">
        <f t="shared" si="2"/>
        <v>126.2</v>
      </c>
      <c r="CV2" s="1" t="str">
        <f t="shared" si="2"/>
        <v>4.7</v>
      </c>
      <c r="CW2" s="1" t="str">
        <f t="shared" si="2"/>
        <v>.090</v>
      </c>
      <c r="CX2" s="1" t="str">
        <f t="shared" si="2"/>
        <v>0.50</v>
      </c>
      <c r="CY2" s="1" t="str">
        <f t="shared" si="2"/>
        <v>.137</v>
      </c>
      <c r="CZ2" s="1" t="str">
        <f t="shared" si="2"/>
        <v>.261</v>
      </c>
      <c r="DA2" s="1" t="str">
        <f t="shared" si="2"/>
        <v>3.80</v>
      </c>
      <c r="DB2" s="1" t="str">
        <f t="shared" si="2"/>
        <v>69</v>
      </c>
      <c r="DC2" s="1" t="str">
        <f t="shared" si="2"/>
        <v>1051</v>
      </c>
      <c r="DD2" s="1" t="str">
        <f t="shared" si="2"/>
        <v>35.5</v>
      </c>
      <c r="DE2" s="54"/>
      <c r="DF2" s="35" t="str">
        <f>先發名單!G$2</f>
        <v>Yandy Diaz</v>
      </c>
      <c r="DG2" s="4" t="str">
        <f t="array" ref="DG2">IFERROR(INDEX(球員狀態!$C$2:$C$5000, MATCH(1, (球員狀態!$A$2:$A$5000=$DF$1)*(ISNUMBER(SEARCH($DF2, 球員狀態!$B$2:$B$5000))), 0)), "")</f>
        <v>1B</v>
      </c>
      <c r="DJ2" s="4" t="str">
        <f t="array" ref="DJ2">IFERROR(INDEX(球員狀態!$F$2:$F$5000, MATCH(1, (球員狀態!$A$2:$A$5000=$DF$1)*(ISNUMBER(SEARCH($DF2, 球員狀態!$B$2:$B$5000))), 0)), "")</f>
        <v>16</v>
      </c>
      <c r="DK2" s="4" t="str">
        <f t="array" ref="DK2">IFERROR(INDEX(球員狀態!G$2:G$5000, MATCH(1, (球員狀態!$A$2:$A$5000=$DF$1)*(ISNUMBER(SEARCH($DF2, 球員狀態!$B$2:$B$5000))), 0)), "")</f>
        <v>35</v>
      </c>
      <c r="DL2" s="4" t="str">
        <f t="array" ref="DL2">IFERROR(INDEX(球員狀態!H$2:H$5000, MATCH(1, (球員狀態!$A$2:$A$5000=$DF$1)*(ISNUMBER(SEARCH($DF2, 球員狀態!$B$2:$B$5000))), 0)), "")</f>
        <v>3</v>
      </c>
      <c r="DM2" s="4" t="str">
        <f t="array" ref="DM2">IFERROR(INDEX(球員狀態!I$2:I$5000, MATCH(1, (球員狀態!$A$2:$A$5000=$DF$1)*(ISNUMBER(SEARCH($DF2, 球員狀態!$B$2:$B$5000))), 0)), "")</f>
        <v>1</v>
      </c>
      <c r="DN2" s="4" t="str">
        <f t="array" ref="DN2">IFERROR(INDEX(球員狀態!J$2:J$5000, MATCH(1, (球員狀態!$A$2:$A$5000=$DF$1)*(ISNUMBER(SEARCH($DF2, 球員狀態!$B$2:$B$5000))), 0)), "")</f>
        <v>4</v>
      </c>
      <c r="DO2" s="4" t="str">
        <f t="array" ref="DO2">IFERROR(INDEX(球員狀態!K$2:K$5000, MATCH(1, (球員狀態!$A$2:$A$5000=$DF$1)*(ISNUMBER(SEARCH($DF2, 球員狀態!$B$2:$B$5000))), 0)), "")</f>
        <v>20</v>
      </c>
      <c r="DP2" s="4" t="str">
        <f t="array" ref="DP2">IFERROR(INDEX(球員狀態!L$2:L$5000, MATCH(1, (球員狀態!$A$2:$A$5000=$DF$1)*(ISNUMBER(SEARCH($DF2, 球員狀態!$B$2:$B$5000))), 0)), "")</f>
        <v>52</v>
      </c>
      <c r="DQ2" s="4" t="str">
        <f t="array" ref="DQ2">IFERROR(INDEX(球員狀態!M$2:M$5000, MATCH(1, (球員狀態!$A$2:$A$5000=$DF$1)*(ISNUMBER(SEARCH($DF2, 球員狀態!$B$2:$B$5000))), 0)), "")</f>
        <v>11</v>
      </c>
      <c r="DR2" s="4" t="str">
        <f t="array" ref="DR2">IFERROR(INDEX(球員狀態!N$2:N$5000, MATCH(1, (球員狀態!$A$2:$A$5000=$DF$1)*(ISNUMBER(SEARCH($DF2, 球員狀態!$B$2:$B$5000))), 0)), "")</f>
        <v>14</v>
      </c>
      <c r="DS2" s="4" t="str">
        <f t="array" ref="DS2">IFERROR(INDEX(球員狀態!O$2:O$5000, MATCH(1, (球員狀態!$A$2:$A$5000=$DF$1)*(ISNUMBER(SEARCH($DF2, 球員狀態!$B$2:$B$5000))), 0)), "")</f>
        <v>1</v>
      </c>
      <c r="DT2" s="4" t="str">
        <f t="array" ref="DT2">IFERROR(INDEX(球員狀態!P$2:P$5000, MATCH(1, (球員狀態!$A$2:$A$5000=$DF$1)*(ISNUMBER(SEARCH($DF2, 球員狀態!$B$2:$B$5000))), 0)), "")</f>
        <v>.337</v>
      </c>
      <c r="DU2" s="4" t="str">
        <f t="array" ref="DU2">IFERROR(INDEX(球員狀態!Q$2:Q$5000, MATCH(1, (球員狀態!$A$2:$A$5000=$DF$1)*(ISNUMBER(SEARCH($DF2, 球員狀態!$B$2:$B$5000))), 0)), "")</f>
        <v>.425</v>
      </c>
      <c r="DV2" s="4" t="str">
        <f t="array" ref="DV2">IFERROR(INDEX(球員狀態!R$2:R$5000, MATCH(1, (球員狀態!$A$2:$A$5000=$DF$1)*(ISNUMBER(SEARCH($DF2, 球員狀態!$B$2:$B$5000))), 0)), "")</f>
        <v>.500</v>
      </c>
      <c r="DW2" s="4" t="str">
        <f t="array" ref="DW2">IFERROR(INDEX(球員狀態!S$2:S$5000, MATCH(1, (球員狀態!$A$2:$A$5000=$DF$1)*(ISNUMBER(SEARCH($DF2, 球員狀態!$B$2:$B$5000))), 0)), "")</f>
        <v>.925</v>
      </c>
      <c r="DX2" s="4" t="str">
        <f t="array" ref="DX2">IFERROR(INDEX(球員狀態!T$2:T$5000, MATCH(1, (球員狀態!$A$2:$A$5000=$DF$1)*(ISNUMBER(SEARCH($DF2, 球員狀態!$B$2:$B$5000))), 0)), "")</f>
        <v>1.1</v>
      </c>
      <c r="DY2" s="4" t="str">
        <f t="array" ref="DY2">IFERROR(INDEX(球員狀態!U$2:U$5000, MATCH(1, (球員狀態!$A$2:$A$5000=$DF$1)*(ISNUMBER(SEARCH($DF2, 球員狀態!$B$2:$B$5000))), 0)), "")</f>
        <v>21.9</v>
      </c>
      <c r="DZ2" s="4" t="str">
        <f t="array" ref="DZ2">IFERROR(INDEX(球員狀態!V$2:V$5000, MATCH(1, (球員狀態!$A$2:$A$5000=$DF$1)*(ISNUMBER(SEARCH($DF2, 球員狀態!$B$2:$B$5000))), 0)), "")</f>
        <v>8.3</v>
      </c>
      <c r="EA2" s="4" t="str">
        <f t="array" ref="EA2">IFERROR(INDEX(球員狀態!W$2:W$5000, MATCH(1, (球員狀態!$A$2:$A$5000=$DF$1)*(ISNUMBER(SEARCH($DF2, 球員狀態!$B$2:$B$5000))), 0)), "")</f>
        <v>.092</v>
      </c>
      <c r="EB2" s="4" t="str">
        <f t="array" ref="EB2">IFERROR(INDEX(球員狀態!X$2:X$5000, MATCH(1, (球員狀態!$A$2:$A$5000=$DF$1)*(ISNUMBER(SEARCH($DF2, 球員狀態!$B$2:$B$5000))), 0)), "")</f>
        <v>0.79</v>
      </c>
      <c r="EC2" s="4" t="str">
        <f t="array" ref="EC2">IFERROR(INDEX(球員狀態!Y$2:Y$5000, MATCH(1, (球員狀態!$A$2:$A$5000=$DF$1)*(ISNUMBER(SEARCH($DF2, 球員狀態!$B$2:$B$5000))), 0)), "")</f>
        <v>.163</v>
      </c>
      <c r="ED2" s="4" t="str">
        <f t="array" ref="ED2">IFERROR(INDEX(球員狀態!Z$2:Z$5000, MATCH(1, (球員狀態!$A$2:$A$5000=$DF$1)*(ISNUMBER(SEARCH($DF2, 球員狀態!$B$2:$B$5000))), 0)), "")</f>
        <v>.279</v>
      </c>
      <c r="EE2" s="4" t="str">
        <f t="array" ref="EE2">IFERROR(INDEX(球員狀態!AA$2:AA$5000, MATCH(1, (球員狀態!$A$2:$A$5000=$DF$1)*(ISNUMBER(SEARCH($DF2, 球員狀態!$B$2:$B$5000))), 0)), "")</f>
        <v>3.63</v>
      </c>
      <c r="EF2" s="4" t="str">
        <f t="array" ref="EF2">IFERROR(INDEX(球員狀態!AB$2:AB$5000, MATCH(1, (球員狀態!$A$2:$A$5000=$DF$1)*(ISNUMBER(SEARCH($DF2, 球員狀態!$B$2:$B$5000))), 0)), "")</f>
        <v>8</v>
      </c>
      <c r="EG2" s="56"/>
      <c r="EI2" s="35" t="str">
        <f>先發名單!O$2</f>
        <v>Taylor Walls</v>
      </c>
      <c r="EJ2" s="4" t="str">
        <f t="array" ref="EJ2">IFERROR(INDEX(球員狀態!$C$2:$C$5000, MATCH(1, (球員狀態!$A$2:$A$5000=$EI$1)*(ISNUMBER(SEARCH($EI2, 球員狀態!$B$2:$B$5000))), 0)), "")</f>
        <v/>
      </c>
      <c r="EM2" s="4" t="str">
        <f t="array" ref="EM2">IFERROR(INDEX(球員狀態!F$2:F$5000, MATCH(1, (球員狀態!$A$2:$A$5000=$EI$1)*(ISNUMBER(SEARCH($EI2, 球員狀態!$B$2:$B$5000))), 0)), "")</f>
        <v/>
      </c>
      <c r="EN2" s="4" t="str">
        <f t="array" ref="EN2">IFERROR(INDEX(球員狀態!G$2:G$5000, MATCH(1, (球員狀態!$A$2:$A$5000=$EI$1)*(ISNUMBER(SEARCH($EI2, 球員狀態!$B$2:$B$5000))), 0)), "")</f>
        <v/>
      </c>
      <c r="EO2" s="4" t="str">
        <f t="array" ref="EO2">IFERROR(INDEX(球員狀態!H$2:H$5000, MATCH(1, (球員狀態!$A$2:$A$5000=$EI$1)*(ISNUMBER(SEARCH($EI2, 球員狀態!$B$2:$B$5000))), 0)), "")</f>
        <v/>
      </c>
      <c r="EP2" s="4" t="str">
        <f t="array" ref="EP2">IFERROR(INDEX(球員狀態!I$2:I$5000, MATCH(1, (球員狀態!$A$2:$A$5000=$EI$1)*(ISNUMBER(SEARCH($EI2, 球員狀態!$B$2:$B$5000))), 0)), "")</f>
        <v/>
      </c>
      <c r="EQ2" s="4" t="str">
        <f t="array" ref="EQ2">IFERROR(INDEX(球員狀態!J$2:J$5000, MATCH(1, (球員狀態!$A$2:$A$5000=$EI$1)*(ISNUMBER(SEARCH($EI2, 球員狀態!$B$2:$B$5000))), 0)), "")</f>
        <v/>
      </c>
      <c r="ER2" s="4" t="str">
        <f t="array" ref="ER2">IFERROR(INDEX(球員狀態!K$2:K$5000, MATCH(1, (球員狀態!$A$2:$A$5000=$EI$1)*(ISNUMBER(SEARCH($EI2, 球員狀態!$B$2:$B$5000))), 0)), "")</f>
        <v/>
      </c>
      <c r="ES2" s="4" t="str">
        <f t="array" ref="ES2">IFERROR(INDEX(球員狀態!L$2:L$5000, MATCH(1, (球員狀態!$A$2:$A$5000=$EI$1)*(ISNUMBER(SEARCH($EI2, 球員狀態!$B$2:$B$5000))), 0)), "")</f>
        <v/>
      </c>
      <c r="ET2" s="4" t="str">
        <f t="array" ref="ET2">IFERROR(INDEX(球員狀態!M$2:M$5000, MATCH(1, (球員狀態!$A$2:$A$5000=$EI$1)*(ISNUMBER(SEARCH($EI2, 球員狀態!$B$2:$B$5000))), 0)), "")</f>
        <v/>
      </c>
      <c r="EU2" s="4" t="str">
        <f t="array" ref="EU2">IFERROR(INDEX(球員狀態!N$2:N$5000, MATCH(1, (球員狀態!$A$2:$A$5000=$EI$1)*(ISNUMBER(SEARCH($EI2, 球員狀態!$B$2:$B$5000))), 0)), "")</f>
        <v/>
      </c>
      <c r="EV2" s="4" t="str">
        <f t="array" ref="EV2">IFERROR(INDEX(球員狀態!O$2:O$5000, MATCH(1, (球員狀態!$A$2:$A$5000=$EI$1)*(ISNUMBER(SEARCH($EI2, 球員狀態!$B$2:$B$5000))), 0)), "")</f>
        <v/>
      </c>
      <c r="EW2" s="4" t="str">
        <f t="array" ref="EW2">IFERROR(INDEX(球員狀態!P$2:P$5000, MATCH(1, (球員狀態!$A$2:$A$5000=$EI$1)*(ISNUMBER(SEARCH($EI2, 球員狀態!$B$2:$B$5000))), 0)), "")</f>
        <v/>
      </c>
      <c r="EX2" s="4" t="str">
        <f t="array" ref="EX2">IFERROR(INDEX(球員狀態!Q$2:Q$5000, MATCH(1, (球員狀態!$A$2:$A$5000=$EI$1)*(ISNUMBER(SEARCH($EI2, 球員狀態!$B$2:$B$5000))), 0)), "")</f>
        <v/>
      </c>
      <c r="EY2" s="4" t="str">
        <f t="array" ref="EY2">IFERROR(INDEX(球員狀態!R$2:R$5000, MATCH(1, (球員狀態!$A$2:$A$5000=$EI$1)*(ISNUMBER(SEARCH($EI2, 球員狀態!$B$2:$B$5000))), 0)), "")</f>
        <v/>
      </c>
      <c r="EZ2" s="4" t="str">
        <f t="array" ref="EZ2">IFERROR(INDEX(球員狀態!S$2:S$5000, MATCH(1, (球員狀態!$A$2:$A$5000=$EI$1)*(ISNUMBER(SEARCH($EI2, 球員狀態!$B$2:$B$5000))), 0)), "")</f>
        <v/>
      </c>
      <c r="FA2" s="4" t="str">
        <f t="array" ref="FA2">IFERROR(INDEX(球員狀態!T$2:T$5000, MATCH(1, (球員狀態!$A$2:$A$5000=$EI$1)*(ISNUMBER(SEARCH($EI2, 球員狀態!$B$2:$B$5000))), 0)), "")</f>
        <v/>
      </c>
      <c r="FB2" s="4" t="str">
        <f t="array" ref="FB2">IFERROR(INDEX(球員狀態!U$2:U$5000, MATCH(1, (球員狀態!$A$2:$A$5000=$EI$1)*(ISNUMBER(SEARCH($EI2, 球員狀態!$B$2:$B$5000))), 0)), "")</f>
        <v/>
      </c>
      <c r="FC2" s="4" t="str">
        <f t="array" ref="FC2">IFERROR(INDEX(球員狀態!V$2:V$5000, MATCH(1, (球員狀態!$A$2:$A$5000=$EI$1)*(ISNUMBER(SEARCH($EI2, 球員狀態!$B$2:$B$5000))), 0)), "")</f>
        <v/>
      </c>
      <c r="FD2" s="4" t="str">
        <f t="array" ref="FD2">IFERROR(INDEX(球員狀態!W$2:W$5000, MATCH(1, (球員狀態!$A$2:$A$5000=$EI$1)*(ISNUMBER(SEARCH($EI2, 球員狀態!$B$2:$B$5000))), 0)), "")</f>
        <v/>
      </c>
      <c r="FE2" s="4" t="str">
        <f t="array" ref="FE2">IFERROR(INDEX(球員狀態!X$2:X$5000, MATCH(1, (球員狀態!$A$2:$A$5000=$EI$1)*(ISNUMBER(SEARCH($EI2, 球員狀態!$B$2:$B$5000))), 0)), "")</f>
        <v/>
      </c>
      <c r="FF2" s="4" t="str">
        <f t="array" ref="FF2">IFERROR(INDEX(球員狀態!Y$2:Y$5000, MATCH(1, (球員狀態!$A$2:$A$5000=$EI$1)*(ISNUMBER(SEARCH($EI2, 球員狀態!$B$2:$B$5000))), 0)), "")</f>
        <v/>
      </c>
      <c r="FG2" s="4" t="str">
        <f t="array" ref="FG2">IFERROR(INDEX(球員狀態!Z$2:Z$5000, MATCH(1, (球員狀態!$A$2:$A$5000=$EI$1)*(ISNUMBER(SEARCH($EI2, 球員狀態!$B$2:$B$5000))), 0)), "")</f>
        <v/>
      </c>
      <c r="FH2" s="4" t="str">
        <f t="array" ref="FH2">IFERROR(INDEX(球員狀態!AA$2:AA$5000, MATCH(1, (球員狀態!$A$2:$A$5000=$EI$1)*(ISNUMBER(SEARCH($EI2, 球員狀態!$B$2:$B$5000))), 0)), "")</f>
        <v/>
      </c>
      <c r="FI2" s="4" t="str">
        <f t="array" ref="FI2">IFERROR(INDEX(球員狀態!AB$2:AB$5000, MATCH(1, (球員狀態!$A$2:$A$5000=$EI$1)*(ISNUMBER(SEARCH($EI2, 球員狀態!$B$2:$B$5000))), 0)), "")</f>
        <v/>
      </c>
      <c r="FK2" s="22">
        <v>0</v>
      </c>
      <c r="FL2" s="19">
        <v>3</v>
      </c>
      <c r="FM2" s="23">
        <v>0</v>
      </c>
      <c r="FN2" s="22">
        <v>0</v>
      </c>
      <c r="FO2" s="19">
        <v>1.5</v>
      </c>
      <c r="FP2" s="23">
        <v>0</v>
      </c>
      <c r="FQ2" s="22">
        <v>0</v>
      </c>
      <c r="FR2" s="19">
        <v>1.2</v>
      </c>
      <c r="FS2" s="23">
        <v>0</v>
      </c>
      <c r="FT2" s="22">
        <v>0</v>
      </c>
      <c r="FU2" s="19">
        <v>0.3</v>
      </c>
      <c r="FV2" s="23">
        <v>0</v>
      </c>
      <c r="FW2" s="22">
        <v>0</v>
      </c>
      <c r="FX2" s="19">
        <v>0.2</v>
      </c>
      <c r="FY2" s="23">
        <v>0</v>
      </c>
    </row>
    <row r="3" spans="1:181">
      <c r="A3" s="4">
        <v>1</v>
      </c>
      <c r="B3" s="1" t="str">
        <f t="array" ref="B3:K17">_xlfn._xlws.FILTER(每日數據!A:J, 每日數據!A:A=$A$1&amp;"", "")</f>
        <v>20260428</v>
      </c>
      <c r="C3" s="1" t="str">
        <v>06:10</v>
      </c>
      <c r="D3" s="1">
        <v>0</v>
      </c>
      <c r="E3" s="1" t="str">
        <v>光芒</v>
      </c>
      <c r="F3" s="1">
        <v>0</v>
      </c>
      <c r="G3" s="16">
        <v>0.31</v>
      </c>
      <c r="H3" s="1">
        <v>0</v>
      </c>
      <c r="I3" s="1" t="str">
        <v>守護者</v>
      </c>
      <c r="J3" s="1" t="str">
        <v>1分贏</v>
      </c>
      <c r="K3" s="16">
        <v>0.69</v>
      </c>
      <c r="L3" s="1" t="str">
        <f t="array" ref="L3">_xlfn.LET(_xlpm.d,DATE(VALUE(LEFT($A$1,4)),VALUE(MID($A$1,5,2)),VALUE(RIGHT($A$1,2))),INDEX(正負盤!$5:$5,MATCH(1,(MONTH(正負盤!$4:$4)=MONTH(_xlpm.d-2))*(DAY(正負盤!$4:$4)=DAY(_xlpm.d-10)),0)))</f>
        <v>六</v>
      </c>
      <c r="M3" s="1" t="str">
        <f t="array" ref="M3">_xlfn.LET(_xlpm.d,DATE(VALUE(LEFT($A$1,4)),VALUE(MID($A$1,5,2)),VALUE(RIGHT($A$1,2))),INDEX(正負盤!$5:$5,MATCH(1,(MONTH(正負盤!$4:$4)=MONTH(_xlpm.d-2))*(DAY(正負盤!$4:$4)=DAY(_xlpm.d-9)),0)))</f>
        <v>日</v>
      </c>
      <c r="N3" s="1" t="str">
        <f t="array" ref="N3">_xlfn.LET(_xlpm.d,DATE(VALUE(LEFT($A$1,4)),VALUE(MID($A$1,5,2)),VALUE(RIGHT($A$1,2))),INDEX(正負盤!$5:$5,MATCH(1,(MONTH(正負盤!$4:$4)=MONTH(_xlpm.d-2))*(DAY(正負盤!$4:$4)=DAY(_xlpm.d-8)),0)))</f>
        <v>一</v>
      </c>
      <c r="O3" s="1" t="str">
        <f t="array" ref="O3">_xlfn.LET(_xlpm.d,DATE(VALUE(LEFT($A$1,4)),VALUE(MID($A$1,5,2)),VALUE(RIGHT($A$1,2))),INDEX(正負盤!$5:$5,MATCH(1,(MONTH(正負盤!$4:$4)=MONTH(_xlpm.d-2))*(DAY(正負盤!$4:$4)=DAY(_xlpm.d-7)),0)))</f>
        <v>二</v>
      </c>
      <c r="P3" s="1" t="str">
        <f t="array" ref="P3">_xlfn.LET(_xlpm.d,DATE(VALUE(LEFT($A$1,4)),VALUE(MID($A$1,5,2)),VALUE(RIGHT($A$1,2))),INDEX(正負盤!$5:$5,MATCH(1,(MONTH(正負盤!$4:$4)=MONTH(_xlpm.d-2))*(DAY(正負盤!$4:$4)=DAY(_xlpm.d-6)),0)))</f>
        <v>三</v>
      </c>
      <c r="Q3" s="1" t="str">
        <f t="array" ref="Q3">_xlfn.LET(_xlpm.d,DATE(VALUE(LEFT($A$1,4)),VALUE(MID($A$1,5,2)),VALUE(RIGHT($A$1,2))),INDEX(正負盤!$5:$5,MATCH(1,(MONTH(正負盤!$4:$4)=MONTH(_xlpm.d-2))*(DAY(正負盤!$4:$4)=DAY(_xlpm.d-5)),0)))</f>
        <v>四</v>
      </c>
      <c r="R3" s="1" t="str">
        <f t="array" ref="R3">_xlfn.LET(_xlpm.d,DATE(VALUE(LEFT($A$1,4)),VALUE(MID($A$1,5,2)),VALUE(RIGHT($A$1,2))),INDEX(正負盤!$5:$5,MATCH(1,(MONTH(正負盤!$4:$4)=MONTH(_xlpm.d-2))*(DAY(正負盤!$4:$4)=DAY(_xlpm.d-4)),0)))</f>
        <v>五</v>
      </c>
      <c r="S3" s="1" t="str">
        <f t="array" ref="S3">_xlfn.LET(_xlpm.d,DATE(VALUE(LEFT($A$1,4)),VALUE(MID($A$1,5,2)),VALUE(RIGHT($A$1,2))),INDEX(正負盤!$5:$5,MATCH(1,(MONTH(正負盤!$4:$4)=MONTH(_xlpm.d-2))*(DAY(正負盤!$4:$4)=DAY(_xlpm.d-3)),0)))</f>
        <v>六</v>
      </c>
      <c r="T3" s="1" t="str">
        <f t="array" ref="T3">_xlfn.LET(_xlpm.d,DATE(VALUE(LEFT($A$1,4)),VALUE(MID($A$1,5,2)),VALUE(RIGHT($A$1,2))),INDEX(正負盤!$5:$5,MATCH(1,(MONTH(正負盤!$4:$4)=MONTH(_xlpm.d-2))*(DAY(正負盤!$4:$4)=DAY(_xlpm.d-2)),0)))</f>
        <v>日</v>
      </c>
      <c r="U3" s="1" t="str">
        <f t="array" ref="U3">_xlfn.LET(_xlpm.d,DATE(VALUE(LEFT($A$1,4)),VALUE(MID($A$1,5,2)),VALUE(RIGHT($A$1,2))),INDEX(正負盤!$5:$5,MATCH(1,(MONTH(正負盤!$4:$4)=MONTH(_xlpm.d-1))*(DAY(正負盤!$4:$4)=DAY(_xlpm.d-1)),0)))</f>
        <v>一</v>
      </c>
      <c r="V3" s="78"/>
      <c r="W3" t="str">
        <f>I3</f>
        <v>守護者</v>
      </c>
      <c r="X3" s="17" t="str">
        <f t="array" aca="1" ref="X3" ca="1">_xlfn.LET(_xlpm.s,SUBSTITUTE(Y3,".",""),_xlpm.c,RIGHT(_xlpm.s,1),_xlpm.n,ROW(INDIRECT("1:"&amp;LEN(_xlpm.s))),_xlpm.cnt,MAX(IF(RIGHT(_xlpm.s,_xlpm.n)=REPT(_xlpm.c,_xlpm.n),_xlpm.n,0)),IF(_xlpm.cnt&gt;=2,_xlpm.cnt&amp;"連"&amp;_xlpm.c,"1"&amp;_xlpm.c))</f>
        <v>2連X</v>
      </c>
      <c r="Y3" s="82" t="str">
        <f t="array" ref="Y3">INDEX(各隊正負!$F:$F, MATCH("*"&amp;$W3&amp;"*", 各隊正負!$A:$A, 0)+6)</f>
        <v>X.O.X.O.O.X.O.O.X.X</v>
      </c>
      <c r="Z3" s="100"/>
      <c r="AA3" s="100"/>
      <c r="AB3" s="82" t="str">
        <f t="array" ref="AB3">INDEX(各隊正負!$F:$F, MATCH("*"&amp;$W3&amp;"*", 各隊正負!$A:$A, 0)+4)</f>
        <v>L.W.L.W.W.L.W.W.L.L</v>
      </c>
      <c r="AC3" s="78"/>
      <c r="AD3" s="78"/>
      <c r="AE3" s="1" t="str">
        <f t="array" aca="1" ref="AE3" ca="1">_xlfn.LET(_xlpm.s,SUBSTITUTE(AB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3" s="19" t="str">
        <f>I3</f>
        <v>守護者</v>
      </c>
      <c r="AG3" s="1" t="str">
        <f t="array" ref="AG3">IFERROR(INDEX(各隊total!$B:$AB, MATCH($AF3, 各隊total!$A:$A, 0), COLUMN(A2)), "")</f>
        <v>29</v>
      </c>
      <c r="AH3" s="32">
        <f>CB5</f>
        <v>4</v>
      </c>
      <c r="AI3" s="61" t="str">
        <f t="shared" si="0"/>
        <v>B-</v>
      </c>
      <c r="AJ3" s="6">
        <f>CC5</f>
        <v>5.55</v>
      </c>
      <c r="AK3" s="60" t="str">
        <f t="shared" si="1"/>
        <v>A</v>
      </c>
      <c r="AL3" s="1" t="str">
        <f t="array" ref="AL3">IFERROR(INDEX(各隊total!$C:$AB, MATCH($AF3, 各隊total!$A:$A, 0), COLUMN(A2)), "")</f>
        <v>947</v>
      </c>
      <c r="AM3" s="1" t="str">
        <f t="array" ref="AM3">IFERROR(INDEX(各隊total!$D:$AB, MATCH($AF3, 各隊total!$A:$A, 0), COLUMN(A2)), "")</f>
        <v>118</v>
      </c>
      <c r="AN3" s="1" t="str">
        <f t="array" ref="AN3">IFERROR(INDEX(各隊total!$E:$AB, MATCH($AF3, 各隊total!$A:$A, 0), COLUMN(A2)), "")</f>
        <v>219</v>
      </c>
      <c r="AO3" s="1" t="str">
        <f t="array" ref="AO3">IFERROR(INDEX(各隊total!$F:$AB, MATCH($AF3, 各隊total!$A:$A, 0), COLUMN(A2)), "")</f>
        <v>49</v>
      </c>
      <c r="AP3" s="1" t="str">
        <f t="array" ref="AP3">IFERROR(INDEX(各隊total!$G:$AB, MATCH($AF3, 各隊total!$A:$A, 0), COLUMN(A2)), "")</f>
        <v>1</v>
      </c>
      <c r="AQ3" s="1" t="str">
        <f t="array" ref="AQ3">IFERROR(INDEX(各隊total!$H:$AB, MATCH($AF3, 各隊total!$A:$A, 0), COLUMN(A2)), "")</f>
        <v>30</v>
      </c>
      <c r="AR3" s="1" t="str">
        <f t="array" ref="AR3">IFERROR(INDEX(各隊total!$I:$AB, MATCH($AF3, 各隊total!$A:$A, 0), COLUMN(A2)), "")</f>
        <v>113</v>
      </c>
      <c r="AS3" s="1" t="str">
        <f t="array" ref="AS3">IFERROR(INDEX(各隊total!$J:$AB, MATCH($AF3, 各隊total!$A:$A, 0), COLUMN(A2)), "")</f>
        <v>360</v>
      </c>
      <c r="AT3" s="1" t="str">
        <f t="array" ref="AT3">IFERROR(INDEX(各隊total!$K:$AB, MATCH($AF3, 各隊total!$A:$A, 0), COLUMN(A2)), "")</f>
        <v>114</v>
      </c>
      <c r="AU3" s="1" t="str">
        <f t="array" ref="AU3">IFERROR(INDEX(各隊total!$L:$AB, MATCH($AF3, 各隊total!$A:$A, 0), COLUMN(A2)), "")</f>
        <v>228</v>
      </c>
      <c r="AV3" s="1" t="str">
        <f t="array" ref="AV3">IFERROR(INDEX(各隊total!$M:$AB, MATCH($AF3, 各隊total!$A:$A, 0), COLUMN(A2)), "")</f>
        <v>20</v>
      </c>
      <c r="AW3" s="1" t="str">
        <f t="array" ref="AW3">IFERROR(INDEX(各隊total!$N:$AB, MATCH($AF3, 各隊total!$A:$A, 0), COLUMN(A2)), "")</f>
        <v>.231</v>
      </c>
      <c r="AX3" s="1" t="str">
        <f t="array" ref="AX3">IFERROR(INDEX(各隊total!$O:$AB, MATCH($AF3, 各隊total!$A:$A, 0), COLUMN(A2)), "")</f>
        <v>.319</v>
      </c>
      <c r="AY3" s="1" t="str">
        <f t="array" ref="AY3">IFERROR(INDEX(各隊total!$P:$AB, MATCH($AF3, 各隊total!$A:$A, 0), COLUMN(A2)), "")</f>
        <v>.380</v>
      </c>
      <c r="AZ3" s="1" t="str">
        <f t="array" ref="AZ3">IFERROR(INDEX(各隊total!$Q:$AB, MATCH($AF3, 各隊total!$A:$A, 0), COLUMN(A2)), "")</f>
        <v>.699</v>
      </c>
      <c r="BA3" s="1">
        <f t="array" ref="BA3">IFERROR(INDEX(各隊total!$R:$AB, MATCH($AF3, 各隊total!$A:$A, 0), COLUMN(A2)), "")</f>
        <v>0</v>
      </c>
      <c r="BB3" s="1" t="str">
        <f t="array" ref="BB3">IFERROR(INDEX(各隊total!$S:$AB, MATCH($AF3, 各隊total!$A:$A, 0), COLUMN(A2)), "")</f>
        <v>117.4</v>
      </c>
      <c r="BC3" s="1" t="str">
        <f t="array" ref="BC3">IFERROR(INDEX(各隊total!$T:$AB, MATCH($AF3, 各隊total!$A:$A, 0), COLUMN(A2)), "")</f>
        <v>4.2</v>
      </c>
      <c r="BD3" s="1" t="str">
        <f t="array" ref="BD3">IFERROR(INDEX(各隊total!$U:$AB, MATCH($AF3, 各隊total!$A:$A, 0), COLUMN(A2)), "")</f>
        <v>.106</v>
      </c>
      <c r="BE3" s="1" t="str">
        <f t="array" ref="BE3">IFERROR(INDEX(各隊total!$V:$AB, MATCH($AF3, 各隊total!$A:$A, 0), COLUMN(A2)), "")</f>
        <v>0.50</v>
      </c>
      <c r="BF3" s="1" t="str">
        <f t="array" ref="BF3">IFERROR(INDEX(各隊total!$W:$AB, MATCH($AF3, 各隊total!$A:$A, 0), COLUMN(A2)), "")</f>
        <v>.149</v>
      </c>
      <c r="BG3" s="1" t="str">
        <f t="array" ref="BG3">IFERROR(INDEX(各隊total!$X:$AB, MATCH($AF3, 各隊total!$A:$A, 0), COLUMN(A2)), "")</f>
        <v>.283</v>
      </c>
      <c r="BH3" s="1" t="str">
        <f t="array" ref="BH3">IFERROR(INDEX(各隊total!$Y:$AB, MATCH($AF3, 各隊total!$A:$A, 0), COLUMN(A2)), "")</f>
        <v>4.17</v>
      </c>
      <c r="BI3" s="1" t="str">
        <f t="array" ref="BI3">IFERROR(INDEX(各隊total!$Z:$AB, MATCH($AF3, 各隊total!$A:$A, 0), COLUMN(A2)), "")</f>
        <v>80</v>
      </c>
      <c r="BJ3" s="1" t="str">
        <f t="array" ref="BJ3">IFERROR(INDEX(各隊total!$AA:$AB, MATCH($AF3, 各隊total!$A:$A, 0), COLUMN(A2)), "")</f>
        <v>1076</v>
      </c>
      <c r="BK3" s="1" t="str">
        <f t="array" ref="BK3">IFERROR(INDEX(各隊total!$AB:$AB, MATCH($AF3, 各隊total!$A:$A, 0), COLUMN(A2)), "")</f>
        <v>31.6</v>
      </c>
      <c r="BL3" s="1" t="str">
        <f t="array" ref="BL3">IFERROR(INDEX(各隊total!$C:$AB, MATCH($AF3, 各隊total!$A:$A, 0), COLUMN(AA2)), "")</f>
        <v/>
      </c>
      <c r="BM3" s="22">
        <v>0.18099999999999999</v>
      </c>
      <c r="BN3" s="19">
        <v>0.2</v>
      </c>
      <c r="BO3" s="23">
        <v>1</v>
      </c>
      <c r="BP3" s="22">
        <v>0.251</v>
      </c>
      <c r="BQ3" s="19">
        <v>0.27</v>
      </c>
      <c r="BR3" s="23">
        <v>1</v>
      </c>
      <c r="BS3" s="22">
        <v>0.311</v>
      </c>
      <c r="BT3" s="19">
        <v>0.34</v>
      </c>
      <c r="BU3" s="23">
        <v>1</v>
      </c>
      <c r="BV3" s="22">
        <v>3.1</v>
      </c>
      <c r="BW3" s="19">
        <v>3.4</v>
      </c>
      <c r="BX3" s="23">
        <v>1</v>
      </c>
      <c r="BY3" s="22">
        <v>2.9</v>
      </c>
      <c r="BZ3" s="19">
        <v>3.2</v>
      </c>
      <c r="CA3" s="23">
        <v>1</v>
      </c>
      <c r="CB3" s="28">
        <f>CF3+CJ3+CK3+CM3+CO3+CP3+CQ3+CR3</f>
        <v>4.8000000000000007</v>
      </c>
      <c r="CC3" s="31">
        <f>CU3+CV3+CY3+CZ3+DA3</f>
        <v>4.25</v>
      </c>
      <c r="CD3" s="58"/>
      <c r="CE3" s="1"/>
      <c r="CF3" s="27">
        <f>VLOOKUP(ROUND(CF2/CD2, 2), $BV$2:$BX$12, 3, TRUE)*BX$1</f>
        <v>0.75</v>
      </c>
      <c r="CG3" s="58"/>
      <c r="CH3" s="58"/>
      <c r="CI3" s="58"/>
      <c r="CJ3" s="27">
        <f>VLOOKUP(ROUND(CJ2/CD2, 2), $BM$15:$BO$25, 3, TRUE)*BO$14</f>
        <v>0.30000000000000004</v>
      </c>
      <c r="CK3" s="27">
        <f>VLOOKUP(ROUND(CK2/CD2, 2), $BY$2:$CA$12, 3, TRUE)*CA$1</f>
        <v>0.5</v>
      </c>
      <c r="CL3" s="58"/>
      <c r="CM3" s="101">
        <f>VLOOKUP(ROUND(CM2/CN2, 2), $BP$15:$BR$25, 3, TRUE)*BR$14</f>
        <v>0.60000000000000009</v>
      </c>
      <c r="CN3" s="78"/>
      <c r="CO3" s="27">
        <f>VLOOKUP(ROUND(CO2/CD2, 2), $BS$15:$BU$25, 3, TRUE)*BU$14</f>
        <v>0.35000000000000003</v>
      </c>
      <c r="CP3" s="27">
        <f>VLOOKUP(CP2*1, BM$2:BO$12, 3, TRUE)*BO$1</f>
        <v>0.5</v>
      </c>
      <c r="CQ3" s="27">
        <f>VLOOKUP(CQ2*1, BP$2:BR$12, 3, TRUE)*BR$1</f>
        <v>1.2000000000000002</v>
      </c>
      <c r="CR3" s="27">
        <f>VLOOKUP(CR2*1, BS$2:BU$12, 3, TRUE)*BU$1</f>
        <v>0.60000000000000009</v>
      </c>
      <c r="CS3" s="1"/>
      <c r="CT3" s="1"/>
      <c r="CU3" s="60">
        <f>VLOOKUP(CU2*1, BM$28:BO$38, 3, TRUE)*BO$27</f>
        <v>0.9</v>
      </c>
      <c r="CV3" s="60">
        <f>VLOOKUP(CV2*1, BP$28:BR$38, 3, TRUE)*BR$27</f>
        <v>1.75</v>
      </c>
      <c r="CW3" s="1"/>
      <c r="CX3" s="1"/>
      <c r="CY3" s="60">
        <f>VLOOKUP(CY2*1, BS$28:BU$38, 3, TRUE)*BU$27</f>
        <v>0.60000000000000009</v>
      </c>
      <c r="CZ3" s="60">
        <f>VLOOKUP(CZ2*1, BV$28:BX$38, 3, TRUE)*BX$27</f>
        <v>0.6</v>
      </c>
      <c r="DA3" s="60">
        <f>VLOOKUP(DA2*1, BY$28:CA$38, 3, TRUE)*CA$27</f>
        <v>0.4</v>
      </c>
      <c r="DF3" s="36"/>
      <c r="DG3" s="4"/>
      <c r="DH3" s="40">
        <f>DJ3+DL3+DM3+DN3+DO3-DP3-DQ3+DR3</f>
        <v>2.8</v>
      </c>
      <c r="DI3" s="42">
        <f>DU3+DX3+EA3+ED3+EE3+EF3</f>
        <v>5</v>
      </c>
      <c r="DJ3" s="38">
        <f>VLOOKUP(DJ2*1, $FK$2:$FM$12, 3, TRUE)*$FM$1</f>
        <v>1.5</v>
      </c>
      <c r="DL3" s="38">
        <f>VLOOKUP(DL2*1, $FN$2:$FP$12, 3, TRUE)*$FP$1</f>
        <v>0.3</v>
      </c>
      <c r="DM3" s="38">
        <f>VLOOKUP(DM2*1, $FQ$2:$FS$12, 3, TRUE)*$FS$1</f>
        <v>0</v>
      </c>
      <c r="DN3" s="38">
        <f>VLOOKUP(DN2*1, $FT$2:$FV$12, 3, TRUE)*$FV$1</f>
        <v>1</v>
      </c>
      <c r="DO3" s="38">
        <f>VLOOKUP(DO2*1, $FW$2:$FY$12, 3, TRUE)*$FY$1</f>
        <v>0.5</v>
      </c>
      <c r="DP3" s="39">
        <f>VLOOKUP(DP2*1, $FK$14:$FM$25, 3, TRUE)*$FM$14</f>
        <v>1</v>
      </c>
      <c r="DQ3" s="39">
        <f>VLOOKUP(DQ2*1, $FN$14:$FP$25, 3, TRUE)*$FP$14</f>
        <v>1</v>
      </c>
      <c r="DR3" s="38">
        <f>VLOOKUP(DR2*1, $FQ$14:$FS$25, 3, TRUE)*$FS$14</f>
        <v>1.5</v>
      </c>
      <c r="DU3" s="41">
        <f>VLOOKUP(DU2*1, $FK$27:$FM$38, 3, TRUE)*$FM$27</f>
        <v>0</v>
      </c>
      <c r="DX3" s="41">
        <f>VLOOKUP(DX2*1, $FN$27:$FP$38, 3, TRUE)*$FP$27</f>
        <v>0</v>
      </c>
      <c r="EA3" s="41">
        <f>VLOOKUP(EA2*1, $FQ$27:$FS$38, 3, TRUE)*$FS$27</f>
        <v>0</v>
      </c>
      <c r="ED3" s="41">
        <f>VLOOKUP(ED2*1, $FT$27:$FV$38, 3, TRUE)*$FV$27</f>
        <v>0</v>
      </c>
      <c r="EE3" s="41">
        <f>VLOOKUP(EE2*1, $FW$27:$FY$38, 3, TRUE)*$FY$27</f>
        <v>1.5</v>
      </c>
      <c r="EF3" s="41">
        <f>VLOOKUP(EF2*1, $FK$40:$FM$51, 3, TRUE)*$FM$40</f>
        <v>3.5</v>
      </c>
      <c r="EG3" s="57"/>
      <c r="EI3" s="36"/>
      <c r="EJ3" s="4"/>
      <c r="EK3" s="40" t="e">
        <f>EM3+EO3+EP3+EQ3+ER3-ES3-ET3+EU3</f>
        <v>#VALUE!</v>
      </c>
      <c r="EL3" s="42" t="e">
        <f>EX3+FA3+FD3+FG3+FH3+FI3</f>
        <v>#VALUE!</v>
      </c>
      <c r="EM3" s="38" t="e">
        <f>VLOOKUP(EM2*1, $FK$2:$FM$12, 3, TRUE)*$FM$1</f>
        <v>#VALUE!</v>
      </c>
      <c r="EO3" s="38" t="e">
        <f>VLOOKUP(EO2*1, $FN$2:$FP$12, 3, TRUE)*$FP$1</f>
        <v>#VALUE!</v>
      </c>
      <c r="EP3" s="38" t="e">
        <f>VLOOKUP(EP2*1, $FQ$2:$FS$12, 3, TRUE)*$FS$1</f>
        <v>#VALUE!</v>
      </c>
      <c r="EQ3" s="38" t="e">
        <f>VLOOKUP(EQ2*1, $FT$2:$FV$12, 3, TRUE)*$FV$1</f>
        <v>#VALUE!</v>
      </c>
      <c r="ER3" s="38" t="e">
        <f>VLOOKUP(ER2*1, $FW$2:$FY$12, 3, TRUE)*$FY$1</f>
        <v>#VALUE!</v>
      </c>
      <c r="ES3" s="39" t="e">
        <f>VLOOKUP(ES2*1, $FK$14:$FM$25, 3, TRUE)*$FM$14</f>
        <v>#VALUE!</v>
      </c>
      <c r="ET3" s="39" t="e">
        <f>VLOOKUP(ET2*1, $FN$14:$FP$25, 3, TRUE)*$FP$14</f>
        <v>#VALUE!</v>
      </c>
      <c r="EU3" s="38" t="e">
        <f>VLOOKUP(EU2*1, $FQ$14:$FS$25, 3, TRUE)*$FS$14</f>
        <v>#VALUE!</v>
      </c>
      <c r="EX3" s="41" t="e">
        <f>VLOOKUP(EX2*1, $FK$27:$FM$38, 3, TRUE)*$FM$27</f>
        <v>#VALUE!</v>
      </c>
      <c r="FA3" s="41" t="e">
        <f>VLOOKUP(FA2*1, $FN$27:$FP$38, 3, TRUE)*$FP$27</f>
        <v>#VALUE!</v>
      </c>
      <c r="FD3" s="41" t="e">
        <f>VLOOKUP(FD2*1, $FQ$27:$FS$38, 3, TRUE)*$FS$27</f>
        <v>#VALUE!</v>
      </c>
      <c r="FG3" s="41" t="e">
        <f>VLOOKUP(FG2*1, $FT$27:$FV$38, 3, TRUE)*$FV$27</f>
        <v>#VALUE!</v>
      </c>
      <c r="FH3" s="41" t="e">
        <f>VLOOKUP(FH2*1, $FW$27:$FY$38, 3, TRUE)*$FY$27</f>
        <v>#VALUE!</v>
      </c>
      <c r="FI3" s="41" t="e">
        <f>VLOOKUP(FI2*1, $FK$40:$FM$51, 3, TRUE)*$FM$40</f>
        <v>#VALUE!</v>
      </c>
      <c r="FK3" s="22">
        <v>3.1</v>
      </c>
      <c r="FL3" s="19">
        <v>5.5</v>
      </c>
      <c r="FM3" s="23">
        <v>1</v>
      </c>
      <c r="FN3" s="22">
        <v>1.6</v>
      </c>
      <c r="FO3" s="19">
        <v>2.5</v>
      </c>
      <c r="FP3" s="23">
        <v>1</v>
      </c>
      <c r="FQ3" s="22">
        <v>1.3</v>
      </c>
      <c r="FR3" s="19">
        <v>2.2000000000000002</v>
      </c>
      <c r="FS3" s="23">
        <v>1</v>
      </c>
      <c r="FT3" s="22">
        <v>0.31</v>
      </c>
      <c r="FU3" s="19">
        <v>0.5</v>
      </c>
      <c r="FV3" s="23">
        <v>1</v>
      </c>
      <c r="FW3" s="22">
        <v>0.21</v>
      </c>
      <c r="FX3" s="19">
        <v>0.4</v>
      </c>
      <c r="FY3" s="23">
        <v>1</v>
      </c>
    </row>
    <row r="4" spans="1:181">
      <c r="A4" s="4">
        <v>2</v>
      </c>
      <c r="B4" s="1" t="str">
        <v>20260428</v>
      </c>
      <c r="C4" s="1" t="str">
        <v>06:40</v>
      </c>
      <c r="D4" s="1">
        <v>0</v>
      </c>
      <c r="E4" s="1" t="str">
        <v>紅雀</v>
      </c>
      <c r="F4" s="1">
        <v>0</v>
      </c>
      <c r="G4" s="16">
        <v>0.28999999999999998</v>
      </c>
      <c r="H4" s="1">
        <v>0</v>
      </c>
      <c r="I4" s="1" t="str">
        <v>海盜</v>
      </c>
      <c r="J4" s="1" t="str">
        <v>1分贏</v>
      </c>
      <c r="K4" s="16">
        <v>0.71</v>
      </c>
      <c r="L4" s="1" t="str">
        <f t="array" ref="L4">IFERROR(SUBSTITUTE(INDEX(正負盤!$6:$20, ROW(A1), MATCH(1, (MONTH(正負盤!$4:$4)=MONTH(DATE(LEFT($A$1,4),MID($A$1,5,2),RIGHT($A$1,2))-10))*(DAY(正負盤!$4:$4)=DAY(DATE(LEFT($A$1,4),MID($A$1,5,2),RIGHT($A$1,2))-10)), 0)), 0, "-"), "")</f>
        <v>O</v>
      </c>
      <c r="M4" s="1" t="str">
        <f t="array" ref="M4">IFERROR(SUBSTITUTE(INDEX(正負盤!$6:$20, ROW(A1), MATCH(1, (MONTH(正負盤!$4:$4)=MONTH(DATE(LEFT($A$1,4),MID($A$1,5,2),RIGHT($A$1,2))-9))*(DAY(正負盤!$4:$4)=DAY(DATE(LEFT($A$1,4),MID($A$1,5,2),RIGHT($A$1,2))-9)), 0)), 0, "-"), "")</f>
        <v>O</v>
      </c>
      <c r="N4" s="1" t="str">
        <f t="array" ref="N4">IFERROR(SUBSTITUTE(INDEX(正負盤!$6:$20, ROW(A1), MATCH(1, (MONTH(正負盤!$4:$4)=MONTH(DATE(LEFT($A$1,4),MID($A$1,5,2),RIGHT($A$1,2))-8))*(DAY(正負盤!$4:$4)=DAY(DATE(LEFT($A$1,4),MID($A$1,5,2),RIGHT($A$1,2))-8)), 0)), 0, "-"), "")</f>
        <v>X</v>
      </c>
      <c r="O4" s="1" t="str">
        <f t="array" ref="O4">IFERROR(SUBSTITUTE(INDEX(正負盤!$6:$20, ROW(A1), MATCH(1, (MONTH(正負盤!$4:$4)=MONTH(DATE(LEFT($A$1,4),MID($A$1,5,2),RIGHT($A$1,2))-7))*(DAY(正負盤!$4:$4)=DAY(DATE(LEFT($A$1,4),MID($A$1,5,2),RIGHT($A$1,2))-7)), 0)), 0, "-"), "")</f>
        <v>X</v>
      </c>
      <c r="P4" s="1" t="str">
        <f t="array" ref="P4">IFERROR(SUBSTITUTE(INDEX(正負盤!$6:$20, ROW(A1), MATCH(1, (MONTH(正負盤!$4:$4)=MONTH(DATE(LEFT($A$1,4),MID($A$1,5,2),RIGHT($A$1,2))-6))*(DAY(正負盤!$4:$4)=DAY(DATE(LEFT($A$1,4),MID($A$1,5,2),RIGHT($A$1,2))-6)), 0)), 0, "-"), "")</f>
        <v>O</v>
      </c>
      <c r="Q4" s="1" t="str">
        <f t="array" ref="Q4">IFERROR(SUBSTITUTE(INDEX(正負盤!$6:$20, ROW(A1), MATCH(1, (MONTH(正負盤!$4:$4)=MONTH(DATE(LEFT($A$1,4),MID($A$1,5,2),RIGHT($A$1,2))-5))*(DAY(正負盤!$4:$4)=DAY(DATE(LEFT($A$1,4),MID($A$1,5,2),RIGHT($A$1,2))-5)), 0)), 0, "-"), "")</f>
        <v/>
      </c>
      <c r="R4" s="1" t="str">
        <f t="array" ref="R4">IFERROR(SUBSTITUTE(INDEX(正負盤!$6:$20, ROW(A1), MATCH(1, (MONTH(正負盤!$4:$4)=MONTH(DATE(LEFT($A$1,4),MID($A$1,5,2),RIGHT($A$1,2))-4))*(DAY(正負盤!$4:$4)=DAY(DATE(LEFT($A$1,4),MID($A$1,5,2),RIGHT($A$1,2))-4)), 0)), 0, "-"), "")</f>
        <v>O</v>
      </c>
      <c r="S4" s="1" t="str">
        <f t="array" ref="S4">IFERROR(SUBSTITUTE(INDEX(正負盤!$6:$20, ROW(A1), MATCH(1, (MONTH(正負盤!$4:$4)=MONTH(DATE(LEFT($A$1,4),MID($A$1,5,2),RIGHT($A$1,2))-3))*(DAY(正負盤!$4:$4)=DAY(DATE(LEFT($A$1,4),MID($A$1,5,2),RIGHT($A$1,2))-3)), 0)), 0, "-"), "")</f>
        <v>X</v>
      </c>
      <c r="T4" s="1" t="str">
        <f t="array" ref="T4">IFERROR(SUBSTITUTE(INDEX(正負盤!$6:$20, ROW(A1), MATCH(1, (MONTH(正負盤!$4:$4)=MONTH(DATE(LEFT($A$1,4),MID($A$1,5,2),RIGHT($A$1,2))-2))*(DAY(正負盤!$4:$4)=DAY(DATE(LEFT($A$1,4),MID($A$1,5,2),RIGHT($A$1,2))-2)), 0)), 0, "-"), "")</f>
        <v>X</v>
      </c>
      <c r="U4" s="1" t="str">
        <f t="array" ref="U4">IFERROR(SUBSTITUTE(INDEX(正負盤!$6:$20, ROW(A1), MATCH(1, (MONTH(正負盤!$4:$4)=MONTH(DATE(LEFT($A$1,4),MID($A$1,5,2),RIGHT($A$1,2))-1))*(DAY(正負盤!$4:$4)=DAY(DATE(LEFT($A$1,4),MID($A$1,5,2),RIGHT($A$1,2))-1)), 0)), 0, "-"), "")</f>
        <v>X</v>
      </c>
      <c r="V4" s="82" t="str">
        <f>C4</f>
        <v>06:40</v>
      </c>
      <c r="W4" t="str">
        <f>E4</f>
        <v>紅雀</v>
      </c>
      <c r="X4" s="17" t="str">
        <f t="array" aca="1" ref="X4" ca="1">_xlfn.LET(_xlpm.s,SUBSTITUTE(Y4,".",""),_xlpm.c,RIGHT(_xlpm.s,1),_xlpm.n,ROW(INDIRECT("1:"&amp;LEN(_xlpm.s))),_xlpm.cnt,MAX(IF(RIGHT(_xlpm.s,_xlpm.n)=REPT(_xlpm.c,_xlpm.n),_xlpm.n,0)),IF(_xlpm.cnt&gt;=2,_xlpm.cnt&amp;"連"&amp;_xlpm.c,"1"&amp;_xlpm.c))</f>
        <v>3連X</v>
      </c>
      <c r="Y4" s="82" t="str">
        <f t="array" ref="Y4">INDEX(各隊正負!$F:$F, MATCH("*"&amp;$W4&amp;"*", 各隊正負!$A:$A, 0)+6)</f>
        <v>O.O.O.O.O.X.O.X.X.X</v>
      </c>
      <c r="Z4" s="100"/>
      <c r="AA4" s="100"/>
      <c r="AB4" s="82" t="str">
        <f t="array" ref="AB4">INDEX(各隊正負!$F:$F, MATCH("*"&amp;$W4&amp;"*", 各隊正負!$A:$A, 0)+4)</f>
        <v>W.W.W.W.W.L.W.L.L.L</v>
      </c>
      <c r="AC4" s="78"/>
      <c r="AD4" s="78"/>
      <c r="AE4" s="1" t="str">
        <f t="array" aca="1" ref="AE4" ca="1">_xlfn.LET(_xlpm.s,SUBSTITUTE(AB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3連敗</v>
      </c>
      <c r="AF4" s="19" t="str">
        <f>E4</f>
        <v>紅雀</v>
      </c>
      <c r="AG4" s="1" t="str">
        <f t="array" ref="AG4">IFERROR(INDEX(各隊total!$B:$AB, MATCH($AF4, 各隊total!$A:$A, 0), COLUMN(A3)), "")</f>
        <v>27</v>
      </c>
      <c r="AH4" s="32">
        <f>CB7</f>
        <v>4.5</v>
      </c>
      <c r="AI4" s="61" t="str">
        <f t="shared" si="0"/>
        <v>B</v>
      </c>
      <c r="AJ4" s="6">
        <f>CC7</f>
        <v>4.3499999999999996</v>
      </c>
      <c r="AK4" s="60" t="str">
        <f t="shared" si="1"/>
        <v>B</v>
      </c>
      <c r="AL4" s="1" t="str">
        <f t="array" ref="AL4">IFERROR(INDEX(各隊total!$C:$AB, MATCH($AF4, 各隊total!$A:$A, 0), COLUMN(A3)), "")</f>
        <v>901</v>
      </c>
      <c r="AM4" s="1" t="str">
        <f t="array" ref="AM4">IFERROR(INDEX(各隊total!$D:$AB, MATCH($AF4, 各隊total!$A:$A, 0), COLUMN(A3)), "")</f>
        <v>125</v>
      </c>
      <c r="AN4" s="1" t="str">
        <f t="array" ref="AN4">IFERROR(INDEX(各隊total!$E:$AB, MATCH($AF4, 各隊total!$A:$A, 0), COLUMN(A3)), "")</f>
        <v>212</v>
      </c>
      <c r="AO4" s="1" t="str">
        <f t="array" ref="AO4">IFERROR(INDEX(各隊total!$F:$AB, MATCH($AF4, 各隊total!$A:$A, 0), COLUMN(A3)), "")</f>
        <v>35</v>
      </c>
      <c r="AP4" s="1" t="str">
        <f t="array" ref="AP4">IFERROR(INDEX(各隊total!$G:$AB, MATCH($AF4, 各隊total!$A:$A, 0), COLUMN(A3)), "")</f>
        <v>1</v>
      </c>
      <c r="AQ4" s="1" t="str">
        <f t="array" ref="AQ4">IFERROR(INDEX(各隊total!$H:$AB, MATCH($AF4, 各隊total!$A:$A, 0), COLUMN(A3)), "")</f>
        <v>34</v>
      </c>
      <c r="AR4" s="1" t="str">
        <f t="array" ref="AR4">IFERROR(INDEX(各隊total!$I:$AB, MATCH($AF4, 各隊total!$A:$A, 0), COLUMN(A3)), "")</f>
        <v>122</v>
      </c>
      <c r="AS4" s="1" t="str">
        <f t="array" ref="AS4">IFERROR(INDEX(各隊total!$J:$AB, MATCH($AF4, 各隊total!$A:$A, 0), COLUMN(A3)), "")</f>
        <v>351</v>
      </c>
      <c r="AT4" s="1" t="str">
        <f t="array" ref="AT4">IFERROR(INDEX(各隊total!$K:$AB, MATCH($AF4, 各隊total!$A:$A, 0), COLUMN(A3)), "")</f>
        <v>101</v>
      </c>
      <c r="AU4" s="1" t="str">
        <f t="array" ref="AU4">IFERROR(INDEX(各隊total!$L:$AB, MATCH($AF4, 各隊total!$A:$A, 0), COLUMN(A3)), "")</f>
        <v>225</v>
      </c>
      <c r="AV4" s="1" t="str">
        <f t="array" ref="AV4">IFERROR(INDEX(各隊total!$M:$AB, MATCH($AF4, 各隊total!$A:$A, 0), COLUMN(A3)), "")</f>
        <v>20</v>
      </c>
      <c r="AW4" s="1" t="str">
        <f t="array" ref="AW4">IFERROR(INDEX(各隊total!$N:$AB, MATCH($AF4, 各隊total!$A:$A, 0), COLUMN(A3)), "")</f>
        <v>.235</v>
      </c>
      <c r="AX4" s="1" t="str">
        <f t="array" ref="AX4">IFERROR(INDEX(各隊total!$O:$AB, MATCH($AF4, 各隊total!$A:$A, 0), COLUMN(A3)), "")</f>
        <v>.324</v>
      </c>
      <c r="AY4" s="1" t="str">
        <f t="array" ref="AY4">IFERROR(INDEX(各隊total!$P:$AB, MATCH($AF4, 各隊total!$A:$A, 0), COLUMN(A3)), "")</f>
        <v>.390</v>
      </c>
      <c r="AZ4" s="1" t="str">
        <f t="array" ref="AZ4">IFERROR(INDEX(各隊total!$Q:$AB, MATCH($AF4, 各隊total!$A:$A, 0), COLUMN(A3)), "")</f>
        <v>.713</v>
      </c>
      <c r="BA4" s="1">
        <f t="array" ref="BA4">IFERROR(INDEX(各隊total!$R:$AB, MATCH($AF4, 各隊total!$A:$A, 0), COLUMN(A3)), "")</f>
        <v>0</v>
      </c>
      <c r="BB4" s="1" t="str">
        <f t="array" ref="BB4">IFERROR(INDEX(各隊total!$S:$AB, MATCH($AF4, 各隊total!$A:$A, 0), COLUMN(A3)), "")</f>
        <v>118.2</v>
      </c>
      <c r="BC4" s="1" t="str">
        <f t="array" ref="BC4">IFERROR(INDEX(各隊total!$T:$AB, MATCH($AF4, 各隊total!$A:$A, 0), COLUMN(A3)), "")</f>
        <v>4.3</v>
      </c>
      <c r="BD4" s="1" t="str">
        <f t="array" ref="BD4">IFERROR(INDEX(各隊total!$U:$AB, MATCH($AF4, 各隊total!$A:$A, 0), COLUMN(A3)), "")</f>
        <v>.097</v>
      </c>
      <c r="BE4" s="1" t="str">
        <f t="array" ref="BE4">IFERROR(INDEX(各隊total!$V:$AB, MATCH($AF4, 各隊total!$A:$A, 0), COLUMN(A3)), "")</f>
        <v>0.45</v>
      </c>
      <c r="BF4" s="1" t="str">
        <f t="array" ref="BF4">IFERROR(INDEX(各隊total!$W:$AB, MATCH($AF4, 各隊total!$A:$A, 0), COLUMN(A3)), "")</f>
        <v>.154</v>
      </c>
      <c r="BG4" s="1" t="str">
        <f t="array" ref="BG4">IFERROR(INDEX(各隊total!$X:$AB, MATCH($AF4, 各隊total!$A:$A, 0), COLUMN(A3)), "")</f>
        <v>.283</v>
      </c>
      <c r="BH4" s="1" t="str">
        <f t="array" ref="BH4">IFERROR(INDEX(各隊total!$Y:$AB, MATCH($AF4, 各隊total!$A:$A, 0), COLUMN(A3)), "")</f>
        <v>3.84</v>
      </c>
      <c r="BI4" s="1" t="str">
        <f t="array" ref="BI4">IFERROR(INDEX(各隊total!$Z:$AB, MATCH($AF4, 各隊total!$A:$A, 0), COLUMN(A3)), "")</f>
        <v>70</v>
      </c>
      <c r="BJ4" s="1" t="str">
        <f t="array" ref="BJ4">IFERROR(INDEX(各隊total!$AA:$AB, MATCH($AF4, 各隊total!$A:$A, 0), COLUMN(A3)), "")</f>
        <v>1045</v>
      </c>
      <c r="BK4" s="1" t="str">
        <f t="array" ref="BK4">IFERROR(INDEX(各隊total!$AB:$AB, MATCH($AF4, 各隊total!$A:$A, 0), COLUMN(A3)), "")</f>
        <v>26.5</v>
      </c>
      <c r="BL4" s="1" t="str">
        <f t="array" ref="BL4">IFERROR(INDEX(各隊total!$C:$AB, MATCH($AF4, 各隊total!$A:$A, 0), COLUMN(AA3)), "")</f>
        <v/>
      </c>
      <c r="BM4" s="22">
        <v>0.20100000000000001</v>
      </c>
      <c r="BN4" s="19">
        <v>0.215</v>
      </c>
      <c r="BO4" s="23">
        <v>2</v>
      </c>
      <c r="BP4" s="22">
        <v>0.27100000000000002</v>
      </c>
      <c r="BQ4" s="19">
        <v>0.28499999999999998</v>
      </c>
      <c r="BR4" s="23">
        <v>2</v>
      </c>
      <c r="BS4" s="22">
        <v>0.34100000000000003</v>
      </c>
      <c r="BT4" s="19">
        <v>0.37</v>
      </c>
      <c r="BU4" s="23">
        <v>2</v>
      </c>
      <c r="BV4" s="22">
        <v>3.5</v>
      </c>
      <c r="BW4" s="19">
        <v>3.8</v>
      </c>
      <c r="BX4" s="23">
        <v>2</v>
      </c>
      <c r="BY4" s="22">
        <v>3.3</v>
      </c>
      <c r="BZ4" s="19">
        <v>3.6</v>
      </c>
      <c r="CA4" s="23">
        <v>2</v>
      </c>
      <c r="CB4" s="19" t="str">
        <f>AF3</f>
        <v>守護者</v>
      </c>
      <c r="CC4" s="29"/>
      <c r="CD4" s="1" t="str">
        <f>AG3</f>
        <v>29</v>
      </c>
      <c r="CE4" s="1" t="str">
        <f t="shared" ref="CE4:DD4" si="3">AL3</f>
        <v>947</v>
      </c>
      <c r="CF4" s="1" t="str">
        <f t="shared" si="3"/>
        <v>118</v>
      </c>
      <c r="CG4" s="1" t="str">
        <f t="shared" si="3"/>
        <v>219</v>
      </c>
      <c r="CH4" s="1" t="str">
        <f t="shared" si="3"/>
        <v>49</v>
      </c>
      <c r="CI4" s="1" t="str">
        <f t="shared" si="3"/>
        <v>1</v>
      </c>
      <c r="CJ4" s="1" t="str">
        <f t="shared" si="3"/>
        <v>30</v>
      </c>
      <c r="CK4" s="1" t="str">
        <f t="shared" si="3"/>
        <v>113</v>
      </c>
      <c r="CL4" s="1" t="str">
        <f t="shared" si="3"/>
        <v>360</v>
      </c>
      <c r="CM4" s="1" t="str">
        <f t="shared" si="3"/>
        <v>114</v>
      </c>
      <c r="CN4" s="1" t="str">
        <f t="shared" si="3"/>
        <v>228</v>
      </c>
      <c r="CO4" s="1" t="str">
        <f t="shared" si="3"/>
        <v>20</v>
      </c>
      <c r="CP4" s="1" t="str">
        <f t="shared" si="3"/>
        <v>.231</v>
      </c>
      <c r="CQ4" s="1" t="str">
        <f t="shared" si="3"/>
        <v>.319</v>
      </c>
      <c r="CR4" s="1" t="str">
        <f t="shared" si="3"/>
        <v>.380</v>
      </c>
      <c r="CS4" s="1" t="str">
        <f t="shared" si="3"/>
        <v>.699</v>
      </c>
      <c r="CT4" s="1">
        <f t="shared" si="3"/>
        <v>0</v>
      </c>
      <c r="CU4" s="1" t="str">
        <f t="shared" si="3"/>
        <v>117.4</v>
      </c>
      <c r="CV4" s="1" t="str">
        <f t="shared" si="3"/>
        <v>4.2</v>
      </c>
      <c r="CW4" s="1" t="str">
        <f t="shared" si="3"/>
        <v>.106</v>
      </c>
      <c r="CX4" s="1" t="str">
        <f t="shared" si="3"/>
        <v>0.50</v>
      </c>
      <c r="CY4" s="1" t="str">
        <f t="shared" si="3"/>
        <v>.149</v>
      </c>
      <c r="CZ4" s="1" t="str">
        <f t="shared" si="3"/>
        <v>.283</v>
      </c>
      <c r="DA4" s="1" t="str">
        <f t="shared" si="3"/>
        <v>4.17</v>
      </c>
      <c r="DB4" s="1" t="str">
        <f t="shared" si="3"/>
        <v>80</v>
      </c>
      <c r="DC4" s="1" t="str">
        <f t="shared" si="3"/>
        <v>1076</v>
      </c>
      <c r="DD4" s="1" t="str">
        <f t="shared" si="3"/>
        <v>31.6</v>
      </c>
      <c r="DF4" s="35" t="str">
        <f>先發名單!H$2</f>
        <v>J. Aranda</v>
      </c>
      <c r="DG4" s="4" t="str">
        <f t="array" ref="DG4">IFERROR(INDEX(球員狀態!$C$2:$C$5000, MATCH(1, (球員狀態!$A$2:$A$5000=$DF$1)*(ISNUMBER(SEARCH($DF4, 球員狀態!$B$2:$B$5000))), 0)), "")</f>
        <v/>
      </c>
      <c r="DJ4" s="4" t="str">
        <f t="array" ref="DJ4">IFERROR(INDEX(球員狀態!$F$2:$F$5000, MATCH(1, (球員狀態!$A$2:$A$5000=$DF$1)*(ISNUMBER(SEARCH($DF4, 球員狀態!$B$2:$B$5000))), 0)), "")</f>
        <v/>
      </c>
      <c r="DK4" s="4" t="str">
        <f t="array" ref="DK4">IFERROR(INDEX(球員狀態!$G$2:$G$5000, MATCH(1, (球員狀態!$A$2:$A$5000=$DF$1)*(ISNUMBER(SEARCH($DF4, 球員狀態!$B$2:$B$5000))), 0)), "")</f>
        <v/>
      </c>
      <c r="DL4" s="4" t="str">
        <f t="array" ref="DL4">IFERROR(INDEX(球員狀態!H$2:H$5000, MATCH(1, (球員狀態!$A$2:$A$5000=$DF$1)*(ISNUMBER(SEARCH($DF4, 球員狀態!$B$2:$B$5000))), 0)), "")</f>
        <v/>
      </c>
      <c r="DM4" s="4" t="str">
        <f t="array" ref="DM4">IFERROR(INDEX(球員狀態!I$2:I$5000, MATCH(1, (球員狀態!$A$2:$A$5000=$DF$1)*(ISNUMBER(SEARCH($DF4, 球員狀態!$B$2:$B$5000))), 0)), "")</f>
        <v/>
      </c>
      <c r="DN4" s="4" t="str">
        <f t="array" ref="DN4">IFERROR(INDEX(球員狀態!J$2:J$5000, MATCH(1, (球員狀態!$A$2:$A$5000=$DF$1)*(ISNUMBER(SEARCH($DF4, 球員狀態!$B$2:$B$5000))), 0)), "")</f>
        <v/>
      </c>
      <c r="DO4" s="4" t="str">
        <f t="array" ref="DO4">IFERROR(INDEX(球員狀態!K$2:K$5000, MATCH(1, (球員狀態!$A$2:$A$5000=$DF$1)*(ISNUMBER(SEARCH($DF4, 球員狀態!$B$2:$B$5000))), 0)), "")</f>
        <v/>
      </c>
      <c r="DP4" s="4" t="str">
        <f t="array" ref="DP4">IFERROR(INDEX(球員狀態!L$2:L$5000, MATCH(1, (球員狀態!$A$2:$A$5000=$DF$1)*(ISNUMBER(SEARCH($DF4, 球員狀態!$B$2:$B$5000))), 0)), "")</f>
        <v/>
      </c>
      <c r="DQ4" s="4" t="str">
        <f t="array" ref="DQ4">IFERROR(INDEX(球員狀態!M$2:M$5000, MATCH(1, (球員狀態!$A$2:$A$5000=$DF$1)*(ISNUMBER(SEARCH($DF4, 球員狀態!$B$2:$B$5000))), 0)), "")</f>
        <v/>
      </c>
      <c r="DR4" s="4" t="str">
        <f t="array" ref="DR4">IFERROR(INDEX(球員狀態!N$2:N$5000, MATCH(1, (球員狀態!$A$2:$A$5000=$DF$1)*(ISNUMBER(SEARCH($DF4, 球員狀態!$B$2:$B$5000))), 0)), "")</f>
        <v/>
      </c>
      <c r="DS4" s="4" t="str">
        <f t="array" ref="DS4">IFERROR(INDEX(球員狀態!O$2:O$5000, MATCH(1, (球員狀態!$A$2:$A$5000=$DF$1)*(ISNUMBER(SEARCH($DF4, 球員狀態!$B$2:$B$5000))), 0)), "")</f>
        <v/>
      </c>
      <c r="DT4" s="4" t="str">
        <f t="array" ref="DT4">IFERROR(INDEX(球員狀態!P$2:P$5000, MATCH(1, (球員狀態!$A$2:$A$5000=$DF$1)*(ISNUMBER(SEARCH($DF4, 球員狀態!$B$2:$B$5000))), 0)), "")</f>
        <v/>
      </c>
      <c r="DU4" s="4" t="str">
        <f t="array" ref="DU4">IFERROR(INDEX(球員狀態!Q$2:Q$5000, MATCH(1, (球員狀態!$A$2:$A$5000=$DF$1)*(ISNUMBER(SEARCH($DF4, 球員狀態!$B$2:$B$5000))), 0)), "")</f>
        <v/>
      </c>
      <c r="DV4" s="4" t="str">
        <f t="array" ref="DV4">IFERROR(INDEX(球員狀態!R$2:R$5000, MATCH(1, (球員狀態!$A$2:$A$5000=$DF$1)*(ISNUMBER(SEARCH($DF4, 球員狀態!$B$2:$B$5000))), 0)), "")</f>
        <v/>
      </c>
      <c r="DW4" s="4" t="str">
        <f t="array" ref="DW4">IFERROR(INDEX(球員狀態!S$2:S$5000, MATCH(1, (球員狀態!$A$2:$A$5000=$DF$1)*(ISNUMBER(SEARCH($DF4, 球員狀態!$B$2:$B$5000))), 0)), "")</f>
        <v/>
      </c>
      <c r="DX4" s="4" t="str">
        <f t="array" ref="DX4">IFERROR(INDEX(球員狀態!T$2:T$5000, MATCH(1, (球員狀態!$A$2:$A$5000=$DF$1)*(ISNUMBER(SEARCH($DF4, 球員狀態!$B$2:$B$5000))), 0)), "")</f>
        <v/>
      </c>
      <c r="DY4" s="4" t="str">
        <f t="array" ref="DY4">IFERROR(INDEX(球員狀態!U$2:U$5000, MATCH(1, (球員狀態!$A$2:$A$5000=$DF$1)*(ISNUMBER(SEARCH($DF4, 球員狀態!$B$2:$B$5000))), 0)), "")</f>
        <v/>
      </c>
      <c r="DZ4" s="4" t="str">
        <f t="array" ref="DZ4">IFERROR(INDEX(球員狀態!V$2:V$5000, MATCH(1, (球員狀態!$A$2:$A$5000=$DF$1)*(ISNUMBER(SEARCH($DF4, 球員狀態!$B$2:$B$5000))), 0)), "")</f>
        <v/>
      </c>
      <c r="EA4" s="4" t="str">
        <f t="array" ref="EA4">IFERROR(INDEX(球員狀態!W$2:W$5000, MATCH(1, (球員狀態!$A$2:$A$5000=$DF$1)*(ISNUMBER(SEARCH($DF4, 球員狀態!$B$2:$B$5000))), 0)), "")</f>
        <v/>
      </c>
      <c r="EB4" s="4" t="str">
        <f t="array" ref="EB4">IFERROR(INDEX(球員狀態!X$2:X$5000, MATCH(1, (球員狀態!$A$2:$A$5000=$DF$1)*(ISNUMBER(SEARCH($DF4, 球員狀態!$B$2:$B$5000))), 0)), "")</f>
        <v/>
      </c>
      <c r="EC4" s="4" t="str">
        <f t="array" ref="EC4">IFERROR(INDEX(球員狀態!Y$2:Y$5000, MATCH(1, (球員狀態!$A$2:$A$5000=$DF$1)*(ISNUMBER(SEARCH($DF4, 球員狀態!$B$2:$B$5000))), 0)), "")</f>
        <v/>
      </c>
      <c r="ED4" s="4" t="str">
        <f t="array" ref="ED4">IFERROR(INDEX(球員狀態!Z$2:Z$5000, MATCH(1, (球員狀態!$A$2:$A$5000=$DF$1)*(ISNUMBER(SEARCH($DF4, 球員狀態!$B$2:$B$5000))), 0)), "")</f>
        <v/>
      </c>
      <c r="EE4" s="4" t="str">
        <f t="array" ref="EE4">IFERROR(INDEX(球員狀態!AA$2:AA$5000, MATCH(1, (球員狀態!$A$2:$A$5000=$DF$1)*(ISNUMBER(SEARCH($DF4, 球員狀態!$B$2:$B$5000))), 0)), "")</f>
        <v/>
      </c>
      <c r="EF4" s="4" t="str">
        <f t="array" ref="EF4">IFERROR(INDEX(球員狀態!AB$2:AB$5000, MATCH(1, (球員狀態!$A$2:$A$5000=$DF$1)*(ISNUMBER(SEARCH($DF4, 球員狀態!$B$2:$B$5000))), 0)), "")</f>
        <v/>
      </c>
      <c r="EG4" s="56"/>
      <c r="EI4" s="35" t="str">
        <f>先發名單!P$2</f>
        <v>Steven Kwan</v>
      </c>
      <c r="EJ4" s="4" t="str">
        <f t="array" ref="EJ4">IFERROR(INDEX(球員狀態!$C$2:$C$5000, MATCH(1, (球員狀態!$A$2:$A$5000=$EI$1)*(ISNUMBER(SEARCH($EI4, 球員狀態!$B$2:$B$5000))), 0)), "")</f>
        <v>LF</v>
      </c>
      <c r="EM4" s="4" t="str">
        <f t="array" ref="EM4">IFERROR(INDEX(球員狀態!F$2:F$5000, MATCH(1, (球員狀態!$A$2:$A$5000=$EI$1)*(ISNUMBER(SEARCH($EI4, 球員狀態!$B$2:$B$5000))), 0)), "")</f>
        <v>10</v>
      </c>
      <c r="EN4" s="4" t="str">
        <f t="array" ref="EN4">IFERROR(INDEX(球員狀態!G$2:G$5000, MATCH(1, (球員狀態!$A$2:$A$5000=$EI$1)*(ISNUMBER(SEARCH($EI4, 球員狀態!$B$2:$B$5000))), 0)), "")</f>
        <v>23</v>
      </c>
      <c r="EO4" s="4" t="str">
        <f t="array" ref="EO4">IFERROR(INDEX(球員狀態!H$2:H$5000, MATCH(1, (球員狀態!$A$2:$A$5000=$EI$1)*(ISNUMBER(SEARCH($EI4, 球員狀態!$B$2:$B$5000))), 0)), "")</f>
        <v>3</v>
      </c>
      <c r="EP4" s="4" t="str">
        <f t="array" ref="EP4">IFERROR(INDEX(球員狀態!I$2:I$5000, MATCH(1, (球員狀態!$A$2:$A$5000=$EI$1)*(ISNUMBER(SEARCH($EI4, 球員狀態!$B$2:$B$5000))), 0)), "")</f>
        <v>0</v>
      </c>
      <c r="EQ4" s="4" t="str">
        <f t="array" ref="EQ4">IFERROR(INDEX(球員狀態!J$2:J$5000, MATCH(1, (球員狀態!$A$2:$A$5000=$EI$1)*(ISNUMBER(SEARCH($EI4, 球員狀態!$B$2:$B$5000))), 0)), "")</f>
        <v>1</v>
      </c>
      <c r="ER4" s="4" t="str">
        <f t="array" ref="ER4">IFERROR(INDEX(球員狀態!K$2:K$5000, MATCH(1, (球員狀態!$A$2:$A$5000=$EI$1)*(ISNUMBER(SEARCH($EI4, 球員狀態!$B$2:$B$5000))), 0)), "")</f>
        <v>8</v>
      </c>
      <c r="ES4" s="4" t="str">
        <f t="array" ref="ES4">IFERROR(INDEX(球員狀態!L$2:L$5000, MATCH(1, (球員狀態!$A$2:$A$5000=$EI$1)*(ISNUMBER(SEARCH($EI4, 球員狀態!$B$2:$B$5000))), 0)), "")</f>
        <v>29</v>
      </c>
      <c r="ET4" s="4" t="str">
        <f t="array" ref="ET4">IFERROR(INDEX(球員狀態!M$2:M$5000, MATCH(1, (球員狀態!$A$2:$A$5000=$EI$1)*(ISNUMBER(SEARCH($EI4, 球員狀態!$B$2:$B$5000))), 0)), "")</f>
        <v>12</v>
      </c>
      <c r="EU4" s="4" t="str">
        <f t="array" ref="EU4">IFERROR(INDEX(球員狀態!N$2:N$5000, MATCH(1, (球員狀態!$A$2:$A$5000=$EI$1)*(ISNUMBER(SEARCH($EI4, 球員狀態!$B$2:$B$5000))), 0)), "")</f>
        <v>14</v>
      </c>
      <c r="EV4" s="4" t="str">
        <f t="array" ref="EV4">IFERROR(INDEX(球員狀態!O$2:O$5000, MATCH(1, (球員狀態!$A$2:$A$5000=$EI$1)*(ISNUMBER(SEARCH($EI4, 球員狀態!$B$2:$B$5000))), 0)), "")</f>
        <v>2</v>
      </c>
      <c r="EW4" s="4" t="str">
        <f t="array" ref="EW4">IFERROR(INDEX(球員狀態!P$2:P$5000, MATCH(1, (球員狀態!$A$2:$A$5000=$EI$1)*(ISNUMBER(SEARCH($EI4, 球員狀態!$B$2:$B$5000))), 0)), "")</f>
        <v>.225</v>
      </c>
      <c r="EX4" s="4" t="str">
        <f t="array" ref="EX4">IFERROR(INDEX(球員狀態!Q$2:Q$5000, MATCH(1, (球員狀態!$A$2:$A$5000=$EI$1)*(ISNUMBER(SEARCH($EI4, 球員狀態!$B$2:$B$5000))), 0)), "")</f>
        <v>.310</v>
      </c>
      <c r="EY4" s="4" t="str">
        <f t="array" ref="EY4">IFERROR(INDEX(球員狀態!R$2:R$5000, MATCH(1, (球員狀態!$A$2:$A$5000=$EI$1)*(ISNUMBER(SEARCH($EI4, 球員狀態!$B$2:$B$5000))), 0)), "")</f>
        <v>.284</v>
      </c>
      <c r="EZ4" s="4" t="str">
        <f t="array" ref="EZ4">IFERROR(INDEX(球員狀態!S$2:S$5000, MATCH(1, (球員狀態!$A$2:$A$5000=$EI$1)*(ISNUMBER(SEARCH($EI4, 球員狀態!$B$2:$B$5000))), 0)), "")</f>
        <v>.595</v>
      </c>
      <c r="FA4" s="4" t="str">
        <f t="array" ref="FA4">IFERROR(INDEX(球員狀態!T$2:T$5000, MATCH(1, (球員狀態!$A$2:$A$5000=$EI$1)*(ISNUMBER(SEARCH($EI4, 球員狀態!$B$2:$B$5000))), 0)), "")</f>
        <v>-0.1</v>
      </c>
      <c r="FB4" s="4" t="str">
        <f t="array" ref="FB4">IFERROR(INDEX(球員狀態!U$2:U$5000, MATCH(1, (球員狀態!$A$2:$A$5000=$EI$1)*(ISNUMBER(SEARCH($EI4, 球員狀態!$B$2:$B$5000))), 0)), "")</f>
        <v>9.2</v>
      </c>
      <c r="FC4" s="4" t="str">
        <f t="array" ref="FC4">IFERROR(INDEX(球員狀態!V$2:V$5000, MATCH(1, (球員狀態!$A$2:$A$5000=$EI$1)*(ISNUMBER(SEARCH($EI4, 球員狀態!$B$2:$B$5000))), 0)), "")</f>
        <v>2.9</v>
      </c>
      <c r="FD4" s="4" t="str">
        <f t="array" ref="FD4">IFERROR(INDEX(球員狀態!W$2:W$5000, MATCH(1, (球員狀態!$A$2:$A$5000=$EI$1)*(ISNUMBER(SEARCH($EI4, 球員狀態!$B$2:$B$5000))), 0)), "")</f>
        <v>.103</v>
      </c>
      <c r="FE4" s="4" t="str">
        <f t="array" ref="FE4">IFERROR(INDEX(球員狀態!X$2:X$5000, MATCH(1, (球員狀態!$A$2:$A$5000=$EI$1)*(ISNUMBER(SEARCH($EI4, 球員狀態!$B$2:$B$5000))), 0)), "")</f>
        <v>0.86</v>
      </c>
      <c r="FF4" s="4" t="str">
        <f t="array" ref="FF4">IFERROR(INDEX(球員狀態!Y$2:Y$5000, MATCH(1, (球員狀態!$A$2:$A$5000=$EI$1)*(ISNUMBER(SEARCH($EI4, 球員狀態!$B$2:$B$5000))), 0)), "")</f>
        <v>.059</v>
      </c>
      <c r="FG4" s="4" t="str">
        <f t="array" ref="FG4">IFERROR(INDEX(球員狀態!Z$2:Z$5000, MATCH(1, (球員狀態!$A$2:$A$5000=$EI$1)*(ISNUMBER(SEARCH($EI4, 球員狀態!$B$2:$B$5000))), 0)), "")</f>
        <v>.186</v>
      </c>
      <c r="FH4" s="4" t="str">
        <f t="array" ref="FH4">IFERROR(INDEX(球員狀態!AA$2:AA$5000, MATCH(1, (球員狀態!$A$2:$A$5000=$EI$1)*(ISNUMBER(SEARCH($EI4, 球員狀態!$B$2:$B$5000))), 0)), "")</f>
        <v>4.04</v>
      </c>
      <c r="FI4" s="4" t="str">
        <f t="array" ref="FI4">IFERROR(INDEX(球員狀態!AB$2:AB$5000, MATCH(1, (球員狀態!$A$2:$A$5000=$EI$1)*(ISNUMBER(SEARCH($EI4, 球員狀態!$B$2:$B$5000))), 0)), "")</f>
        <v>4</v>
      </c>
      <c r="FK4" s="22">
        <v>5.6</v>
      </c>
      <c r="FL4" s="19">
        <v>8</v>
      </c>
      <c r="FM4" s="23">
        <v>2</v>
      </c>
      <c r="FN4" s="22">
        <v>2.6</v>
      </c>
      <c r="FO4" s="19">
        <v>3.5</v>
      </c>
      <c r="FP4" s="23">
        <v>2</v>
      </c>
      <c r="FQ4" s="22">
        <v>2.2999999999999998</v>
      </c>
      <c r="FR4" s="19">
        <v>3.2</v>
      </c>
      <c r="FS4" s="23">
        <v>2</v>
      </c>
      <c r="FT4" s="22">
        <v>0.51</v>
      </c>
      <c r="FU4" s="19">
        <v>0.7</v>
      </c>
      <c r="FV4" s="23">
        <v>2</v>
      </c>
      <c r="FW4" s="22">
        <v>0.41</v>
      </c>
      <c r="FX4" s="19">
        <v>0.6</v>
      </c>
      <c r="FY4" s="23">
        <v>2</v>
      </c>
    </row>
    <row r="5" spans="1:181">
      <c r="A5" s="4">
        <v>3</v>
      </c>
      <c r="B5" s="1" t="str">
        <v>20260428</v>
      </c>
      <c r="C5" s="1" t="str">
        <v>07:07</v>
      </c>
      <c r="D5" s="1">
        <v>0</v>
      </c>
      <c r="E5" s="1" t="str">
        <v>紅襪</v>
      </c>
      <c r="F5" s="1">
        <v>0</v>
      </c>
      <c r="G5" s="16">
        <v>0.26</v>
      </c>
      <c r="H5" s="1">
        <v>0</v>
      </c>
      <c r="I5" s="1" t="str">
        <v>藍鳥</v>
      </c>
      <c r="J5" s="1" t="str">
        <v>1分贏</v>
      </c>
      <c r="K5" s="16">
        <v>0.74</v>
      </c>
      <c r="L5" s="1" t="str">
        <f t="array" ref="L5">IFERROR(SUBSTITUTE(INDEX(正負盤!$6:$20, ROW(A2), MATCH(1, (MONTH(正負盤!$4:$4)=MONTH(DATE(LEFT($A$1,4),MID($A$1,5,2),RIGHT($A$1,2))-10))*(DAY(正負盤!$4:$4)=DAY(DATE(LEFT($A$1,4),MID($A$1,5,2),RIGHT($A$1,2))-10)), 0)), 0, "-"), "")</f>
        <v>X</v>
      </c>
      <c r="M5" s="1" t="str">
        <f t="array" ref="M5">IFERROR(SUBSTITUTE(INDEX(正負盤!$6:$20, ROW(A2), MATCH(1, (MONTH(正負盤!$4:$4)=MONTH(DATE(LEFT($A$1,4),MID($A$1,5,2),RIGHT($A$1,2))-9))*(DAY(正負盤!$4:$4)=DAY(DATE(LEFT($A$1,4),MID($A$1,5,2),RIGHT($A$1,2))-9)), 0)), 0, "-"), "")</f>
        <v>X</v>
      </c>
      <c r="N5" s="1" t="str">
        <f t="array" ref="N5">IFERROR(SUBSTITUTE(INDEX(正負盤!$6:$20, ROW(A2), MATCH(1, (MONTH(正負盤!$4:$4)=MONTH(DATE(LEFT($A$1,4),MID($A$1,5,2),RIGHT($A$1,2))-8))*(DAY(正負盤!$4:$4)=DAY(DATE(LEFT($A$1,4),MID($A$1,5,2),RIGHT($A$1,2))-8)), 0)), 0, "-"), "")</f>
        <v>O</v>
      </c>
      <c r="O5" s="1" t="str">
        <f t="array" ref="O5">IFERROR(SUBSTITUTE(INDEX(正負盤!$6:$20, ROW(A2), MATCH(1, (MONTH(正負盤!$4:$4)=MONTH(DATE(LEFT($A$1,4),MID($A$1,5,2),RIGHT($A$1,2))-7))*(DAY(正負盤!$4:$4)=DAY(DATE(LEFT($A$1,4),MID($A$1,5,2),RIGHT($A$1,2))-7)), 0)), 0, "-"), "")</f>
        <v>X</v>
      </c>
      <c r="P5" s="1" t="str">
        <f t="array" ref="P5">IFERROR(SUBSTITUTE(INDEX(正負盤!$6:$20, ROW(A2), MATCH(1, (MONTH(正負盤!$4:$4)=MONTH(DATE(LEFT($A$1,4),MID($A$1,5,2),RIGHT($A$1,2))-6))*(DAY(正負盤!$4:$4)=DAY(DATE(LEFT($A$1,4),MID($A$1,5,2),RIGHT($A$1,2))-6)), 0)), 0, "-"), "")</f>
        <v>X</v>
      </c>
      <c r="Q5" s="1" t="str">
        <f t="array" ref="Q5">IFERROR(SUBSTITUTE(INDEX(正負盤!$6:$20, ROW(A2), MATCH(1, (MONTH(正負盤!$4:$4)=MONTH(DATE(LEFT($A$1,4),MID($A$1,5,2),RIGHT($A$1,2))-5))*(DAY(正負盤!$4:$4)=DAY(DATE(LEFT($A$1,4),MID($A$1,5,2),RIGHT($A$1,2))-5)), 0)), 0, "-"), "")</f>
        <v/>
      </c>
      <c r="R5" s="1" t="str">
        <f t="array" ref="R5">IFERROR(SUBSTITUTE(INDEX(正負盤!$6:$20, ROW(A2), MATCH(1, (MONTH(正負盤!$4:$4)=MONTH(DATE(LEFT($A$1,4),MID($A$1,5,2),RIGHT($A$1,2))-4))*(DAY(正負盤!$4:$4)=DAY(DATE(LEFT($A$1,4),MID($A$1,5,2),RIGHT($A$1,2))-4)), 0)), 0, "-"), "")</f>
        <v>X</v>
      </c>
      <c r="S5" s="1" t="str">
        <f t="array" ref="S5">IFERROR(SUBSTITUTE(INDEX(正負盤!$6:$20, ROW(A2), MATCH(1, (MONTH(正負盤!$4:$4)=MONTH(DATE(LEFT($A$1,4),MID($A$1,5,2),RIGHT($A$1,2))-3))*(DAY(正負盤!$4:$4)=DAY(DATE(LEFT($A$1,4),MID($A$1,5,2),RIGHT($A$1,2))-3)), 0)), 0, "-"), "")</f>
        <v>O</v>
      </c>
      <c r="T5" s="1" t="str">
        <f t="array" ref="T5">IFERROR(SUBSTITUTE(INDEX(正負盤!$6:$20, ROW(A2), MATCH(1, (MONTH(正負盤!$4:$4)=MONTH(DATE(LEFT($A$1,4),MID($A$1,5,2),RIGHT($A$1,2))-2))*(DAY(正負盤!$4:$4)=DAY(DATE(LEFT($A$1,4),MID($A$1,5,2),RIGHT($A$1,2))-2)), 0)), 0, "-"), "")</f>
        <v>O</v>
      </c>
      <c r="U5" s="1" t="str">
        <f t="array" ref="U5">IFERROR(SUBSTITUTE(INDEX(正負盤!$6:$20, ROW(A2), MATCH(1, (MONTH(正負盤!$4:$4)=MONTH(DATE(LEFT($A$1,4),MID($A$1,5,2),RIGHT($A$1,2))-1))*(DAY(正負盤!$4:$4)=DAY(DATE(LEFT($A$1,4),MID($A$1,5,2),RIGHT($A$1,2))-1)), 0)), 0, "-"), "")</f>
        <v>O</v>
      </c>
      <c r="V5" s="78"/>
      <c r="W5" t="str">
        <f>I4</f>
        <v>海盜</v>
      </c>
      <c r="X5" s="17" t="str">
        <f t="array" aca="1" ref="X5" ca="1">_xlfn.LET(_xlpm.s,SUBSTITUTE(Y5,".",""),_xlpm.c,RIGHT(_xlpm.s,1),_xlpm.n,ROW(INDIRECT("1:"&amp;LEN(_xlpm.s))),_xlpm.cnt,MAX(IF(RIGHT(_xlpm.s,_xlpm.n)=REPT(_xlpm.c,_xlpm.n),_xlpm.n,0)),IF(_xlpm.cnt&gt;=2,_xlpm.cnt&amp;"連"&amp;_xlpm.c,"1"&amp;_xlpm.c))</f>
        <v>1X</v>
      </c>
      <c r="Y5" s="82" t="str">
        <f t="array" ref="Y5">INDEX(各隊正負!$F:$F, MATCH("*"&amp;$W5&amp;"*", 各隊正負!$A:$A, 0)+6)</f>
        <v>O.X.O.X.O.X.X.O.O.X</v>
      </c>
      <c r="Z5" s="100"/>
      <c r="AA5" s="100"/>
      <c r="AB5" s="82" t="str">
        <f t="array" ref="AB5">INDEX(各隊正負!$F:$F, MATCH("*"&amp;$W5&amp;"*", 各隊正負!$A:$A, 0)+4)</f>
        <v>W.L.W.L.W.L.L.W.W.L</v>
      </c>
      <c r="AC5" s="78"/>
      <c r="AD5" s="78"/>
      <c r="AE5" s="1" t="str">
        <f t="array" aca="1" ref="AE5" ca="1">_xlfn.LET(_xlpm.s,SUBSTITUTE(AB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5" s="19" t="str">
        <f>I4</f>
        <v>海盜</v>
      </c>
      <c r="AG5" s="1" t="str">
        <f t="array" ref="AG5">IFERROR(INDEX(各隊total!$B:$AB, MATCH($AF5, 各隊total!$A:$A, 0), COLUMN(A4)), "")</f>
        <v>28</v>
      </c>
      <c r="AH5" s="32">
        <f>CB9</f>
        <v>4.4000000000000004</v>
      </c>
      <c r="AI5" s="61" t="str">
        <f t="shared" si="0"/>
        <v>B</v>
      </c>
      <c r="AJ5" s="6">
        <f>CC9</f>
        <v>4.7</v>
      </c>
      <c r="AK5" s="60" t="str">
        <f t="shared" si="1"/>
        <v>B+</v>
      </c>
      <c r="AL5" s="1" t="str">
        <f t="array" ref="AL5">IFERROR(INDEX(各隊total!$C:$AB, MATCH($AF5, 各隊total!$A:$A, 0), COLUMN(A4)), "")</f>
        <v>971</v>
      </c>
      <c r="AM5" s="1" t="str">
        <f t="array" ref="AM5">IFERROR(INDEX(各隊total!$D:$AB, MATCH($AF5, 各隊total!$A:$A, 0), COLUMN(A4)), "")</f>
        <v>135</v>
      </c>
      <c r="AN5" s="1" t="str">
        <f t="array" ref="AN5">IFERROR(INDEX(各隊total!$E:$AB, MATCH($AF5, 各隊total!$A:$A, 0), COLUMN(A4)), "")</f>
        <v>234</v>
      </c>
      <c r="AO5" s="1" t="str">
        <f t="array" ref="AO5">IFERROR(INDEX(各隊total!$F:$AB, MATCH($AF5, 各隊total!$A:$A, 0), COLUMN(A4)), "")</f>
        <v>36</v>
      </c>
      <c r="AP5" s="1" t="str">
        <f t="array" ref="AP5">IFERROR(INDEX(各隊total!$G:$AB, MATCH($AF5, 各隊total!$A:$A, 0), COLUMN(A4)), "")</f>
        <v>2</v>
      </c>
      <c r="AQ5" s="1" t="str">
        <f t="array" ref="AQ5">IFERROR(INDEX(各隊total!$H:$AB, MATCH($AF5, 各隊total!$A:$A, 0), COLUMN(A4)), "")</f>
        <v>29</v>
      </c>
      <c r="AR5" s="1" t="str">
        <f t="array" ref="AR5">IFERROR(INDEX(各隊total!$I:$AB, MATCH($AF5, 各隊total!$A:$A, 0), COLUMN(A4)), "")</f>
        <v>130</v>
      </c>
      <c r="AS5" s="1" t="str">
        <f t="array" ref="AS5">IFERROR(INDEX(各隊total!$J:$AB, MATCH($AF5, 各隊total!$A:$A, 0), COLUMN(A4)), "")</f>
        <v>361</v>
      </c>
      <c r="AT5" s="1" t="str">
        <f t="array" ref="AT5">IFERROR(INDEX(各隊total!$K:$AB, MATCH($AF5, 各隊total!$A:$A, 0), COLUMN(A4)), "")</f>
        <v>108</v>
      </c>
      <c r="AU5" s="1" t="str">
        <f t="array" ref="AU5">IFERROR(INDEX(各隊total!$L:$AB, MATCH($AF5, 各隊total!$A:$A, 0), COLUMN(A4)), "")</f>
        <v>271</v>
      </c>
      <c r="AV5" s="1" t="str">
        <f t="array" ref="AV5">IFERROR(INDEX(各隊total!$M:$AB, MATCH($AF5, 各隊total!$A:$A, 0), COLUMN(A4)), "")</f>
        <v>26</v>
      </c>
      <c r="AW5" s="1" t="str">
        <f t="array" ref="AW5">IFERROR(INDEX(各隊total!$N:$AB, MATCH($AF5, 各隊total!$A:$A, 0), COLUMN(A4)), "")</f>
        <v>.241</v>
      </c>
      <c r="AX5" s="1" t="str">
        <f t="array" ref="AX5">IFERROR(INDEX(各隊total!$O:$AB, MATCH($AF5, 各隊total!$A:$A, 0), COLUMN(A4)), "")</f>
        <v>.325</v>
      </c>
      <c r="AY5" s="1" t="str">
        <f t="array" ref="AY5">IFERROR(INDEX(各隊total!$P:$AB, MATCH($AF5, 各隊total!$A:$A, 0), COLUMN(A4)), "")</f>
        <v>.372</v>
      </c>
      <c r="AZ5" s="1" t="str">
        <f t="array" ref="AZ5">IFERROR(INDEX(各隊total!$Q:$AB, MATCH($AF5, 各隊total!$A:$A, 0), COLUMN(A4)), "")</f>
        <v>.697</v>
      </c>
      <c r="BA5" s="1">
        <f t="array" ref="BA5">IFERROR(INDEX(各隊total!$R:$AB, MATCH($AF5, 各隊total!$A:$A, 0), COLUMN(A4)), "")</f>
        <v>0</v>
      </c>
      <c r="BB5" s="1" t="str">
        <f t="array" ref="BB5">IFERROR(INDEX(各隊total!$S:$AB, MATCH($AF5, 各隊total!$A:$A, 0), COLUMN(A4)), "")</f>
        <v>121.5</v>
      </c>
      <c r="BC5" s="1" t="str">
        <f t="array" ref="BC5">IFERROR(INDEX(各隊total!$T:$AB, MATCH($AF5, 各隊total!$A:$A, 0), COLUMN(A4)), "")</f>
        <v>4.2</v>
      </c>
      <c r="BD5" s="1" t="str">
        <f t="array" ref="BD5">IFERROR(INDEX(各隊total!$U:$AB, MATCH($AF5, 各隊total!$A:$A, 0), COLUMN(A4)), "")</f>
        <v>.098</v>
      </c>
      <c r="BE5" s="1" t="str">
        <f t="array" ref="BE5">IFERROR(INDEX(各隊total!$V:$AB, MATCH($AF5, 各隊total!$A:$A, 0), COLUMN(A4)), "")</f>
        <v>0.40</v>
      </c>
      <c r="BF5" s="1" t="str">
        <f t="array" ref="BF5">IFERROR(INDEX(各隊total!$W:$AB, MATCH($AF5, 各隊total!$A:$A, 0), COLUMN(A4)), "")</f>
        <v>.131</v>
      </c>
      <c r="BG5" s="1" t="str">
        <f t="array" ref="BG5">IFERROR(INDEX(各隊total!$X:$AB, MATCH($AF5, 各隊total!$A:$A, 0), COLUMN(A4)), "")</f>
        <v>.266</v>
      </c>
      <c r="BH5" s="1" t="str">
        <f t="array" ref="BH5">IFERROR(INDEX(各隊total!$Y:$AB, MATCH($AF5, 各隊total!$A:$A, 0), COLUMN(A4)), "")</f>
        <v>3.96</v>
      </c>
      <c r="BI5" s="1" t="str">
        <f t="array" ref="BI5">IFERROR(INDEX(各隊total!$Z:$AB, MATCH($AF5, 各隊total!$A:$A, 0), COLUMN(A4)), "")</f>
        <v>67</v>
      </c>
      <c r="BJ5" s="1" t="str">
        <f t="array" ref="BJ5">IFERROR(INDEX(各隊total!$AA:$AB, MATCH($AF5, 各隊total!$A:$A, 0), COLUMN(A4)), "")</f>
        <v>1106</v>
      </c>
      <c r="BK5" s="1" t="str">
        <f t="array" ref="BK5">IFERROR(INDEX(各隊total!$AB:$AB, MATCH($AF5, 各隊total!$A:$A, 0), COLUMN(A4)), "")</f>
        <v>33.5</v>
      </c>
      <c r="BL5" s="1" t="str">
        <f t="array" ref="BL5">IFERROR(INDEX(各隊total!$C:$AB, MATCH($AF5, 各隊total!$A:$A, 0), COLUMN(AA4)), "")</f>
        <v/>
      </c>
      <c r="BM5" s="22">
        <v>0.216</v>
      </c>
      <c r="BN5" s="19">
        <v>0.23</v>
      </c>
      <c r="BO5" s="23">
        <v>3</v>
      </c>
      <c r="BP5" s="22">
        <v>0.28599999999999998</v>
      </c>
      <c r="BQ5" s="19">
        <v>0.3</v>
      </c>
      <c r="BR5" s="23">
        <v>3</v>
      </c>
      <c r="BS5" s="22">
        <v>0.371</v>
      </c>
      <c r="BT5" s="19">
        <v>0.39500000000000002</v>
      </c>
      <c r="BU5" s="23">
        <v>3</v>
      </c>
      <c r="BV5" s="22">
        <v>3.9</v>
      </c>
      <c r="BW5" s="19">
        <v>4.2</v>
      </c>
      <c r="BX5" s="23">
        <v>3</v>
      </c>
      <c r="BY5" s="22">
        <v>3.7</v>
      </c>
      <c r="BZ5" s="19">
        <v>4</v>
      </c>
      <c r="CA5" s="23">
        <v>3</v>
      </c>
      <c r="CB5" s="28">
        <f>CF5+CJ5+CK5+CM5+CO5+CP5+CQ5+CR5</f>
        <v>4</v>
      </c>
      <c r="CC5" s="31">
        <f>CU5+CV5+CY5+CZ5+DA5</f>
        <v>5.55</v>
      </c>
      <c r="CD5" s="58"/>
      <c r="CE5" s="1"/>
      <c r="CF5" s="27">
        <f>VLOOKUP(ROUND(CF4/CD4, 2), $BV$2:$BX$12, 3, TRUE)*BX$1</f>
        <v>0.44999999999999996</v>
      </c>
      <c r="CG5" s="58"/>
      <c r="CH5" s="58"/>
      <c r="CI5" s="58"/>
      <c r="CJ5" s="27">
        <f>VLOOKUP(ROUND(CJ4/CD4, 2), $BM$15:$BO$25, 3, TRUE)*BO$14</f>
        <v>0.4</v>
      </c>
      <c r="CK5" s="27">
        <f>VLOOKUP(ROUND(CK4/CD4, 2), $BY$2:$CA$12, 3, TRUE)*CA$1</f>
        <v>0.30000000000000004</v>
      </c>
      <c r="CL5" s="58"/>
      <c r="CM5" s="101">
        <f>VLOOKUP(ROUND(CM4/CN4, 2), $BP$15:$BR$25, 3, TRUE)*BR$14</f>
        <v>0.60000000000000009</v>
      </c>
      <c r="CN5" s="78"/>
      <c r="CO5" s="27">
        <f>VLOOKUP(ROUND(CO4/CD4, 2), $BS$15:$BU$25, 3, TRUE)*BU$14</f>
        <v>0.25</v>
      </c>
      <c r="CP5" s="27">
        <f>VLOOKUP(CP4*1, BM$2:BO$12, 3, TRUE)*BO$1</f>
        <v>0.4</v>
      </c>
      <c r="CQ5" s="27">
        <f>VLOOKUP(CQ4*1, BP$2:BR$12, 3, TRUE)*BR$1</f>
        <v>1</v>
      </c>
      <c r="CR5" s="27">
        <f>VLOOKUP(CR4*1, BS$2:BU$12, 3, TRUE)*BU$1</f>
        <v>0.60000000000000009</v>
      </c>
      <c r="CS5" s="1"/>
      <c r="CT5" s="1"/>
      <c r="CU5" s="60">
        <f>VLOOKUP(CU4*1, BM$28:BO$38, 3, TRUE)*BO$27</f>
        <v>0.8</v>
      </c>
      <c r="CV5" s="60">
        <f>VLOOKUP(CV4*1, BP$28:BR$38, 3, TRUE)*BR$27</f>
        <v>1.4</v>
      </c>
      <c r="CW5" s="1"/>
      <c r="CX5" s="1"/>
      <c r="CY5" s="60">
        <f>VLOOKUP(CY4*1, BS$28:BU$38, 3, TRUE)*BU$27</f>
        <v>0.8</v>
      </c>
      <c r="CZ5" s="60">
        <f>VLOOKUP(CZ4*1, BV$28:BX$38, 3, TRUE)*BX$27</f>
        <v>0.75</v>
      </c>
      <c r="DA5" s="60">
        <f>VLOOKUP(DA4*1, BY$28:CA$38, 3, TRUE)*CA$27</f>
        <v>1.8</v>
      </c>
      <c r="DF5" s="36"/>
      <c r="DG5" s="4"/>
      <c r="DH5" s="40" t="e">
        <f>DJ5+DL5+DM5+DN5+DO5-DP5-DQ5+DR5</f>
        <v>#VALUE!</v>
      </c>
      <c r="DI5" s="42" t="e">
        <f>DU5+DX5+EA5+ED5+EE5+EF5</f>
        <v>#VALUE!</v>
      </c>
      <c r="DJ5" s="38" t="e">
        <f>VLOOKUP(DJ4*1, FK$2:FM$12, 3, TRUE)*FM$1</f>
        <v>#VALUE!</v>
      </c>
      <c r="DL5" s="38" t="e">
        <f>VLOOKUP(DL4*1, FN$2:FP$12, 3, TRUE)*FP$1</f>
        <v>#VALUE!</v>
      </c>
      <c r="DM5" s="38" t="e">
        <f>VLOOKUP(DM4*1, FQ$2:FS$12, 3, TRUE)*FS$1</f>
        <v>#VALUE!</v>
      </c>
      <c r="DN5" s="38" t="e">
        <f>VLOOKUP(DN4*1, FT$2:FV$12, 3, TRUE)*FV$1</f>
        <v>#VALUE!</v>
      </c>
      <c r="DO5" s="38" t="e">
        <f>VLOOKUP(DO4*1, FW$2:FY$12, 3, TRUE)*FY$1</f>
        <v>#VALUE!</v>
      </c>
      <c r="DP5" s="39" t="e">
        <f>VLOOKUP(DP4*1, FK$14:FM$25, 3, TRUE)*FM$14</f>
        <v>#VALUE!</v>
      </c>
      <c r="DQ5" s="39" t="e">
        <f>VLOOKUP(DQ4*1, FN$14:FP$25, 3, TRUE)*FP$14</f>
        <v>#VALUE!</v>
      </c>
      <c r="DR5" s="38" t="e">
        <f>VLOOKUP(DR4*1, FQ$14:FS$25, 3, TRUE)*FS$14</f>
        <v>#VALUE!</v>
      </c>
      <c r="DU5" s="41" t="e">
        <f>VLOOKUP(DU4*1, FK$27:FM$38, 3, TRUE)*FM$27</f>
        <v>#VALUE!</v>
      </c>
      <c r="DX5" s="41" t="e">
        <f>VLOOKUP(DX4*1, FN$27:FP$38, 3, TRUE)*FP$27</f>
        <v>#VALUE!</v>
      </c>
      <c r="EA5" s="41" t="e">
        <f>VLOOKUP(EA4*1, FQ$27:FS$38, 3, TRUE)*FS$27</f>
        <v>#VALUE!</v>
      </c>
      <c r="ED5" s="41" t="e">
        <f>VLOOKUP(ED4*1, FT$27:FV$38, 3, TRUE)*FV$27</f>
        <v>#VALUE!</v>
      </c>
      <c r="EE5" s="41" t="e">
        <f>VLOOKUP(EE4*1, FW$27:FY$38, 3, TRUE)*FY$27</f>
        <v>#VALUE!</v>
      </c>
      <c r="EF5" s="41" t="e">
        <f>VLOOKUP(EF4*1, FK$40:FM$51, 3, TRUE)*FM$40</f>
        <v>#VALUE!</v>
      </c>
      <c r="EG5" s="57"/>
      <c r="EI5" s="36"/>
      <c r="EJ5" s="4"/>
      <c r="EK5" s="40">
        <f>EM5+EO5+EP5+EQ5+ER5-ES5-ET5+EU5</f>
        <v>1.4500000000000002</v>
      </c>
      <c r="EL5" s="42" t="e">
        <f>EX5+FA5+FD5+FG5+FH5+FI5</f>
        <v>#N/A</v>
      </c>
      <c r="EM5" s="38">
        <f>VLOOKUP(EM4*1, $FK$2:$FM$12, 3, TRUE)*$FM$1</f>
        <v>0.75</v>
      </c>
      <c r="EO5" s="38">
        <f>VLOOKUP(EO4*1, $FN$2:$FP$12, 3, TRUE)*$FP$1</f>
        <v>0.3</v>
      </c>
      <c r="EP5" s="38">
        <f>VLOOKUP(EP4*1, $FQ$2:$FS$12, 3, TRUE)*$FS$1</f>
        <v>0</v>
      </c>
      <c r="EQ5" s="38">
        <f>VLOOKUP(EQ4*1, $FT$2:$FV$12, 3, TRUE)*$FV$1</f>
        <v>0.4</v>
      </c>
      <c r="ER5" s="38">
        <f>VLOOKUP(ER4*1, $FW$2:$FY$12, 3, TRUE)*$FY$1</f>
        <v>0.5</v>
      </c>
      <c r="ES5" s="39">
        <f>VLOOKUP(ES4*1, $FK$14:$FM$25, 3, TRUE)*$FM$14</f>
        <v>1</v>
      </c>
      <c r="ET5" s="39">
        <f>VLOOKUP(ET4*1, $FN$14:$FP$25, 3, TRUE)*$FP$14</f>
        <v>1</v>
      </c>
      <c r="EU5" s="38">
        <f>VLOOKUP(EU4*1, $FQ$14:$FS$25, 3, TRUE)*$FS$14</f>
        <v>1.5</v>
      </c>
      <c r="EX5" s="41">
        <f>VLOOKUP(EX4*1, $FK$27:$FM$38, 3, TRUE)*$FM$27</f>
        <v>0</v>
      </c>
      <c r="FA5" s="41" t="e">
        <f>VLOOKUP(FA4*1, $FN$27:$FP$38, 3, TRUE)*$FP$27</f>
        <v>#N/A</v>
      </c>
      <c r="FD5" s="41">
        <f>VLOOKUP(FD4*1, $FQ$27:$FS$38, 3, TRUE)*$FS$27</f>
        <v>0</v>
      </c>
      <c r="FG5" s="41">
        <f>VLOOKUP(FG4*1, $FT$27:$FV$38, 3, TRUE)*$FV$27</f>
        <v>0</v>
      </c>
      <c r="FH5" s="41">
        <f>VLOOKUP(FH4*1, $FW$27:$FY$38, 3, TRUE)*$FY$27</f>
        <v>1.5</v>
      </c>
      <c r="FI5" s="41">
        <f>VLOOKUP(FI4*1, $FK$40:$FM$51, 3, TRUE)*$FM$40</f>
        <v>3.5</v>
      </c>
      <c r="FK5" s="22">
        <v>8.1</v>
      </c>
      <c r="FL5" s="19">
        <v>10</v>
      </c>
      <c r="FM5" s="23">
        <v>3</v>
      </c>
      <c r="FN5" s="22">
        <v>3.6</v>
      </c>
      <c r="FO5" s="19">
        <v>4.5</v>
      </c>
      <c r="FP5" s="23">
        <v>3</v>
      </c>
      <c r="FQ5" s="22">
        <v>3.3</v>
      </c>
      <c r="FR5" s="19">
        <v>4</v>
      </c>
      <c r="FS5" s="23">
        <v>3</v>
      </c>
      <c r="FT5" s="22">
        <v>0.71</v>
      </c>
      <c r="FU5" s="19">
        <v>0.9</v>
      </c>
      <c r="FV5" s="23">
        <v>3</v>
      </c>
      <c r="FW5" s="22">
        <v>0.61</v>
      </c>
      <c r="FX5" s="19">
        <v>0.8</v>
      </c>
      <c r="FY5" s="23">
        <v>3</v>
      </c>
    </row>
    <row r="6" spans="1:181">
      <c r="A6" s="4">
        <v>4</v>
      </c>
      <c r="B6" s="1" t="str">
        <v>20260428</v>
      </c>
      <c r="C6" s="1" t="str">
        <v>07:40</v>
      </c>
      <c r="D6" s="1">
        <v>0</v>
      </c>
      <c r="E6" s="1" t="str">
        <v>水手</v>
      </c>
      <c r="F6" s="1" t="str">
        <v>1分輸</v>
      </c>
      <c r="G6" s="16">
        <v>0.45</v>
      </c>
      <c r="H6" s="1">
        <v>0</v>
      </c>
      <c r="I6" s="1" t="str">
        <v>雙城</v>
      </c>
      <c r="J6" s="1">
        <v>0</v>
      </c>
      <c r="K6" s="16">
        <v>0.55000000000000004</v>
      </c>
      <c r="L6" s="1" t="str">
        <f t="array" ref="L6">IFERROR(SUBSTITUTE(INDEX(正負盤!$6:$20, ROW(A3), MATCH(1, (MONTH(正負盤!$4:$4)=MONTH(DATE(LEFT($A$1,4),MID($A$1,5,2),RIGHT($A$1,2))-10))*(DAY(正負盤!$4:$4)=DAY(DATE(LEFT($A$1,4),MID($A$1,5,2),RIGHT($A$1,2))-10)), 0)), 0, "-"), "")</f>
        <v>O</v>
      </c>
      <c r="M6" s="1" t="str">
        <f t="array" ref="M6">IFERROR(SUBSTITUTE(INDEX(正負盤!$6:$20, ROW(A3), MATCH(1, (MONTH(正負盤!$4:$4)=MONTH(DATE(LEFT($A$1,4),MID($A$1,5,2),RIGHT($A$1,2))-9))*(DAY(正負盤!$4:$4)=DAY(DATE(LEFT($A$1,4),MID($A$1,5,2),RIGHT($A$1,2))-9)), 0)), 0, "-"), "")</f>
        <v>X</v>
      </c>
      <c r="N6" s="1" t="str">
        <f t="array" ref="N6">IFERROR(SUBSTITUTE(INDEX(正負盤!$6:$20, ROW(A3), MATCH(1, (MONTH(正負盤!$4:$4)=MONTH(DATE(LEFT($A$1,4),MID($A$1,5,2),RIGHT($A$1,2))-8))*(DAY(正負盤!$4:$4)=DAY(DATE(LEFT($A$1,4),MID($A$1,5,2),RIGHT($A$1,2))-8)), 0)), 0, "-"), "")</f>
        <v>O</v>
      </c>
      <c r="O6" s="1" t="str">
        <f t="array" ref="O6">IFERROR(SUBSTITUTE(INDEX(正負盤!$6:$20, ROW(A3), MATCH(1, (MONTH(正負盤!$4:$4)=MONTH(DATE(LEFT($A$1,4),MID($A$1,5,2),RIGHT($A$1,2))-7))*(DAY(正負盤!$4:$4)=DAY(DATE(LEFT($A$1,4),MID($A$1,5,2),RIGHT($A$1,2))-7)), 0)), 0, "-"), "")</f>
        <v>X</v>
      </c>
      <c r="P6" s="1" t="str">
        <f t="array" ref="P6">IFERROR(SUBSTITUTE(INDEX(正負盤!$6:$20, ROW(A3), MATCH(1, (MONTH(正負盤!$4:$4)=MONTH(DATE(LEFT($A$1,4),MID($A$1,5,2),RIGHT($A$1,2))-6))*(DAY(正負盤!$4:$4)=DAY(DATE(LEFT($A$1,4),MID($A$1,5,2),RIGHT($A$1,2))-6)), 0)), 0, "-"), "")</f>
        <v>X</v>
      </c>
      <c r="Q6" s="1" t="str">
        <f t="array" ref="Q6">IFERROR(SUBSTITUTE(INDEX(正負盤!$6:$20, ROW(A3), MATCH(1, (MONTH(正負盤!$4:$4)=MONTH(DATE(LEFT($A$1,4),MID($A$1,5,2),RIGHT($A$1,2))-5))*(DAY(正負盤!$4:$4)=DAY(DATE(LEFT($A$1,4),MID($A$1,5,2),RIGHT($A$1,2))-5)), 0)), 0, "-"), "")</f>
        <v/>
      </c>
      <c r="R6" s="1" t="str">
        <f t="array" ref="R6">IFERROR(SUBSTITUTE(INDEX(正負盤!$6:$20, ROW(A3), MATCH(1, (MONTH(正負盤!$4:$4)=MONTH(DATE(LEFT($A$1,4),MID($A$1,5,2),RIGHT($A$1,2))-4))*(DAY(正負盤!$4:$4)=DAY(DATE(LEFT($A$1,4),MID($A$1,5,2),RIGHT($A$1,2))-4)), 0)), 0, "-"), "")</f>
        <v>X</v>
      </c>
      <c r="S6" s="1" t="str">
        <f t="array" ref="S6">IFERROR(SUBSTITUTE(INDEX(正負盤!$6:$20, ROW(A3), MATCH(1, (MONTH(正負盤!$4:$4)=MONTH(DATE(LEFT($A$1,4),MID($A$1,5,2),RIGHT($A$1,2))-3))*(DAY(正負盤!$4:$4)=DAY(DATE(LEFT($A$1,4),MID($A$1,5,2),RIGHT($A$1,2))-3)), 0)), 0, "-"), "")</f>
        <v>O</v>
      </c>
      <c r="T6" s="1" t="str">
        <f t="array" ref="T6">IFERROR(SUBSTITUTE(INDEX(正負盤!$6:$20, ROW(A3), MATCH(1, (MONTH(正負盤!$4:$4)=MONTH(DATE(LEFT($A$1,4),MID($A$1,5,2),RIGHT($A$1,2))-2))*(DAY(正負盤!$4:$4)=DAY(DATE(LEFT($A$1,4),MID($A$1,5,2),RIGHT($A$1,2))-2)), 0)), 0, "-"), "")</f>
        <v>O</v>
      </c>
      <c r="U6" s="1" t="str">
        <f t="array" ref="U6">IFERROR(SUBSTITUTE(INDEX(正負盤!$6:$20, ROW(A3), MATCH(1, (MONTH(正負盤!$4:$4)=MONTH(DATE(LEFT($A$1,4),MID($A$1,5,2),RIGHT($A$1,2))-1))*(DAY(正負盤!$4:$4)=DAY(DATE(LEFT($A$1,4),MID($A$1,5,2),RIGHT($A$1,2))-1)), 0)), 0, "-"), "")</f>
        <v>O</v>
      </c>
      <c r="V6" s="82" t="str">
        <f>C5</f>
        <v>07:07</v>
      </c>
      <c r="W6" t="str">
        <f>E5</f>
        <v>紅襪</v>
      </c>
      <c r="X6" s="17" t="str">
        <f t="array" aca="1" ref="X6" ca="1">_xlfn.LET(_xlpm.s,SUBSTITUTE(Y6,".",""),_xlpm.c,RIGHT(_xlpm.s,1),_xlpm.n,ROW(INDIRECT("1:"&amp;LEN(_xlpm.s))),_xlpm.cnt,MAX(IF(RIGHT(_xlpm.s,_xlpm.n)=REPT(_xlpm.c,_xlpm.n),_xlpm.n,0)),IF(_xlpm.cnt&gt;=2,_xlpm.cnt&amp;"連"&amp;_xlpm.c,"1"&amp;_xlpm.c))</f>
        <v>2連O</v>
      </c>
      <c r="Y6" s="82" t="str">
        <f t="array" ref="Y6">INDEX(各隊正負!$F:$F, MATCH("*"&amp;$W6&amp;"*", 各隊正負!$A:$A, 0)+6)</f>
        <v>O.O.X.X.O.X.X.X.O.O</v>
      </c>
      <c r="Z6" s="100"/>
      <c r="AA6" s="100"/>
      <c r="AB6" s="82" t="str">
        <f t="array" ref="AB6">INDEX(各隊正負!$F:$F, MATCH("*"&amp;$W6&amp;"*", 各隊正負!$A:$A, 0)+4)</f>
        <v>W.W.L.L.W.L.L.L.W.W</v>
      </c>
      <c r="AC6" s="78"/>
      <c r="AD6" s="78"/>
      <c r="AE6" s="1" t="str">
        <f t="array" aca="1" ref="AE6" ca="1">_xlfn.LET(_xlpm.s,SUBSTITUTE(AB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6" s="19" t="str">
        <f>E5</f>
        <v>紅襪</v>
      </c>
      <c r="AG6" s="1" t="str">
        <f t="array" ref="AG6">IFERROR(INDEX(各隊total!$B:$AB, MATCH($AF6, 各隊total!$A:$A, 0), COLUMN(A5)), "")</f>
        <v>28</v>
      </c>
      <c r="AH6" s="32">
        <f>CB11</f>
        <v>3.1</v>
      </c>
      <c r="AI6" s="61" t="str">
        <f t="shared" si="0"/>
        <v>C+</v>
      </c>
      <c r="AJ6" s="6">
        <f>CC11</f>
        <v>2.6999999999999997</v>
      </c>
      <c r="AK6" s="60" t="str">
        <f t="shared" si="1"/>
        <v>C+</v>
      </c>
      <c r="AL6" s="1" t="str">
        <f t="array" ref="AL6">IFERROR(INDEX(各隊total!$C:$AB, MATCH($AF6, 各隊total!$A:$A, 0), COLUMN(A5)), "")</f>
        <v>936</v>
      </c>
      <c r="AM6" s="1" t="str">
        <f t="array" ref="AM6">IFERROR(INDEX(各隊total!$D:$AB, MATCH($AF6, 各隊total!$A:$A, 0), COLUMN(A5)), "")</f>
        <v>117</v>
      </c>
      <c r="AN6" s="1" t="str">
        <f t="array" ref="AN6">IFERROR(INDEX(各隊total!$E:$AB, MATCH($AF6, 各隊total!$A:$A, 0), COLUMN(A5)), "")</f>
        <v>218</v>
      </c>
      <c r="AO6" s="1" t="str">
        <f t="array" ref="AO6">IFERROR(INDEX(各隊total!$F:$AB, MATCH($AF6, 各隊total!$A:$A, 0), COLUMN(A5)), "")</f>
        <v>50</v>
      </c>
      <c r="AP6" s="1" t="str">
        <f t="array" ref="AP6">IFERROR(INDEX(各隊total!$G:$AB, MATCH($AF6, 各隊total!$A:$A, 0), COLUMN(A5)), "")</f>
        <v>4</v>
      </c>
      <c r="AQ6" s="1" t="str">
        <f t="array" ref="AQ6">IFERROR(INDEX(各隊total!$H:$AB, MATCH($AF6, 各隊total!$A:$A, 0), COLUMN(A5)), "")</f>
        <v>19</v>
      </c>
      <c r="AR6" s="1" t="str">
        <f t="array" ref="AR6">IFERROR(INDEX(各隊total!$I:$AB, MATCH($AF6, 各隊total!$A:$A, 0), COLUMN(A5)), "")</f>
        <v>112</v>
      </c>
      <c r="AS6" s="1" t="str">
        <f t="array" ref="AS6">IFERROR(INDEX(各隊total!$J:$AB, MATCH($AF6, 各隊total!$A:$A, 0), COLUMN(A5)), "")</f>
        <v>333</v>
      </c>
      <c r="AT6" s="1" t="str">
        <f t="array" ref="AT6">IFERROR(INDEX(各隊total!$K:$AB, MATCH($AF6, 各隊total!$A:$A, 0), COLUMN(A5)), "")</f>
        <v>95</v>
      </c>
      <c r="AU6" s="1" t="str">
        <f t="array" ref="AU6">IFERROR(INDEX(各隊total!$L:$AB, MATCH($AF6, 各隊total!$A:$A, 0), COLUMN(A5)), "")</f>
        <v>235</v>
      </c>
      <c r="AV6" s="1" t="str">
        <f t="array" ref="AV6">IFERROR(INDEX(各隊total!$M:$AB, MATCH($AF6, 各隊total!$A:$A, 0), COLUMN(A5)), "")</f>
        <v>20</v>
      </c>
      <c r="AW6" s="1" t="str">
        <f t="array" ref="AW6">IFERROR(INDEX(各隊total!$N:$AB, MATCH($AF6, 各隊total!$A:$A, 0), COLUMN(A5)), "")</f>
        <v>.233</v>
      </c>
      <c r="AX6" s="1" t="str">
        <f t="array" ref="AX6">IFERROR(INDEX(各隊total!$O:$AB, MATCH($AF6, 各隊total!$A:$A, 0), COLUMN(A5)), "")</f>
        <v>.313</v>
      </c>
      <c r="AY6" s="1" t="str">
        <f t="array" ref="AY6">IFERROR(INDEX(各隊total!$P:$AB, MATCH($AF6, 各隊total!$A:$A, 0), COLUMN(A5)), "")</f>
        <v>.356</v>
      </c>
      <c r="AZ6" s="1" t="str">
        <f t="array" ref="AZ6">IFERROR(INDEX(各隊total!$Q:$AB, MATCH($AF6, 各隊total!$A:$A, 0), COLUMN(A5)), "")</f>
        <v>.669</v>
      </c>
      <c r="BA6" s="1">
        <f t="array" ref="BA6">IFERROR(INDEX(各隊total!$R:$AB, MATCH($AF6, 各隊total!$A:$A, 0), COLUMN(A5)), "")</f>
        <v>0</v>
      </c>
      <c r="BB6" s="1" t="str">
        <f t="array" ref="BB6">IFERROR(INDEX(各隊total!$S:$AB, MATCH($AF6, 各隊total!$A:$A, 0), COLUMN(A5)), "")</f>
        <v>105.3</v>
      </c>
      <c r="BC6" s="1" t="str">
        <f t="array" ref="BC6">IFERROR(INDEX(各隊total!$T:$AB, MATCH($AF6, 各隊total!$A:$A, 0), COLUMN(A5)), "")</f>
        <v>3.8</v>
      </c>
      <c r="BD6" s="1" t="str">
        <f t="array" ref="BD6">IFERROR(INDEX(各隊total!$U:$AB, MATCH($AF6, 各隊total!$A:$A, 0), COLUMN(A5)), "")</f>
        <v>.090</v>
      </c>
      <c r="BE6" s="1" t="str">
        <f t="array" ref="BE6">IFERROR(INDEX(各隊total!$V:$AB, MATCH($AF6, 各隊total!$A:$A, 0), COLUMN(A5)), "")</f>
        <v>0.40</v>
      </c>
      <c r="BF6" s="1" t="str">
        <f t="array" ref="BF6">IFERROR(INDEX(各隊total!$W:$AB, MATCH($AF6, 各隊total!$A:$A, 0), COLUMN(A5)), "")</f>
        <v>.123</v>
      </c>
      <c r="BG6" s="1" t="str">
        <f t="array" ref="BG6">IFERROR(INDEX(各隊total!$X:$AB, MATCH($AF6, 各隊total!$A:$A, 0), COLUMN(A5)), "")</f>
        <v>.239</v>
      </c>
      <c r="BH6" s="1" t="str">
        <f t="array" ref="BH6">IFERROR(INDEX(各隊total!$Y:$AB, MATCH($AF6, 各隊total!$A:$A, 0), COLUMN(A5)), "")</f>
        <v>3.81</v>
      </c>
      <c r="BI6" s="1" t="str">
        <f t="array" ref="BI6">IFERROR(INDEX(各隊total!$Z:$AB, MATCH($AF6, 各隊total!$A:$A, 0), COLUMN(A5)), "")</f>
        <v>73</v>
      </c>
      <c r="BJ6" s="1" t="str">
        <f t="array" ref="BJ6">IFERROR(INDEX(各隊total!$AA:$AB, MATCH($AF6, 各隊total!$A:$A, 0), COLUMN(A5)), "")</f>
        <v>1054</v>
      </c>
      <c r="BK6" s="1" t="str">
        <f t="array" ref="BK6">IFERROR(INDEX(各隊total!$AB:$AB, MATCH($AF6, 各隊total!$A:$A, 0), COLUMN(A5)), "")</f>
        <v>49.3</v>
      </c>
      <c r="BL6" s="1" t="str">
        <f t="array" ref="BL6">IFERROR(INDEX(各隊total!$C:$AB, MATCH($AF6, 各隊total!$A:$A, 0), COLUMN(AA5)), "")</f>
        <v/>
      </c>
      <c r="BM6" s="22">
        <v>0.23100000000000001</v>
      </c>
      <c r="BN6" s="19">
        <v>0.245</v>
      </c>
      <c r="BO6" s="23">
        <v>4</v>
      </c>
      <c r="BP6" s="22">
        <v>0.30099999999999999</v>
      </c>
      <c r="BQ6" s="19">
        <v>0.315</v>
      </c>
      <c r="BR6" s="23">
        <v>4</v>
      </c>
      <c r="BS6" s="22">
        <v>0.39600000000000002</v>
      </c>
      <c r="BT6" s="19">
        <v>0.42</v>
      </c>
      <c r="BU6" s="23">
        <v>4</v>
      </c>
      <c r="BV6" s="22">
        <v>4.3</v>
      </c>
      <c r="BW6" s="19">
        <v>4.5</v>
      </c>
      <c r="BX6" s="23">
        <v>4</v>
      </c>
      <c r="BY6" s="22">
        <v>4.0999999999999996</v>
      </c>
      <c r="BZ6" s="19">
        <v>4.3</v>
      </c>
      <c r="CA6" s="23">
        <v>4</v>
      </c>
      <c r="CB6" s="19" t="str">
        <f>AF4</f>
        <v>紅雀</v>
      </c>
      <c r="CC6" s="29"/>
      <c r="CD6" s="1" t="str">
        <f>AG4</f>
        <v>27</v>
      </c>
      <c r="CE6" s="1" t="str">
        <f t="shared" ref="CE6:DD6" si="4">AL4</f>
        <v>901</v>
      </c>
      <c r="CF6" s="1" t="str">
        <f t="shared" si="4"/>
        <v>125</v>
      </c>
      <c r="CG6" s="1" t="str">
        <f t="shared" si="4"/>
        <v>212</v>
      </c>
      <c r="CH6" s="1" t="str">
        <f t="shared" si="4"/>
        <v>35</v>
      </c>
      <c r="CI6" s="1" t="str">
        <f t="shared" si="4"/>
        <v>1</v>
      </c>
      <c r="CJ6" s="1" t="str">
        <f t="shared" si="4"/>
        <v>34</v>
      </c>
      <c r="CK6" s="1" t="str">
        <f t="shared" si="4"/>
        <v>122</v>
      </c>
      <c r="CL6" s="1" t="str">
        <f t="shared" si="4"/>
        <v>351</v>
      </c>
      <c r="CM6" s="1" t="str">
        <f t="shared" si="4"/>
        <v>101</v>
      </c>
      <c r="CN6" s="1" t="str">
        <f t="shared" si="4"/>
        <v>225</v>
      </c>
      <c r="CO6" s="1" t="str">
        <f t="shared" si="4"/>
        <v>20</v>
      </c>
      <c r="CP6" s="1" t="str">
        <f t="shared" si="4"/>
        <v>.235</v>
      </c>
      <c r="CQ6" s="1" t="str">
        <f t="shared" si="4"/>
        <v>.324</v>
      </c>
      <c r="CR6" s="1" t="str">
        <f t="shared" si="4"/>
        <v>.390</v>
      </c>
      <c r="CS6" s="1" t="str">
        <f t="shared" si="4"/>
        <v>.713</v>
      </c>
      <c r="CT6" s="1">
        <f t="shared" si="4"/>
        <v>0</v>
      </c>
      <c r="CU6" s="1" t="str">
        <f t="shared" si="4"/>
        <v>118.2</v>
      </c>
      <c r="CV6" s="1" t="str">
        <f t="shared" si="4"/>
        <v>4.3</v>
      </c>
      <c r="CW6" s="1" t="str">
        <f t="shared" si="4"/>
        <v>.097</v>
      </c>
      <c r="CX6" s="1" t="str">
        <f t="shared" si="4"/>
        <v>0.45</v>
      </c>
      <c r="CY6" s="1" t="str">
        <f t="shared" si="4"/>
        <v>.154</v>
      </c>
      <c r="CZ6" s="1" t="str">
        <f t="shared" si="4"/>
        <v>.283</v>
      </c>
      <c r="DA6" s="1" t="str">
        <f t="shared" si="4"/>
        <v>3.84</v>
      </c>
      <c r="DB6" s="1" t="str">
        <f t="shared" si="4"/>
        <v>70</v>
      </c>
      <c r="DC6" s="1" t="str">
        <f t="shared" si="4"/>
        <v>1045</v>
      </c>
      <c r="DD6" s="1" t="str">
        <f t="shared" si="4"/>
        <v>26.5</v>
      </c>
      <c r="DF6" s="35" t="str">
        <f>先發名單!I$2</f>
        <v>J. Caminero</v>
      </c>
      <c r="DG6" s="4" t="str">
        <f t="array" ref="DG6">IFERROR(INDEX(球員狀態!$C$2:$C$5000, MATCH(1, (球員狀態!$A$2:$A$5000=$DF$1)*(ISNUMBER(SEARCH($DF6, 球員狀態!$B$2:$B$5000))), 0)), "")</f>
        <v/>
      </c>
      <c r="DJ6" s="4" t="str">
        <f t="array" ref="DJ6">IFERROR(INDEX(球員狀態!$F$2:$F$5000, MATCH(1, (球員狀態!$A$2:$A$5000=$DF$1)*(ISNUMBER(SEARCH($DF6, 球員狀態!$B$2:$B$5000))), 0)), "")</f>
        <v/>
      </c>
      <c r="DK6" s="4" t="str">
        <f t="array" ref="DK6">IFERROR(INDEX(球員狀態!$G$2:$G$5000, MATCH(1, (球員狀態!$A$2:$A$5000=$DF$1)*(ISNUMBER(SEARCH($DF6, 球員狀態!$B$2:$B$5000))), 0)), "")</f>
        <v/>
      </c>
      <c r="DL6" s="4" t="str">
        <f t="array" ref="DL6">IFERROR(INDEX(球員狀態!H$2:H$5000, MATCH(1, (球員狀態!$A$2:$A$5000=$DF$1)*(ISNUMBER(SEARCH($DF6, 球員狀態!$B$2:$B$5000))), 0)), "")</f>
        <v/>
      </c>
      <c r="DM6" s="4" t="str">
        <f t="array" ref="DM6">IFERROR(INDEX(球員狀態!I$2:I$5000, MATCH(1, (球員狀態!$A$2:$A$5000=$DF$1)*(ISNUMBER(SEARCH($DF6, 球員狀態!$B$2:$B$5000))), 0)), "")</f>
        <v/>
      </c>
      <c r="DN6" s="4" t="str">
        <f t="array" ref="DN6">IFERROR(INDEX(球員狀態!J$2:J$5000, MATCH(1, (球員狀態!$A$2:$A$5000=$DF$1)*(ISNUMBER(SEARCH($DF6, 球員狀態!$B$2:$B$5000))), 0)), "")</f>
        <v/>
      </c>
      <c r="DO6" s="4" t="str">
        <f t="array" ref="DO6">IFERROR(INDEX(球員狀態!K$2:K$5000, MATCH(1, (球員狀態!$A$2:$A$5000=$DF$1)*(ISNUMBER(SEARCH($DF6, 球員狀態!$B$2:$B$5000))), 0)), "")</f>
        <v/>
      </c>
      <c r="DP6" s="4" t="str">
        <f t="array" ref="DP6">IFERROR(INDEX(球員狀態!L$2:L$5000, MATCH(1, (球員狀態!$A$2:$A$5000=$DF$1)*(ISNUMBER(SEARCH($DF6, 球員狀態!$B$2:$B$5000))), 0)), "")</f>
        <v/>
      </c>
      <c r="DQ6" s="4" t="str">
        <f t="array" ref="DQ6">IFERROR(INDEX(球員狀態!M$2:M$5000, MATCH(1, (球員狀態!$A$2:$A$5000=$DF$1)*(ISNUMBER(SEARCH($DF6, 球員狀態!$B$2:$B$5000))), 0)), "")</f>
        <v/>
      </c>
      <c r="DR6" s="4" t="str">
        <f t="array" ref="DR6">IFERROR(INDEX(球員狀態!N$2:N$5000, MATCH(1, (球員狀態!$A$2:$A$5000=$DF$1)*(ISNUMBER(SEARCH($DF6, 球員狀態!$B$2:$B$5000))), 0)), "")</f>
        <v/>
      </c>
      <c r="DS6" s="4" t="str">
        <f t="array" ref="DS6">IFERROR(INDEX(球員狀態!O$2:O$5000, MATCH(1, (球員狀態!$A$2:$A$5000=$DF$1)*(ISNUMBER(SEARCH($DF6, 球員狀態!$B$2:$B$5000))), 0)), "")</f>
        <v/>
      </c>
      <c r="DT6" s="4" t="str">
        <f t="array" ref="DT6">IFERROR(INDEX(球員狀態!P$2:P$5000, MATCH(1, (球員狀態!$A$2:$A$5000=$DF$1)*(ISNUMBER(SEARCH($DF6, 球員狀態!$B$2:$B$5000))), 0)), "")</f>
        <v/>
      </c>
      <c r="DU6" s="4" t="str">
        <f t="array" ref="DU6">IFERROR(INDEX(球員狀態!Q$2:Q$5000, MATCH(1, (球員狀態!$A$2:$A$5000=$DF$1)*(ISNUMBER(SEARCH($DF6, 球員狀態!$B$2:$B$5000))), 0)), "")</f>
        <v/>
      </c>
      <c r="DV6" s="4" t="str">
        <f t="array" ref="DV6">IFERROR(INDEX(球員狀態!R$2:R$5000, MATCH(1, (球員狀態!$A$2:$A$5000=$DF$1)*(ISNUMBER(SEARCH($DF6, 球員狀態!$B$2:$B$5000))), 0)), "")</f>
        <v/>
      </c>
      <c r="DW6" s="4" t="str">
        <f t="array" ref="DW6">IFERROR(INDEX(球員狀態!S$2:S$5000, MATCH(1, (球員狀態!$A$2:$A$5000=$DF$1)*(ISNUMBER(SEARCH($DF6, 球員狀態!$B$2:$B$5000))), 0)), "")</f>
        <v/>
      </c>
      <c r="DX6" s="4" t="str">
        <f t="array" ref="DX6">IFERROR(INDEX(球員狀態!T$2:T$5000, MATCH(1, (球員狀態!$A$2:$A$5000=$DF$1)*(ISNUMBER(SEARCH($DF6, 球員狀態!$B$2:$B$5000))), 0)), "")</f>
        <v/>
      </c>
      <c r="DY6" s="4" t="str">
        <f t="array" ref="DY6">IFERROR(INDEX(球員狀態!U$2:U$5000, MATCH(1, (球員狀態!$A$2:$A$5000=$DF$1)*(ISNUMBER(SEARCH($DF6, 球員狀態!$B$2:$B$5000))), 0)), "")</f>
        <v/>
      </c>
      <c r="DZ6" s="4" t="str">
        <f t="array" ref="DZ6">IFERROR(INDEX(球員狀態!V$2:V$5000, MATCH(1, (球員狀態!$A$2:$A$5000=$DF$1)*(ISNUMBER(SEARCH($DF6, 球員狀態!$B$2:$B$5000))), 0)), "")</f>
        <v/>
      </c>
      <c r="EA6" s="4" t="str">
        <f t="array" ref="EA6">IFERROR(INDEX(球員狀態!W$2:W$5000, MATCH(1, (球員狀態!$A$2:$A$5000=$DF$1)*(ISNUMBER(SEARCH($DF6, 球員狀態!$B$2:$B$5000))), 0)), "")</f>
        <v/>
      </c>
      <c r="EB6" s="4" t="str">
        <f t="array" ref="EB6">IFERROR(INDEX(球員狀態!X$2:X$5000, MATCH(1, (球員狀態!$A$2:$A$5000=$DF$1)*(ISNUMBER(SEARCH($DF6, 球員狀態!$B$2:$B$5000))), 0)), "")</f>
        <v/>
      </c>
      <c r="EC6" s="4" t="str">
        <f t="array" ref="EC6">IFERROR(INDEX(球員狀態!Y$2:Y$5000, MATCH(1, (球員狀態!$A$2:$A$5000=$DF$1)*(ISNUMBER(SEARCH($DF6, 球員狀態!$B$2:$B$5000))), 0)), "")</f>
        <v/>
      </c>
      <c r="ED6" s="4" t="str">
        <f t="array" ref="ED6">IFERROR(INDEX(球員狀態!Z$2:Z$5000, MATCH(1, (球員狀態!$A$2:$A$5000=$DF$1)*(ISNUMBER(SEARCH($DF6, 球員狀態!$B$2:$B$5000))), 0)), "")</f>
        <v/>
      </c>
      <c r="EE6" s="4" t="str">
        <f t="array" ref="EE6">IFERROR(INDEX(球員狀態!AA$2:AA$5000, MATCH(1, (球員狀態!$A$2:$A$5000=$DF$1)*(ISNUMBER(SEARCH($DF6, 球員狀態!$B$2:$B$5000))), 0)), "")</f>
        <v/>
      </c>
      <c r="EF6" s="4" t="str">
        <f t="array" ref="EF6">IFERROR(INDEX(球員狀態!AB$2:AB$5000, MATCH(1, (球員狀態!$A$2:$A$5000=$DF$1)*(ISNUMBER(SEARCH($DF6, 球員狀態!$B$2:$B$5000))), 0)), "")</f>
        <v/>
      </c>
      <c r="EG6" s="56"/>
      <c r="EI6" s="35" t="str">
        <f>先發名單!Q$2</f>
        <v>A. Martinez</v>
      </c>
      <c r="EJ6" s="4" t="str">
        <f t="array" ref="EJ6">IFERROR(INDEX(球員狀態!$C$2:$C$5000, MATCH(1, (球員狀態!$A$2:$A$5000=$EI$1)*(ISNUMBER(SEARCH($EI6, 球員狀態!$B$2:$B$5000))), 0)), "")</f>
        <v/>
      </c>
      <c r="EM6" s="4" t="str">
        <f t="array" ref="EM6">IFERROR(INDEX(球員狀態!F$2:F$5000, MATCH(1, (球員狀態!$A$2:$A$5000=$EI$1)*(ISNUMBER(SEARCH($EI6, 球員狀態!$B$2:$B$5000))), 0)), "")</f>
        <v/>
      </c>
      <c r="EN6" s="4" t="str">
        <f t="array" ref="EN6">IFERROR(INDEX(球員狀態!G$2:G$5000, MATCH(1, (球員狀態!$A$2:$A$5000=$EI$1)*(ISNUMBER(SEARCH($EI6, 球員狀態!$B$2:$B$5000))), 0)), "")</f>
        <v/>
      </c>
      <c r="EO6" s="4" t="str">
        <f t="array" ref="EO6">IFERROR(INDEX(球員狀態!H$2:H$5000, MATCH(1, (球員狀態!$A$2:$A$5000=$EI$1)*(ISNUMBER(SEARCH($EI6, 球員狀態!$B$2:$B$5000))), 0)), "")</f>
        <v/>
      </c>
      <c r="EP6" s="4" t="str">
        <f t="array" ref="EP6">IFERROR(INDEX(球員狀態!I$2:I$5000, MATCH(1, (球員狀態!$A$2:$A$5000=$EI$1)*(ISNUMBER(SEARCH($EI6, 球員狀態!$B$2:$B$5000))), 0)), "")</f>
        <v/>
      </c>
      <c r="EQ6" s="4" t="str">
        <f t="array" ref="EQ6">IFERROR(INDEX(球員狀態!J$2:J$5000, MATCH(1, (球員狀態!$A$2:$A$5000=$EI$1)*(ISNUMBER(SEARCH($EI6, 球員狀態!$B$2:$B$5000))), 0)), "")</f>
        <v/>
      </c>
      <c r="ER6" s="4" t="str">
        <f t="array" ref="ER6">IFERROR(INDEX(球員狀態!K$2:K$5000, MATCH(1, (球員狀態!$A$2:$A$5000=$EI$1)*(ISNUMBER(SEARCH($EI6, 球員狀態!$B$2:$B$5000))), 0)), "")</f>
        <v/>
      </c>
      <c r="ES6" s="4" t="str">
        <f t="array" ref="ES6">IFERROR(INDEX(球員狀態!L$2:L$5000, MATCH(1, (球員狀態!$A$2:$A$5000=$EI$1)*(ISNUMBER(SEARCH($EI6, 球員狀態!$B$2:$B$5000))), 0)), "")</f>
        <v/>
      </c>
      <c r="ET6" s="4" t="str">
        <f t="array" ref="ET6">IFERROR(INDEX(球員狀態!M$2:M$5000, MATCH(1, (球員狀態!$A$2:$A$5000=$EI$1)*(ISNUMBER(SEARCH($EI6, 球員狀態!$B$2:$B$5000))), 0)), "")</f>
        <v/>
      </c>
      <c r="EU6" s="4" t="str">
        <f t="array" ref="EU6">IFERROR(INDEX(球員狀態!N$2:N$5000, MATCH(1, (球員狀態!$A$2:$A$5000=$EI$1)*(ISNUMBER(SEARCH($EI6, 球員狀態!$B$2:$B$5000))), 0)), "")</f>
        <v/>
      </c>
      <c r="EV6" s="4" t="str">
        <f t="array" ref="EV6">IFERROR(INDEX(球員狀態!O$2:O$5000, MATCH(1, (球員狀態!$A$2:$A$5000=$EI$1)*(ISNUMBER(SEARCH($EI6, 球員狀態!$B$2:$B$5000))), 0)), "")</f>
        <v/>
      </c>
      <c r="EW6" s="4" t="str">
        <f t="array" ref="EW6">IFERROR(INDEX(球員狀態!P$2:P$5000, MATCH(1, (球員狀態!$A$2:$A$5000=$EI$1)*(ISNUMBER(SEARCH($EI6, 球員狀態!$B$2:$B$5000))), 0)), "")</f>
        <v/>
      </c>
      <c r="EX6" s="4" t="str">
        <f t="array" ref="EX6">IFERROR(INDEX(球員狀態!Q$2:Q$5000, MATCH(1, (球員狀態!$A$2:$A$5000=$EI$1)*(ISNUMBER(SEARCH($EI6, 球員狀態!$B$2:$B$5000))), 0)), "")</f>
        <v/>
      </c>
      <c r="EY6" s="4" t="str">
        <f t="array" ref="EY6">IFERROR(INDEX(球員狀態!R$2:R$5000, MATCH(1, (球員狀態!$A$2:$A$5000=$EI$1)*(ISNUMBER(SEARCH($EI6, 球員狀態!$B$2:$B$5000))), 0)), "")</f>
        <v/>
      </c>
      <c r="EZ6" s="4" t="str">
        <f t="array" ref="EZ6">IFERROR(INDEX(球員狀態!S$2:S$5000, MATCH(1, (球員狀態!$A$2:$A$5000=$EI$1)*(ISNUMBER(SEARCH($EI6, 球員狀態!$B$2:$B$5000))), 0)), "")</f>
        <v/>
      </c>
      <c r="FA6" s="4" t="str">
        <f t="array" ref="FA6">IFERROR(INDEX(球員狀態!T$2:T$5000, MATCH(1, (球員狀態!$A$2:$A$5000=$EI$1)*(ISNUMBER(SEARCH($EI6, 球員狀態!$B$2:$B$5000))), 0)), "")</f>
        <v/>
      </c>
      <c r="FB6" s="4" t="str">
        <f t="array" ref="FB6">IFERROR(INDEX(球員狀態!U$2:U$5000, MATCH(1, (球員狀態!$A$2:$A$5000=$EI$1)*(ISNUMBER(SEARCH($EI6, 球員狀態!$B$2:$B$5000))), 0)), "")</f>
        <v/>
      </c>
      <c r="FC6" s="4" t="str">
        <f t="array" ref="FC6">IFERROR(INDEX(球員狀態!V$2:V$5000, MATCH(1, (球員狀態!$A$2:$A$5000=$EI$1)*(ISNUMBER(SEARCH($EI6, 球員狀態!$B$2:$B$5000))), 0)), "")</f>
        <v/>
      </c>
      <c r="FD6" s="4" t="str">
        <f t="array" ref="FD6">IFERROR(INDEX(球員狀態!W$2:W$5000, MATCH(1, (球員狀態!$A$2:$A$5000=$EI$1)*(ISNUMBER(SEARCH($EI6, 球員狀態!$B$2:$B$5000))), 0)), "")</f>
        <v/>
      </c>
      <c r="FE6" s="4" t="str">
        <f t="array" ref="FE6">IFERROR(INDEX(球員狀態!X$2:X$5000, MATCH(1, (球員狀態!$A$2:$A$5000=$EI$1)*(ISNUMBER(SEARCH($EI6, 球員狀態!$B$2:$B$5000))), 0)), "")</f>
        <v/>
      </c>
      <c r="FF6" s="4" t="str">
        <f t="array" ref="FF6">IFERROR(INDEX(球員狀態!Y$2:Y$5000, MATCH(1, (球員狀態!$A$2:$A$5000=$EI$1)*(ISNUMBER(SEARCH($EI6, 球員狀態!$B$2:$B$5000))), 0)), "")</f>
        <v/>
      </c>
      <c r="FG6" s="4" t="str">
        <f t="array" ref="FG6">IFERROR(INDEX(球員狀態!Z$2:Z$5000, MATCH(1, (球員狀態!$A$2:$A$5000=$EI$1)*(ISNUMBER(SEARCH($EI6, 球員狀態!$B$2:$B$5000))), 0)), "")</f>
        <v/>
      </c>
      <c r="FH6" s="4" t="str">
        <f t="array" ref="FH6">IFERROR(INDEX(球員狀態!AA$2:AA$5000, MATCH(1, (球員狀態!$A$2:$A$5000=$EI$1)*(ISNUMBER(SEARCH($EI6, 球員狀態!$B$2:$B$5000))), 0)), "")</f>
        <v/>
      </c>
      <c r="FI6" s="4" t="str">
        <f t="array" ref="FI6">IFERROR(INDEX(球員狀態!AB$2:AB$5000, MATCH(1, (球員狀態!$A$2:$A$5000=$EI$1)*(ISNUMBER(SEARCH($EI6, 球員狀態!$B$2:$B$5000))), 0)), "")</f>
        <v/>
      </c>
      <c r="FK6" s="22">
        <v>10.1</v>
      </c>
      <c r="FL6" s="19">
        <v>12</v>
      </c>
      <c r="FM6" s="23">
        <v>4</v>
      </c>
      <c r="FN6" s="22">
        <v>4.5999999999999996</v>
      </c>
      <c r="FO6" s="19">
        <v>5.5</v>
      </c>
      <c r="FP6" s="23">
        <v>4</v>
      </c>
      <c r="FQ6" s="22">
        <v>4.0999999999999996</v>
      </c>
      <c r="FR6" s="19">
        <v>5</v>
      </c>
      <c r="FS6" s="23">
        <v>4</v>
      </c>
      <c r="FT6" s="22">
        <v>0.91</v>
      </c>
      <c r="FU6" s="19">
        <v>1.1000000000000001</v>
      </c>
      <c r="FV6" s="23">
        <v>4</v>
      </c>
      <c r="FW6" s="22">
        <v>0.81</v>
      </c>
      <c r="FX6" s="19">
        <v>1</v>
      </c>
      <c r="FY6" s="23">
        <v>4</v>
      </c>
    </row>
    <row r="7" spans="1:181">
      <c r="A7" s="4">
        <v>5</v>
      </c>
      <c r="B7" s="1" t="str">
        <v>20260428</v>
      </c>
      <c r="C7" s="1" t="str">
        <v>07:40</v>
      </c>
      <c r="D7" s="1">
        <v>0</v>
      </c>
      <c r="E7" s="1" t="str">
        <v>天使</v>
      </c>
      <c r="F7" s="1" t="str">
        <v>1分贏</v>
      </c>
      <c r="G7" s="16">
        <v>0.78</v>
      </c>
      <c r="H7" s="1">
        <v>0</v>
      </c>
      <c r="I7" s="1" t="str">
        <v>白襪</v>
      </c>
      <c r="J7" s="1">
        <v>0</v>
      </c>
      <c r="K7" s="16">
        <v>0.22</v>
      </c>
      <c r="L7" s="1" t="str">
        <f t="array" ref="L7">IFERROR(SUBSTITUTE(INDEX(正負盤!$6:$20, ROW(A4), MATCH(1, (MONTH(正負盤!$4:$4)=MONTH(DATE(LEFT($A$1,4),MID($A$1,5,2),RIGHT($A$1,2))-10))*(DAY(正負盤!$4:$4)=DAY(DATE(LEFT($A$1,4),MID($A$1,5,2),RIGHT($A$1,2))-10)), 0)), 0, "-"), "")</f>
        <v>X</v>
      </c>
      <c r="M7" s="1" t="str">
        <f t="array" ref="M7">IFERROR(SUBSTITUTE(INDEX(正負盤!$6:$20, ROW(A4), MATCH(1, (MONTH(正負盤!$4:$4)=MONTH(DATE(LEFT($A$1,4),MID($A$1,5,2),RIGHT($A$1,2))-9))*(DAY(正負盤!$4:$4)=DAY(DATE(LEFT($A$1,4),MID($A$1,5,2),RIGHT($A$1,2))-9)), 0)), 0, "-"), "")</f>
        <v>X</v>
      </c>
      <c r="N7" s="1" t="str">
        <f t="array" ref="N7">IFERROR(SUBSTITUTE(INDEX(正負盤!$6:$20, ROW(A4), MATCH(1, (MONTH(正負盤!$4:$4)=MONTH(DATE(LEFT($A$1,4),MID($A$1,5,2),RIGHT($A$1,2))-8))*(DAY(正負盤!$4:$4)=DAY(DATE(LEFT($A$1,4),MID($A$1,5,2),RIGHT($A$1,2))-8)), 0)), 0, "-"), "")</f>
        <v>O</v>
      </c>
      <c r="O7" s="1" t="str">
        <f t="array" ref="O7">IFERROR(SUBSTITUTE(INDEX(正負盤!$6:$20, ROW(A4), MATCH(1, (MONTH(正負盤!$4:$4)=MONTH(DATE(LEFT($A$1,4),MID($A$1,5,2),RIGHT($A$1,2))-7))*(DAY(正負盤!$4:$4)=DAY(DATE(LEFT($A$1,4),MID($A$1,5,2),RIGHT($A$1,2))-7)), 0)), 0, "-"), "")</f>
        <v>O</v>
      </c>
      <c r="P7" s="1" t="str">
        <f t="array" ref="P7">IFERROR(SUBSTITUTE(INDEX(正負盤!$6:$20, ROW(A4), MATCH(1, (MONTH(正負盤!$4:$4)=MONTH(DATE(LEFT($A$1,4),MID($A$1,5,2),RIGHT($A$1,2))-6))*(DAY(正負盤!$4:$4)=DAY(DATE(LEFT($A$1,4),MID($A$1,5,2),RIGHT($A$1,2))-6)), 0)), 0, "-"), "")</f>
        <v>X</v>
      </c>
      <c r="Q7" s="1" t="str">
        <f t="array" ref="Q7">IFERROR(SUBSTITUTE(INDEX(正負盤!$6:$20, ROW(A4), MATCH(1, (MONTH(正負盤!$4:$4)=MONTH(DATE(LEFT($A$1,4),MID($A$1,5,2),RIGHT($A$1,2))-5))*(DAY(正負盤!$4:$4)=DAY(DATE(LEFT($A$1,4),MID($A$1,5,2),RIGHT($A$1,2))-5)), 0)), 0, "-"), "")</f>
        <v/>
      </c>
      <c r="R7" s="1" t="str">
        <f t="array" ref="R7">IFERROR(SUBSTITUTE(INDEX(正負盤!$6:$20, ROW(A4), MATCH(1, (MONTH(正負盤!$4:$4)=MONTH(DATE(LEFT($A$1,4),MID($A$1,5,2),RIGHT($A$1,2))-4))*(DAY(正負盤!$4:$4)=DAY(DATE(LEFT($A$1,4),MID($A$1,5,2),RIGHT($A$1,2))-4)), 0)), 0, "-"), "")</f>
        <v>O</v>
      </c>
      <c r="S7" s="1" t="str">
        <f t="array" ref="S7">IFERROR(SUBSTITUTE(INDEX(正負盤!$6:$20, ROW(A4), MATCH(1, (MONTH(正負盤!$4:$4)=MONTH(DATE(LEFT($A$1,4),MID($A$1,5,2),RIGHT($A$1,2))-3))*(DAY(正負盤!$4:$4)=DAY(DATE(LEFT($A$1,4),MID($A$1,5,2),RIGHT($A$1,2))-3)), 0)), 0, "-"), "")</f>
        <v>X</v>
      </c>
      <c r="T7" s="1" t="str">
        <f t="array" ref="T7">IFERROR(SUBSTITUTE(INDEX(正負盤!$6:$20, ROW(A4), MATCH(1, (MONTH(正負盤!$4:$4)=MONTH(DATE(LEFT($A$1,4),MID($A$1,5,2),RIGHT($A$1,2))-2))*(DAY(正負盤!$4:$4)=DAY(DATE(LEFT($A$1,4),MID($A$1,5,2),RIGHT($A$1,2))-2)), 0)), 0, "-"), "")</f>
        <v>O</v>
      </c>
      <c r="U7" s="1" t="str">
        <f t="array" ref="U7">IFERROR(SUBSTITUTE(INDEX(正負盤!$6:$20, ROW(A4), MATCH(1, (MONTH(正負盤!$4:$4)=MONTH(DATE(LEFT($A$1,4),MID($A$1,5,2),RIGHT($A$1,2))-1))*(DAY(正負盤!$4:$4)=DAY(DATE(LEFT($A$1,4),MID($A$1,5,2),RIGHT($A$1,2))-1)), 0)), 0, "-"), "")</f>
        <v>X</v>
      </c>
      <c r="V7" s="78"/>
      <c r="W7" t="str">
        <f>I5</f>
        <v>藍鳥</v>
      </c>
      <c r="X7" s="17" t="str">
        <f t="array" aca="1" ref="X7" ca="1">_xlfn.LET(_xlpm.s,SUBSTITUTE(Y7,".",""),_xlpm.c,RIGHT(_xlpm.s,1),_xlpm.n,ROW(INDIRECT("1:"&amp;LEN(_xlpm.s))),_xlpm.cnt,MAX(IF(RIGHT(_xlpm.s,_xlpm.n)=REPT(_xlpm.c,_xlpm.n),_xlpm.n,0)),IF(_xlpm.cnt&gt;=2,_xlpm.cnt&amp;"連"&amp;_xlpm.c,"1"&amp;_xlpm.c))</f>
        <v>2連O</v>
      </c>
      <c r="Y7" s="82" t="str">
        <f t="array" ref="Y7">INDEX(各隊正負!$F:$F, MATCH("*"&amp;$W7&amp;"*", 各隊正負!$A:$A, 0)+6)</f>
        <v>X.X.X.X.O.O.O.X.O.O</v>
      </c>
      <c r="Z7" s="100"/>
      <c r="AA7" s="100"/>
      <c r="AB7" s="82" t="str">
        <f t="array" ref="AB7">INDEX(各隊正負!$F:$F, MATCH("*"&amp;$W7&amp;"*", 各隊正負!$A:$A, 0)+4)</f>
        <v>L.L.L.L.W.W.W.L.W.W</v>
      </c>
      <c r="AC7" s="78"/>
      <c r="AD7" s="78"/>
      <c r="AE7" s="1" t="str">
        <f t="array" aca="1" ref="AE7" ca="1">_xlfn.LET(_xlpm.s,SUBSTITUTE(AB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7" s="19" t="str">
        <f>I5</f>
        <v>藍鳥</v>
      </c>
      <c r="AG7" s="1" t="str">
        <f t="array" ref="AG7">IFERROR(INDEX(各隊total!$B:$AB, MATCH($AF7, 各隊total!$A:$A, 0), COLUMN(A6)), "")</f>
        <v>27</v>
      </c>
      <c r="AH7" s="32">
        <f>CB13</f>
        <v>3.35</v>
      </c>
      <c r="AI7" s="61" t="str">
        <f t="shared" si="0"/>
        <v>C+</v>
      </c>
      <c r="AJ7" s="6">
        <f>CC13</f>
        <v>3.1500000000000004</v>
      </c>
      <c r="AK7" s="60" t="str">
        <f t="shared" si="1"/>
        <v>C+</v>
      </c>
      <c r="AL7" s="1" t="str">
        <f t="array" ref="AL7">IFERROR(INDEX(各隊total!$C:$AB, MATCH($AF7, 各隊total!$A:$A, 0), COLUMN(A6)), "")</f>
        <v>919</v>
      </c>
      <c r="AM7" s="1" t="str">
        <f t="array" ref="AM7">IFERROR(INDEX(各隊total!$D:$AB, MATCH($AF7, 各隊total!$A:$A, 0), COLUMN(A6)), "")</f>
        <v>110</v>
      </c>
      <c r="AN7" s="1" t="str">
        <f t="array" ref="AN7">IFERROR(INDEX(各隊total!$E:$AB, MATCH($AF7, 各隊total!$A:$A, 0), COLUMN(A6)), "")</f>
        <v>234</v>
      </c>
      <c r="AO7" s="1" t="str">
        <f t="array" ref="AO7">IFERROR(INDEX(各隊total!$F:$AB, MATCH($AF7, 各隊total!$A:$A, 0), COLUMN(A6)), "")</f>
        <v>50</v>
      </c>
      <c r="AP7" s="1" t="str">
        <f t="array" ref="AP7">IFERROR(INDEX(各隊total!$G:$AB, MATCH($AF7, 各隊total!$A:$A, 0), COLUMN(A6)), "")</f>
        <v>1</v>
      </c>
      <c r="AQ7" s="1" t="str">
        <f t="array" ref="AQ7">IFERROR(INDEX(各隊total!$H:$AB, MATCH($AF7, 各隊total!$A:$A, 0), COLUMN(A6)), "")</f>
        <v>23</v>
      </c>
      <c r="AR7" s="1" t="str">
        <f t="array" ref="AR7">IFERROR(INDEX(各隊total!$I:$AB, MATCH($AF7, 各隊total!$A:$A, 0), COLUMN(A6)), "")</f>
        <v>108</v>
      </c>
      <c r="AS7" s="1" t="str">
        <f t="array" ref="AS7">IFERROR(INDEX(各隊total!$J:$AB, MATCH($AF7, 各隊total!$A:$A, 0), COLUMN(A6)), "")</f>
        <v>355</v>
      </c>
      <c r="AT7" s="1" t="str">
        <f t="array" ref="AT7">IFERROR(INDEX(各隊total!$K:$AB, MATCH($AF7, 各隊total!$A:$A, 0), COLUMN(A6)), "")</f>
        <v>76</v>
      </c>
      <c r="AU7" s="1" t="str">
        <f t="array" ref="AU7">IFERROR(INDEX(各隊total!$L:$AB, MATCH($AF7, 各隊total!$A:$A, 0), COLUMN(A6)), "")</f>
        <v>188</v>
      </c>
      <c r="AV7" s="1" t="str">
        <f t="array" ref="AV7">IFERROR(INDEX(各隊total!$M:$AB, MATCH($AF7, 各隊total!$A:$A, 0), COLUMN(A6)), "")</f>
        <v>11</v>
      </c>
      <c r="AW7" s="1" t="str">
        <f t="array" ref="AW7">IFERROR(INDEX(各隊total!$N:$AB, MATCH($AF7, 各隊total!$A:$A, 0), COLUMN(A6)), "")</f>
        <v>.255</v>
      </c>
      <c r="AX7" s="1" t="str">
        <f t="array" ref="AX7">IFERROR(INDEX(各隊total!$O:$AB, MATCH($AF7, 各隊total!$A:$A, 0), COLUMN(A6)), "")</f>
        <v>.314</v>
      </c>
      <c r="AY7" s="1" t="str">
        <f t="array" ref="AY7">IFERROR(INDEX(各隊total!$P:$AB, MATCH($AF7, 各隊total!$A:$A, 0), COLUMN(A6)), "")</f>
        <v>.386</v>
      </c>
      <c r="AZ7" s="1" t="str">
        <f t="array" ref="AZ7">IFERROR(INDEX(各隊total!$Q:$AB, MATCH($AF7, 各隊total!$A:$A, 0), COLUMN(A6)), "")</f>
        <v>.700</v>
      </c>
      <c r="BA7" s="1">
        <f t="array" ref="BA7">IFERROR(INDEX(各隊total!$R:$AB, MATCH($AF7, 各隊total!$A:$A, 0), COLUMN(A6)), "")</f>
        <v>0</v>
      </c>
      <c r="BB7" s="1" t="str">
        <f t="array" ref="BB7">IFERROR(INDEX(各隊total!$S:$AB, MATCH($AF7, 各隊total!$A:$A, 0), COLUMN(A6)), "")</f>
        <v>111.6</v>
      </c>
      <c r="BC7" s="1" t="str">
        <f t="array" ref="BC7">IFERROR(INDEX(各隊total!$T:$AB, MATCH($AF7, 各隊total!$A:$A, 0), COLUMN(A6)), "")</f>
        <v>4.2</v>
      </c>
      <c r="BD7" s="1" t="str">
        <f t="array" ref="BD7">IFERROR(INDEX(各隊total!$U:$AB, MATCH($AF7, 各隊total!$A:$A, 0), COLUMN(A6)), "")</f>
        <v>.075</v>
      </c>
      <c r="BE7" s="1" t="str">
        <f t="array" ref="BE7">IFERROR(INDEX(各隊total!$V:$AB, MATCH($AF7, 各隊total!$A:$A, 0), COLUMN(A6)), "")</f>
        <v>0.40</v>
      </c>
      <c r="BF7" s="1" t="str">
        <f t="array" ref="BF7">IFERROR(INDEX(各隊total!$W:$AB, MATCH($AF7, 各隊total!$A:$A, 0), COLUMN(A6)), "")</f>
        <v>.132</v>
      </c>
      <c r="BG7" s="1" t="str">
        <f t="array" ref="BG7">IFERROR(INDEX(各隊total!$X:$AB, MATCH($AF7, 各隊total!$A:$A, 0), COLUMN(A6)), "")</f>
        <v>.223</v>
      </c>
      <c r="BH7" s="1" t="str">
        <f t="array" ref="BH7">IFERROR(INDEX(各隊total!$Y:$AB, MATCH($AF7, 各隊total!$A:$A, 0), COLUMN(A6)), "")</f>
        <v>3.73</v>
      </c>
      <c r="BI7" s="1" t="str">
        <f t="array" ref="BI7">IFERROR(INDEX(各隊total!$Z:$AB, MATCH($AF7, 各隊total!$A:$A, 0), COLUMN(A6)), "")</f>
        <v>74</v>
      </c>
      <c r="BJ7" s="1" t="str">
        <f t="array" ref="BJ7">IFERROR(INDEX(各隊total!$AA:$AB, MATCH($AF7, 各隊total!$A:$A, 0), COLUMN(A6)), "")</f>
        <v>1016</v>
      </c>
      <c r="BK7" s="1" t="str">
        <f t="array" ref="BK7">IFERROR(INDEX(各隊total!$AB:$AB, MATCH($AF7, 各隊total!$A:$A, 0), COLUMN(A6)), "")</f>
        <v>40.0</v>
      </c>
      <c r="BL7" s="1" t="str">
        <f t="array" ref="BL7">IFERROR(INDEX(各隊total!$C:$AB, MATCH($AF7, 各隊total!$A:$A, 0), COLUMN(AA6)), "")</f>
        <v/>
      </c>
      <c r="BM7" s="22">
        <v>0.246</v>
      </c>
      <c r="BN7" s="19">
        <v>0.26</v>
      </c>
      <c r="BO7" s="23">
        <v>5</v>
      </c>
      <c r="BP7" s="22">
        <v>0.316</v>
      </c>
      <c r="BQ7" s="19">
        <v>0.33</v>
      </c>
      <c r="BR7" s="23">
        <v>5</v>
      </c>
      <c r="BS7" s="22">
        <v>0.42099999999999999</v>
      </c>
      <c r="BT7" s="19">
        <v>0.44500000000000001</v>
      </c>
      <c r="BU7" s="23">
        <v>5</v>
      </c>
      <c r="BV7" s="22">
        <v>4.5999999999999996</v>
      </c>
      <c r="BW7" s="19">
        <v>4.8</v>
      </c>
      <c r="BX7" s="23">
        <v>5</v>
      </c>
      <c r="BY7" s="22">
        <v>4.4000000000000004</v>
      </c>
      <c r="BZ7" s="19">
        <v>4.5999999999999996</v>
      </c>
      <c r="CA7" s="23">
        <v>5</v>
      </c>
      <c r="CB7" s="28">
        <f>CF7+CJ7+CK7+CM7+CO7+CP7+CQ7+CR7</f>
        <v>4.5</v>
      </c>
      <c r="CC7" s="31">
        <f>CU7+CV7+CY7+CZ7+DA7</f>
        <v>4.3499999999999996</v>
      </c>
      <c r="CD7" s="58"/>
      <c r="CE7" s="1"/>
      <c r="CF7" s="27">
        <f>VLOOKUP(ROUND(CF6/CD6, 2), $BV$2:$BX$12, 3, TRUE)*BX$1</f>
        <v>0.75</v>
      </c>
      <c r="CG7" s="58"/>
      <c r="CH7" s="58"/>
      <c r="CI7" s="58"/>
      <c r="CJ7" s="27">
        <f>VLOOKUP(ROUND(CJ6/CD6, 2), $BM$15:$BO$25, 3, TRUE)*BO$14</f>
        <v>0.5</v>
      </c>
      <c r="CK7" s="27">
        <f>VLOOKUP(ROUND(CK6/CD6, 2), $BY$2:$CA$12, 3, TRUE)*CA$1</f>
        <v>0.5</v>
      </c>
      <c r="CL7" s="58"/>
      <c r="CM7" s="101">
        <f>VLOOKUP(ROUND(CM6/CN6, 2), $BP$15:$BR$25, 3, TRUE)*BR$14</f>
        <v>0.5</v>
      </c>
      <c r="CN7" s="78"/>
      <c r="CO7" s="27">
        <f>VLOOKUP(ROUND(CO6/CD6, 2), $BS$15:$BU$25, 3, TRUE)*BU$14</f>
        <v>0.25</v>
      </c>
      <c r="CP7" s="27">
        <f>VLOOKUP(CP6*1, BM$2:BO$12, 3, TRUE)*BO$1</f>
        <v>0.4</v>
      </c>
      <c r="CQ7" s="27">
        <f>VLOOKUP(CQ6*1, BP$2:BR$12, 3, TRUE)*BR$1</f>
        <v>1</v>
      </c>
      <c r="CR7" s="27">
        <f>VLOOKUP(CR6*1, BS$2:BU$12, 3, TRUE)*BU$1</f>
        <v>0.60000000000000009</v>
      </c>
      <c r="CS7" s="1"/>
      <c r="CT7" s="1"/>
      <c r="CU7" s="60">
        <f>VLOOKUP(CU6*1, BM$28:BO$38, 3, TRUE)*BO$27</f>
        <v>0.8</v>
      </c>
      <c r="CV7" s="60">
        <f>VLOOKUP(CV6*1, BP$28:BR$38, 3, TRUE)*BR$27</f>
        <v>1.4</v>
      </c>
      <c r="CW7" s="1"/>
      <c r="CX7" s="1"/>
      <c r="CY7" s="60">
        <f>VLOOKUP(CY6*1, BS$28:BU$38, 3, TRUE)*BU$27</f>
        <v>0.8</v>
      </c>
      <c r="CZ7" s="60">
        <f>VLOOKUP(CZ6*1, BV$28:BX$38, 3, TRUE)*BX$27</f>
        <v>0.75</v>
      </c>
      <c r="DA7" s="60">
        <f>VLOOKUP(DA6*1, BY$28:CA$38, 3, TRUE)*CA$27</f>
        <v>0.60000000000000009</v>
      </c>
      <c r="DF7" s="33"/>
      <c r="DG7" s="4"/>
      <c r="DH7" s="40" t="e">
        <f>DJ7+DL7+DM7+DN7+DO7-DP7-DQ7+DR7</f>
        <v>#VALUE!</v>
      </c>
      <c r="DI7" s="42" t="e">
        <f>DU7+DX7+EA7+ED7+EE7+EF7</f>
        <v>#VALUE!</v>
      </c>
      <c r="DJ7" s="38" t="e">
        <f>VLOOKUP(DJ6*1, FK$2:FM$12, 3, TRUE)*FM$1</f>
        <v>#VALUE!</v>
      </c>
      <c r="DL7" s="38" t="e">
        <f>VLOOKUP(DL6*1, FN$2:FP$12, 3, TRUE)*FP$1</f>
        <v>#VALUE!</v>
      </c>
      <c r="DM7" s="38" t="e">
        <f>VLOOKUP(DM6*1, FQ$2:FS$12, 3, TRUE)*FS$1</f>
        <v>#VALUE!</v>
      </c>
      <c r="DN7" s="38" t="e">
        <f>VLOOKUP(DN6*1, FT$2:FV$12, 3, TRUE)*FV$1</f>
        <v>#VALUE!</v>
      </c>
      <c r="DO7" s="38" t="e">
        <f>VLOOKUP(DO6*1, FW$2:FY$12, 3, TRUE)*FY$1</f>
        <v>#VALUE!</v>
      </c>
      <c r="DP7" s="39" t="e">
        <f>VLOOKUP(DP6*1, FK$14:FM$25, 3, TRUE)*FM$14</f>
        <v>#VALUE!</v>
      </c>
      <c r="DQ7" s="39" t="e">
        <f>VLOOKUP(DQ6*1, FN$14:FP$25, 3, TRUE)*FP$14</f>
        <v>#VALUE!</v>
      </c>
      <c r="DR7" s="38" t="e">
        <f>VLOOKUP(DR6*1, FQ$14:FS$25, 3, TRUE)*FS$14</f>
        <v>#VALUE!</v>
      </c>
      <c r="DU7" s="41" t="e">
        <f>VLOOKUP(DU6*1, FK$27:FM$38, 3, TRUE)*FM$27</f>
        <v>#VALUE!</v>
      </c>
      <c r="DX7" s="41" t="e">
        <f>VLOOKUP(DX6*1, FN$27:FP$38, 3, TRUE)*FP$27</f>
        <v>#VALUE!</v>
      </c>
      <c r="EA7" s="41" t="e">
        <f>VLOOKUP(EA6*1, FQ$27:FS$38, 3, TRUE)*FS$27</f>
        <v>#VALUE!</v>
      </c>
      <c r="ED7" s="41" t="e">
        <f>VLOOKUP(ED6*1, FT$27:FV$38, 3, TRUE)*FV$27</f>
        <v>#VALUE!</v>
      </c>
      <c r="EE7" s="41" t="e">
        <f>VLOOKUP(EE6*1, FW$27:FY$38, 3, TRUE)*FY$27</f>
        <v>#VALUE!</v>
      </c>
      <c r="EF7" s="41" t="e">
        <f>VLOOKUP(EF6*1, FK$40:FM$51, 3, TRUE)*FM$40</f>
        <v>#VALUE!</v>
      </c>
      <c r="EG7" s="57"/>
      <c r="EI7" s="33"/>
      <c r="EJ7" s="4"/>
      <c r="EK7" s="40" t="e">
        <f>EM7+EO7+EP7+EQ7+ER7-ES7-ET7+EU7</f>
        <v>#VALUE!</v>
      </c>
      <c r="EL7" s="42" t="e">
        <f>EX7+FA7+FD7+FG7+FH7+FI7</f>
        <v>#VALUE!</v>
      </c>
      <c r="EM7" s="38" t="e">
        <f>VLOOKUP(EM6*1, $FK$2:$FM$12, 3, TRUE)*$FM$1</f>
        <v>#VALUE!</v>
      </c>
      <c r="EO7" s="38" t="e">
        <f>VLOOKUP(EO6*1, $FN$2:$FP$12, 3, TRUE)*$FP$1</f>
        <v>#VALUE!</v>
      </c>
      <c r="EP7" s="38" t="e">
        <f>VLOOKUP(EP6*1, $FQ$2:$FS$12, 3, TRUE)*$FS$1</f>
        <v>#VALUE!</v>
      </c>
      <c r="EQ7" s="38" t="e">
        <f>VLOOKUP(EQ6*1, $FT$2:$FV$12, 3, TRUE)*$FV$1</f>
        <v>#VALUE!</v>
      </c>
      <c r="ER7" s="38" t="e">
        <f>VLOOKUP(ER6*1, $FW$2:$FY$12, 3, TRUE)*$FY$1</f>
        <v>#VALUE!</v>
      </c>
      <c r="ES7" s="39" t="e">
        <f>VLOOKUP(ES6*1, $FK$14:$FM$25, 3, TRUE)*$FM$14</f>
        <v>#VALUE!</v>
      </c>
      <c r="ET7" s="39" t="e">
        <f>VLOOKUP(ET6*1, $FN$14:$FP$25, 3, TRUE)*$FP$14</f>
        <v>#VALUE!</v>
      </c>
      <c r="EU7" s="38" t="e">
        <f>VLOOKUP(EU6*1, $FQ$14:$FS$25, 3, TRUE)*$FS$14</f>
        <v>#VALUE!</v>
      </c>
      <c r="EX7" s="41" t="e">
        <f>VLOOKUP(EX6*1, $FK$27:$FM$38, 3, TRUE)*$FM$27</f>
        <v>#VALUE!</v>
      </c>
      <c r="FA7" s="41" t="e">
        <f>VLOOKUP(FA6*1, $FN$27:$FP$38, 3, TRUE)*$FP$27</f>
        <v>#VALUE!</v>
      </c>
      <c r="FD7" s="41" t="e">
        <f>VLOOKUP(FD6*1, $FQ$27:$FS$38, 3, TRUE)*$FS$27</f>
        <v>#VALUE!</v>
      </c>
      <c r="FG7" s="41" t="e">
        <f>VLOOKUP(FG6*1, $FT$27:$FV$38, 3, TRUE)*$FV$27</f>
        <v>#VALUE!</v>
      </c>
      <c r="FH7" s="41" t="e">
        <f>VLOOKUP(FH6*1, $FW$27:$FY$38, 3, TRUE)*$FY$27</f>
        <v>#VALUE!</v>
      </c>
      <c r="FI7" s="41" t="e">
        <f>VLOOKUP(FI6*1, $FK$40:$FM$51, 3, TRUE)*$FM$40</f>
        <v>#VALUE!</v>
      </c>
      <c r="FK7" s="22">
        <v>12.1</v>
      </c>
      <c r="FL7" s="19">
        <v>14.5</v>
      </c>
      <c r="FM7" s="23">
        <v>5</v>
      </c>
      <c r="FN7" s="22">
        <v>5.6</v>
      </c>
      <c r="FO7" s="19">
        <v>6.5</v>
      </c>
      <c r="FP7" s="23">
        <v>5</v>
      </c>
      <c r="FQ7" s="22">
        <v>5.0999999999999996</v>
      </c>
      <c r="FR7" s="19">
        <v>6</v>
      </c>
      <c r="FS7" s="23">
        <v>5</v>
      </c>
      <c r="FT7" s="22">
        <v>1.1100000000000001</v>
      </c>
      <c r="FU7" s="19">
        <v>1.3</v>
      </c>
      <c r="FV7" s="23">
        <v>5</v>
      </c>
      <c r="FW7" s="22">
        <v>1.01</v>
      </c>
      <c r="FX7" s="19">
        <v>1.2</v>
      </c>
      <c r="FY7" s="23">
        <v>5</v>
      </c>
    </row>
    <row r="8" spans="1:181">
      <c r="A8" s="4">
        <v>6</v>
      </c>
      <c r="B8" s="1" t="str">
        <v>20260428</v>
      </c>
      <c r="C8" s="1" t="str">
        <v>08:05</v>
      </c>
      <c r="D8" s="1">
        <v>0</v>
      </c>
      <c r="E8" s="1" t="str">
        <v>洋基</v>
      </c>
      <c r="F8" s="1" t="str">
        <v>2分贏</v>
      </c>
      <c r="G8" s="16">
        <v>0.8</v>
      </c>
      <c r="H8" s="1">
        <v>0</v>
      </c>
      <c r="I8" s="1" t="str">
        <v>遊騎兵</v>
      </c>
      <c r="J8" s="1">
        <v>0</v>
      </c>
      <c r="K8" s="16">
        <v>0.2</v>
      </c>
      <c r="L8" s="1" t="str">
        <f t="array" ref="L8">IFERROR(SUBSTITUTE(INDEX(正負盤!$6:$20, ROW(A5), MATCH(1, (MONTH(正負盤!$4:$4)=MONTH(DATE(LEFT($A$1,4),MID($A$1,5,2),RIGHT($A$1,2))-10))*(DAY(正負盤!$4:$4)=DAY(DATE(LEFT($A$1,4),MID($A$1,5,2),RIGHT($A$1,2))-10)), 0)), 0, "-"), "")</f>
        <v>X</v>
      </c>
      <c r="M8" s="1" t="str">
        <f t="array" ref="M8">IFERROR(SUBSTITUTE(INDEX(正負盤!$6:$20, ROW(A5), MATCH(1, (MONTH(正負盤!$4:$4)=MONTH(DATE(LEFT($A$1,4),MID($A$1,5,2),RIGHT($A$1,2))-9))*(DAY(正負盤!$4:$4)=DAY(DATE(LEFT($A$1,4),MID($A$1,5,2),RIGHT($A$1,2))-9)), 0)), 0, "-"), "")</f>
        <v>O</v>
      </c>
      <c r="N8" s="1" t="str">
        <f t="array" ref="N8">IFERROR(SUBSTITUTE(INDEX(正負盤!$6:$20, ROW(A5), MATCH(1, (MONTH(正負盤!$4:$4)=MONTH(DATE(LEFT($A$1,4),MID($A$1,5,2),RIGHT($A$1,2))-8))*(DAY(正負盤!$4:$4)=DAY(DATE(LEFT($A$1,4),MID($A$1,5,2),RIGHT($A$1,2))-8)), 0)), 0, "-"), "")</f>
        <v>X</v>
      </c>
      <c r="O8" s="1" t="str">
        <f t="array" ref="O8">IFERROR(SUBSTITUTE(INDEX(正負盤!$6:$20, ROW(A5), MATCH(1, (MONTH(正負盤!$4:$4)=MONTH(DATE(LEFT($A$1,4),MID($A$1,5,2),RIGHT($A$1,2))-7))*(DAY(正負盤!$4:$4)=DAY(DATE(LEFT($A$1,4),MID($A$1,5,2),RIGHT($A$1,2))-7)), 0)), 0, "-"), "")</f>
        <v>X</v>
      </c>
      <c r="P8" s="1" t="str">
        <f t="array" ref="P8">IFERROR(SUBSTITUTE(INDEX(正負盤!$6:$20, ROW(A5), MATCH(1, (MONTH(正負盤!$4:$4)=MONTH(DATE(LEFT($A$1,4),MID($A$1,5,2),RIGHT($A$1,2))-6))*(DAY(正負盤!$4:$4)=DAY(DATE(LEFT($A$1,4),MID($A$1,5,2),RIGHT($A$1,2))-6)), 0)), 0, "-"), "")</f>
        <v>X</v>
      </c>
      <c r="Q8" s="1" t="str">
        <f t="array" ref="Q8">IFERROR(SUBSTITUTE(INDEX(正負盤!$6:$20, ROW(A5), MATCH(1, (MONTH(正負盤!$4:$4)=MONTH(DATE(LEFT($A$1,4),MID($A$1,5,2),RIGHT($A$1,2))-5))*(DAY(正負盤!$4:$4)=DAY(DATE(LEFT($A$1,4),MID($A$1,5,2),RIGHT($A$1,2))-5)), 0)), 0, "-"), "")</f>
        <v/>
      </c>
      <c r="R8" s="1" t="str">
        <f t="array" ref="R8">IFERROR(SUBSTITUTE(INDEX(正負盤!$6:$20, ROW(A5), MATCH(1, (MONTH(正負盤!$4:$4)=MONTH(DATE(LEFT($A$1,4),MID($A$1,5,2),RIGHT($A$1,2))-4))*(DAY(正負盤!$4:$4)=DAY(DATE(LEFT($A$1,4),MID($A$1,5,2),RIGHT($A$1,2))-4)), 0)), 0, "-"), "")</f>
        <v>X</v>
      </c>
      <c r="S8" s="1" t="str">
        <f t="array" ref="S8">IFERROR(SUBSTITUTE(INDEX(正負盤!$6:$20, ROW(A5), MATCH(1, (MONTH(正負盤!$4:$4)=MONTH(DATE(LEFT($A$1,4),MID($A$1,5,2),RIGHT($A$1,2))-3))*(DAY(正負盤!$4:$4)=DAY(DATE(LEFT($A$1,4),MID($A$1,5,2),RIGHT($A$1,2))-3)), 0)), 0, "-"), "")</f>
        <v>O</v>
      </c>
      <c r="T8" s="1" t="str">
        <f t="array" ref="T8">IFERROR(SUBSTITUTE(INDEX(正負盤!$6:$20, ROW(A5), MATCH(1, (MONTH(正負盤!$4:$4)=MONTH(DATE(LEFT($A$1,4),MID($A$1,5,2),RIGHT($A$1,2))-2))*(DAY(正負盤!$4:$4)=DAY(DATE(LEFT($A$1,4),MID($A$1,5,2),RIGHT($A$1,2))-2)), 0)), 0, "-"), "")</f>
        <v/>
      </c>
      <c r="U8" s="1" t="str">
        <f t="array" ref="U8">IFERROR(SUBSTITUTE(INDEX(正負盤!$6:$20, ROW(A5), MATCH(1, (MONTH(正負盤!$4:$4)=MONTH(DATE(LEFT($A$1,4),MID($A$1,5,2),RIGHT($A$1,2))-1))*(DAY(正負盤!$4:$4)=DAY(DATE(LEFT($A$1,4),MID($A$1,5,2),RIGHT($A$1,2))-1)), 0)), 0, "-"), "")</f>
        <v>X</v>
      </c>
      <c r="V8" s="82" t="str">
        <f>C6</f>
        <v>07:40</v>
      </c>
      <c r="W8" t="str">
        <f>E6</f>
        <v>水手</v>
      </c>
      <c r="X8" s="17" t="str">
        <f t="array" aca="1" ref="X8" ca="1">_xlfn.LET(_xlpm.s,SUBSTITUTE(Y8,".",""),_xlpm.c,RIGHT(_xlpm.s,1),_xlpm.n,ROW(INDIRECT("1:"&amp;LEN(_xlpm.s))),_xlpm.cnt,MAX(IF(RIGHT(_xlpm.s,_xlpm.n)=REPT(_xlpm.c,_xlpm.n),_xlpm.n,0)),IF(_xlpm.cnt&gt;=2,_xlpm.cnt&amp;"連"&amp;_xlpm.c,"1"&amp;_xlpm.c))</f>
        <v>3連O</v>
      </c>
      <c r="Y8" s="82" t="str">
        <f t="array" ref="Y8">INDEX(各隊正負!$F:$F, MATCH("*"&amp;$W8&amp;"*", 各隊正負!$A:$A, 0)+6)</f>
        <v>X.X.X.O.O.X.X.O.O.O</v>
      </c>
      <c r="Z8" s="100"/>
      <c r="AA8" s="100"/>
      <c r="AB8" s="82" t="str">
        <f t="array" ref="AB8">INDEX(各隊正負!$F:$F, MATCH("*"&amp;$W8&amp;"*", 各隊正負!$A:$A, 0)+4)</f>
        <v>L.L.L.W.W.L.L.W.W.W</v>
      </c>
      <c r="AC8" s="78"/>
      <c r="AD8" s="78"/>
      <c r="AE8" s="1" t="str">
        <f t="array" aca="1" ref="AE8" ca="1">_xlfn.LET(_xlpm.s,SUBSTITUTE(AB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3連勝</v>
      </c>
      <c r="AF8" s="19" t="str">
        <f>E6</f>
        <v>水手</v>
      </c>
      <c r="AG8" s="1" t="str">
        <f t="array" ref="AG8">IFERROR(INDEX(各隊total!$B:$AB, MATCH($AF8, 各隊total!$A:$A, 0), COLUMN(A7)), "")</f>
        <v>29</v>
      </c>
      <c r="AH8" s="32">
        <f>CB15</f>
        <v>3.9</v>
      </c>
      <c r="AI8" s="61" t="str">
        <f t="shared" si="0"/>
        <v>B-</v>
      </c>
      <c r="AJ8" s="6">
        <f>CC15</f>
        <v>5.05</v>
      </c>
      <c r="AK8" s="60" t="str">
        <f t="shared" si="1"/>
        <v>A-</v>
      </c>
      <c r="AL8" s="1" t="str">
        <f t="array" ref="AL8">IFERROR(INDEX(各隊total!$C:$AB, MATCH($AF8, 各隊total!$A:$A, 0), COLUMN(A7)), "")</f>
        <v>960</v>
      </c>
      <c r="AM8" s="1" t="str">
        <f t="array" ref="AM8">IFERROR(INDEX(各隊total!$D:$AB, MATCH($AF8, 各隊total!$A:$A, 0), COLUMN(A7)), "")</f>
        <v>118</v>
      </c>
      <c r="AN8" s="1" t="str">
        <f t="array" ref="AN8">IFERROR(INDEX(各隊total!$E:$AB, MATCH($AF8, 各隊total!$A:$A, 0), COLUMN(A7)), "")</f>
        <v>224</v>
      </c>
      <c r="AO8" s="1" t="str">
        <f t="array" ref="AO8">IFERROR(INDEX(各隊total!$F:$AB, MATCH($AF8, 各隊total!$A:$A, 0), COLUMN(A7)), "")</f>
        <v>40</v>
      </c>
      <c r="AP8" s="1" t="str">
        <f t="array" ref="AP8">IFERROR(INDEX(各隊total!$G:$AB, MATCH($AF8, 各隊total!$A:$A, 0), COLUMN(A7)), "")</f>
        <v>3</v>
      </c>
      <c r="AQ8" s="1" t="str">
        <f t="array" ref="AQ8">IFERROR(INDEX(各隊total!$H:$AB, MATCH($AF8, 各隊total!$A:$A, 0), COLUMN(A7)), "")</f>
        <v>31</v>
      </c>
      <c r="AR8" s="1" t="str">
        <f t="array" ref="AR8">IFERROR(INDEX(各隊total!$I:$AB, MATCH($AF8, 各隊total!$A:$A, 0), COLUMN(A7)), "")</f>
        <v>115</v>
      </c>
      <c r="AS8" s="1" t="str">
        <f t="array" ref="AS8">IFERROR(INDEX(各隊total!$J:$AB, MATCH($AF8, 各隊total!$A:$A, 0), COLUMN(A7)), "")</f>
        <v>363</v>
      </c>
      <c r="AT8" s="1" t="str">
        <f t="array" ref="AT8">IFERROR(INDEX(各隊total!$K:$AB, MATCH($AF8, 各隊total!$A:$A, 0), COLUMN(A7)), "")</f>
        <v>113</v>
      </c>
      <c r="AU8" s="1" t="str">
        <f t="array" ref="AU8">IFERROR(INDEX(各隊total!$L:$AB, MATCH($AF8, 各隊total!$A:$A, 0), COLUMN(A7)), "")</f>
        <v>264</v>
      </c>
      <c r="AV8" s="1" t="str">
        <f t="array" ref="AV8">IFERROR(INDEX(各隊total!$M:$AB, MATCH($AF8, 各隊total!$A:$A, 0), COLUMN(A7)), "")</f>
        <v>21</v>
      </c>
      <c r="AW8" s="1" t="str">
        <f t="array" ref="AW8">IFERROR(INDEX(各隊total!$N:$AB, MATCH($AF8, 各隊total!$A:$A, 0), COLUMN(A7)), "")</f>
        <v>.233</v>
      </c>
      <c r="AX8" s="1" t="str">
        <f t="array" ref="AX8">IFERROR(INDEX(各隊total!$O:$AB, MATCH($AF8, 各隊total!$A:$A, 0), COLUMN(A7)), "")</f>
        <v>.324</v>
      </c>
      <c r="AY8" s="1" t="str">
        <f t="array" ref="AY8">IFERROR(INDEX(各隊total!$P:$AB, MATCH($AF8, 各隊total!$A:$A, 0), COLUMN(A7)), "")</f>
        <v>.378</v>
      </c>
      <c r="AZ8" s="1" t="str">
        <f t="array" ref="AZ8">IFERROR(INDEX(各隊total!$Q:$AB, MATCH($AF8, 各隊total!$A:$A, 0), COLUMN(A7)), "")</f>
        <v>.702</v>
      </c>
      <c r="BA8" s="1">
        <f t="array" ref="BA8">IFERROR(INDEX(各隊total!$R:$AB, MATCH($AF8, 各隊total!$A:$A, 0), COLUMN(A7)), "")</f>
        <v>0</v>
      </c>
      <c r="BB8" s="1" t="str">
        <f t="array" ref="BB8">IFERROR(INDEX(各隊total!$S:$AB, MATCH($AF8, 各隊total!$A:$A, 0), COLUMN(A7)), "")</f>
        <v>123.7</v>
      </c>
      <c r="BC8" s="1" t="str">
        <f t="array" ref="BC8">IFERROR(INDEX(各隊total!$T:$AB, MATCH($AF8, 各隊total!$A:$A, 0), COLUMN(A7)), "")</f>
        <v>4.4</v>
      </c>
      <c r="BD8" s="1" t="str">
        <f t="array" ref="BD8">IFERROR(INDEX(各隊total!$U:$AB, MATCH($AF8, 各隊total!$A:$A, 0), COLUMN(A7)), "")</f>
        <v>.103</v>
      </c>
      <c r="BE8" s="1" t="str">
        <f t="array" ref="BE8">IFERROR(INDEX(各隊total!$V:$AB, MATCH($AF8, 各隊total!$A:$A, 0), COLUMN(A7)), "")</f>
        <v>0.43</v>
      </c>
      <c r="BF8" s="1" t="str">
        <f t="array" ref="BF8">IFERROR(INDEX(各隊total!$W:$AB, MATCH($AF8, 各隊total!$A:$A, 0), COLUMN(A7)), "")</f>
        <v>.145</v>
      </c>
      <c r="BG8" s="1" t="str">
        <f t="array" ref="BG8">IFERROR(INDEX(各隊total!$X:$AB, MATCH($AF8, 各隊total!$A:$A, 0), COLUMN(A7)), "")</f>
        <v>.276</v>
      </c>
      <c r="BH8" s="1" t="str">
        <f t="array" ref="BH8">IFERROR(INDEX(各隊total!$Y:$AB, MATCH($AF8, 各隊total!$A:$A, 0), COLUMN(A7)), "")</f>
        <v>4.01</v>
      </c>
      <c r="BI8" s="1" t="str">
        <f t="array" ref="BI8">IFERROR(INDEX(各隊total!$Z:$AB, MATCH($AF8, 各隊total!$A:$A, 0), COLUMN(A7)), "")</f>
        <v>74</v>
      </c>
      <c r="BJ8" s="1" t="str">
        <f t="array" ref="BJ8">IFERROR(INDEX(各隊total!$AA:$AB, MATCH($AF8, 各隊total!$A:$A, 0), COLUMN(A7)), "")</f>
        <v>1101</v>
      </c>
      <c r="BK8" s="1" t="str">
        <f t="array" ref="BK8">IFERROR(INDEX(各隊total!$AB:$AB, MATCH($AF8, 各隊total!$A:$A, 0), COLUMN(A7)), "")</f>
        <v>31.0</v>
      </c>
      <c r="BL8" s="1" t="str">
        <f t="array" ref="BL8">IFERROR(INDEX(各隊total!$C:$AB, MATCH($AF8, 各隊total!$A:$A, 0), COLUMN(AA7)), "")</f>
        <v/>
      </c>
      <c r="BM8" s="22">
        <v>0.26100000000000001</v>
      </c>
      <c r="BN8" s="19">
        <v>0.27500000000000002</v>
      </c>
      <c r="BO8" s="23">
        <v>6</v>
      </c>
      <c r="BP8" s="22">
        <v>0.33100000000000002</v>
      </c>
      <c r="BQ8" s="19">
        <v>0.34499999999999997</v>
      </c>
      <c r="BR8" s="23">
        <v>6</v>
      </c>
      <c r="BS8" s="22">
        <v>0.44600000000000001</v>
      </c>
      <c r="BT8" s="19">
        <v>0.47499999999999998</v>
      </c>
      <c r="BU8" s="23">
        <v>6</v>
      </c>
      <c r="BV8" s="22">
        <v>4.9000000000000004</v>
      </c>
      <c r="BW8" s="19">
        <v>5.2</v>
      </c>
      <c r="BX8" s="23">
        <v>6</v>
      </c>
      <c r="BY8" s="22">
        <v>4.7</v>
      </c>
      <c r="BZ8" s="19">
        <v>5</v>
      </c>
      <c r="CA8" s="23">
        <v>6</v>
      </c>
      <c r="CB8" s="19" t="str">
        <f>AF5</f>
        <v>海盜</v>
      </c>
      <c r="CC8" s="29"/>
      <c r="CD8" s="1" t="str">
        <f>AG5</f>
        <v>28</v>
      </c>
      <c r="CE8" s="1" t="str">
        <f t="shared" ref="CE8:DD8" si="5">AL5</f>
        <v>971</v>
      </c>
      <c r="CF8" s="1" t="str">
        <f t="shared" si="5"/>
        <v>135</v>
      </c>
      <c r="CG8" s="1" t="str">
        <f t="shared" si="5"/>
        <v>234</v>
      </c>
      <c r="CH8" s="1" t="str">
        <f t="shared" si="5"/>
        <v>36</v>
      </c>
      <c r="CI8" s="1" t="str">
        <f t="shared" si="5"/>
        <v>2</v>
      </c>
      <c r="CJ8" s="1" t="str">
        <f t="shared" si="5"/>
        <v>29</v>
      </c>
      <c r="CK8" s="1" t="str">
        <f t="shared" si="5"/>
        <v>130</v>
      </c>
      <c r="CL8" s="1" t="str">
        <f t="shared" si="5"/>
        <v>361</v>
      </c>
      <c r="CM8" s="1" t="str">
        <f t="shared" si="5"/>
        <v>108</v>
      </c>
      <c r="CN8" s="1" t="str">
        <f t="shared" si="5"/>
        <v>271</v>
      </c>
      <c r="CO8" s="1" t="str">
        <f t="shared" si="5"/>
        <v>26</v>
      </c>
      <c r="CP8" s="1" t="str">
        <f t="shared" si="5"/>
        <v>.241</v>
      </c>
      <c r="CQ8" s="1" t="str">
        <f t="shared" si="5"/>
        <v>.325</v>
      </c>
      <c r="CR8" s="1" t="str">
        <f t="shared" si="5"/>
        <v>.372</v>
      </c>
      <c r="CS8" s="1" t="str">
        <f t="shared" si="5"/>
        <v>.697</v>
      </c>
      <c r="CT8" s="1">
        <f t="shared" si="5"/>
        <v>0</v>
      </c>
      <c r="CU8" s="1" t="str">
        <f t="shared" si="5"/>
        <v>121.5</v>
      </c>
      <c r="CV8" s="1" t="str">
        <f t="shared" si="5"/>
        <v>4.2</v>
      </c>
      <c r="CW8" s="1" t="str">
        <f t="shared" si="5"/>
        <v>.098</v>
      </c>
      <c r="CX8" s="1" t="str">
        <f t="shared" si="5"/>
        <v>0.40</v>
      </c>
      <c r="CY8" s="1" t="str">
        <f t="shared" si="5"/>
        <v>.131</v>
      </c>
      <c r="CZ8" s="1" t="str">
        <f t="shared" si="5"/>
        <v>.266</v>
      </c>
      <c r="DA8" s="1" t="str">
        <f t="shared" si="5"/>
        <v>3.96</v>
      </c>
      <c r="DB8" s="1" t="str">
        <f t="shared" si="5"/>
        <v>67</v>
      </c>
      <c r="DC8" s="1" t="str">
        <f t="shared" si="5"/>
        <v>1106</v>
      </c>
      <c r="DD8" s="1" t="str">
        <f t="shared" si="5"/>
        <v>33.5</v>
      </c>
      <c r="DF8" s="35" t="str">
        <f>先發名單!J$2</f>
        <v>Ryan Vilade</v>
      </c>
      <c r="DG8" s="4" t="str">
        <f t="array" ref="DG8">IFERROR(INDEX(球員狀態!$C$2:$C$5000, MATCH(1, (球員狀態!$A$2:$A$5000=$DF$1)*(ISNUMBER(SEARCH($DF8, 球員狀態!$B$2:$B$5000))), 0)), "")</f>
        <v>RF</v>
      </c>
      <c r="DJ8" s="4" t="str">
        <f t="array" ref="DJ8">IFERROR(INDEX(球員狀態!$F$2:$F$5000, MATCH(1, (球員狀態!$A$2:$A$5000=$DF$1)*(ISNUMBER(SEARCH($DF8, 球員狀態!$B$2:$B$5000))), 0)), "")</f>
        <v>4</v>
      </c>
      <c r="DK8" s="4" t="str">
        <f t="array" ref="DK8">IFERROR(INDEX(球員狀態!$G$2:$G$5000, MATCH(1, (球員狀態!$A$2:$A$5000=$DF$1)*(ISNUMBER(SEARCH($DF8, 球員狀態!$B$2:$B$5000))), 0)), "")</f>
        <v>8</v>
      </c>
      <c r="DL8" s="4" t="str">
        <f t="array" ref="DL8">IFERROR(INDEX(球員狀態!H$2:H$5000, MATCH(1, (球員狀態!$A$2:$A$5000=$DF$1)*(ISNUMBER(SEARCH($DF8, 球員狀態!$B$2:$B$5000))), 0)), "")</f>
        <v>2</v>
      </c>
      <c r="DM8" s="4" t="str">
        <f t="array" ref="DM8">IFERROR(INDEX(球員狀態!I$2:I$5000, MATCH(1, (球員狀態!$A$2:$A$5000=$DF$1)*(ISNUMBER(SEARCH($DF8, 球員狀態!$B$2:$B$5000))), 0)), "")</f>
        <v>0</v>
      </c>
      <c r="DN8" s="4" t="str">
        <f t="array" ref="DN8">IFERROR(INDEX(球員狀態!J$2:J$5000, MATCH(1, (球員狀態!$A$2:$A$5000=$DF$1)*(ISNUMBER(SEARCH($DF8, 球員狀態!$B$2:$B$5000))), 0)), "")</f>
        <v>0</v>
      </c>
      <c r="DO8" s="4" t="str">
        <f t="array" ref="DO8">IFERROR(INDEX(球員狀態!K$2:K$5000, MATCH(1, (球員狀態!$A$2:$A$5000=$DF$1)*(ISNUMBER(SEARCH($DF8, 球員狀態!$B$2:$B$5000))), 0)), "")</f>
        <v>3</v>
      </c>
      <c r="DP8" s="4" t="str">
        <f t="array" ref="DP8">IFERROR(INDEX(球員狀態!L$2:L$5000, MATCH(1, (球員狀態!$A$2:$A$5000=$DF$1)*(ISNUMBER(SEARCH($DF8, 球員狀態!$B$2:$B$5000))), 0)), "")</f>
        <v>10</v>
      </c>
      <c r="DQ8" s="4" t="str">
        <f t="array" ref="DQ8">IFERROR(INDEX(球員狀態!M$2:M$5000, MATCH(1, (球員狀態!$A$2:$A$5000=$DF$1)*(ISNUMBER(SEARCH($DF8, 球員狀態!$B$2:$B$5000))), 0)), "")</f>
        <v>3</v>
      </c>
      <c r="DR8" s="4" t="str">
        <f t="array" ref="DR8">IFERROR(INDEX(球員狀態!N$2:N$5000, MATCH(1, (球員狀態!$A$2:$A$5000=$DF$1)*(ISNUMBER(SEARCH($DF8, 球員狀態!$B$2:$B$5000))), 0)), "")</f>
        <v>6</v>
      </c>
      <c r="DS8" s="4" t="str">
        <f t="array" ref="DS8">IFERROR(INDEX(球員狀態!O$2:O$5000, MATCH(1, (球員狀態!$A$2:$A$5000=$DF$1)*(ISNUMBER(SEARCH($DF8, 球員狀態!$B$2:$B$5000))), 0)), "")</f>
        <v>1</v>
      </c>
      <c r="DT8" s="4" t="str">
        <f t="array" ref="DT8">IFERROR(INDEX(球員狀態!P$2:P$5000, MATCH(1, (球員狀態!$A$2:$A$5000=$DF$1)*(ISNUMBER(SEARCH($DF8, 球員狀態!$B$2:$B$5000))), 0)), "")</f>
        <v>.286</v>
      </c>
      <c r="DU8" s="4" t="str">
        <f t="array" ref="DU8">IFERROR(INDEX(球員狀態!Q$2:Q$5000, MATCH(1, (球員狀態!$A$2:$A$5000=$DF$1)*(ISNUMBER(SEARCH($DF8, 球員狀態!$B$2:$B$5000))), 0)), "")</f>
        <v>.355</v>
      </c>
      <c r="DV8" s="4" t="str">
        <f t="array" ref="DV8">IFERROR(INDEX(球員狀態!R$2:R$5000, MATCH(1, (球員狀態!$A$2:$A$5000=$DF$1)*(ISNUMBER(SEARCH($DF8, 球員狀態!$B$2:$B$5000))), 0)), "")</f>
        <v>.357</v>
      </c>
      <c r="DW8" s="4" t="str">
        <f t="array" ref="DW8">IFERROR(INDEX(球員狀態!S$2:S$5000, MATCH(1, (球員狀態!$A$2:$A$5000=$DF$1)*(ISNUMBER(SEARCH($DF8, 球員狀態!$B$2:$B$5000))), 0)), "")</f>
        <v>.712</v>
      </c>
      <c r="DX8" s="4" t="str">
        <f t="array" ref="DX8">IFERROR(INDEX(球員狀態!T$2:T$5000, MATCH(1, (球員狀態!$A$2:$A$5000=$DF$1)*(ISNUMBER(SEARCH($DF8, 球員狀態!$B$2:$B$5000))), 0)), "")</f>
        <v>0.2</v>
      </c>
      <c r="DY8" s="4" t="str">
        <f t="array" ref="DY8">IFERROR(INDEX(球員狀態!U$2:U$5000, MATCH(1, (球員狀態!$A$2:$A$5000=$DF$1)*(ISNUMBER(SEARCH($DF8, 球員狀態!$B$2:$B$5000))), 0)), "")</f>
        <v>4.0</v>
      </c>
      <c r="DZ8" s="4" t="str">
        <f t="array" ref="DZ8">IFERROR(INDEX(球員狀態!V$2:V$5000, MATCH(1, (球員狀態!$A$2:$A$5000=$DF$1)*(ISNUMBER(SEARCH($DF8, 球員狀態!$B$2:$B$5000))), 0)), "")</f>
        <v>5.4</v>
      </c>
      <c r="EA8" s="4" t="str">
        <f t="array" ref="EA8">IFERROR(INDEX(球員狀態!W$2:W$5000, MATCH(1, (球員狀態!$A$2:$A$5000=$DF$1)*(ISNUMBER(SEARCH($DF8, 球員狀態!$B$2:$B$5000))), 0)), "")</f>
        <v>.097</v>
      </c>
      <c r="EB8" s="4" t="str">
        <f t="array" ref="EB8">IFERROR(INDEX(球員狀態!X$2:X$5000, MATCH(1, (球員狀態!$A$2:$A$5000=$DF$1)*(ISNUMBER(SEARCH($DF8, 球員狀態!$B$2:$B$5000))), 0)), "")</f>
        <v>0.50</v>
      </c>
      <c r="EC8" s="4" t="str">
        <f t="array" ref="EC8">IFERROR(INDEX(球員狀態!Y$2:Y$5000, MATCH(1, (球員狀態!$A$2:$A$5000=$DF$1)*(ISNUMBER(SEARCH($DF8, 球員狀態!$B$2:$B$5000))), 0)), "")</f>
        <v>.071</v>
      </c>
      <c r="ED8" s="4" t="str">
        <f t="array" ref="ED8">IFERROR(INDEX(球員狀態!Z$2:Z$5000, MATCH(1, (球員狀態!$A$2:$A$5000=$DF$1)*(ISNUMBER(SEARCH($DF8, 球員狀態!$B$2:$B$5000))), 0)), "")</f>
        <v>.214</v>
      </c>
      <c r="EE8" s="4" t="str">
        <f t="array" ref="EE8">IFERROR(INDEX(球員狀態!AA$2:AA$5000, MATCH(1, (球員狀態!$A$2:$A$5000=$DF$1)*(ISNUMBER(SEARCH($DF8, 球員狀態!$B$2:$B$5000))), 0)), "")</f>
        <v>4.45</v>
      </c>
      <c r="EF8" s="4" t="str">
        <f t="array" ref="EF8">IFERROR(INDEX(球員狀態!AB$2:AB$5000, MATCH(1, (球員狀態!$A$2:$A$5000=$DF$1)*(ISNUMBER(SEARCH($DF8, 球員狀態!$B$2:$B$5000))), 0)), "")</f>
        <v>2</v>
      </c>
      <c r="EG8" s="56"/>
      <c r="EI8" s="35" t="str">
        <f>先發名單!R$2</f>
        <v>Jose Ramirez</v>
      </c>
      <c r="EJ8" s="4" t="str">
        <f t="array" ref="EJ8">IFERROR(INDEX(球員狀態!$C$2:$C$5000, MATCH(1, (球員狀態!$A$2:$A$5000=$EI$1)*(ISNUMBER(SEARCH($EI8, 球員狀態!$B$2:$B$5000))), 0)), "")</f>
        <v>3B</v>
      </c>
      <c r="EM8" s="4" t="str">
        <f t="array" ref="EM8">IFERROR(INDEX(球員狀態!F$2:F$5000, MATCH(1, (球員狀態!$A$2:$A$5000=$EI$1)*(ISNUMBER(SEARCH($EI8, 球員狀態!$B$2:$B$5000))), 0)), "")</f>
        <v>19</v>
      </c>
      <c r="EN8" s="4" t="str">
        <f t="array" ref="EN8">IFERROR(INDEX(球員狀態!G$2:G$5000, MATCH(1, (球員狀態!$A$2:$A$5000=$EI$1)*(ISNUMBER(SEARCH($EI8, 球員狀態!$B$2:$B$5000))), 0)), "")</f>
        <v>24</v>
      </c>
      <c r="EO8" s="4" t="str">
        <f t="array" ref="EO8">IFERROR(INDEX(球員狀態!H$2:H$5000, MATCH(1, (球員狀態!$A$2:$A$5000=$EI$1)*(ISNUMBER(SEARCH($EI8, 球員狀態!$B$2:$B$5000))), 0)), "")</f>
        <v>6</v>
      </c>
      <c r="EP8" s="4" t="str">
        <f t="array" ref="EP8">IFERROR(INDEX(球員狀態!I$2:I$5000, MATCH(1, (球員狀態!$A$2:$A$5000=$EI$1)*(ISNUMBER(SEARCH($EI8, 球員狀態!$B$2:$B$5000))), 0)), "")</f>
        <v>0</v>
      </c>
      <c r="EQ8" s="4" t="str">
        <f t="array" ref="EQ8">IFERROR(INDEX(球員狀態!J$2:J$5000, MATCH(1, (球員狀態!$A$2:$A$5000=$EI$1)*(ISNUMBER(SEARCH($EI8, 球員狀態!$B$2:$B$5000))), 0)), "")</f>
        <v>6</v>
      </c>
      <c r="ER8" s="4" t="str">
        <f t="array" ref="ER8">IFERROR(INDEX(球員狀態!K$2:K$5000, MATCH(1, (球員狀態!$A$2:$A$5000=$EI$1)*(ISNUMBER(SEARCH($EI8, 球員狀態!$B$2:$B$5000))), 0)), "")</f>
        <v>12</v>
      </c>
      <c r="ES8" s="4" t="str">
        <f t="array" ref="ES8">IFERROR(INDEX(球員狀態!L$2:L$5000, MATCH(1, (球員狀態!$A$2:$A$5000=$EI$1)*(ISNUMBER(SEARCH($EI8, 球員狀態!$B$2:$B$5000))), 0)), "")</f>
        <v>48</v>
      </c>
      <c r="ET8" s="4" t="str">
        <f t="array" ref="ET8">IFERROR(INDEX(球員狀態!M$2:M$5000, MATCH(1, (球員狀態!$A$2:$A$5000=$EI$1)*(ISNUMBER(SEARCH($EI8, 球員狀態!$B$2:$B$5000))), 0)), "")</f>
        <v>21</v>
      </c>
      <c r="EU8" s="4" t="str">
        <f t="array" ref="EU8">IFERROR(INDEX(球員狀態!N$2:N$5000, MATCH(1, (球員狀態!$A$2:$A$5000=$EI$1)*(ISNUMBER(SEARCH($EI8, 球員狀態!$B$2:$B$5000))), 0)), "")</f>
        <v>17</v>
      </c>
      <c r="EV8" s="4" t="str">
        <f t="array" ref="EV8">IFERROR(INDEX(球員狀態!O$2:O$5000, MATCH(1, (球員狀態!$A$2:$A$5000=$EI$1)*(ISNUMBER(SEARCH($EI8, 球員狀態!$B$2:$B$5000))), 0)), "")</f>
        <v>11</v>
      </c>
      <c r="EW8" s="4" t="str">
        <f t="array" ref="EW8">IFERROR(INDEX(球員狀態!P$2:P$5000, MATCH(1, (球員狀態!$A$2:$A$5000=$EI$1)*(ISNUMBER(SEARCH($EI8, 球員狀態!$B$2:$B$5000))), 0)), "")</f>
        <v>.229</v>
      </c>
      <c r="EX8" s="4" t="str">
        <f t="array" ref="EX8">IFERROR(INDEX(球員狀態!Q$2:Q$5000, MATCH(1, (球員狀態!$A$2:$A$5000=$EI$1)*(ISNUMBER(SEARCH($EI8, 球員狀態!$B$2:$B$5000))), 0)), "")</f>
        <v>.357</v>
      </c>
      <c r="EY8" s="4" t="str">
        <f t="array" ref="EY8">IFERROR(INDEX(球員狀態!R$2:R$5000, MATCH(1, (球員狀態!$A$2:$A$5000=$EI$1)*(ISNUMBER(SEARCH($EI8, 球員狀態!$B$2:$B$5000))), 0)), "")</f>
        <v>.457</v>
      </c>
      <c r="EZ8" s="4" t="str">
        <f t="array" ref="EZ8">IFERROR(INDEX(球員狀態!S$2:S$5000, MATCH(1, (球員狀態!$A$2:$A$5000=$EI$1)*(ISNUMBER(SEARCH($EI8, 球員狀態!$B$2:$B$5000))), 0)), "")</f>
        <v>.814</v>
      </c>
      <c r="FA8" s="4" t="str">
        <f t="array" ref="FA8">IFERROR(INDEX(球員狀態!T$2:T$5000, MATCH(1, (球員狀態!$A$2:$A$5000=$EI$1)*(ISNUMBER(SEARCH($EI8, 球員狀態!$B$2:$B$5000))), 0)), "")</f>
        <v>1.0</v>
      </c>
      <c r="FB8" s="4" t="str">
        <f t="array" ref="FB8">IFERROR(INDEX(球員狀態!U$2:U$5000, MATCH(1, (球員狀態!$A$2:$A$5000=$EI$1)*(ISNUMBER(SEARCH($EI8, 球員狀態!$B$2:$B$5000))), 0)), "")</f>
        <v>20.4</v>
      </c>
      <c r="FC8" s="4" t="str">
        <f t="array" ref="FC8">IFERROR(INDEX(球員狀態!V$2:V$5000, MATCH(1, (球員狀態!$A$2:$A$5000=$EI$1)*(ISNUMBER(SEARCH($EI8, 球員狀態!$B$2:$B$5000))), 0)), "")</f>
        <v>6.7</v>
      </c>
      <c r="FD8" s="4" t="str">
        <f t="array" ref="FD8">IFERROR(INDEX(球員狀態!W$2:W$5000, MATCH(1, (球員狀態!$A$2:$A$5000=$EI$1)*(ISNUMBER(SEARCH($EI8, 球員狀態!$B$2:$B$5000))), 0)), "")</f>
        <v>.167</v>
      </c>
      <c r="FE8" s="4" t="str">
        <f t="array" ref="FE8">IFERROR(INDEX(球員狀態!X$2:X$5000, MATCH(1, (球員狀態!$A$2:$A$5000=$EI$1)*(ISNUMBER(SEARCH($EI8, 球員狀態!$B$2:$B$5000))), 0)), "")</f>
        <v>1.24</v>
      </c>
      <c r="FF8" s="4" t="str">
        <f t="array" ref="FF8">IFERROR(INDEX(球員狀態!Y$2:Y$5000, MATCH(1, (球員狀態!$A$2:$A$5000=$EI$1)*(ISNUMBER(SEARCH($EI8, 球員狀態!$B$2:$B$5000))), 0)), "")</f>
        <v>.229</v>
      </c>
      <c r="FG8" s="4" t="str">
        <f t="array" ref="FG8">IFERROR(INDEX(球員狀態!Z$2:Z$5000, MATCH(1, (球員狀態!$A$2:$A$5000=$EI$1)*(ISNUMBER(SEARCH($EI8, 球員狀態!$B$2:$B$5000))), 0)), "")</f>
        <v>.533</v>
      </c>
      <c r="FH8" s="4" t="str">
        <f t="array" ref="FH8">IFERROR(INDEX(球員狀態!AA$2:AA$5000, MATCH(1, (球員狀態!$A$2:$A$5000=$EI$1)*(ISNUMBER(SEARCH($EI8, 球員狀態!$B$2:$B$5000))), 0)), "")</f>
        <v>4.26</v>
      </c>
      <c r="FI8" s="4" t="str">
        <f t="array" ref="FI8">IFERROR(INDEX(球員狀態!AB$2:AB$5000, MATCH(1, (球員狀態!$A$2:$A$5000=$EI$1)*(ISNUMBER(SEARCH($EI8, 球員狀態!$B$2:$B$5000))), 0)), "")</f>
        <v>12</v>
      </c>
      <c r="FK8" s="22">
        <v>14.6</v>
      </c>
      <c r="FL8" s="19">
        <v>17</v>
      </c>
      <c r="FM8" s="23">
        <v>6</v>
      </c>
      <c r="FN8" s="22">
        <v>6.6</v>
      </c>
      <c r="FO8" s="19">
        <v>8</v>
      </c>
      <c r="FP8" s="23">
        <v>6</v>
      </c>
      <c r="FQ8" s="22">
        <v>6.1</v>
      </c>
      <c r="FR8" s="19">
        <v>7</v>
      </c>
      <c r="FS8" s="23">
        <v>6</v>
      </c>
      <c r="FT8" s="22">
        <v>1.31</v>
      </c>
      <c r="FU8" s="19">
        <v>1.5</v>
      </c>
      <c r="FV8" s="23">
        <v>6</v>
      </c>
      <c r="FW8" s="22">
        <v>1.21</v>
      </c>
      <c r="FX8" s="19">
        <v>1.5</v>
      </c>
      <c r="FY8" s="23">
        <v>6</v>
      </c>
    </row>
    <row r="9" spans="1:181">
      <c r="A9" s="4">
        <v>7</v>
      </c>
      <c r="B9" s="1" t="str">
        <v>20260428</v>
      </c>
      <c r="C9" s="1" t="str">
        <v>09:40</v>
      </c>
      <c r="D9" s="1">
        <v>0</v>
      </c>
      <c r="E9" s="1" t="str">
        <v>小熊</v>
      </c>
      <c r="F9" s="1">
        <v>0</v>
      </c>
      <c r="G9" s="16">
        <v>0.34</v>
      </c>
      <c r="H9" s="1">
        <v>0</v>
      </c>
      <c r="I9" s="1" t="str">
        <v>教士</v>
      </c>
      <c r="J9" s="1" t="str">
        <v>1分贏</v>
      </c>
      <c r="K9" s="16">
        <v>0.66</v>
      </c>
      <c r="L9" s="1" t="str">
        <f t="array" ref="L9">IFERROR(SUBSTITUTE(INDEX(正負盤!$6:$20, ROW(A6), MATCH(1, (MONTH(正負盤!$4:$4)=MONTH(DATE(LEFT($A$1,4),MID($A$1,5,2),RIGHT($A$1,2))-10))*(DAY(正負盤!$4:$4)=DAY(DATE(LEFT($A$1,4),MID($A$1,5,2),RIGHT($A$1,2))-10)), 0)), 0, "-"), "")</f>
        <v>O</v>
      </c>
      <c r="M9" s="1" t="str">
        <f t="array" ref="M9">IFERROR(SUBSTITUTE(INDEX(正負盤!$6:$20, ROW(A6), MATCH(1, (MONTH(正負盤!$4:$4)=MONTH(DATE(LEFT($A$1,4),MID($A$1,5,2),RIGHT($A$1,2))-9))*(DAY(正負盤!$4:$4)=DAY(DATE(LEFT($A$1,4),MID($A$1,5,2),RIGHT($A$1,2))-9)), 0)), 0, "-"), "")</f>
        <v>O</v>
      </c>
      <c r="N9" s="1" t="str">
        <f t="array" ref="N9">IFERROR(SUBSTITUTE(INDEX(正負盤!$6:$20, ROW(A6), MATCH(1, (MONTH(正負盤!$4:$4)=MONTH(DATE(LEFT($A$1,4),MID($A$1,5,2),RIGHT($A$1,2))-8))*(DAY(正負盤!$4:$4)=DAY(DATE(LEFT($A$1,4),MID($A$1,5,2),RIGHT($A$1,2))-8)), 0)), 0, "-"), "")</f>
        <v>X</v>
      </c>
      <c r="O9" s="1" t="str">
        <f t="array" ref="O9">IFERROR(SUBSTITUTE(INDEX(正負盤!$6:$20, ROW(A6), MATCH(1, (MONTH(正負盤!$4:$4)=MONTH(DATE(LEFT($A$1,4),MID($A$1,5,2),RIGHT($A$1,2))-7))*(DAY(正負盤!$4:$4)=DAY(DATE(LEFT($A$1,4),MID($A$1,5,2),RIGHT($A$1,2))-7)), 0)), 0, "-"), "")</f>
        <v>O</v>
      </c>
      <c r="P9" s="1" t="str">
        <f t="array" ref="P9">IFERROR(SUBSTITUTE(INDEX(正負盤!$6:$20, ROW(A6), MATCH(1, (MONTH(正負盤!$4:$4)=MONTH(DATE(LEFT($A$1,4),MID($A$1,5,2),RIGHT($A$1,2))-6))*(DAY(正負盤!$4:$4)=DAY(DATE(LEFT($A$1,4),MID($A$1,5,2),RIGHT($A$1,2))-6)), 0)), 0, "-"), "")</f>
        <v>O</v>
      </c>
      <c r="Q9" s="1" t="str">
        <f t="array" ref="Q9">IFERROR(SUBSTITUTE(INDEX(正負盤!$6:$20, ROW(A6), MATCH(1, (MONTH(正負盤!$4:$4)=MONTH(DATE(LEFT($A$1,4),MID($A$1,5,2),RIGHT($A$1,2))-5))*(DAY(正負盤!$4:$4)=DAY(DATE(LEFT($A$1,4),MID($A$1,5,2),RIGHT($A$1,2))-5)), 0)), 0, "-"), "")</f>
        <v/>
      </c>
      <c r="R9" s="1" t="str">
        <f t="array" ref="R9">IFERROR(SUBSTITUTE(INDEX(正負盤!$6:$20, ROW(A6), MATCH(1, (MONTH(正負盤!$4:$4)=MONTH(DATE(LEFT($A$1,4),MID($A$1,5,2),RIGHT($A$1,2))-4))*(DAY(正負盤!$4:$4)=DAY(DATE(LEFT($A$1,4),MID($A$1,5,2),RIGHT($A$1,2))-4)), 0)), 0, "-"), "")</f>
        <v>O</v>
      </c>
      <c r="S9" s="1" t="str">
        <f t="array" ref="S9">IFERROR(SUBSTITUTE(INDEX(正負盤!$6:$20, ROW(A6), MATCH(1, (MONTH(正負盤!$4:$4)=MONTH(DATE(LEFT($A$1,4),MID($A$1,5,2),RIGHT($A$1,2))-3))*(DAY(正負盤!$4:$4)=DAY(DATE(LEFT($A$1,4),MID($A$1,5,2),RIGHT($A$1,2))-3)), 0)), 0, "-"), "")</f>
        <v>O</v>
      </c>
      <c r="T9" s="1" t="str">
        <f t="array" ref="T9">IFERROR(SUBSTITUTE(INDEX(正負盤!$6:$20, ROW(A6), MATCH(1, (MONTH(正負盤!$4:$4)=MONTH(DATE(LEFT($A$1,4),MID($A$1,5,2),RIGHT($A$1,2))-2))*(DAY(正負盤!$4:$4)=DAY(DATE(LEFT($A$1,4),MID($A$1,5,2),RIGHT($A$1,2))-2)), 0)), 0, "-"), "")</f>
        <v>O</v>
      </c>
      <c r="U9" s="1" t="str">
        <f t="array" ref="U9">IFERROR(SUBSTITUTE(INDEX(正負盤!$6:$20, ROW(A6), MATCH(1, (MONTH(正負盤!$4:$4)=MONTH(DATE(LEFT($A$1,4),MID($A$1,5,2),RIGHT($A$1,2))-1))*(DAY(正負盤!$4:$4)=DAY(DATE(LEFT($A$1,4),MID($A$1,5,2),RIGHT($A$1,2))-1)), 0)), 0, "-"), "")</f>
        <v>O</v>
      </c>
      <c r="V9" s="78"/>
      <c r="W9" t="str">
        <f>I6</f>
        <v>雙城</v>
      </c>
      <c r="X9" s="17" t="str">
        <f t="array" aca="1" ref="X9" ca="1">_xlfn.LET(_xlpm.s,SUBSTITUTE(Y9,".",""),_xlpm.c,RIGHT(_xlpm.s,1),_xlpm.n,ROW(INDIRECT("1:"&amp;LEN(_xlpm.s))),_xlpm.cnt,MAX(IF(RIGHT(_xlpm.s,_xlpm.n)=REPT(_xlpm.c,_xlpm.n),_xlpm.n,0)),IF(_xlpm.cnt&gt;=2,_xlpm.cnt&amp;"連"&amp;_xlpm.c,"1"&amp;_xlpm.c))</f>
        <v>4連X</v>
      </c>
      <c r="Y9" s="82" t="str">
        <f t="array" ref="Y9">INDEX(各隊正負!$F:$F, MATCH("*"&amp;$W9&amp;"*", 各隊正負!$A:$A, 0)+6)</f>
        <v>O.X.X.X.X.O.X.X.X.X</v>
      </c>
      <c r="Z9" s="100"/>
      <c r="AA9" s="100"/>
      <c r="AB9" s="82" t="str">
        <f t="array" ref="AB9">INDEX(各隊正負!$F:$F, MATCH("*"&amp;$W9&amp;"*", 各隊正負!$A:$A, 0)+4)</f>
        <v>W.L.L.L.L.W.L.L.L.L</v>
      </c>
      <c r="AC9" s="78"/>
      <c r="AD9" s="78"/>
      <c r="AE9" s="1" t="str">
        <f t="array" aca="1" ref="AE9" ca="1">_xlfn.LET(_xlpm.s,SUBSTITUTE(AB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4連敗</v>
      </c>
      <c r="AF9" s="19" t="str">
        <f>I6</f>
        <v>雙城</v>
      </c>
      <c r="AG9" s="1" t="str">
        <f t="array" ref="AG9">IFERROR(INDEX(各隊total!$B:$AB, MATCH($AF9, 各隊total!$A:$A, 0), COLUMN(A8)), "")</f>
        <v>28</v>
      </c>
      <c r="AH9" s="32">
        <f>CB17</f>
        <v>4.4500000000000011</v>
      </c>
      <c r="AI9" s="61" t="str">
        <f t="shared" si="0"/>
        <v>B</v>
      </c>
      <c r="AJ9" s="6">
        <f>CC17</f>
        <v>5.15</v>
      </c>
      <c r="AK9" s="60" t="str">
        <f t="shared" si="1"/>
        <v>A-</v>
      </c>
      <c r="AL9" s="1" t="str">
        <f t="array" ref="AL9">IFERROR(INDEX(各隊total!$C:$AB, MATCH($AF9, 各隊total!$A:$A, 0), COLUMN(A8)), "")</f>
        <v>927</v>
      </c>
      <c r="AM9" s="1" t="str">
        <f t="array" ref="AM9">IFERROR(INDEX(各隊total!$D:$AB, MATCH($AF9, 各隊total!$A:$A, 0), COLUMN(A8)), "")</f>
        <v>132</v>
      </c>
      <c r="AN9" s="1" t="str">
        <f t="array" ref="AN9">IFERROR(INDEX(各隊total!$E:$AB, MATCH($AF9, 各隊total!$A:$A, 0), COLUMN(A8)), "")</f>
        <v>210</v>
      </c>
      <c r="AO9" s="1" t="str">
        <f t="array" ref="AO9">IFERROR(INDEX(各隊total!$F:$AB, MATCH($AF9, 各隊total!$A:$A, 0), COLUMN(A8)), "")</f>
        <v>34</v>
      </c>
      <c r="AP9" s="1" t="str">
        <f t="array" ref="AP9">IFERROR(INDEX(各隊total!$G:$AB, MATCH($AF9, 各隊total!$A:$A, 0), COLUMN(A8)), "")</f>
        <v>2</v>
      </c>
      <c r="AQ9" s="1" t="str">
        <f t="array" ref="AQ9">IFERROR(INDEX(各隊total!$H:$AB, MATCH($AF9, 各隊total!$A:$A, 0), COLUMN(A8)), "")</f>
        <v>33</v>
      </c>
      <c r="AR9" s="1" t="str">
        <f t="array" ref="AR9">IFERROR(INDEX(各隊total!$I:$AB, MATCH($AF9, 各隊total!$A:$A, 0), COLUMN(A8)), "")</f>
        <v>127</v>
      </c>
      <c r="AS9" s="1" t="str">
        <f t="array" ref="AS9">IFERROR(INDEX(各隊total!$J:$AB, MATCH($AF9, 各隊total!$A:$A, 0), COLUMN(A8)), "")</f>
        <v>347</v>
      </c>
      <c r="AT9" s="1" t="str">
        <f t="array" ref="AT9">IFERROR(INDEX(各隊total!$K:$AB, MATCH($AF9, 各隊total!$A:$A, 0), COLUMN(A8)), "")</f>
        <v>119</v>
      </c>
      <c r="AU9" s="1" t="str">
        <f t="array" ref="AU9">IFERROR(INDEX(各隊total!$L:$AB, MATCH($AF9, 各隊total!$A:$A, 0), COLUMN(A8)), "")</f>
        <v>249</v>
      </c>
      <c r="AV9" s="1" t="str">
        <f t="array" ref="AV9">IFERROR(INDEX(各隊total!$M:$AB, MATCH($AF9, 各隊total!$A:$A, 0), COLUMN(A8)), "")</f>
        <v>18</v>
      </c>
      <c r="AW9" s="1" t="str">
        <f t="array" ref="AW9">IFERROR(INDEX(各隊total!$N:$AB, MATCH($AF9, 各隊total!$A:$A, 0), COLUMN(A8)), "")</f>
        <v>.227</v>
      </c>
      <c r="AX9" s="1" t="str">
        <f t="array" ref="AX9">IFERROR(INDEX(各隊total!$O:$AB, MATCH($AF9, 各隊total!$A:$A, 0), COLUMN(A8)), "")</f>
        <v>.323</v>
      </c>
      <c r="AY9" s="1" t="str">
        <f t="array" ref="AY9">IFERROR(INDEX(各隊total!$P:$AB, MATCH($AF9, 各隊total!$A:$A, 0), COLUMN(A8)), "")</f>
        <v>.374</v>
      </c>
      <c r="AZ9" s="1" t="str">
        <f t="array" ref="AZ9">IFERROR(INDEX(各隊total!$Q:$AB, MATCH($AF9, 各隊total!$A:$A, 0), COLUMN(A8)), "")</f>
        <v>.698</v>
      </c>
      <c r="BA9" s="1">
        <f t="array" ref="BA9">IFERROR(INDEX(各隊total!$R:$AB, MATCH($AF9, 各隊total!$A:$A, 0), COLUMN(A8)), "")</f>
        <v>0</v>
      </c>
      <c r="BB9" s="1" t="str">
        <f t="array" ref="BB9">IFERROR(INDEX(各隊total!$S:$AB, MATCH($AF9, 各隊total!$A:$A, 0), COLUMN(A8)), "")</f>
        <v>118.7</v>
      </c>
      <c r="BC9" s="1" t="str">
        <f t="array" ref="BC9">IFERROR(INDEX(各隊total!$T:$AB, MATCH($AF9, 各隊total!$A:$A, 0), COLUMN(A8)), "")</f>
        <v>4.3</v>
      </c>
      <c r="BD9" s="1" t="str">
        <f t="array" ref="BD9">IFERROR(INDEX(各隊total!$U:$AB, MATCH($AF9, 各隊total!$A:$A, 0), COLUMN(A8)), "")</f>
        <v>.111</v>
      </c>
      <c r="BE9" s="1" t="str">
        <f t="array" ref="BE9">IFERROR(INDEX(各隊total!$V:$AB, MATCH($AF9, 各隊total!$A:$A, 0), COLUMN(A8)), "")</f>
        <v>0.48</v>
      </c>
      <c r="BF9" s="1" t="str">
        <f t="array" ref="BF9">IFERROR(INDEX(各隊total!$W:$AB, MATCH($AF9, 各隊total!$A:$A, 0), COLUMN(A8)), "")</f>
        <v>.148</v>
      </c>
      <c r="BG9" s="1" t="str">
        <f t="array" ref="BG9">IFERROR(INDEX(各隊total!$X:$AB, MATCH($AF9, 各隊total!$A:$A, 0), COLUMN(A8)), "")</f>
        <v>.288</v>
      </c>
      <c r="BH9" s="1" t="str">
        <f t="array" ref="BH9">IFERROR(INDEX(各隊total!$Y:$AB, MATCH($AF9, 各隊total!$A:$A, 0), COLUMN(A8)), "")</f>
        <v>4.01</v>
      </c>
      <c r="BI9" s="1" t="str">
        <f t="array" ref="BI9">IFERROR(INDEX(各隊total!$Z:$AB, MATCH($AF9, 各隊total!$A:$A, 0), COLUMN(A8)), "")</f>
        <v>69</v>
      </c>
      <c r="BJ9" s="1" t="str">
        <f t="array" ref="BJ9">IFERROR(INDEX(各隊total!$AA:$AB, MATCH($AF9, 各隊total!$A:$A, 0), COLUMN(A8)), "")</f>
        <v>1075</v>
      </c>
      <c r="BK9" s="1" t="str">
        <f t="array" ref="BK9">IFERROR(INDEX(各隊total!$AB:$AB, MATCH($AF9, 各隊total!$A:$A, 0), COLUMN(A8)), "")</f>
        <v>28.1</v>
      </c>
      <c r="BL9" s="1" t="str">
        <f t="array" ref="BL9">IFERROR(INDEX(各隊total!$C:$AB, MATCH($AF9, 各隊total!$A:$A, 0), COLUMN(AA8)), "")</f>
        <v/>
      </c>
      <c r="BM9" s="22">
        <v>0.27600000000000002</v>
      </c>
      <c r="BN9" s="19">
        <v>0.28999999999999998</v>
      </c>
      <c r="BO9" s="23">
        <v>7</v>
      </c>
      <c r="BP9" s="22">
        <v>0.34599999999999997</v>
      </c>
      <c r="BQ9" s="19">
        <v>0.36</v>
      </c>
      <c r="BR9" s="23">
        <v>7</v>
      </c>
      <c r="BS9" s="22">
        <v>0.47599999999999998</v>
      </c>
      <c r="BT9" s="19">
        <v>0.51</v>
      </c>
      <c r="BU9" s="23">
        <v>7</v>
      </c>
      <c r="BV9" s="22">
        <v>5.3</v>
      </c>
      <c r="BW9" s="19">
        <v>5.6</v>
      </c>
      <c r="BX9" s="23">
        <v>7</v>
      </c>
      <c r="BY9" s="22">
        <v>5.0999999999999996</v>
      </c>
      <c r="BZ9" s="19">
        <v>5.4</v>
      </c>
      <c r="CA9" s="23">
        <v>7</v>
      </c>
      <c r="CB9" s="28">
        <f>CF9+CJ9+CK9+CM9+CO9+CP9+CQ9+CR9</f>
        <v>4.4000000000000004</v>
      </c>
      <c r="CC9" s="31">
        <f>CU9+CV9+CY9+CZ9+DA9</f>
        <v>4.7</v>
      </c>
      <c r="CD9" s="58"/>
      <c r="CE9" s="1"/>
      <c r="CF9" s="27">
        <f>VLOOKUP(ROUND(CF8/CD8, 2), $BV$2:$BX$12, 3, TRUE)*BX$1</f>
        <v>0.75</v>
      </c>
      <c r="CG9" s="58"/>
      <c r="CH9" s="58"/>
      <c r="CI9" s="58"/>
      <c r="CJ9" s="27">
        <f>VLOOKUP(ROUND(CJ8/CD8, 2), $BM$15:$BO$25, 3, TRUE)*BO$14</f>
        <v>0.4</v>
      </c>
      <c r="CK9" s="27">
        <f>VLOOKUP(ROUND(CK8/CD8, 2), $BY$2:$CA$12, 3, TRUE)*CA$1</f>
        <v>0.5</v>
      </c>
      <c r="CL9" s="58"/>
      <c r="CM9" s="101">
        <f>VLOOKUP(ROUND(CM8/CN8, 2), $BP$15:$BR$25, 3, TRUE)*BR$14</f>
        <v>0.4</v>
      </c>
      <c r="CN9" s="78"/>
      <c r="CO9" s="27">
        <f>VLOOKUP(ROUND(CO8/CD8, 2), $BS$15:$BU$25, 3, TRUE)*BU$14</f>
        <v>0.35000000000000003</v>
      </c>
      <c r="CP9" s="27">
        <f>VLOOKUP(CP8*1, BM$2:BO$12, 3, TRUE)*BO$1</f>
        <v>0.4</v>
      </c>
      <c r="CQ9" s="27">
        <f>VLOOKUP(CQ8*1, BP$2:BR$12, 3, TRUE)*BR$1</f>
        <v>1</v>
      </c>
      <c r="CR9" s="27">
        <f>VLOOKUP(CR8*1, BS$2:BU$12, 3, TRUE)*BU$1</f>
        <v>0.60000000000000009</v>
      </c>
      <c r="CS9" s="1"/>
      <c r="CT9" s="1"/>
      <c r="CU9" s="60">
        <f>VLOOKUP(CU8*1, BM$28:BO$38, 3, TRUE)*BO$27</f>
        <v>0.9</v>
      </c>
      <c r="CV9" s="60">
        <f>VLOOKUP(CV8*1, BP$28:BR$38, 3, TRUE)*BR$27</f>
        <v>1.4</v>
      </c>
      <c r="CW9" s="1"/>
      <c r="CX9" s="1"/>
      <c r="CY9" s="60">
        <f>VLOOKUP(CY8*1, BS$28:BU$38, 3, TRUE)*BU$27</f>
        <v>0.60000000000000009</v>
      </c>
      <c r="CZ9" s="60">
        <f>VLOOKUP(CZ8*1, BV$28:BX$38, 3, TRUE)*BX$27</f>
        <v>0.6</v>
      </c>
      <c r="DA9" s="60">
        <f>VLOOKUP(DA8*1, BY$28:CA$38, 3, TRUE)*CA$27</f>
        <v>1.2000000000000002</v>
      </c>
      <c r="DF9" s="33"/>
      <c r="DG9" s="4"/>
      <c r="DH9" s="40">
        <f>DJ9+DL9+DM9+DN9+DO9-DP9-DQ9+DR9</f>
        <v>0.79999999999999993</v>
      </c>
      <c r="DI9" s="42">
        <f>DU9+DX9+EA9+ED9+EE9+EF9</f>
        <v>5</v>
      </c>
      <c r="DJ9" s="38">
        <f>VLOOKUP(DJ8*1, FK$2:FM$12, 3, TRUE)*FM$1</f>
        <v>0.25</v>
      </c>
      <c r="DL9" s="38">
        <f>VLOOKUP(DL8*1, FN$2:FP$12, 3, TRUE)*FP$1</f>
        <v>0.15</v>
      </c>
      <c r="DM9" s="38">
        <f>VLOOKUP(DM8*1, FQ$2:FS$12, 3, TRUE)*FS$1</f>
        <v>0</v>
      </c>
      <c r="DN9" s="38">
        <f>VLOOKUP(DN8*1, FT$2:FV$12, 3, TRUE)*FV$1</f>
        <v>0</v>
      </c>
      <c r="DO9" s="38">
        <f>VLOOKUP(DO8*1, FW$2:FY$12, 3, TRUE)*FY$1</f>
        <v>0.5</v>
      </c>
      <c r="DP9" s="39">
        <f>VLOOKUP(DP8*1, FK$14:FM$25, 3, TRUE)*FM$14</f>
        <v>1</v>
      </c>
      <c r="DQ9" s="39">
        <f>VLOOKUP(DQ8*1, FN$14:FP$25, 3, TRUE)*FP$14</f>
        <v>0.60000000000000009</v>
      </c>
      <c r="DR9" s="38">
        <f>VLOOKUP(DR8*1, FQ$14:FS$25, 3, TRUE)*FS$14</f>
        <v>1.5</v>
      </c>
      <c r="DU9" s="41">
        <f>VLOOKUP(DU8*1, FK$27:FM$38, 3, TRUE)*FM$27</f>
        <v>0</v>
      </c>
      <c r="DX9" s="41">
        <f>VLOOKUP(DX8*1, FN$27:FP$38, 3, TRUE)*FP$27</f>
        <v>0</v>
      </c>
      <c r="EA9" s="41">
        <f>VLOOKUP(EA8*1, FQ$27:FS$38, 3, TRUE)*FS$27</f>
        <v>0</v>
      </c>
      <c r="ED9" s="41">
        <f>VLOOKUP(ED8*1, FT$27:FV$38, 3, TRUE)*FV$27</f>
        <v>0</v>
      </c>
      <c r="EE9" s="41">
        <f>VLOOKUP(EE8*1, FW$27:FY$38, 3, TRUE)*FY$27</f>
        <v>1.5</v>
      </c>
      <c r="EF9" s="41">
        <f>VLOOKUP(EF8*1, FK$40:FM$51, 3, TRUE)*FM$40</f>
        <v>3.5</v>
      </c>
      <c r="EG9" s="57"/>
      <c r="EI9" s="33"/>
      <c r="EJ9" s="4"/>
      <c r="EK9" s="40">
        <f>EM9+EO9+EP9+EQ9+ER9-ES9-ET9+EU9</f>
        <v>3.5</v>
      </c>
      <c r="EL9" s="42">
        <f>EX9+FA9+FD9+FG9+FH9+FI9</f>
        <v>5</v>
      </c>
      <c r="EM9" s="38">
        <f>VLOOKUP(EM8*1, $FK$2:$FM$12, 3, TRUE)*$FM$1</f>
        <v>1.75</v>
      </c>
      <c r="EO9" s="38">
        <f>VLOOKUP(EO8*1, $FN$2:$FP$12, 3, TRUE)*$FP$1</f>
        <v>0.75</v>
      </c>
      <c r="EP9" s="38">
        <f>VLOOKUP(EP8*1, $FQ$2:$FS$12, 3, TRUE)*$FS$1</f>
        <v>0</v>
      </c>
      <c r="EQ9" s="38">
        <f>VLOOKUP(EQ8*1, $FT$2:$FV$12, 3, TRUE)*$FV$1</f>
        <v>1</v>
      </c>
      <c r="ER9" s="38">
        <f>VLOOKUP(ER8*1, $FW$2:$FY$12, 3, TRUE)*$FY$1</f>
        <v>0.5</v>
      </c>
      <c r="ES9" s="39">
        <f>VLOOKUP(ES8*1, $FK$14:$FM$25, 3, TRUE)*$FM$14</f>
        <v>1</v>
      </c>
      <c r="ET9" s="39">
        <f>VLOOKUP(ET8*1, $FN$14:$FP$25, 3, TRUE)*$FP$14</f>
        <v>1</v>
      </c>
      <c r="EU9" s="38">
        <f>VLOOKUP(EU8*1, $FQ$14:$FS$25, 3, TRUE)*$FS$14</f>
        <v>1.5</v>
      </c>
      <c r="EX9" s="41">
        <f>VLOOKUP(EX8*1, $FK$27:$FM$38, 3, TRUE)*$FM$27</f>
        <v>0</v>
      </c>
      <c r="FA9" s="41">
        <f>VLOOKUP(FA8*1, $FN$27:$FP$38, 3, TRUE)*$FP$27</f>
        <v>0</v>
      </c>
      <c r="FD9" s="41">
        <f>VLOOKUP(FD8*1, $FQ$27:$FS$38, 3, TRUE)*$FS$27</f>
        <v>0</v>
      </c>
      <c r="FG9" s="41">
        <f>VLOOKUP(FG8*1, $FT$27:$FV$38, 3, TRUE)*$FV$27</f>
        <v>0</v>
      </c>
      <c r="FH9" s="41">
        <f>VLOOKUP(FH8*1, $FW$27:$FY$38, 3, TRUE)*$FY$27</f>
        <v>1.5</v>
      </c>
      <c r="FI9" s="41">
        <f>VLOOKUP(FI8*1, $FK$40:$FM$51, 3, TRUE)*$FM$40</f>
        <v>3.5</v>
      </c>
      <c r="FK9" s="22">
        <v>17.100000000000001</v>
      </c>
      <c r="FL9" s="19">
        <v>20</v>
      </c>
      <c r="FM9" s="23">
        <v>7</v>
      </c>
      <c r="FN9" s="22">
        <v>8.1</v>
      </c>
      <c r="FO9" s="19">
        <v>9.5</v>
      </c>
      <c r="FP9" s="23">
        <v>7</v>
      </c>
      <c r="FQ9" s="22">
        <v>7.1</v>
      </c>
      <c r="FR9" s="19">
        <v>8.1999999999999993</v>
      </c>
      <c r="FS9" s="23">
        <v>7</v>
      </c>
      <c r="FT9" s="22">
        <v>1.51</v>
      </c>
      <c r="FU9" s="19">
        <v>1.7</v>
      </c>
      <c r="FV9" s="23">
        <v>7</v>
      </c>
      <c r="FW9" s="22">
        <v>1.51</v>
      </c>
      <c r="FX9" s="19">
        <v>1.8</v>
      </c>
      <c r="FY9" s="23">
        <v>7</v>
      </c>
    </row>
    <row r="10" spans="1:181">
      <c r="A10" s="4">
        <v>8</v>
      </c>
      <c r="B10" s="1" t="str">
        <v>20260428</v>
      </c>
      <c r="C10" s="1" t="str">
        <v>10:10</v>
      </c>
      <c r="D10" s="1">
        <v>0</v>
      </c>
      <c r="E10" s="1" t="str">
        <v>馬林魚</v>
      </c>
      <c r="F10" s="1">
        <v>0</v>
      </c>
      <c r="G10" s="16">
        <v>0.24</v>
      </c>
      <c r="H10" s="1">
        <v>0</v>
      </c>
      <c r="I10" s="1" t="str">
        <v>道奇</v>
      </c>
      <c r="J10" s="1" t="str">
        <v>2分輸</v>
      </c>
      <c r="K10" s="16">
        <v>0.76</v>
      </c>
      <c r="L10" s="1" t="str">
        <f t="array" ref="L10">IFERROR(SUBSTITUTE(INDEX(正負盤!$6:$20, ROW(A7), MATCH(1, (MONTH(正負盤!$4:$4)=MONTH(DATE(LEFT($A$1,4),MID($A$1,5,2),RIGHT($A$1,2))-10))*(DAY(正負盤!$4:$4)=DAY(DATE(LEFT($A$1,4),MID($A$1,5,2),RIGHT($A$1,2))-10)), 0)), 0, "-"), "")</f>
        <v>O</v>
      </c>
      <c r="M10" s="1" t="str">
        <f t="array" ref="M10">IFERROR(SUBSTITUTE(INDEX(正負盤!$6:$20, ROW(A7), MATCH(1, (MONTH(正負盤!$4:$4)=MONTH(DATE(LEFT($A$1,4),MID($A$1,5,2),RIGHT($A$1,2))-9))*(DAY(正負盤!$4:$4)=DAY(DATE(LEFT($A$1,4),MID($A$1,5,2),RIGHT($A$1,2))-9)), 0)), 0, "-"), "")</f>
        <v>O</v>
      </c>
      <c r="N10" s="1" t="str">
        <f t="array" ref="N10">IFERROR(SUBSTITUTE(INDEX(正負盤!$6:$20, ROW(A7), MATCH(1, (MONTH(正負盤!$4:$4)=MONTH(DATE(LEFT($A$1,4),MID($A$1,5,2),RIGHT($A$1,2))-8))*(DAY(正負盤!$4:$4)=DAY(DATE(LEFT($A$1,4),MID($A$1,5,2),RIGHT($A$1,2))-8)), 0)), 0, "-"), "")</f>
        <v>X</v>
      </c>
      <c r="O10" s="1" t="str">
        <f t="array" ref="O10">IFERROR(SUBSTITUTE(INDEX(正負盤!$6:$20, ROW(A7), MATCH(1, (MONTH(正負盤!$4:$4)=MONTH(DATE(LEFT($A$1,4),MID($A$1,5,2),RIGHT($A$1,2))-7))*(DAY(正負盤!$4:$4)=DAY(DATE(LEFT($A$1,4),MID($A$1,5,2),RIGHT($A$1,2))-7)), 0)), 0, "-"), "")</f>
        <v>O</v>
      </c>
      <c r="P10" s="1" t="str">
        <f t="array" ref="P10">IFERROR(SUBSTITUTE(INDEX(正負盤!$6:$20, ROW(A7), MATCH(1, (MONTH(正負盤!$4:$4)=MONTH(DATE(LEFT($A$1,4),MID($A$1,5,2),RIGHT($A$1,2))-6))*(DAY(正負盤!$4:$4)=DAY(DATE(LEFT($A$1,4),MID($A$1,5,2),RIGHT($A$1,2))-6)), 0)), 0, "-"), "")</f>
        <v>X</v>
      </c>
      <c r="Q10" s="1" t="str">
        <f t="array" ref="Q10">IFERROR(SUBSTITUTE(INDEX(正負盤!$6:$20, ROW(A7), MATCH(1, (MONTH(正負盤!$4:$4)=MONTH(DATE(LEFT($A$1,4),MID($A$1,5,2),RIGHT($A$1,2))-5))*(DAY(正負盤!$4:$4)=DAY(DATE(LEFT($A$1,4),MID($A$1,5,2),RIGHT($A$1,2))-5)), 0)), 0, "-"), "")</f>
        <v/>
      </c>
      <c r="R10" s="1" t="str">
        <f t="array" ref="R10">IFERROR(SUBSTITUTE(INDEX(正負盤!$6:$20, ROW(A7), MATCH(1, (MONTH(正負盤!$4:$4)=MONTH(DATE(LEFT($A$1,4),MID($A$1,5,2),RIGHT($A$1,2))-4))*(DAY(正負盤!$4:$4)=DAY(DATE(LEFT($A$1,4),MID($A$1,5,2),RIGHT($A$1,2))-4)), 0)), 0, "-"), "")</f>
        <v>O</v>
      </c>
      <c r="S10" s="1" t="str">
        <f t="array" ref="S10">IFERROR(SUBSTITUTE(INDEX(正負盤!$6:$20, ROW(A7), MATCH(1, (MONTH(正負盤!$4:$4)=MONTH(DATE(LEFT($A$1,4),MID($A$1,5,2),RIGHT($A$1,2))-3))*(DAY(正負盤!$4:$4)=DAY(DATE(LEFT($A$1,4),MID($A$1,5,2),RIGHT($A$1,2))-3)), 0)), 0, "-"), "")</f>
        <v>X</v>
      </c>
      <c r="T10" s="1" t="str">
        <f t="array" ref="T10">IFERROR(SUBSTITUTE(INDEX(正負盤!$6:$20, ROW(A7), MATCH(1, (MONTH(正負盤!$4:$4)=MONTH(DATE(LEFT($A$1,4),MID($A$1,5,2),RIGHT($A$1,2))-2))*(DAY(正負盤!$4:$4)=DAY(DATE(LEFT($A$1,4),MID($A$1,5,2),RIGHT($A$1,2))-2)), 0)), 0, "-"), "")</f>
        <v>X</v>
      </c>
      <c r="U10" s="1" t="str">
        <f t="array" ref="U10">IFERROR(SUBSTITUTE(INDEX(正負盤!$6:$20, ROW(A7), MATCH(1, (MONTH(正負盤!$4:$4)=MONTH(DATE(LEFT($A$1,4),MID($A$1,5,2),RIGHT($A$1,2))-1))*(DAY(正負盤!$4:$4)=DAY(DATE(LEFT($A$1,4),MID($A$1,5,2),RIGHT($A$1,2))-1)), 0)), 0, "-"), "")</f>
        <v>O</v>
      </c>
      <c r="V10" s="82" t="str">
        <f>C7</f>
        <v>07:40</v>
      </c>
      <c r="W10" t="str">
        <f>E7</f>
        <v>天使</v>
      </c>
      <c r="X10" s="17" t="str">
        <f t="array" aca="1" ref="X10" ca="1">_xlfn.LET(_xlpm.s,SUBSTITUTE(Y10,".",""),_xlpm.c,RIGHT(_xlpm.s,1),_xlpm.n,ROW(INDIRECT("1:"&amp;LEN(_xlpm.s))),_xlpm.cnt,MAX(IF(RIGHT(_xlpm.s,_xlpm.n)=REPT(_xlpm.c,_xlpm.n),_xlpm.n,0)),IF(_xlpm.cnt&gt;=2,_xlpm.cnt&amp;"連"&amp;_xlpm.c,"1"&amp;_xlpm.c))</f>
        <v>5連X</v>
      </c>
      <c r="Y10" s="82" t="str">
        <f t="array" ref="Y10">INDEX(各隊正負!$F:$F, MATCH("*"&amp;$W10&amp;"*", 各隊正負!$A:$A, 0)+6)</f>
        <v>O.O.O.X.O.X.X.X.X.X</v>
      </c>
      <c r="Z10" s="100"/>
      <c r="AA10" s="100"/>
      <c r="AB10" s="82" t="str">
        <f t="array" ref="AB10">INDEX(各隊正負!$F:$F, MATCH("*"&amp;$W10&amp;"*", 各隊正負!$A:$A, 0)+4)</f>
        <v>L.W.W.L.L.L.L.L.L.L</v>
      </c>
      <c r="AC10" s="78"/>
      <c r="AD10" s="78"/>
      <c r="AE10" s="1" t="str">
        <f t="array" aca="1" ref="AE10" ca="1">_xlfn.LET(_xlpm.s,SUBSTITUTE(AB10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7連敗</v>
      </c>
      <c r="AF10" s="19" t="str">
        <f>E7</f>
        <v>天使</v>
      </c>
      <c r="AG10" s="1" t="str">
        <f t="array" ref="AG10">IFERROR(INDEX(各隊total!$B:$AB, MATCH($AF10, 各隊total!$A:$A, 0), COLUMN(A9)), "")</f>
        <v>29</v>
      </c>
      <c r="AH10" s="32">
        <f>CB19</f>
        <v>4.75</v>
      </c>
      <c r="AI10" s="61" t="str">
        <f t="shared" si="0"/>
        <v>B+</v>
      </c>
      <c r="AJ10" s="6">
        <f>CC19</f>
        <v>5.95</v>
      </c>
      <c r="AK10" s="60" t="str">
        <f t="shared" si="1"/>
        <v>A</v>
      </c>
      <c r="AL10" s="1" t="str">
        <f t="array" ref="AL10">IFERROR(INDEX(各隊total!$C:$AB, MATCH($AF10, 各隊total!$A:$A, 0), COLUMN(A9)), "")</f>
        <v>964</v>
      </c>
      <c r="AM10" s="1" t="str">
        <f t="array" ref="AM10">IFERROR(INDEX(各隊total!$D:$AB, MATCH($AF10, 各隊total!$A:$A, 0), COLUMN(A9)), "")</f>
        <v>139</v>
      </c>
      <c r="AN10" s="1" t="str">
        <f t="array" ref="AN10">IFERROR(INDEX(各隊total!$E:$AB, MATCH($AF10, 各隊total!$A:$A, 0), COLUMN(A9)), "")</f>
        <v>224</v>
      </c>
      <c r="AO10" s="1" t="str">
        <f t="array" ref="AO10">IFERROR(INDEX(各隊total!$F:$AB, MATCH($AF10, 各隊total!$A:$A, 0), COLUMN(A9)), "")</f>
        <v>38</v>
      </c>
      <c r="AP10" s="1" t="str">
        <f t="array" ref="AP10">IFERROR(INDEX(各隊total!$G:$AB, MATCH($AF10, 各隊total!$A:$A, 0), COLUMN(A9)), "")</f>
        <v>2</v>
      </c>
      <c r="AQ10" s="1" t="str">
        <f t="array" ref="AQ10">IFERROR(INDEX(各隊total!$H:$AB, MATCH($AF10, 各隊total!$A:$A, 0), COLUMN(A9)), "")</f>
        <v>38</v>
      </c>
      <c r="AR10" s="1" t="str">
        <f t="array" ref="AR10">IFERROR(INDEX(各隊total!$I:$AB, MATCH($AF10, 各隊total!$A:$A, 0), COLUMN(A9)), "")</f>
        <v>133</v>
      </c>
      <c r="AS10" s="1" t="str">
        <f t="array" ref="AS10">IFERROR(INDEX(各隊total!$J:$AB, MATCH($AF10, 各隊total!$A:$A, 0), COLUMN(A9)), "")</f>
        <v>380</v>
      </c>
      <c r="AT10" s="1" t="str">
        <f t="array" ref="AT10">IFERROR(INDEX(各隊total!$K:$AB, MATCH($AF10, 各隊total!$A:$A, 0), COLUMN(A9)), "")</f>
        <v>130</v>
      </c>
      <c r="AU10" s="1" t="str">
        <f t="array" ref="AU10">IFERROR(INDEX(各隊total!$L:$AB, MATCH($AF10, 各隊total!$A:$A, 0), COLUMN(A9)), "")</f>
        <v>286</v>
      </c>
      <c r="AV10" s="1" t="str">
        <f t="array" ref="AV10">IFERROR(INDEX(各隊total!$M:$AB, MATCH($AF10, 各隊total!$A:$A, 0), COLUMN(A9)), "")</f>
        <v>18</v>
      </c>
      <c r="AW10" s="1" t="str">
        <f t="array" ref="AW10">IFERROR(INDEX(各隊total!$N:$AB, MATCH($AF10, 各隊total!$A:$A, 0), COLUMN(A9)), "")</f>
        <v>.232</v>
      </c>
      <c r="AX10" s="1" t="str">
        <f t="array" ref="AX10">IFERROR(INDEX(各隊total!$O:$AB, MATCH($AF10, 各隊total!$A:$A, 0), COLUMN(A9)), "")</f>
        <v>.334</v>
      </c>
      <c r="AY10" s="1" t="str">
        <f t="array" ref="AY10">IFERROR(INDEX(各隊total!$P:$AB, MATCH($AF10, 各隊total!$A:$A, 0), COLUMN(A9)), "")</f>
        <v>.394</v>
      </c>
      <c r="AZ10" s="1" t="str">
        <f t="array" ref="AZ10">IFERROR(INDEX(各隊total!$Q:$AB, MATCH($AF10, 各隊total!$A:$A, 0), COLUMN(A9)), "")</f>
        <v>.728</v>
      </c>
      <c r="BA10" s="1">
        <f t="array" ref="BA10">IFERROR(INDEX(各隊total!$R:$AB, MATCH($AF10, 各隊total!$A:$A, 0), COLUMN(A9)), "")</f>
        <v>0</v>
      </c>
      <c r="BB10" s="1" t="str">
        <f t="array" ref="BB10">IFERROR(INDEX(各隊total!$S:$AB, MATCH($AF10, 各隊total!$A:$A, 0), COLUMN(A9)), "")</f>
        <v>131.6</v>
      </c>
      <c r="BC10" s="1" t="str">
        <f t="array" ref="BC10">IFERROR(INDEX(各隊total!$T:$AB, MATCH($AF10, 各隊total!$A:$A, 0), COLUMN(A9)), "")</f>
        <v>4.5</v>
      </c>
      <c r="BD10" s="1" t="str">
        <f t="array" ref="BD10">IFERROR(INDEX(各隊total!$U:$AB, MATCH($AF10, 各隊total!$A:$A, 0), COLUMN(A9)), "")</f>
        <v>.115</v>
      </c>
      <c r="BE10" s="1" t="str">
        <f t="array" ref="BE10">IFERROR(INDEX(各隊total!$V:$AB, MATCH($AF10, 各隊total!$A:$A, 0), COLUMN(A9)), "")</f>
        <v>0.45</v>
      </c>
      <c r="BF10" s="1" t="str">
        <f t="array" ref="BF10">IFERROR(INDEX(各隊total!$W:$AB, MATCH($AF10, 各隊total!$A:$A, 0), COLUMN(A9)), "")</f>
        <v>.162</v>
      </c>
      <c r="BG10" s="1" t="str">
        <f t="array" ref="BG10">IFERROR(INDEX(各隊total!$X:$AB, MATCH($AF10, 各隊total!$A:$A, 0), COLUMN(A9)), "")</f>
        <v>.310</v>
      </c>
      <c r="BH10" s="1" t="str">
        <f t="array" ref="BH10">IFERROR(INDEX(各隊total!$Y:$AB, MATCH($AF10, 各隊total!$A:$A, 0), COLUMN(A9)), "")</f>
        <v>4.03</v>
      </c>
      <c r="BI10" s="1" t="str">
        <f t="array" ref="BI10">IFERROR(INDEX(各隊total!$Z:$AB, MATCH($AF10, 各隊total!$A:$A, 0), COLUMN(A9)), "")</f>
        <v>78</v>
      </c>
      <c r="BJ10" s="1" t="str">
        <f t="array" ref="BJ10">IFERROR(INDEX(各隊total!$AA:$AB, MATCH($AF10, 各隊total!$A:$A, 0), COLUMN(A9)), "")</f>
        <v>1129</v>
      </c>
      <c r="BK10" s="1" t="str">
        <f t="array" ref="BK10">IFERROR(INDEX(各隊total!$AB:$AB, MATCH($AF10, 各隊total!$A:$A, 0), COLUMN(A9)), "")</f>
        <v>25.4</v>
      </c>
      <c r="BL10" s="1" t="str">
        <f t="array" ref="BL10">IFERROR(INDEX(各隊total!$C:$AB, MATCH($AF10, 各隊total!$A:$A, 0), COLUMN(AA9)), "")</f>
        <v/>
      </c>
      <c r="BM10" s="22">
        <v>0.29099999999999998</v>
      </c>
      <c r="BN10" s="19">
        <v>0.3</v>
      </c>
      <c r="BO10" s="23">
        <v>8</v>
      </c>
      <c r="BP10" s="22">
        <v>0.36099999999999999</v>
      </c>
      <c r="BQ10" s="19">
        <v>0.375</v>
      </c>
      <c r="BR10" s="23">
        <v>8</v>
      </c>
      <c r="BS10" s="22">
        <v>0.51100000000000001</v>
      </c>
      <c r="BT10" s="19">
        <v>0.55000000000000004</v>
      </c>
      <c r="BU10" s="23">
        <v>8</v>
      </c>
      <c r="BV10" s="22">
        <v>5.7</v>
      </c>
      <c r="BW10" s="19">
        <v>6</v>
      </c>
      <c r="BX10" s="23">
        <v>8</v>
      </c>
      <c r="BY10" s="22">
        <v>5.5</v>
      </c>
      <c r="BZ10" s="19">
        <v>5.8</v>
      </c>
      <c r="CA10" s="23">
        <v>8</v>
      </c>
      <c r="CB10" s="19" t="str">
        <f>AF6</f>
        <v>紅襪</v>
      </c>
      <c r="CC10" s="29"/>
      <c r="CD10" s="1" t="str">
        <f>AG6</f>
        <v>28</v>
      </c>
      <c r="CE10" s="1" t="str">
        <f t="shared" ref="CE10:DD10" si="6">AL6</f>
        <v>936</v>
      </c>
      <c r="CF10" s="1" t="str">
        <f t="shared" si="6"/>
        <v>117</v>
      </c>
      <c r="CG10" s="1" t="str">
        <f t="shared" si="6"/>
        <v>218</v>
      </c>
      <c r="CH10" s="1" t="str">
        <f t="shared" si="6"/>
        <v>50</v>
      </c>
      <c r="CI10" s="1" t="str">
        <f t="shared" si="6"/>
        <v>4</v>
      </c>
      <c r="CJ10" s="1" t="str">
        <f t="shared" si="6"/>
        <v>19</v>
      </c>
      <c r="CK10" s="1" t="str">
        <f t="shared" si="6"/>
        <v>112</v>
      </c>
      <c r="CL10" s="1" t="str">
        <f t="shared" si="6"/>
        <v>333</v>
      </c>
      <c r="CM10" s="1" t="str">
        <f t="shared" si="6"/>
        <v>95</v>
      </c>
      <c r="CN10" s="1" t="str">
        <f t="shared" si="6"/>
        <v>235</v>
      </c>
      <c r="CO10" s="1" t="str">
        <f t="shared" si="6"/>
        <v>20</v>
      </c>
      <c r="CP10" s="1" t="str">
        <f t="shared" si="6"/>
        <v>.233</v>
      </c>
      <c r="CQ10" s="1" t="str">
        <f t="shared" si="6"/>
        <v>.313</v>
      </c>
      <c r="CR10" s="1" t="str">
        <f t="shared" si="6"/>
        <v>.356</v>
      </c>
      <c r="CS10" s="1" t="str">
        <f t="shared" si="6"/>
        <v>.669</v>
      </c>
      <c r="CT10" s="1">
        <f t="shared" si="6"/>
        <v>0</v>
      </c>
      <c r="CU10" s="1" t="str">
        <f t="shared" si="6"/>
        <v>105.3</v>
      </c>
      <c r="CV10" s="1" t="str">
        <f t="shared" si="6"/>
        <v>3.8</v>
      </c>
      <c r="CW10" s="1" t="str">
        <f t="shared" si="6"/>
        <v>.090</v>
      </c>
      <c r="CX10" s="1" t="str">
        <f t="shared" si="6"/>
        <v>0.40</v>
      </c>
      <c r="CY10" s="1" t="str">
        <f t="shared" si="6"/>
        <v>.123</v>
      </c>
      <c r="CZ10" s="1" t="str">
        <f t="shared" si="6"/>
        <v>.239</v>
      </c>
      <c r="DA10" s="1" t="str">
        <f t="shared" si="6"/>
        <v>3.81</v>
      </c>
      <c r="DB10" s="1" t="str">
        <f t="shared" si="6"/>
        <v>73</v>
      </c>
      <c r="DC10" s="1" t="str">
        <f t="shared" si="6"/>
        <v>1054</v>
      </c>
      <c r="DD10" s="1" t="str">
        <f t="shared" si="6"/>
        <v>49.3</v>
      </c>
      <c r="DF10" s="35" t="str">
        <f>先發名單!K$2</f>
        <v>Jonny DeLuca</v>
      </c>
      <c r="DG10" s="4" t="str">
        <f t="array" ref="DG10">IFERROR(INDEX(球員狀態!$C$2:$C$5000, MATCH(1, (球員狀態!$A$2:$A$5000=$DF$1)*(ISNUMBER(SEARCH($DF10, 球員狀態!$B$2:$B$5000))), 0)), "")</f>
        <v>CF</v>
      </c>
      <c r="DJ10" s="4" t="str">
        <f t="array" ref="DJ10">IFERROR(INDEX(球員狀態!$F$2:$F$5000, MATCH(1, (球員狀態!$A$2:$A$5000=$DF$1)*(ISNUMBER(SEARCH($DF10, 球員狀態!$B$2:$B$5000))), 0)), "")</f>
        <v>12</v>
      </c>
      <c r="DK10" s="4" t="str">
        <f t="array" ref="DK10">IFERROR(INDEX(球員狀態!$G$2:$G$5000, MATCH(1, (球員狀態!$A$2:$A$5000=$DF$1)*(ISNUMBER(SEARCH($DF10, 球員狀態!$B$2:$B$5000))), 0)), "")</f>
        <v>16</v>
      </c>
      <c r="DL10" s="4" t="str">
        <f t="array" ref="DL10">IFERROR(INDEX(球員狀態!H$2:H$5000, MATCH(1, (球員狀態!$A$2:$A$5000=$DF$1)*(ISNUMBER(SEARCH($DF10, 球員狀態!$B$2:$B$5000))), 0)), "")</f>
        <v>5</v>
      </c>
      <c r="DM10" s="4" t="str">
        <f t="array" ref="DM10">IFERROR(INDEX(球員狀態!I$2:I$5000, MATCH(1, (球員狀態!$A$2:$A$5000=$DF$1)*(ISNUMBER(SEARCH($DF10, 球員狀態!$B$2:$B$5000))), 0)), "")</f>
        <v>0</v>
      </c>
      <c r="DN10" s="4" t="str">
        <f t="array" ref="DN10">IFERROR(INDEX(球員狀態!J$2:J$5000, MATCH(1, (球員狀態!$A$2:$A$5000=$DF$1)*(ISNUMBER(SEARCH($DF10, 球員狀態!$B$2:$B$5000))), 0)), "")</f>
        <v>2</v>
      </c>
      <c r="DO10" s="4" t="str">
        <f t="array" ref="DO10">IFERROR(INDEX(球員狀態!K$2:K$5000, MATCH(1, (球員狀態!$A$2:$A$5000=$DF$1)*(ISNUMBER(SEARCH($DF10, 球員狀態!$B$2:$B$5000))), 0)), "")</f>
        <v>13</v>
      </c>
      <c r="DP10" s="4" t="str">
        <f t="array" ref="DP10">IFERROR(INDEX(球員狀態!L$2:L$5000, MATCH(1, (球員狀態!$A$2:$A$5000=$DF$1)*(ISNUMBER(SEARCH($DF10, 球員狀態!$B$2:$B$5000))), 0)), "")</f>
        <v>27</v>
      </c>
      <c r="DQ10" s="4" t="str">
        <f t="array" ref="DQ10">IFERROR(INDEX(球員狀態!M$2:M$5000, MATCH(1, (球員狀態!$A$2:$A$5000=$DF$1)*(ISNUMBER(SEARCH($DF10, 球員狀態!$B$2:$B$5000))), 0)), "")</f>
        <v>3</v>
      </c>
      <c r="DR10" s="4" t="str">
        <f t="array" ref="DR10">IFERROR(INDEX(球員狀態!N$2:N$5000, MATCH(1, (球員狀態!$A$2:$A$5000=$DF$1)*(ISNUMBER(SEARCH($DF10, 球員狀態!$B$2:$B$5000))), 0)), "")</f>
        <v>10</v>
      </c>
      <c r="DS10" s="4" t="str">
        <f t="array" ref="DS10">IFERROR(INDEX(球員狀態!O$2:O$5000, MATCH(1, (球員狀態!$A$2:$A$5000=$DF$1)*(ISNUMBER(SEARCH($DF10, 球員狀態!$B$2:$B$5000))), 0)), "")</f>
        <v>2</v>
      </c>
      <c r="DT10" s="4" t="str">
        <f t="array" ref="DT10">IFERROR(INDEX(球員狀態!P$2:P$5000, MATCH(1, (球員狀態!$A$2:$A$5000=$DF$1)*(ISNUMBER(SEARCH($DF10, 球員狀態!$B$2:$B$5000))), 0)), "")</f>
        <v>.286</v>
      </c>
      <c r="DU10" s="4" t="str">
        <f t="array" ref="DU10">IFERROR(INDEX(球員狀態!Q$2:Q$5000, MATCH(1, (球員狀態!$A$2:$A$5000=$DF$1)*(ISNUMBER(SEARCH($DF10, 球員狀態!$B$2:$B$5000))), 0)), "")</f>
        <v>.322</v>
      </c>
      <c r="DV10" s="4" t="str">
        <f t="array" ref="DV10">IFERROR(INDEX(球員狀態!R$2:R$5000, MATCH(1, (球員狀態!$A$2:$A$5000=$DF$1)*(ISNUMBER(SEARCH($DF10, 球員狀態!$B$2:$B$5000))), 0)), "")</f>
        <v>.482</v>
      </c>
      <c r="DW10" s="4" t="str">
        <f t="array" ref="DW10">IFERROR(INDEX(球員狀態!S$2:S$5000, MATCH(1, (球員狀態!$A$2:$A$5000=$DF$1)*(ISNUMBER(SEARCH($DF10, 球員狀態!$B$2:$B$5000))), 0)), "")</f>
        <v>.804</v>
      </c>
      <c r="DX10" s="4" t="str">
        <f t="array" ref="DX10">IFERROR(INDEX(球員狀態!T$2:T$5000, MATCH(1, (球員狀態!$A$2:$A$5000=$DF$1)*(ISNUMBER(SEARCH($DF10, 球員狀態!$B$2:$B$5000))), 0)), "")</f>
        <v>0.3</v>
      </c>
      <c r="DY10" s="4" t="str">
        <f t="array" ref="DY10">IFERROR(INDEX(球員狀態!U$2:U$5000, MATCH(1, (球員狀態!$A$2:$A$5000=$DF$1)*(ISNUMBER(SEARCH($DF10, 球員狀態!$B$2:$B$5000))), 0)), "")</f>
        <v>7.6</v>
      </c>
      <c r="DZ10" s="4" t="str">
        <f t="array" ref="DZ10">IFERROR(INDEX(球員狀態!V$2:V$5000, MATCH(1, (球員狀態!$A$2:$A$5000=$DF$1)*(ISNUMBER(SEARCH($DF10, 球員狀態!$B$2:$B$5000))), 0)), "")</f>
        <v>4.7</v>
      </c>
      <c r="EA10" s="4" t="str">
        <f t="array" ref="EA10">IFERROR(INDEX(球員狀態!W$2:W$5000, MATCH(1, (球員狀態!$A$2:$A$5000=$DF$1)*(ISNUMBER(SEARCH($DF10, 球員狀態!$B$2:$B$5000))), 0)), "")</f>
        <v>.051</v>
      </c>
      <c r="EB10" s="4" t="str">
        <f t="array" ref="EB10">IFERROR(INDEX(球員狀態!X$2:X$5000, MATCH(1, (球員狀態!$A$2:$A$5000=$DF$1)*(ISNUMBER(SEARCH($DF10, 球員狀態!$B$2:$B$5000))), 0)), "")</f>
        <v>0.30</v>
      </c>
      <c r="EC10" s="4" t="str">
        <f t="array" ref="EC10">IFERROR(INDEX(球員狀態!Y$2:Y$5000, MATCH(1, (球員狀態!$A$2:$A$5000=$DF$1)*(ISNUMBER(SEARCH($DF10, 球員狀態!$B$2:$B$5000))), 0)), "")</f>
        <v>.196</v>
      </c>
      <c r="ED10" s="4" t="str">
        <f t="array" ref="ED10">IFERROR(INDEX(球員狀態!Z$2:Z$5000, MATCH(1, (球員狀態!$A$2:$A$5000=$DF$1)*(ISNUMBER(SEARCH($DF10, 球員狀態!$B$2:$B$5000))), 0)), "")</f>
        <v>.268</v>
      </c>
      <c r="EE10" s="4" t="str">
        <f t="array" ref="EE10">IFERROR(INDEX(球員狀態!AA$2:AA$5000, MATCH(1, (球員狀態!$A$2:$A$5000=$DF$1)*(ISNUMBER(SEARCH($DF10, 球員狀態!$B$2:$B$5000))), 0)), "")</f>
        <v>3.41</v>
      </c>
      <c r="EF10" s="4" t="str">
        <f t="array" ref="EF10">IFERROR(INDEX(球員狀態!AB$2:AB$5000, MATCH(1, (球員狀態!$A$2:$A$5000=$DF$1)*(ISNUMBER(SEARCH($DF10, 球員狀態!$B$2:$B$5000))), 0)), "")</f>
        <v>7</v>
      </c>
      <c r="EG10" s="56"/>
      <c r="EI10" s="35" t="str">
        <f>先發名單!S$2</f>
        <v>Rhys Hoskins</v>
      </c>
      <c r="EJ10" s="4" t="str">
        <f t="array" ref="EJ10">IFERROR(INDEX(球員狀態!$C$2:$C$5000, MATCH(1, (球員狀態!$A$2:$A$5000=$EI$1)*(ISNUMBER(SEARCH($EI10, 球員狀態!$B$2:$B$5000))), 0)), "")</f>
        <v>1B</v>
      </c>
      <c r="EM10" s="4" t="str">
        <f t="array" ref="EM10">IFERROR(INDEX(球員狀態!F$2:F$5000, MATCH(1, (球員狀態!$A$2:$A$5000=$EI$1)*(ISNUMBER(SEARCH($EI10, 球員狀態!$B$2:$B$5000))), 0)), "")</f>
        <v>12</v>
      </c>
      <c r="EN10" s="4" t="str">
        <f t="array" ref="EN10">IFERROR(INDEX(球員狀態!G$2:G$5000, MATCH(1, (球員狀態!$A$2:$A$5000=$EI$1)*(ISNUMBER(SEARCH($EI10, 球員狀態!$B$2:$B$5000))), 0)), "")</f>
        <v>14</v>
      </c>
      <c r="EO10" s="4" t="str">
        <f t="array" ref="EO10">IFERROR(INDEX(球員狀態!H$2:H$5000, MATCH(1, (球員狀態!$A$2:$A$5000=$EI$1)*(ISNUMBER(SEARCH($EI10, 球員狀態!$B$2:$B$5000))), 0)), "")</f>
        <v>5</v>
      </c>
      <c r="EP10" s="4" t="str">
        <f t="array" ref="EP10">IFERROR(INDEX(球員狀態!I$2:I$5000, MATCH(1, (球員狀態!$A$2:$A$5000=$EI$1)*(ISNUMBER(SEARCH($EI10, 球員狀態!$B$2:$B$5000))), 0)), "")</f>
        <v>0</v>
      </c>
      <c r="EQ10" s="4" t="str">
        <f t="array" ref="EQ10">IFERROR(INDEX(球員狀態!J$2:J$5000, MATCH(1, (球員狀態!$A$2:$A$5000=$EI$1)*(ISNUMBER(SEARCH($EI10, 球員狀態!$B$2:$B$5000))), 0)), "")</f>
        <v>1</v>
      </c>
      <c r="ER10" s="4" t="str">
        <f t="array" ref="ER10">IFERROR(INDEX(球員狀態!K$2:K$5000, MATCH(1, (球員狀態!$A$2:$A$5000=$EI$1)*(ISNUMBER(SEARCH($EI10, 球員狀態!$B$2:$B$5000))), 0)), "")</f>
        <v>6</v>
      </c>
      <c r="ES10" s="4" t="str">
        <f t="array" ref="ES10">IFERROR(INDEX(球員狀態!L$2:L$5000, MATCH(1, (球員狀態!$A$2:$A$5000=$EI$1)*(ISNUMBER(SEARCH($EI10, 球員狀態!$B$2:$B$5000))), 0)), "")</f>
        <v>22</v>
      </c>
      <c r="ET10" s="4" t="str">
        <f t="array" ref="ET10">IFERROR(INDEX(球員狀態!M$2:M$5000, MATCH(1, (球員狀態!$A$2:$A$5000=$EI$1)*(ISNUMBER(SEARCH($EI10, 球員狀態!$B$2:$B$5000))), 0)), "")</f>
        <v>15</v>
      </c>
      <c r="EU10" s="4" t="str">
        <f t="array" ref="EU10">IFERROR(INDEX(球員狀態!N$2:N$5000, MATCH(1, (球員狀態!$A$2:$A$5000=$EI$1)*(ISNUMBER(SEARCH($EI10, 球員狀態!$B$2:$B$5000))), 0)), "")</f>
        <v>23</v>
      </c>
      <c r="EV10" s="4" t="str">
        <f t="array" ref="EV10">IFERROR(INDEX(球員狀態!O$2:O$5000, MATCH(1, (球員狀態!$A$2:$A$5000=$EI$1)*(ISNUMBER(SEARCH($EI10, 球員狀態!$B$2:$B$5000))), 0)), "")</f>
        <v>0</v>
      </c>
      <c r="EW10" s="4" t="str">
        <f t="array" ref="EW10">IFERROR(INDEX(球員狀態!P$2:P$5000, MATCH(1, (球員狀態!$A$2:$A$5000=$EI$1)*(ISNUMBER(SEARCH($EI10, 球員狀態!$B$2:$B$5000))), 0)), "")</f>
        <v>.212</v>
      </c>
      <c r="EX10" s="4" t="str">
        <f t="array" ref="EX10">IFERROR(INDEX(球員狀態!Q$2:Q$5000, MATCH(1, (球員狀態!$A$2:$A$5000=$EI$1)*(ISNUMBER(SEARCH($EI10, 球員狀態!$B$2:$B$5000))), 0)), "")</f>
        <v>.358</v>
      </c>
      <c r="EY10" s="4" t="str">
        <f t="array" ref="EY10">IFERROR(INDEX(球員狀態!R$2:R$5000, MATCH(1, (球員狀態!$A$2:$A$5000=$EI$1)*(ISNUMBER(SEARCH($EI10, 球員狀態!$B$2:$B$5000))), 0)), "")</f>
        <v>.333</v>
      </c>
      <c r="EZ10" s="4" t="str">
        <f t="array" ref="EZ10">IFERROR(INDEX(球員狀態!S$2:S$5000, MATCH(1, (球員狀態!$A$2:$A$5000=$EI$1)*(ISNUMBER(SEARCH($EI10, 球員狀態!$B$2:$B$5000))), 0)), "")</f>
        <v>.691</v>
      </c>
      <c r="FA10" s="4" t="str">
        <f t="array" ref="FA10">IFERROR(INDEX(球員狀態!T$2:T$5000, MATCH(1, (球員狀態!$A$2:$A$5000=$EI$1)*(ISNUMBER(SEARCH($EI10, 球員狀態!$B$2:$B$5000))), 0)), "")</f>
        <v>-0.1</v>
      </c>
      <c r="FB10" s="4" t="str">
        <f t="array" ref="FB10">IFERROR(INDEX(球員狀態!U$2:U$5000, MATCH(1, (球員狀態!$A$2:$A$5000=$EI$1)*(ISNUMBER(SEARCH($EI10, 球員狀態!$B$2:$B$5000))), 0)), "")</f>
        <v>8.9</v>
      </c>
      <c r="FC10" s="4" t="str">
        <f t="array" ref="FC10">IFERROR(INDEX(球員狀態!V$2:V$5000, MATCH(1, (球員狀態!$A$2:$A$5000=$EI$1)*(ISNUMBER(SEARCH($EI10, 球員狀態!$B$2:$B$5000))), 0)), "")</f>
        <v>4.5</v>
      </c>
      <c r="FD10" s="4" t="str">
        <f t="array" ref="FD10">IFERROR(INDEX(球員狀態!W$2:W$5000, MATCH(1, (球員狀態!$A$2:$A$5000=$EI$1)*(ISNUMBER(SEARCH($EI10, 球員狀態!$B$2:$B$5000))), 0)), "")</f>
        <v>.185</v>
      </c>
      <c r="FE10" s="4" t="str">
        <f t="array" ref="FE10">IFERROR(INDEX(球員狀態!X$2:X$5000, MATCH(1, (球員狀態!$A$2:$A$5000=$EI$1)*(ISNUMBER(SEARCH($EI10, 球員狀態!$B$2:$B$5000))), 0)), "")</f>
        <v>0.65</v>
      </c>
      <c r="FF10" s="4" t="str">
        <f t="array" ref="FF10">IFERROR(INDEX(球員狀態!Y$2:Y$5000, MATCH(1, (球員狀態!$A$2:$A$5000=$EI$1)*(ISNUMBER(SEARCH($EI10, 球員狀態!$B$2:$B$5000))), 0)), "")</f>
        <v>.121</v>
      </c>
      <c r="FG10" s="4" t="str">
        <f t="array" ref="FG10">IFERROR(INDEX(球員狀態!Z$2:Z$5000, MATCH(1, (球員狀態!$A$2:$A$5000=$EI$1)*(ISNUMBER(SEARCH($EI10, 球員狀態!$B$2:$B$5000))), 0)), "")</f>
        <v>.348</v>
      </c>
      <c r="FH10" s="4" t="str">
        <f t="array" ref="FH10">IFERROR(INDEX(球員狀態!AA$2:AA$5000, MATCH(1, (球員狀態!$A$2:$A$5000=$EI$1)*(ISNUMBER(SEARCH($EI10, 球員狀態!$B$2:$B$5000))), 0)), "")</f>
        <v>4.52</v>
      </c>
      <c r="FI10" s="4" t="str">
        <f t="array" ref="FI10">IFERROR(INDEX(球員狀態!AB$2:AB$5000, MATCH(1, (球員狀態!$A$2:$A$5000=$EI$1)*(ISNUMBER(SEARCH($EI10, 球員狀態!$B$2:$B$5000))), 0)), "")</f>
        <v>6</v>
      </c>
      <c r="FK10" s="22">
        <v>20.100000000000001</v>
      </c>
      <c r="FL10" s="19">
        <v>24</v>
      </c>
      <c r="FM10" s="23">
        <v>8</v>
      </c>
      <c r="FN10" s="22">
        <v>9.6</v>
      </c>
      <c r="FO10" s="19">
        <v>11</v>
      </c>
      <c r="FP10" s="23">
        <v>8</v>
      </c>
      <c r="FQ10" s="22">
        <v>8.3000000000000007</v>
      </c>
      <c r="FR10" s="19">
        <v>9.5</v>
      </c>
      <c r="FS10" s="23">
        <v>8</v>
      </c>
      <c r="FT10" s="22">
        <v>1.71</v>
      </c>
      <c r="FU10" s="19">
        <v>2</v>
      </c>
      <c r="FV10" s="23">
        <v>8</v>
      </c>
      <c r="FW10" s="22">
        <v>1.81</v>
      </c>
      <c r="FX10" s="19">
        <v>2.2000000000000002</v>
      </c>
      <c r="FY10" s="23">
        <v>8</v>
      </c>
    </row>
    <row r="11" spans="1:181">
      <c r="A11" s="4">
        <v>9</v>
      </c>
      <c r="B11" s="1" t="e">
        <v>#N/A</v>
      </c>
      <c r="C11" s="1" t="e">
        <v>#N/A</v>
      </c>
      <c r="D11" s="1" t="e">
        <v>#N/A</v>
      </c>
      <c r="E11" s="1" t="e">
        <v>#N/A</v>
      </c>
      <c r="F11" s="1" t="e">
        <v>#N/A</v>
      </c>
      <c r="G11" s="16" t="e">
        <v>#N/A</v>
      </c>
      <c r="H11" s="1" t="e">
        <v>#N/A</v>
      </c>
      <c r="I11" s="1" t="e">
        <v>#N/A</v>
      </c>
      <c r="J11" s="1" t="e">
        <v>#N/A</v>
      </c>
      <c r="K11" s="16" t="e">
        <v>#N/A</v>
      </c>
      <c r="L11" s="1" t="str">
        <f t="array" ref="L11">IFERROR(SUBSTITUTE(INDEX(正負盤!$6:$20, ROW(A8), MATCH(1, (MONTH(正負盤!$4:$4)=MONTH(DATE(LEFT($A$1,4),MID($A$1,5,2),RIGHT($A$1,2))-10))*(DAY(正負盤!$4:$4)=DAY(DATE(LEFT($A$1,4),MID($A$1,5,2),RIGHT($A$1,2))-10)), 0)), 0, "-"), "")</f>
        <v>O</v>
      </c>
      <c r="M11" s="1" t="str">
        <f t="array" ref="M11">IFERROR(SUBSTITUTE(INDEX(正負盤!$6:$20, ROW(A8), MATCH(1, (MONTH(正負盤!$4:$4)=MONTH(DATE(LEFT($A$1,4),MID($A$1,5,2),RIGHT($A$1,2))-9))*(DAY(正負盤!$4:$4)=DAY(DATE(LEFT($A$1,4),MID($A$1,5,2),RIGHT($A$1,2))-9)), 0)), 0, "-"), "")</f>
        <v>O</v>
      </c>
      <c r="N11" s="1" t="str">
        <f t="array" ref="N11">IFERROR(SUBSTITUTE(INDEX(正負盤!$6:$20, ROW(A8), MATCH(1, (MONTH(正負盤!$4:$4)=MONTH(DATE(LEFT($A$1,4),MID($A$1,5,2),RIGHT($A$1,2))-8))*(DAY(正負盤!$4:$4)=DAY(DATE(LEFT($A$1,4),MID($A$1,5,2),RIGHT($A$1,2))-8)), 0)), 0, "-"), "")</f>
        <v>X</v>
      </c>
      <c r="O11" s="1" t="str">
        <f t="array" ref="O11">IFERROR(SUBSTITUTE(INDEX(正負盤!$6:$20, ROW(A8), MATCH(1, (MONTH(正負盤!$4:$4)=MONTH(DATE(LEFT($A$1,4),MID($A$1,5,2),RIGHT($A$1,2))-7))*(DAY(正負盤!$4:$4)=DAY(DATE(LEFT($A$1,4),MID($A$1,5,2),RIGHT($A$1,2))-7)), 0)), 0, "-"), "")</f>
        <v>O</v>
      </c>
      <c r="P11" s="1" t="str">
        <f t="array" ref="P11">IFERROR(SUBSTITUTE(INDEX(正負盤!$6:$20, ROW(A8), MATCH(1, (MONTH(正負盤!$4:$4)=MONTH(DATE(LEFT($A$1,4),MID($A$1,5,2),RIGHT($A$1,2))-6))*(DAY(正負盤!$4:$4)=DAY(DATE(LEFT($A$1,4),MID($A$1,5,2),RIGHT($A$1,2))-6)), 0)), 0, "-"), "")</f>
        <v>X</v>
      </c>
      <c r="Q11" s="1" t="str">
        <f t="array" ref="Q11">IFERROR(SUBSTITUTE(INDEX(正負盤!$6:$20, ROW(A8), MATCH(1, (MONTH(正負盤!$4:$4)=MONTH(DATE(LEFT($A$1,4),MID($A$1,5,2),RIGHT($A$1,2))-5))*(DAY(正負盤!$4:$4)=DAY(DATE(LEFT($A$1,4),MID($A$1,5,2),RIGHT($A$1,2))-5)), 0)), 0, "-"), "")</f>
        <v/>
      </c>
      <c r="R11" s="1" t="str">
        <f t="array" ref="R11">IFERROR(SUBSTITUTE(INDEX(正負盤!$6:$20, ROW(A8), MATCH(1, (MONTH(正負盤!$4:$4)=MONTH(DATE(LEFT($A$1,4),MID($A$1,5,2),RIGHT($A$1,2))-4))*(DAY(正負盤!$4:$4)=DAY(DATE(LEFT($A$1,4),MID($A$1,5,2),RIGHT($A$1,2))-4)), 0)), 0, "-"), "")</f>
        <v>X</v>
      </c>
      <c r="S11" s="1" t="str">
        <f t="array" ref="S11">IFERROR(SUBSTITUTE(INDEX(正負盤!$6:$20, ROW(A8), MATCH(1, (MONTH(正負盤!$4:$4)=MONTH(DATE(LEFT($A$1,4),MID($A$1,5,2),RIGHT($A$1,2))-3))*(DAY(正負盤!$4:$4)=DAY(DATE(LEFT($A$1,4),MID($A$1,5,2),RIGHT($A$1,2))-3)), 0)), 0, "-"), "")</f>
        <v>X</v>
      </c>
      <c r="T11" s="1" t="str">
        <f t="array" ref="T11">IFERROR(SUBSTITUTE(INDEX(正負盤!$6:$20, ROW(A8), MATCH(1, (MONTH(正負盤!$4:$4)=MONTH(DATE(LEFT($A$1,4),MID($A$1,5,2),RIGHT($A$1,2))-2))*(DAY(正負盤!$4:$4)=DAY(DATE(LEFT($A$1,4),MID($A$1,5,2),RIGHT($A$1,2))-2)), 0)), 0, "-"), "")</f>
        <v>X</v>
      </c>
      <c r="U11" s="1" t="str">
        <f t="array" ref="U11">IFERROR(SUBSTITUTE(INDEX(正負盤!$6:$20, ROW(A8), MATCH(1, (MONTH(正負盤!$4:$4)=MONTH(DATE(LEFT($A$1,4),MID($A$1,5,2),RIGHT($A$1,2))-1))*(DAY(正負盤!$4:$4)=DAY(DATE(LEFT($A$1,4),MID($A$1,5,2),RIGHT($A$1,2))-1)), 0)), 0, "-"), "")</f>
        <v>X</v>
      </c>
      <c r="V11" s="78"/>
      <c r="W11" t="str">
        <f>I7</f>
        <v>白襪</v>
      </c>
      <c r="X11" s="17" t="str">
        <f t="array" aca="1" ref="X11" ca="1">_xlfn.LET(_xlpm.s,SUBSTITUTE(Y11,".",""),_xlpm.c,RIGHT(_xlpm.s,1),_xlpm.n,ROW(INDIRECT("1:"&amp;LEN(_xlpm.s))),_xlpm.cnt,MAX(IF(RIGHT(_xlpm.s,_xlpm.n)=REPT(_xlpm.c,_xlpm.n),_xlpm.n,0)),IF(_xlpm.cnt&gt;=2,_xlpm.cnt&amp;"連"&amp;_xlpm.c,"1"&amp;_xlpm.c))</f>
        <v>2連X</v>
      </c>
      <c r="Y11" s="82" t="str">
        <f t="array" ref="Y11">INDEX(各隊正負!$F:$F, MATCH("*"&amp;$W11&amp;"*", 各隊正負!$A:$A, 0)+6)</f>
        <v>X.X.O.O.O.O.O.O.X.X</v>
      </c>
      <c r="Z11" s="100"/>
      <c r="AA11" s="100"/>
      <c r="AB11" s="82" t="str">
        <f t="array" ref="AB11">INDEX(各隊正負!$F:$F, MATCH("*"&amp;$W11&amp;"*", 各隊正負!$A:$A, 0)+4)</f>
        <v>L.L.W.L.W.W.W.W.L.L</v>
      </c>
      <c r="AC11" s="78"/>
      <c r="AD11" s="78"/>
      <c r="AE11" s="1" t="str">
        <f t="array" aca="1" ref="AE11" ca="1">_xlfn.LET(_xlpm.s,SUBSTITUTE(AB11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1" s="19" t="str">
        <f>I7</f>
        <v>白襪</v>
      </c>
      <c r="AG11" s="1" t="str">
        <f t="array" ref="AG11">IFERROR(INDEX(各隊total!$B:$AB, MATCH($AF11, 各隊total!$A:$A, 0), COLUMN(A10)), "")</f>
        <v>28</v>
      </c>
      <c r="AH11" s="32">
        <f>CB21</f>
        <v>3.65</v>
      </c>
      <c r="AI11" s="61" t="str">
        <f t="shared" si="0"/>
        <v>B-</v>
      </c>
      <c r="AJ11" s="6">
        <f>CC21</f>
        <v>4</v>
      </c>
      <c r="AK11" s="60" t="str">
        <f t="shared" si="1"/>
        <v>B-</v>
      </c>
      <c r="AL11" s="1" t="str">
        <f t="array" ref="AL11">IFERROR(INDEX(各隊total!$C:$AB, MATCH($AF11, 各隊total!$A:$A, 0), COLUMN(A10)), "")</f>
        <v>924</v>
      </c>
      <c r="AM11" s="1" t="str">
        <f t="array" ref="AM11">IFERROR(INDEX(各隊total!$D:$AB, MATCH($AF11, 各隊total!$A:$A, 0), COLUMN(A10)), "")</f>
        <v>113</v>
      </c>
      <c r="AN11" s="1" t="str">
        <f t="array" ref="AN11">IFERROR(INDEX(各隊total!$E:$AB, MATCH($AF11, 各隊total!$A:$A, 0), COLUMN(A10)), "")</f>
        <v>205</v>
      </c>
      <c r="AO11" s="1" t="str">
        <f t="array" ref="AO11">IFERROR(INDEX(各隊total!$F:$AB, MATCH($AF11, 各隊total!$A:$A, 0), COLUMN(A10)), "")</f>
        <v>31</v>
      </c>
      <c r="AP11" s="1" t="str">
        <f t="array" ref="AP11">IFERROR(INDEX(各隊total!$G:$AB, MATCH($AF11, 各隊total!$A:$A, 0), COLUMN(A10)), "")</f>
        <v>5</v>
      </c>
      <c r="AQ11" s="1" t="str">
        <f t="array" ref="AQ11">IFERROR(INDEX(各隊total!$H:$AB, MATCH($AF11, 各隊total!$A:$A, 0), COLUMN(A10)), "")</f>
        <v>33</v>
      </c>
      <c r="AR11" s="1" t="str">
        <f t="array" ref="AR11">IFERROR(INDEX(各隊total!$I:$AB, MATCH($AF11, 各隊total!$A:$A, 0), COLUMN(A10)), "")</f>
        <v>103</v>
      </c>
      <c r="AS11" s="1" t="str">
        <f t="array" ref="AS11">IFERROR(INDEX(各隊total!$J:$AB, MATCH($AF11, 各隊total!$A:$A, 0), COLUMN(A10)), "")</f>
        <v>345</v>
      </c>
      <c r="AT11" s="1" t="str">
        <f t="array" ref="AT11">IFERROR(INDEX(各隊total!$K:$AB, MATCH($AF11, 各隊total!$A:$A, 0), COLUMN(A10)), "")</f>
        <v>111</v>
      </c>
      <c r="AU11" s="1" t="str">
        <f t="array" ref="AU11">IFERROR(INDEX(各隊total!$L:$AB, MATCH($AF11, 各隊total!$A:$A, 0), COLUMN(A10)), "")</f>
        <v>264</v>
      </c>
      <c r="AV11" s="1" t="str">
        <f t="array" ref="AV11">IFERROR(INDEX(各隊total!$M:$AB, MATCH($AF11, 各隊total!$A:$A, 0), COLUMN(A10)), "")</f>
        <v>23</v>
      </c>
      <c r="AW11" s="1" t="str">
        <f t="array" ref="AW11">IFERROR(INDEX(各隊total!$N:$AB, MATCH($AF11, 各隊total!$A:$A, 0), COLUMN(A10)), "")</f>
        <v>.222</v>
      </c>
      <c r="AX11" s="1" t="str">
        <f t="array" ref="AX11">IFERROR(INDEX(各隊total!$O:$AB, MATCH($AF11, 各隊total!$A:$A, 0), COLUMN(A10)), "")</f>
        <v>.315</v>
      </c>
      <c r="AY11" s="1" t="str">
        <f t="array" ref="AY11">IFERROR(INDEX(各隊total!$P:$AB, MATCH($AF11, 各隊total!$A:$A, 0), COLUMN(A10)), "")</f>
        <v>.373</v>
      </c>
      <c r="AZ11" s="1" t="str">
        <f t="array" ref="AZ11">IFERROR(INDEX(各隊total!$Q:$AB, MATCH($AF11, 各隊total!$A:$A, 0), COLUMN(A10)), "")</f>
        <v>.689</v>
      </c>
      <c r="BA11" s="1">
        <f t="array" ref="BA11">IFERROR(INDEX(各隊total!$R:$AB, MATCH($AF11, 各隊total!$A:$A, 0), COLUMN(A10)), "")</f>
        <v>0</v>
      </c>
      <c r="BB11" s="1" t="str">
        <f t="array" ref="BB11">IFERROR(INDEX(各隊total!$S:$AB, MATCH($AF11, 各隊total!$A:$A, 0), COLUMN(A10)), "")</f>
        <v>114.2</v>
      </c>
      <c r="BC11" s="1" t="str">
        <f t="array" ref="BC11">IFERROR(INDEX(各隊total!$T:$AB, MATCH($AF11, 各隊total!$A:$A, 0), COLUMN(A10)), "")</f>
        <v>4.0</v>
      </c>
      <c r="BD11" s="1" t="str">
        <f t="array" ref="BD11">IFERROR(INDEX(各隊total!$U:$AB, MATCH($AF11, 各隊total!$A:$A, 0), COLUMN(A10)), "")</f>
        <v>.103</v>
      </c>
      <c r="BE11" s="1" t="str">
        <f t="array" ref="BE11">IFERROR(INDEX(各隊total!$V:$AB, MATCH($AF11, 各隊total!$A:$A, 0), COLUMN(A10)), "")</f>
        <v>0.42</v>
      </c>
      <c r="BF11" s="1" t="str">
        <f t="array" ref="BF11">IFERROR(INDEX(各隊total!$W:$AB, MATCH($AF11, 各隊total!$A:$A, 0), COLUMN(A10)), "")</f>
        <v>.152</v>
      </c>
      <c r="BG11" s="1" t="str">
        <f t="array" ref="BG11">IFERROR(INDEX(各隊total!$X:$AB, MATCH($AF11, 各隊total!$A:$A, 0), COLUMN(A10)), "")</f>
        <v>.289</v>
      </c>
      <c r="BH11" s="1" t="str">
        <f t="array" ref="BH11">IFERROR(INDEX(各隊total!$Y:$AB, MATCH($AF11, 各隊total!$A:$A, 0), COLUMN(A10)), "")</f>
        <v>3.85</v>
      </c>
      <c r="BI11" s="1" t="str">
        <f t="array" ref="BI11">IFERROR(INDEX(各隊total!$Z:$AB, MATCH($AF11, 各隊total!$A:$A, 0), COLUMN(A10)), "")</f>
        <v>69</v>
      </c>
      <c r="BJ11" s="1" t="str">
        <f t="array" ref="BJ11">IFERROR(INDEX(各隊total!$AA:$AB, MATCH($AF11, 各隊total!$A:$A, 0), COLUMN(A10)), "")</f>
        <v>1073</v>
      </c>
      <c r="BK11" s="1" t="str">
        <f t="array" ref="BK11">IFERROR(INDEX(各隊total!$AB:$AB, MATCH($AF11, 各隊total!$A:$A, 0), COLUMN(A10)), "")</f>
        <v>28.0</v>
      </c>
      <c r="BL11" s="1" t="str">
        <f t="array" ref="BL11">IFERROR(INDEX(各隊total!$C:$AB, MATCH($AF11, 各隊total!$A:$A, 0), COLUMN(AA10)), "")</f>
        <v/>
      </c>
      <c r="BM11" s="22">
        <v>0.30099999999999999</v>
      </c>
      <c r="BN11" s="19">
        <v>0.31</v>
      </c>
      <c r="BO11" s="23">
        <v>9</v>
      </c>
      <c r="BP11" s="22">
        <v>0.376</v>
      </c>
      <c r="BQ11" s="19">
        <v>0.39500000000000002</v>
      </c>
      <c r="BR11" s="23">
        <v>9</v>
      </c>
      <c r="BS11" s="22">
        <v>0.55100000000000005</v>
      </c>
      <c r="BT11" s="19">
        <v>0.6</v>
      </c>
      <c r="BU11" s="23">
        <v>9</v>
      </c>
      <c r="BV11" s="22">
        <v>6.1</v>
      </c>
      <c r="BW11" s="19">
        <v>6.5</v>
      </c>
      <c r="BX11" s="23">
        <v>9</v>
      </c>
      <c r="BY11" s="22">
        <v>5.9</v>
      </c>
      <c r="BZ11" s="19">
        <v>6.3</v>
      </c>
      <c r="CA11" s="23">
        <v>9</v>
      </c>
      <c r="CB11" s="28">
        <f>CF11+CJ11+CK11+CM11+CO11+CP11+CQ11+CR11</f>
        <v>3.1</v>
      </c>
      <c r="CC11" s="31">
        <f>CU11+CV11+CY11+CZ11+DA11</f>
        <v>2.6999999999999997</v>
      </c>
      <c r="CD11" s="58"/>
      <c r="CE11" s="1"/>
      <c r="CF11" s="27">
        <f>VLOOKUP(ROUND(CF10/CD10, 2), $BV$2:$BX$12, 3, TRUE)*BX$1</f>
        <v>0.44999999999999996</v>
      </c>
      <c r="CG11" s="58"/>
      <c r="CH11" s="58"/>
      <c r="CI11" s="58"/>
      <c r="CJ11" s="27">
        <f>VLOOKUP(ROUND(CJ10/CD10, 2), $BM$15:$BO$25, 3, TRUE)*BO$14</f>
        <v>0.1</v>
      </c>
      <c r="CK11" s="27">
        <f>VLOOKUP(ROUND(CK10/CD10, 2), $BY$2:$CA$12, 3, TRUE)*CA$1</f>
        <v>0.30000000000000004</v>
      </c>
      <c r="CL11" s="58"/>
      <c r="CM11" s="101">
        <f>VLOOKUP(ROUND(CM10/CN10, 2), $BP$15:$BR$25, 3, TRUE)*BR$14</f>
        <v>0.4</v>
      </c>
      <c r="CN11" s="78"/>
      <c r="CO11" s="27">
        <f>VLOOKUP(ROUND(CO10/CD10, 2), $BS$15:$BU$25, 3, TRUE)*BU$14</f>
        <v>0.25</v>
      </c>
      <c r="CP11" s="27">
        <f>VLOOKUP(CP10*1, BM$2:BO$12, 3, TRUE)*BO$1</f>
        <v>0.4</v>
      </c>
      <c r="CQ11" s="27">
        <f>VLOOKUP(CQ10*1, BP$2:BR$12, 3, TRUE)*BR$1</f>
        <v>0.8</v>
      </c>
      <c r="CR11" s="27">
        <f>VLOOKUP(CR10*1, BS$2:BU$12, 3, TRUE)*BU$1</f>
        <v>0.4</v>
      </c>
      <c r="CS11" s="1"/>
      <c r="CT11" s="1"/>
      <c r="CU11" s="60">
        <f>VLOOKUP(CU10*1, BM$28:BO$38, 3, TRUE)*BO$27</f>
        <v>0.70000000000000007</v>
      </c>
      <c r="CV11" s="60">
        <f>VLOOKUP(CV10*1, BP$28:BR$38, 3, TRUE)*BR$27</f>
        <v>0.7</v>
      </c>
      <c r="CW11" s="1"/>
      <c r="CX11" s="1"/>
      <c r="CY11" s="60">
        <f>VLOOKUP(CY10*1, BS$28:BU$38, 3, TRUE)*BU$27</f>
        <v>0.4</v>
      </c>
      <c r="CZ11" s="60">
        <f>VLOOKUP(CZ10*1, BV$28:BX$38, 3, TRUE)*BX$27</f>
        <v>0.3</v>
      </c>
      <c r="DA11" s="60">
        <f>VLOOKUP(DA10*1, BY$28:CA$38, 3, TRUE)*CA$27</f>
        <v>0.60000000000000009</v>
      </c>
      <c r="DF11" s="33"/>
      <c r="DH11" s="40">
        <f>DJ11+DL11+DM11+DN11+DO11-DP11-DQ11+DR11</f>
        <v>2.8000000000000003</v>
      </c>
      <c r="DI11" s="42">
        <f>DU11+DX11+EA11+ED11+EE11+EF11</f>
        <v>5</v>
      </c>
      <c r="DJ11" s="38">
        <f>VLOOKUP(DJ10*1, FK$2:FM$12, 3, TRUE)*FM$1</f>
        <v>1</v>
      </c>
      <c r="DL11" s="38">
        <f>VLOOKUP(DL10*1, FN$2:FP$12, 3, TRUE)*FP$1</f>
        <v>0.6</v>
      </c>
      <c r="DM11" s="38">
        <f>VLOOKUP(DM10*1, FQ$2:FS$12, 3, TRUE)*FS$1</f>
        <v>0</v>
      </c>
      <c r="DN11" s="38">
        <f>VLOOKUP(DN10*1, FT$2:FV$12, 3, TRUE)*FV$1</f>
        <v>0.8</v>
      </c>
      <c r="DO11" s="38">
        <f>VLOOKUP(DO10*1, FW$2:FY$12, 3, TRUE)*FY$1</f>
        <v>0.5</v>
      </c>
      <c r="DP11" s="39">
        <f>VLOOKUP(DP10*1, FK$14:FM$25, 3, TRUE)*FM$14</f>
        <v>1</v>
      </c>
      <c r="DQ11" s="39">
        <f>VLOOKUP(DQ10*1, FN$14:FP$25, 3, TRUE)*FP$14</f>
        <v>0.60000000000000009</v>
      </c>
      <c r="DR11" s="38">
        <f>VLOOKUP(DR10*1, FQ$14:FS$25, 3, TRUE)*FS$14</f>
        <v>1.5</v>
      </c>
      <c r="DU11" s="41">
        <f>VLOOKUP(DU10*1, FK$27:FM$38, 3, TRUE)*FM$27</f>
        <v>0</v>
      </c>
      <c r="DX11" s="41">
        <f>VLOOKUP(DX10*1, FN$27:FP$38, 3, TRUE)*FP$27</f>
        <v>0</v>
      </c>
      <c r="EA11" s="41">
        <f>VLOOKUP(EA10*1, FQ$27:FS$38, 3, TRUE)*FS$27</f>
        <v>0</v>
      </c>
      <c r="ED11" s="41">
        <f>VLOOKUP(ED10*1, FT$27:FV$38, 3, TRUE)*FV$27</f>
        <v>0</v>
      </c>
      <c r="EE11" s="41">
        <f>VLOOKUP(EE10*1, FW$27:FY$38, 3, TRUE)*FY$27</f>
        <v>1.5</v>
      </c>
      <c r="EF11" s="41">
        <f>VLOOKUP(EF10*1, FK$40:FM$51, 3, TRUE)*FM$40</f>
        <v>3.5</v>
      </c>
      <c r="EG11" s="57"/>
      <c r="EI11" s="33"/>
      <c r="EK11" s="40">
        <f>EM11+EO11+EP11+EQ11+ER11-ES11-ET11+EU11</f>
        <v>2</v>
      </c>
      <c r="EL11" s="42" t="e">
        <f>EX11+FA11+FD11+FG11+FH11+FI11</f>
        <v>#N/A</v>
      </c>
      <c r="EM11" s="38">
        <f>VLOOKUP(EM10*1, $FK$2:$FM$12, 3, TRUE)*$FM$1</f>
        <v>1</v>
      </c>
      <c r="EO11" s="38">
        <f>VLOOKUP(EO10*1, $FN$2:$FP$12, 3, TRUE)*$FP$1</f>
        <v>0.6</v>
      </c>
      <c r="EP11" s="38">
        <f>VLOOKUP(EP10*1, $FQ$2:$FS$12, 3, TRUE)*$FS$1</f>
        <v>0</v>
      </c>
      <c r="EQ11" s="38">
        <f>VLOOKUP(EQ10*1, $FT$2:$FV$12, 3, TRUE)*$FV$1</f>
        <v>0.4</v>
      </c>
      <c r="ER11" s="38">
        <f>VLOOKUP(ER10*1, $FW$2:$FY$12, 3, TRUE)*$FY$1</f>
        <v>0.5</v>
      </c>
      <c r="ES11" s="39">
        <f>VLOOKUP(ES10*1, $FK$14:$FM$25, 3, TRUE)*$FM$14</f>
        <v>1</v>
      </c>
      <c r="ET11" s="39">
        <f>VLOOKUP(ET10*1, $FN$14:$FP$25, 3, TRUE)*$FP$14</f>
        <v>1</v>
      </c>
      <c r="EU11" s="38">
        <f>VLOOKUP(EU10*1, $FQ$14:$FS$25, 3, TRUE)*$FS$14</f>
        <v>1.5</v>
      </c>
      <c r="EX11" s="41">
        <f>VLOOKUP(EX10*1, $FK$27:$FM$38, 3, TRUE)*$FM$27</f>
        <v>0</v>
      </c>
      <c r="FA11" s="41" t="e">
        <f>VLOOKUP(FA10*1, $FN$27:$FP$38, 3, TRUE)*$FP$27</f>
        <v>#N/A</v>
      </c>
      <c r="FD11" s="41">
        <f>VLOOKUP(FD10*1, $FQ$27:$FS$38, 3, TRUE)*$FS$27</f>
        <v>0</v>
      </c>
      <c r="FG11" s="41">
        <f>VLOOKUP(FG10*1, $FT$27:$FV$38, 3, TRUE)*$FV$27</f>
        <v>0</v>
      </c>
      <c r="FH11" s="41">
        <f>VLOOKUP(FH10*1, $FW$27:$FY$38, 3, TRUE)*$FY$27</f>
        <v>1.5</v>
      </c>
      <c r="FI11" s="41">
        <f>VLOOKUP(FI10*1, $FK$40:$FM$51, 3, TRUE)*$FM$40</f>
        <v>3.5</v>
      </c>
      <c r="FK11" s="22">
        <v>24.1</v>
      </c>
      <c r="FL11" s="19">
        <v>28</v>
      </c>
      <c r="FM11" s="23">
        <v>9</v>
      </c>
      <c r="FN11" s="22">
        <v>11.1</v>
      </c>
      <c r="FO11" s="19">
        <v>13</v>
      </c>
      <c r="FP11" s="23">
        <v>9</v>
      </c>
      <c r="FQ11" s="22">
        <v>9.6</v>
      </c>
      <c r="FR11" s="19">
        <v>11</v>
      </c>
      <c r="FS11" s="23">
        <v>9</v>
      </c>
      <c r="FT11" s="22">
        <v>2.0099999999999998</v>
      </c>
      <c r="FU11" s="19">
        <v>2.4</v>
      </c>
      <c r="FV11" s="23">
        <v>9</v>
      </c>
      <c r="FW11" s="22">
        <v>2.21</v>
      </c>
      <c r="FX11" s="19">
        <v>2.8</v>
      </c>
      <c r="FY11" s="23">
        <v>9</v>
      </c>
    </row>
    <row r="12" spans="1:181" ht="15.6" customHeight="1" thickBot="1">
      <c r="A12" s="4">
        <v>10</v>
      </c>
      <c r="B12" s="1" t="e">
        <v>#N/A</v>
      </c>
      <c r="C12" s="1" t="e">
        <v>#N/A</v>
      </c>
      <c r="D12" s="1" t="e">
        <v>#N/A</v>
      </c>
      <c r="E12" s="1" t="e">
        <v>#N/A</v>
      </c>
      <c r="F12" s="1" t="e">
        <v>#N/A</v>
      </c>
      <c r="G12" s="16" t="e">
        <v>#N/A</v>
      </c>
      <c r="H12" s="1" t="e">
        <v>#N/A</v>
      </c>
      <c r="I12" s="1" t="e">
        <v>#N/A</v>
      </c>
      <c r="J12" s="1" t="e">
        <v>#N/A</v>
      </c>
      <c r="K12" s="16" t="e">
        <v>#N/A</v>
      </c>
      <c r="L12" s="1" t="str">
        <f t="array" ref="L12">IFERROR(SUBSTITUTE(INDEX(正負盤!$6:$20, ROW(A9), MATCH(1, (MONTH(正負盤!$4:$4)=MONTH(DATE(LEFT($A$1,4),MID($A$1,5,2),RIGHT($A$1,2))-10))*(DAY(正負盤!$4:$4)=DAY(DATE(LEFT($A$1,4),MID($A$1,5,2),RIGHT($A$1,2))-10)), 0)), 0, "-"), "")</f>
        <v>X</v>
      </c>
      <c r="M12" s="1" t="str">
        <f t="array" ref="M12">IFERROR(SUBSTITUTE(INDEX(正負盤!$6:$20, ROW(A9), MATCH(1, (MONTH(正負盤!$4:$4)=MONTH(DATE(LEFT($A$1,4),MID($A$1,5,2),RIGHT($A$1,2))-9))*(DAY(正負盤!$4:$4)=DAY(DATE(LEFT($A$1,4),MID($A$1,5,2),RIGHT($A$1,2))-9)), 0)), 0, "-"), "")</f>
        <v>O</v>
      </c>
      <c r="N12" s="1" t="str">
        <f t="array" ref="N12">IFERROR(SUBSTITUTE(INDEX(正負盤!$6:$20, ROW(A9), MATCH(1, (MONTH(正負盤!$4:$4)=MONTH(DATE(LEFT($A$1,4),MID($A$1,5,2),RIGHT($A$1,2))-8))*(DAY(正負盤!$4:$4)=DAY(DATE(LEFT($A$1,4),MID($A$1,5,2),RIGHT($A$1,2))-8)), 0)), 0, "-"), "")</f>
        <v>O</v>
      </c>
      <c r="O12" s="1" t="str">
        <f t="array" ref="O12">IFERROR(SUBSTITUTE(INDEX(正負盤!$6:$20, ROW(A9), MATCH(1, (MONTH(正負盤!$4:$4)=MONTH(DATE(LEFT($A$1,4),MID($A$1,5,2),RIGHT($A$1,2))-7))*(DAY(正負盤!$4:$4)=DAY(DATE(LEFT($A$1,4),MID($A$1,5,2),RIGHT($A$1,2))-7)), 0)), 0, "-"), "")</f>
        <v>X</v>
      </c>
      <c r="P12" s="1" t="str">
        <f t="array" ref="P12">IFERROR(SUBSTITUTE(INDEX(正負盤!$6:$20, ROW(A9), MATCH(1, (MONTH(正負盤!$4:$4)=MONTH(DATE(LEFT($A$1,4),MID($A$1,5,2),RIGHT($A$1,2))-6))*(DAY(正負盤!$4:$4)=DAY(DATE(LEFT($A$1,4),MID($A$1,5,2),RIGHT($A$1,2))-6)), 0)), 0, "-"), "")</f>
        <v>O</v>
      </c>
      <c r="Q12" s="1" t="str">
        <f t="array" ref="Q12">IFERROR(SUBSTITUTE(INDEX(正負盤!$6:$20, ROW(A9), MATCH(1, (MONTH(正負盤!$4:$4)=MONTH(DATE(LEFT($A$1,4),MID($A$1,5,2),RIGHT($A$1,2))-5))*(DAY(正負盤!$4:$4)=DAY(DATE(LEFT($A$1,4),MID($A$1,5,2),RIGHT($A$1,2))-5)), 0)), 0, "-"), "")</f>
        <v/>
      </c>
      <c r="R12" s="1" t="str">
        <f t="array" ref="R12">IFERROR(SUBSTITUTE(INDEX(正負盤!$6:$20, ROW(A9), MATCH(1, (MONTH(正負盤!$4:$4)=MONTH(DATE(LEFT($A$1,4),MID($A$1,5,2),RIGHT($A$1,2))-4))*(DAY(正負盤!$4:$4)=DAY(DATE(LEFT($A$1,4),MID($A$1,5,2),RIGHT($A$1,2))-4)), 0)), 0, "-"), "")</f>
        <v>O</v>
      </c>
      <c r="S12" s="1" t="str">
        <f t="array" ref="S12">IFERROR(SUBSTITUTE(INDEX(正負盤!$6:$20, ROW(A9), MATCH(1, (MONTH(正負盤!$4:$4)=MONTH(DATE(LEFT($A$1,4),MID($A$1,5,2),RIGHT($A$1,2))-3))*(DAY(正負盤!$4:$4)=DAY(DATE(LEFT($A$1,4),MID($A$1,5,2),RIGHT($A$1,2))-3)), 0)), 0, "-"), "")</f>
        <v>O</v>
      </c>
      <c r="T12" s="1" t="str">
        <f t="array" ref="T12">IFERROR(SUBSTITUTE(INDEX(正負盤!$6:$20, ROW(A9), MATCH(1, (MONTH(正負盤!$4:$4)=MONTH(DATE(LEFT($A$1,4),MID($A$1,5,2),RIGHT($A$1,2))-2))*(DAY(正負盤!$4:$4)=DAY(DATE(LEFT($A$1,4),MID($A$1,5,2),RIGHT($A$1,2))-2)), 0)), 0, "-"), "")</f>
        <v>O</v>
      </c>
      <c r="U12" s="1" t="str">
        <f t="array" ref="U12">IFERROR(SUBSTITUTE(INDEX(正負盤!$6:$20, ROW(A9), MATCH(1, (MONTH(正負盤!$4:$4)=MONTH(DATE(LEFT($A$1,4),MID($A$1,5,2),RIGHT($A$1,2))-1))*(DAY(正負盤!$4:$4)=DAY(DATE(LEFT($A$1,4),MID($A$1,5,2),RIGHT($A$1,2))-1)), 0)), 0, "-"), "")</f>
        <v>O</v>
      </c>
      <c r="V12" s="82" t="str">
        <f>C8</f>
        <v>08:05</v>
      </c>
      <c r="W12" t="str">
        <f>E8</f>
        <v>洋基</v>
      </c>
      <c r="X12" s="17" t="str">
        <f t="array" aca="1" ref="X12" ca="1">_xlfn.LET(_xlpm.s,SUBSTITUTE(Y12,".",""),_xlpm.c,RIGHT(_xlpm.s,1),_xlpm.n,ROW(INDIRECT("1:"&amp;LEN(_xlpm.s))),_xlpm.cnt,MAX(IF(RIGHT(_xlpm.s,_xlpm.n)=REPT(_xlpm.c,_xlpm.n),_xlpm.n,0)),IF(_xlpm.cnt&gt;=2,_xlpm.cnt&amp;"連"&amp;_xlpm.c,"1"&amp;_xlpm.c))</f>
        <v>1X</v>
      </c>
      <c r="Y12" s="82" t="str">
        <f t="array" ref="Y12">INDEX(各隊正負!$F:$F, MATCH("*"&amp;$W12&amp;"*", 各隊正負!$A:$A, 0)+6)</f>
        <v>X.X.O.O.O.O.O.O.O.X</v>
      </c>
      <c r="Z12" s="100"/>
      <c r="AA12" s="100"/>
      <c r="AB12" s="82" t="str">
        <f t="array" ref="AB12">INDEX(各隊正負!$F:$F, MATCH("*"&amp;$W12&amp;"*", 各隊正負!$A:$A, 0)+4)</f>
        <v>W.L.W.W.W.W.W.W.W.L</v>
      </c>
      <c r="AC12" s="78"/>
      <c r="AD12" s="78"/>
      <c r="AE12" s="1" t="str">
        <f t="array" aca="1" ref="AE12" ca="1">_xlfn.LET(_xlpm.s,SUBSTITUTE(AB12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2" s="19" t="str">
        <f>E8</f>
        <v>洋基</v>
      </c>
      <c r="AG12" s="1" t="str">
        <f t="array" ref="AG12">IFERROR(INDEX(各隊total!$B:$AB, MATCH($AF12, 各隊total!$A:$A, 0), COLUMN(A11)), "")</f>
        <v>28</v>
      </c>
      <c r="AH12" s="32">
        <f>CB23</f>
        <v>5.8000000000000007</v>
      </c>
      <c r="AI12" s="61" t="str">
        <f t="shared" si="0"/>
        <v>A</v>
      </c>
      <c r="AJ12" s="6">
        <f>CC23</f>
        <v>7.25</v>
      </c>
      <c r="AK12" s="60" t="str">
        <f t="shared" si="1"/>
        <v>S+</v>
      </c>
      <c r="AL12" s="1" t="str">
        <f t="array" ref="AL12">IFERROR(INDEX(各隊total!$C:$AB, MATCH($AF12, 各隊total!$A:$A, 0), COLUMN(A11)), "")</f>
        <v>916</v>
      </c>
      <c r="AM12" s="1" t="str">
        <f t="array" ref="AM12">IFERROR(INDEX(各隊total!$D:$AB, MATCH($AF12, 各隊total!$A:$A, 0), COLUMN(A11)), "")</f>
        <v>146</v>
      </c>
      <c r="AN12" s="1" t="str">
        <f t="array" ref="AN12">IFERROR(INDEX(各隊total!$E:$AB, MATCH($AF12, 各隊total!$A:$A, 0), COLUMN(A11)), "")</f>
        <v>213</v>
      </c>
      <c r="AO12" s="1" t="str">
        <f t="array" ref="AO12">IFERROR(INDEX(各隊total!$F:$AB, MATCH($AF12, 各隊total!$A:$A, 0), COLUMN(A11)), "")</f>
        <v>43</v>
      </c>
      <c r="AP12" s="1" t="str">
        <f t="array" ref="AP12">IFERROR(INDEX(各隊total!$G:$AB, MATCH($AF12, 各隊total!$A:$A, 0), COLUMN(A11)), "")</f>
        <v>4</v>
      </c>
      <c r="AQ12" s="1" t="str">
        <f t="array" ref="AQ12">IFERROR(INDEX(各隊total!$H:$AB, MATCH($AF12, 各隊total!$A:$A, 0), COLUMN(A11)), "")</f>
        <v>43</v>
      </c>
      <c r="AR12" s="1" t="str">
        <f t="array" ref="AR12">IFERROR(INDEX(各隊total!$I:$AB, MATCH($AF12, 各隊total!$A:$A, 0), COLUMN(A11)), "")</f>
        <v>138</v>
      </c>
      <c r="AS12" s="1" t="str">
        <f t="array" ref="AS12">IFERROR(INDEX(各隊total!$J:$AB, MATCH($AF12, 各隊total!$A:$A, 0), COLUMN(A11)), "")</f>
        <v>393</v>
      </c>
      <c r="AT12" s="1" t="str">
        <f t="array" ref="AT12">IFERROR(INDEX(各隊total!$K:$AB, MATCH($AF12, 各隊total!$A:$A, 0), COLUMN(A11)), "")</f>
        <v>134</v>
      </c>
      <c r="AU12" s="1" t="str">
        <f t="array" ref="AU12">IFERROR(INDEX(各隊total!$L:$AB, MATCH($AF12, 各隊total!$A:$A, 0), COLUMN(A11)), "")</f>
        <v>259</v>
      </c>
      <c r="AV12" s="1" t="str">
        <f t="array" ref="AV12">IFERROR(INDEX(各隊total!$M:$AB, MATCH($AF12, 各隊total!$A:$A, 0), COLUMN(A11)), "")</f>
        <v>31</v>
      </c>
      <c r="AW12" s="1" t="str">
        <f t="array" ref="AW12">IFERROR(INDEX(各隊total!$N:$AB, MATCH($AF12, 各隊total!$A:$A, 0), COLUMN(A11)), "")</f>
        <v>.233</v>
      </c>
      <c r="AX12" s="1" t="str">
        <f t="array" ref="AX12">IFERROR(INDEX(各隊total!$O:$AB, MATCH($AF12, 各隊total!$A:$A, 0), COLUMN(A11)), "")</f>
        <v>.331</v>
      </c>
      <c r="AY12" s="1" t="str">
        <f t="array" ref="AY12">IFERROR(INDEX(各隊total!$P:$AB, MATCH($AF12, 各隊total!$A:$A, 0), COLUMN(A11)), "")</f>
        <v>.429</v>
      </c>
      <c r="AZ12" s="1" t="str">
        <f t="array" ref="AZ12">IFERROR(INDEX(各隊total!$Q:$AB, MATCH($AF12, 各隊total!$A:$A, 0), COLUMN(A11)), "")</f>
        <v>.760</v>
      </c>
      <c r="BA12" s="1">
        <f t="array" ref="BA12">IFERROR(INDEX(各隊total!$R:$AB, MATCH($AF12, 各隊total!$A:$A, 0), COLUMN(A11)), "")</f>
        <v>0</v>
      </c>
      <c r="BB12" s="1" t="str">
        <f t="array" ref="BB12">IFERROR(INDEX(各隊total!$S:$AB, MATCH($AF12, 各隊total!$A:$A, 0), COLUMN(A11)), "")</f>
        <v>136.7</v>
      </c>
      <c r="BC12" s="1" t="str">
        <f t="array" ref="BC12">IFERROR(INDEX(各隊total!$T:$AB, MATCH($AF12, 各隊total!$A:$A, 0), COLUMN(A11)), "")</f>
        <v>5.0</v>
      </c>
      <c r="BD12" s="1" t="str">
        <f t="array" ref="BD12">IFERROR(INDEX(各隊total!$U:$AB, MATCH($AF12, 各隊total!$A:$A, 0), COLUMN(A11)), "")</f>
        <v>.126</v>
      </c>
      <c r="BE12" s="1" t="str">
        <f t="array" ref="BE12">IFERROR(INDEX(各隊total!$V:$AB, MATCH($AF12, 各隊total!$A:$A, 0), COLUMN(A11)), "")</f>
        <v>0.52</v>
      </c>
      <c r="BF12" s="1" t="str">
        <f t="array" ref="BF12">IFERROR(INDEX(各隊total!$W:$AB, MATCH($AF12, 各隊total!$A:$A, 0), COLUMN(A11)), "")</f>
        <v>.197</v>
      </c>
      <c r="BG12" s="1" t="str">
        <f t="array" ref="BG12">IFERROR(INDEX(各隊total!$X:$AB, MATCH($AF12, 各隊total!$A:$A, 0), COLUMN(A11)), "")</f>
        <v>.369</v>
      </c>
      <c r="BH12" s="1" t="str">
        <f t="array" ref="BH12">IFERROR(INDEX(各隊total!$Y:$AB, MATCH($AF12, 各隊total!$A:$A, 0), COLUMN(A11)), "")</f>
        <v>4.02</v>
      </c>
      <c r="BI12" s="1" t="str">
        <f t="array" ref="BI12">IFERROR(INDEX(各隊total!$Z:$AB, MATCH($AF12, 各隊total!$A:$A, 0), COLUMN(A11)), "")</f>
        <v>90</v>
      </c>
      <c r="BJ12" s="1" t="str">
        <f t="array" ref="BJ12">IFERROR(INDEX(各隊total!$AA:$AB, MATCH($AF12, 各隊total!$A:$A, 0), COLUMN(A11)), "")</f>
        <v>1066</v>
      </c>
      <c r="BK12" s="1" t="str">
        <f t="array" ref="BK12">IFERROR(INDEX(各隊total!$AB:$AB, MATCH($AF12, 各隊total!$A:$A, 0), COLUMN(A11)), "")</f>
        <v>21.3</v>
      </c>
      <c r="BL12" s="1" t="str">
        <f t="array" ref="BL12">IFERROR(INDEX(各隊total!$C:$AB, MATCH($AF12, 各隊total!$A:$A, 0), COLUMN(AA11)), "")</f>
        <v/>
      </c>
      <c r="BM12" s="24">
        <v>0.311</v>
      </c>
      <c r="BN12" s="25">
        <v>0.5</v>
      </c>
      <c r="BO12" s="26">
        <v>10</v>
      </c>
      <c r="BP12" s="24">
        <v>0.39600000000000002</v>
      </c>
      <c r="BQ12" s="25">
        <v>0.6</v>
      </c>
      <c r="BR12" s="26">
        <v>10</v>
      </c>
      <c r="BS12" s="24">
        <v>0.60099999999999998</v>
      </c>
      <c r="BT12" s="25">
        <v>0.9</v>
      </c>
      <c r="BU12" s="26">
        <v>10</v>
      </c>
      <c r="BV12" s="24">
        <v>6.6</v>
      </c>
      <c r="BW12" s="25">
        <v>12</v>
      </c>
      <c r="BX12" s="26">
        <v>10</v>
      </c>
      <c r="BY12" s="24">
        <v>6.4</v>
      </c>
      <c r="BZ12" s="25">
        <v>12</v>
      </c>
      <c r="CA12" s="26">
        <v>10</v>
      </c>
      <c r="CB12" s="19" t="str">
        <f>AF7</f>
        <v>藍鳥</v>
      </c>
      <c r="CC12" s="29"/>
      <c r="CD12" s="1" t="str">
        <f>AG7</f>
        <v>27</v>
      </c>
      <c r="CE12" s="1" t="str">
        <f t="shared" ref="CE12:DD12" si="7">AL7</f>
        <v>919</v>
      </c>
      <c r="CF12" s="1" t="str">
        <f t="shared" si="7"/>
        <v>110</v>
      </c>
      <c r="CG12" s="1" t="str">
        <f t="shared" si="7"/>
        <v>234</v>
      </c>
      <c r="CH12" s="1" t="str">
        <f t="shared" si="7"/>
        <v>50</v>
      </c>
      <c r="CI12" s="1" t="str">
        <f t="shared" si="7"/>
        <v>1</v>
      </c>
      <c r="CJ12" s="1" t="str">
        <f t="shared" si="7"/>
        <v>23</v>
      </c>
      <c r="CK12" s="1" t="str">
        <f t="shared" si="7"/>
        <v>108</v>
      </c>
      <c r="CL12" s="1" t="str">
        <f t="shared" si="7"/>
        <v>355</v>
      </c>
      <c r="CM12" s="1" t="str">
        <f t="shared" si="7"/>
        <v>76</v>
      </c>
      <c r="CN12" s="1" t="str">
        <f t="shared" si="7"/>
        <v>188</v>
      </c>
      <c r="CO12" s="1" t="str">
        <f t="shared" si="7"/>
        <v>11</v>
      </c>
      <c r="CP12" s="1" t="str">
        <f t="shared" si="7"/>
        <v>.255</v>
      </c>
      <c r="CQ12" s="1" t="str">
        <f t="shared" si="7"/>
        <v>.314</v>
      </c>
      <c r="CR12" s="1" t="str">
        <f t="shared" si="7"/>
        <v>.386</v>
      </c>
      <c r="CS12" s="1" t="str">
        <f t="shared" si="7"/>
        <v>.700</v>
      </c>
      <c r="CT12" s="1">
        <f t="shared" si="7"/>
        <v>0</v>
      </c>
      <c r="CU12" s="1" t="str">
        <f t="shared" si="7"/>
        <v>111.6</v>
      </c>
      <c r="CV12" s="1" t="str">
        <f t="shared" si="7"/>
        <v>4.2</v>
      </c>
      <c r="CW12" s="1" t="str">
        <f t="shared" si="7"/>
        <v>.075</v>
      </c>
      <c r="CX12" s="1" t="str">
        <f t="shared" si="7"/>
        <v>0.40</v>
      </c>
      <c r="CY12" s="1" t="str">
        <f t="shared" si="7"/>
        <v>.132</v>
      </c>
      <c r="CZ12" s="1" t="str">
        <f t="shared" si="7"/>
        <v>.223</v>
      </c>
      <c r="DA12" s="1" t="str">
        <f t="shared" si="7"/>
        <v>3.73</v>
      </c>
      <c r="DB12" s="1" t="str">
        <f t="shared" si="7"/>
        <v>74</v>
      </c>
      <c r="DC12" s="1" t="str">
        <f t="shared" si="7"/>
        <v>1016</v>
      </c>
      <c r="DD12" s="1" t="str">
        <f t="shared" si="7"/>
        <v>40.0</v>
      </c>
      <c r="DF12" s="35" t="str">
        <f>先發名單!L$2</f>
        <v>B. Williamson</v>
      </c>
      <c r="DG12" s="4" t="str">
        <f t="array" ref="DG12">IFERROR(INDEX(球員狀態!$C$2:$C$5000, MATCH(1, (球員狀態!$A$2:$A$5000=$DF$1)*(ISNUMBER(SEARCH($DF12, 球員狀態!$B$2:$B$5000))), 0)), "")</f>
        <v/>
      </c>
      <c r="DJ12" s="4" t="str">
        <f t="array" ref="DJ12">IFERROR(INDEX(球員狀態!$F$2:$F$5000, MATCH(1, (球員狀態!$A$2:$A$5000=$DF$1)*(ISNUMBER(SEARCH($DF12, 球員狀態!$B$2:$B$5000))), 0)), "")</f>
        <v/>
      </c>
      <c r="DK12" s="4" t="str">
        <f t="array" ref="DK12">IFERROR(INDEX(球員狀態!$G$2:$G$5000, MATCH(1, (球員狀態!$A$2:$A$5000=$DF$1)*(ISNUMBER(SEARCH($DF12, 球員狀態!$B$2:$B$5000))), 0)), "")</f>
        <v/>
      </c>
      <c r="DL12" s="4" t="str">
        <f t="array" ref="DL12">IFERROR(INDEX(球員狀態!H$2:H$5000, MATCH(1, (球員狀態!$A$2:$A$5000=$DF$1)*(ISNUMBER(SEARCH($DF12, 球員狀態!$B$2:$B$5000))), 0)), "")</f>
        <v/>
      </c>
      <c r="DM12" s="4" t="str">
        <f t="array" ref="DM12">IFERROR(INDEX(球員狀態!I$2:I$5000, MATCH(1, (球員狀態!$A$2:$A$5000=$DF$1)*(ISNUMBER(SEARCH($DF12, 球員狀態!$B$2:$B$5000))), 0)), "")</f>
        <v/>
      </c>
      <c r="DN12" s="4" t="str">
        <f t="array" ref="DN12">IFERROR(INDEX(球員狀態!J$2:J$5000, MATCH(1, (球員狀態!$A$2:$A$5000=$DF$1)*(ISNUMBER(SEARCH($DF12, 球員狀態!$B$2:$B$5000))), 0)), "")</f>
        <v/>
      </c>
      <c r="DO12" s="4" t="str">
        <f t="array" ref="DO12">IFERROR(INDEX(球員狀態!K$2:K$5000, MATCH(1, (球員狀態!$A$2:$A$5000=$DF$1)*(ISNUMBER(SEARCH($DF12, 球員狀態!$B$2:$B$5000))), 0)), "")</f>
        <v/>
      </c>
      <c r="DP12" s="4" t="str">
        <f t="array" ref="DP12">IFERROR(INDEX(球員狀態!L$2:L$5000, MATCH(1, (球員狀態!$A$2:$A$5000=$DF$1)*(ISNUMBER(SEARCH($DF12, 球員狀態!$B$2:$B$5000))), 0)), "")</f>
        <v/>
      </c>
      <c r="DQ12" s="4" t="str">
        <f t="array" ref="DQ12">IFERROR(INDEX(球員狀態!M$2:M$5000, MATCH(1, (球員狀態!$A$2:$A$5000=$DF$1)*(ISNUMBER(SEARCH($DF12, 球員狀態!$B$2:$B$5000))), 0)), "")</f>
        <v/>
      </c>
      <c r="DR12" s="4" t="str">
        <f t="array" ref="DR12">IFERROR(INDEX(球員狀態!N$2:N$5000, MATCH(1, (球員狀態!$A$2:$A$5000=$DF$1)*(ISNUMBER(SEARCH($DF12, 球員狀態!$B$2:$B$5000))), 0)), "")</f>
        <v/>
      </c>
      <c r="DS12" s="4" t="str">
        <f t="array" ref="DS12">IFERROR(INDEX(球員狀態!O$2:O$5000, MATCH(1, (球員狀態!$A$2:$A$5000=$DF$1)*(ISNUMBER(SEARCH($DF12, 球員狀態!$B$2:$B$5000))), 0)), "")</f>
        <v/>
      </c>
      <c r="DT12" s="4" t="str">
        <f t="array" ref="DT12">IFERROR(INDEX(球員狀態!P$2:P$5000, MATCH(1, (球員狀態!$A$2:$A$5000=$DF$1)*(ISNUMBER(SEARCH($DF12, 球員狀態!$B$2:$B$5000))), 0)), "")</f>
        <v/>
      </c>
      <c r="DU12" s="4" t="str">
        <f t="array" ref="DU12">IFERROR(INDEX(球員狀態!Q$2:Q$5000, MATCH(1, (球員狀態!$A$2:$A$5000=$DF$1)*(ISNUMBER(SEARCH($DF12, 球員狀態!$B$2:$B$5000))), 0)), "")</f>
        <v/>
      </c>
      <c r="DV12" s="4" t="str">
        <f t="array" ref="DV12">IFERROR(INDEX(球員狀態!R$2:R$5000, MATCH(1, (球員狀態!$A$2:$A$5000=$DF$1)*(ISNUMBER(SEARCH($DF12, 球員狀態!$B$2:$B$5000))), 0)), "")</f>
        <v/>
      </c>
      <c r="DW12" s="4" t="str">
        <f t="array" ref="DW12">IFERROR(INDEX(球員狀態!S$2:S$5000, MATCH(1, (球員狀態!$A$2:$A$5000=$DF$1)*(ISNUMBER(SEARCH($DF12, 球員狀態!$B$2:$B$5000))), 0)), "")</f>
        <v/>
      </c>
      <c r="DX12" s="4" t="str">
        <f t="array" ref="DX12">IFERROR(INDEX(球員狀態!T$2:T$5000, MATCH(1, (球員狀態!$A$2:$A$5000=$DF$1)*(ISNUMBER(SEARCH($DF12, 球員狀態!$B$2:$B$5000))), 0)), "")</f>
        <v/>
      </c>
      <c r="DY12" s="4" t="str">
        <f t="array" ref="DY12">IFERROR(INDEX(球員狀態!U$2:U$5000, MATCH(1, (球員狀態!$A$2:$A$5000=$DF$1)*(ISNUMBER(SEARCH($DF12, 球員狀態!$B$2:$B$5000))), 0)), "")</f>
        <v/>
      </c>
      <c r="DZ12" s="4" t="str">
        <f t="array" ref="DZ12">IFERROR(INDEX(球員狀態!V$2:V$5000, MATCH(1, (球員狀態!$A$2:$A$5000=$DF$1)*(ISNUMBER(SEARCH($DF12, 球員狀態!$B$2:$B$5000))), 0)), "")</f>
        <v/>
      </c>
      <c r="EA12" s="4" t="str">
        <f t="array" ref="EA12">IFERROR(INDEX(球員狀態!W$2:W$5000, MATCH(1, (球員狀態!$A$2:$A$5000=$DF$1)*(ISNUMBER(SEARCH($DF12, 球員狀態!$B$2:$B$5000))), 0)), "")</f>
        <v/>
      </c>
      <c r="EB12" s="4" t="str">
        <f t="array" ref="EB12">IFERROR(INDEX(球員狀態!X$2:X$5000, MATCH(1, (球員狀態!$A$2:$A$5000=$DF$1)*(ISNUMBER(SEARCH($DF12, 球員狀態!$B$2:$B$5000))), 0)), "")</f>
        <v/>
      </c>
      <c r="EC12" s="4" t="str">
        <f t="array" ref="EC12">IFERROR(INDEX(球員狀態!Y$2:Y$5000, MATCH(1, (球員狀態!$A$2:$A$5000=$DF$1)*(ISNUMBER(SEARCH($DF12, 球員狀態!$B$2:$B$5000))), 0)), "")</f>
        <v/>
      </c>
      <c r="ED12" s="4" t="str">
        <f t="array" ref="ED12">IFERROR(INDEX(球員狀態!Z$2:Z$5000, MATCH(1, (球員狀態!$A$2:$A$5000=$DF$1)*(ISNUMBER(SEARCH($DF12, 球員狀態!$B$2:$B$5000))), 0)), "")</f>
        <v/>
      </c>
      <c r="EE12" s="4" t="str">
        <f t="array" ref="EE12">IFERROR(INDEX(球員狀態!AA$2:AA$5000, MATCH(1, (球員狀態!$A$2:$A$5000=$DF$1)*(ISNUMBER(SEARCH($DF12, 球員狀態!$B$2:$B$5000))), 0)), "")</f>
        <v/>
      </c>
      <c r="EF12" s="4" t="str">
        <f t="array" ref="EF12">IFERROR(INDEX(球員狀態!AB$2:AB$5000, MATCH(1, (球員狀態!$A$2:$A$5000=$DF$1)*(ISNUMBER(SEARCH($DF12, 球員狀態!$B$2:$B$5000))), 0)), "")</f>
        <v/>
      </c>
      <c r="EG12" s="56"/>
      <c r="EI12" s="37" t="str">
        <f>先發名單!T$2</f>
        <v>David Fry</v>
      </c>
      <c r="EJ12" s="4" t="str">
        <f t="array" ref="EJ12">IFERROR(INDEX(球員狀態!$C$2:$C$5000, MATCH(1, (球員狀態!$A$2:$A$5000=$EI$1)*(ISNUMBER(SEARCH($EI12, 球員狀態!$B$2:$B$5000))), 0)), "")</f>
        <v>1B</v>
      </c>
      <c r="EM12" s="4" t="str">
        <f t="array" ref="EM12">IFERROR(INDEX(球員狀態!F$2:F$5000, MATCH(1, (球員狀態!$A$2:$A$5000=$EI$1)*(ISNUMBER(SEARCH($EI12, 球員狀態!$B$2:$B$5000))), 0)), "")</f>
        <v>6</v>
      </c>
      <c r="EN12" s="4" t="str">
        <f t="array" ref="EN12">IFERROR(INDEX(球員狀態!G$2:G$5000, MATCH(1, (球員狀態!$A$2:$A$5000=$EI$1)*(ISNUMBER(SEARCH($EI12, 球員狀態!$B$2:$B$5000))), 0)), "")</f>
        <v>8</v>
      </c>
      <c r="EO12" s="4" t="str">
        <f t="array" ref="EO12">IFERROR(INDEX(球員狀態!H$2:H$5000, MATCH(1, (球員狀態!$A$2:$A$5000=$EI$1)*(ISNUMBER(SEARCH($EI12, 球員狀態!$B$2:$B$5000))), 0)), "")</f>
        <v>1</v>
      </c>
      <c r="EP12" s="4" t="str">
        <f t="array" ref="EP12">IFERROR(INDEX(球員狀態!I$2:I$5000, MATCH(1, (球員狀態!$A$2:$A$5000=$EI$1)*(ISNUMBER(SEARCH($EI12, 球員狀態!$B$2:$B$5000))), 0)), "")</f>
        <v>0</v>
      </c>
      <c r="EQ12" s="4" t="str">
        <f t="array" ref="EQ12">IFERROR(INDEX(球員狀態!J$2:J$5000, MATCH(1, (球員狀態!$A$2:$A$5000=$EI$1)*(ISNUMBER(SEARCH($EI12, 球員狀態!$B$2:$B$5000))), 0)), "")</f>
        <v>1</v>
      </c>
      <c r="ER12" s="4" t="str">
        <f t="array" ref="ER12">IFERROR(INDEX(球員狀態!K$2:K$5000, MATCH(1, (球員狀態!$A$2:$A$5000=$EI$1)*(ISNUMBER(SEARCH($EI12, 球員狀態!$B$2:$B$5000))), 0)), "")</f>
        <v>1</v>
      </c>
      <c r="ES12" s="4" t="str">
        <f t="array" ref="ES12">IFERROR(INDEX(球員狀態!L$2:L$5000, MATCH(1, (球員狀態!$A$2:$A$5000=$EI$1)*(ISNUMBER(SEARCH($EI12, 球員狀態!$B$2:$B$5000))), 0)), "")</f>
        <v>12</v>
      </c>
      <c r="ET12" s="4" t="str">
        <f t="array" ref="ET12">IFERROR(INDEX(球員狀態!M$2:M$5000, MATCH(1, (球員狀態!$A$2:$A$5000=$EI$1)*(ISNUMBER(SEARCH($EI12, 球員狀態!$B$2:$B$5000))), 0)), "")</f>
        <v>7</v>
      </c>
      <c r="EU12" s="4" t="str">
        <f t="array" ref="EU12">IFERROR(INDEX(球員狀態!N$2:N$5000, MATCH(1, (球員狀態!$A$2:$A$5000=$EI$1)*(ISNUMBER(SEARCH($EI12, 球員狀態!$B$2:$B$5000))), 0)), "")</f>
        <v>14</v>
      </c>
      <c r="EV12" s="4" t="str">
        <f t="array" ref="EV12">IFERROR(INDEX(球員狀態!O$2:O$5000, MATCH(1, (球員狀態!$A$2:$A$5000=$EI$1)*(ISNUMBER(SEARCH($EI12, 球員狀態!$B$2:$B$5000))), 0)), "")</f>
        <v>0</v>
      </c>
      <c r="EW12" s="4" t="str">
        <f t="array" ref="EW12">IFERROR(INDEX(球員狀態!P$2:P$5000, MATCH(1, (球員狀態!$A$2:$A$5000=$EI$1)*(ISNUMBER(SEARCH($EI12, 球員狀態!$B$2:$B$5000))), 0)), "")</f>
        <v>.235</v>
      </c>
      <c r="EX12" s="4" t="str">
        <f t="array" ref="EX12">IFERROR(INDEX(球員狀態!Q$2:Q$5000, MATCH(1, (球員狀態!$A$2:$A$5000=$EI$1)*(ISNUMBER(SEARCH($EI12, 球員狀態!$B$2:$B$5000))), 0)), "")</f>
        <v>.366</v>
      </c>
      <c r="EY12" s="4" t="str">
        <f t="array" ref="EY12">IFERROR(INDEX(球員狀態!R$2:R$5000, MATCH(1, (球員狀態!$A$2:$A$5000=$EI$1)*(ISNUMBER(SEARCH($EI12, 球員狀態!$B$2:$B$5000))), 0)), "")</f>
        <v>.353</v>
      </c>
      <c r="EZ12" s="4" t="str">
        <f t="array" ref="EZ12">IFERROR(INDEX(球員狀態!S$2:S$5000, MATCH(1, (球員狀態!$A$2:$A$5000=$EI$1)*(ISNUMBER(SEARCH($EI12, 球員狀態!$B$2:$B$5000))), 0)), "")</f>
        <v>.719</v>
      </c>
      <c r="FA12" s="4" t="str">
        <f t="array" ref="FA12">IFERROR(INDEX(球員狀態!T$2:T$5000, MATCH(1, (球員狀態!$A$2:$A$5000=$EI$1)*(ISNUMBER(SEARCH($EI12, 球員狀態!$B$2:$B$5000))), 0)), "")</f>
        <v>0.1</v>
      </c>
      <c r="FB12" s="4" t="str">
        <f t="array" ref="FB12">IFERROR(INDEX(球員狀態!U$2:U$5000, MATCH(1, (球員狀態!$A$2:$A$5000=$EI$1)*(ISNUMBER(SEARCH($EI12, 球員狀態!$B$2:$B$5000))), 0)), "")</f>
        <v>4.6</v>
      </c>
      <c r="FC12" s="4" t="str">
        <f t="array" ref="FC12">IFERROR(INDEX(球員狀態!V$2:V$5000, MATCH(1, (球員狀態!$A$2:$A$5000=$EI$1)*(ISNUMBER(SEARCH($EI12, 球員狀態!$B$2:$B$5000))), 0)), "")</f>
        <v>4.6</v>
      </c>
      <c r="FD12" s="4" t="str">
        <f t="array" ref="FD12">IFERROR(INDEX(球員狀態!W$2:W$5000, MATCH(1, (球員狀態!$A$2:$A$5000=$EI$1)*(ISNUMBER(SEARCH($EI12, 球員狀態!$B$2:$B$5000))), 0)), "")</f>
        <v>.171</v>
      </c>
      <c r="FE12" s="4" t="str">
        <f t="array" ref="FE12">IFERROR(INDEX(球員狀態!X$2:X$5000, MATCH(1, (球員狀態!$A$2:$A$5000=$EI$1)*(ISNUMBER(SEARCH($EI12, 球員狀態!$B$2:$B$5000))), 0)), "")</f>
        <v>0.50</v>
      </c>
      <c r="FF12" s="4" t="str">
        <f t="array" ref="FF12">IFERROR(INDEX(球員狀態!Y$2:Y$5000, MATCH(1, (球員狀態!$A$2:$A$5000=$EI$1)*(ISNUMBER(SEARCH($EI12, 球員狀態!$B$2:$B$5000))), 0)), "")</f>
        <v>.118</v>
      </c>
      <c r="FG12" s="4" t="str">
        <f t="array" ref="FG12">IFERROR(INDEX(球員狀態!Z$2:Z$5000, MATCH(1, (球員狀態!$A$2:$A$5000=$EI$1)*(ISNUMBER(SEARCH($EI12, 球員狀態!$B$2:$B$5000))), 0)), "")</f>
        <v>.324</v>
      </c>
      <c r="FH12" s="4" t="str">
        <f t="array" ref="FH12">IFERROR(INDEX(球員狀態!AA$2:AA$5000, MATCH(1, (球員狀態!$A$2:$A$5000=$EI$1)*(ISNUMBER(SEARCH($EI12, 球員狀態!$B$2:$B$5000))), 0)), "")</f>
        <v>4.49</v>
      </c>
      <c r="FI12" s="4" t="str">
        <f t="array" ref="FI12">IFERROR(INDEX(球員狀態!AB$2:AB$5000, MATCH(1, (球員狀態!$A$2:$A$5000=$EI$1)*(ISNUMBER(SEARCH($EI12, 球員狀態!$B$2:$B$5000))), 0)), "")</f>
        <v>2</v>
      </c>
      <c r="FK12" s="24">
        <v>28.1</v>
      </c>
      <c r="FL12" s="25">
        <v>200</v>
      </c>
      <c r="FM12" s="26">
        <v>10</v>
      </c>
      <c r="FN12" s="24">
        <v>13.1</v>
      </c>
      <c r="FO12" s="25">
        <v>200</v>
      </c>
      <c r="FP12" s="26">
        <v>10</v>
      </c>
      <c r="FQ12" s="24">
        <v>11.1</v>
      </c>
      <c r="FR12" s="25">
        <v>200</v>
      </c>
      <c r="FS12" s="26">
        <v>10</v>
      </c>
      <c r="FT12" s="24">
        <v>2.41</v>
      </c>
      <c r="FU12" s="25">
        <v>200</v>
      </c>
      <c r="FV12" s="26">
        <v>10</v>
      </c>
      <c r="FW12" s="24">
        <v>2.81</v>
      </c>
      <c r="FX12" s="25">
        <v>200</v>
      </c>
      <c r="FY12" s="26">
        <v>10</v>
      </c>
    </row>
    <row r="13" spans="1:181" ht="15.6" customHeight="1" thickBot="1">
      <c r="A13" s="4">
        <v>11</v>
      </c>
      <c r="B13" s="1" t="e">
        <v>#N/A</v>
      </c>
      <c r="C13" s="1" t="e">
        <v>#N/A</v>
      </c>
      <c r="D13" s="1" t="e">
        <v>#N/A</v>
      </c>
      <c r="E13" s="1" t="e">
        <v>#N/A</v>
      </c>
      <c r="F13" s="1" t="e">
        <v>#N/A</v>
      </c>
      <c r="G13" s="16" t="e">
        <v>#N/A</v>
      </c>
      <c r="H13" s="1" t="e">
        <v>#N/A</v>
      </c>
      <c r="I13" s="1" t="e">
        <v>#N/A</v>
      </c>
      <c r="J13" s="1" t="e">
        <v>#N/A</v>
      </c>
      <c r="K13" s="16" t="e">
        <v>#N/A</v>
      </c>
      <c r="L13" s="1" t="str">
        <f t="array" ref="L13">IFERROR(SUBSTITUTE(INDEX(正負盤!$6:$20, ROW(A10), MATCH(1, (MONTH(正負盤!$4:$4)=MONTH(DATE(LEFT($A$1,4),MID($A$1,5,2),RIGHT($A$1,2))-10))*(DAY(正負盤!$4:$4)=DAY(DATE(LEFT($A$1,4),MID($A$1,5,2),RIGHT($A$1,2))-10)), 0)), 0, "-"), "")</f>
        <v>X</v>
      </c>
      <c r="M13" s="1" t="str">
        <f t="array" ref="M13">IFERROR(SUBSTITUTE(INDEX(正負盤!$6:$20, ROW(A10), MATCH(1, (MONTH(正負盤!$4:$4)=MONTH(DATE(LEFT($A$1,4),MID($A$1,5,2),RIGHT($A$1,2))-9))*(DAY(正負盤!$4:$4)=DAY(DATE(LEFT($A$1,4),MID($A$1,5,2),RIGHT($A$1,2))-9)), 0)), 0, "-"), "")</f>
        <v>X</v>
      </c>
      <c r="N13" s="1" t="str">
        <f t="array" ref="N13">IFERROR(SUBSTITUTE(INDEX(正負盤!$6:$20, ROW(A10), MATCH(1, (MONTH(正負盤!$4:$4)=MONTH(DATE(LEFT($A$1,4),MID($A$1,5,2),RIGHT($A$1,2))-8))*(DAY(正負盤!$4:$4)=DAY(DATE(LEFT($A$1,4),MID($A$1,5,2),RIGHT($A$1,2))-8)), 0)), 0, "-"), "")</f>
        <v>X</v>
      </c>
      <c r="O13" s="1" t="str">
        <f t="array" ref="O13">IFERROR(SUBSTITUTE(INDEX(正負盤!$6:$20, ROW(A10), MATCH(1, (MONTH(正負盤!$4:$4)=MONTH(DATE(LEFT($A$1,4),MID($A$1,5,2),RIGHT($A$1,2))-7))*(DAY(正負盤!$4:$4)=DAY(DATE(LEFT($A$1,4),MID($A$1,5,2),RIGHT($A$1,2))-7)), 0)), 0, "-"), "")</f>
        <v>O</v>
      </c>
      <c r="P13" s="1" t="str">
        <f t="array" ref="P13">IFERROR(SUBSTITUTE(INDEX(正負盤!$6:$20, ROW(A10), MATCH(1, (MONTH(正負盤!$4:$4)=MONTH(DATE(LEFT($A$1,4),MID($A$1,5,2),RIGHT($A$1,2))-6))*(DAY(正負盤!$4:$4)=DAY(DATE(LEFT($A$1,4),MID($A$1,5,2),RIGHT($A$1,2))-6)), 0)), 0, "-"), "")</f>
        <v>X</v>
      </c>
      <c r="Q13" s="1" t="str">
        <f t="array" ref="Q13">IFERROR(SUBSTITUTE(INDEX(正負盤!$6:$20, ROW(A10), MATCH(1, (MONTH(正負盤!$4:$4)=MONTH(DATE(LEFT($A$1,4),MID($A$1,5,2),RIGHT($A$1,2))-5))*(DAY(正負盤!$4:$4)=DAY(DATE(LEFT($A$1,4),MID($A$1,5,2),RIGHT($A$1,2))-5)), 0)), 0, "-"), "")</f>
        <v/>
      </c>
      <c r="R13" s="1" t="str">
        <f t="array" ref="R13">IFERROR(SUBSTITUTE(INDEX(正負盤!$6:$20, ROW(A10), MATCH(1, (MONTH(正負盤!$4:$4)=MONTH(DATE(LEFT($A$1,4),MID($A$1,5,2),RIGHT($A$1,2))-4))*(DAY(正負盤!$4:$4)=DAY(DATE(LEFT($A$1,4),MID($A$1,5,2),RIGHT($A$1,2))-4)), 0)), 0, "-"), "")</f>
        <v/>
      </c>
      <c r="S13" s="1" t="str">
        <f t="array" ref="S13">IFERROR(SUBSTITUTE(INDEX(正負盤!$6:$20, ROW(A10), MATCH(1, (MONTH(正負盤!$4:$4)=MONTH(DATE(LEFT($A$1,4),MID($A$1,5,2),RIGHT($A$1,2))-3))*(DAY(正負盤!$4:$4)=DAY(DATE(LEFT($A$1,4),MID($A$1,5,2),RIGHT($A$1,2))-3)), 0)), 0, "-"), "")</f>
        <v>X</v>
      </c>
      <c r="T13" s="1" t="str">
        <f t="array" ref="T13">IFERROR(SUBSTITUTE(INDEX(正負盤!$6:$20, ROW(A10), MATCH(1, (MONTH(正負盤!$4:$4)=MONTH(DATE(LEFT($A$1,4),MID($A$1,5,2),RIGHT($A$1,2))-2))*(DAY(正負盤!$4:$4)=DAY(DATE(LEFT($A$1,4),MID($A$1,5,2),RIGHT($A$1,2))-2)), 0)), 0, "-"), "")</f>
        <v>X</v>
      </c>
      <c r="U13" s="1" t="str">
        <f t="array" ref="U13">IFERROR(SUBSTITUTE(INDEX(正負盤!$6:$20, ROW(A10), MATCH(1, (MONTH(正負盤!$4:$4)=MONTH(DATE(LEFT($A$1,4),MID($A$1,5,2),RIGHT($A$1,2))-1))*(DAY(正負盤!$4:$4)=DAY(DATE(LEFT($A$1,4),MID($A$1,5,2),RIGHT($A$1,2))-1)), 0)), 0, "-"), "")</f>
        <v>X</v>
      </c>
      <c r="V13" s="78"/>
      <c r="W13" t="str">
        <f>I8</f>
        <v>遊騎兵</v>
      </c>
      <c r="X13" s="17" t="str">
        <f t="array" aca="1" ref="X13" ca="1">_xlfn.LET(_xlpm.s,SUBSTITUTE(Y13,".",""),_xlpm.c,RIGHT(_xlpm.s,1),_xlpm.n,ROW(INDIRECT("1:"&amp;LEN(_xlpm.s))),_xlpm.cnt,MAX(IF(RIGHT(_xlpm.s,_xlpm.n)=REPT(_xlpm.c,_xlpm.n),_xlpm.n,0)),IF(_xlpm.cnt&gt;=2,_xlpm.cnt&amp;"連"&amp;_xlpm.c,"1"&amp;_xlpm.c))</f>
        <v>1X</v>
      </c>
      <c r="Y13" s="82" t="str">
        <f t="array" ref="Y13">INDEX(各隊正負!$F:$F, MATCH("*"&amp;$W13&amp;"*", 各隊正負!$A:$A, 0)+6)</f>
        <v>X.O.O.X.X.O.O.X.O.X</v>
      </c>
      <c r="Z13" s="100"/>
      <c r="AA13" s="100"/>
      <c r="AB13" s="82" t="str">
        <f t="array" ref="AB13">INDEX(各隊正負!$F:$F, MATCH("*"&amp;$W13&amp;"*", 各隊正負!$A:$A, 0)+4)</f>
        <v>L.W.W.L.L.W.W.L.W.L</v>
      </c>
      <c r="AC13" s="78"/>
      <c r="AD13" s="78"/>
      <c r="AE13" s="1" t="str">
        <f t="array" aca="1" ref="AE13" ca="1">_xlfn.LET(_xlpm.s,SUBSTITUTE(AB13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3" s="19" t="str">
        <f>I8</f>
        <v>遊騎兵</v>
      </c>
      <c r="AG13" s="1" t="str">
        <f t="array" ref="AG13">IFERROR(INDEX(各隊total!$B:$AB, MATCH($AF13, 各隊total!$A:$A, 0), COLUMN(A12)), "")</f>
        <v>28</v>
      </c>
      <c r="AH13" s="32">
        <f>CB25</f>
        <v>3.4500000000000006</v>
      </c>
      <c r="AI13" s="61" t="str">
        <f t="shared" si="0"/>
        <v>C+</v>
      </c>
      <c r="AJ13" s="6">
        <f>CC25</f>
        <v>4.4000000000000004</v>
      </c>
      <c r="AK13" s="60" t="str">
        <f t="shared" si="1"/>
        <v>B</v>
      </c>
      <c r="AL13" s="1" t="str">
        <f t="array" ref="AL13">IFERROR(INDEX(各隊total!$C:$AB, MATCH($AF13, 各隊total!$A:$A, 0), COLUMN(A12)), "")</f>
        <v>932</v>
      </c>
      <c r="AM13" s="1" t="str">
        <f t="array" ref="AM13">IFERROR(INDEX(各隊total!$D:$AB, MATCH($AF13, 各隊total!$A:$A, 0), COLUMN(A12)), "")</f>
        <v>113</v>
      </c>
      <c r="AN13" s="1" t="str">
        <f t="array" ref="AN13">IFERROR(INDEX(各隊total!$E:$AB, MATCH($AF13, 各隊total!$A:$A, 0), COLUMN(A12)), "")</f>
        <v>221</v>
      </c>
      <c r="AO13" s="1" t="str">
        <f t="array" ref="AO13">IFERROR(INDEX(各隊total!$F:$AB, MATCH($AF13, 各隊total!$A:$A, 0), COLUMN(A12)), "")</f>
        <v>47</v>
      </c>
      <c r="AP13" s="1" t="str">
        <f t="array" ref="AP13">IFERROR(INDEX(各隊total!$G:$AB, MATCH($AF13, 各隊total!$A:$A, 0), COLUMN(A12)), "")</f>
        <v>3</v>
      </c>
      <c r="AQ13" s="1" t="str">
        <f t="array" ref="AQ13">IFERROR(INDEX(各隊total!$H:$AB, MATCH($AF13, 各隊total!$A:$A, 0), COLUMN(A12)), "")</f>
        <v>28</v>
      </c>
      <c r="AR13" s="1" t="str">
        <f t="array" ref="AR13">IFERROR(INDEX(各隊total!$I:$AB, MATCH($AF13, 各隊total!$A:$A, 0), COLUMN(A12)), "")</f>
        <v>107</v>
      </c>
      <c r="AS13" s="1" t="str">
        <f t="array" ref="AS13">IFERROR(INDEX(各隊total!$J:$AB, MATCH($AF13, 各隊total!$A:$A, 0), COLUMN(A12)), "")</f>
        <v>358</v>
      </c>
      <c r="AT13" s="1" t="str">
        <f t="array" ref="AT13">IFERROR(INDEX(各隊total!$K:$AB, MATCH($AF13, 各隊total!$A:$A, 0), COLUMN(A12)), "")</f>
        <v>100</v>
      </c>
      <c r="AU13" s="1" t="str">
        <f t="array" ref="AU13">IFERROR(INDEX(各隊total!$L:$AB, MATCH($AF13, 各隊total!$A:$A, 0), COLUMN(A12)), "")</f>
        <v>258</v>
      </c>
      <c r="AV13" s="1" t="str">
        <f t="array" ref="AV13">IFERROR(INDEX(各隊total!$M:$AB, MATCH($AF13, 各隊total!$A:$A, 0), COLUMN(A12)), "")</f>
        <v>17</v>
      </c>
      <c r="AW13" s="1" t="str">
        <f t="array" ref="AW13">IFERROR(INDEX(各隊total!$N:$AB, MATCH($AF13, 各隊total!$A:$A, 0), COLUMN(A12)), "")</f>
        <v>.237</v>
      </c>
      <c r="AX13" s="1" t="str">
        <f t="array" ref="AX13">IFERROR(INDEX(各隊total!$O:$AB, MATCH($AF13, 各隊total!$A:$A, 0), COLUMN(A12)), "")</f>
        <v>.314</v>
      </c>
      <c r="AY13" s="1" t="str">
        <f t="array" ref="AY13">IFERROR(INDEX(各隊total!$P:$AB, MATCH($AF13, 各隊total!$A:$A, 0), COLUMN(A12)), "")</f>
        <v>.384</v>
      </c>
      <c r="AZ13" s="1" t="str">
        <f t="array" ref="AZ13">IFERROR(INDEX(各隊total!$Q:$AB, MATCH($AF13, 各隊total!$A:$A, 0), COLUMN(A12)), "")</f>
        <v>.698</v>
      </c>
      <c r="BA13" s="1">
        <f t="array" ref="BA13">IFERROR(INDEX(各隊total!$R:$AB, MATCH($AF13, 各隊total!$A:$A, 0), COLUMN(A12)), "")</f>
        <v>0</v>
      </c>
      <c r="BB13" s="1" t="str">
        <f t="array" ref="BB13">IFERROR(INDEX(各隊total!$S:$AB, MATCH($AF13, 各隊total!$A:$A, 0), COLUMN(A12)), "")</f>
        <v>115.0</v>
      </c>
      <c r="BC13" s="1" t="str">
        <f t="array" ref="BC13">IFERROR(INDEX(各隊total!$T:$AB, MATCH($AF13, 各隊total!$A:$A, 0), COLUMN(A12)), "")</f>
        <v>4.2</v>
      </c>
      <c r="BD13" s="1" t="str">
        <f t="array" ref="BD13">IFERROR(INDEX(各隊total!$U:$AB, MATCH($AF13, 各隊total!$A:$A, 0), COLUMN(A12)), "")</f>
        <v>.095</v>
      </c>
      <c r="BE13" s="1" t="str">
        <f t="array" ref="BE13">IFERROR(INDEX(各隊total!$V:$AB, MATCH($AF13, 各隊total!$A:$A, 0), COLUMN(A12)), "")</f>
        <v>0.39</v>
      </c>
      <c r="BF13" s="1" t="str">
        <f t="array" ref="BF13">IFERROR(INDEX(各隊total!$W:$AB, MATCH($AF13, 各隊total!$A:$A, 0), COLUMN(A12)), "")</f>
        <v>.147</v>
      </c>
      <c r="BG13" s="1" t="str">
        <f t="array" ref="BG13">IFERROR(INDEX(各隊total!$X:$AB, MATCH($AF13, 各隊total!$A:$A, 0), COLUMN(A12)), "")</f>
        <v>.269</v>
      </c>
      <c r="BH13" s="1" t="str">
        <f t="array" ref="BH13">IFERROR(INDEX(各隊total!$Y:$AB, MATCH($AF13, 各隊total!$A:$A, 0), COLUMN(A12)), "")</f>
        <v>3.88</v>
      </c>
      <c r="BI13" s="1" t="str">
        <f t="array" ref="BI13">IFERROR(INDEX(各隊total!$Z:$AB, MATCH($AF13, 各隊total!$A:$A, 0), COLUMN(A12)), "")</f>
        <v>78</v>
      </c>
      <c r="BJ13" s="1" t="str">
        <f t="array" ref="BJ13">IFERROR(INDEX(各隊total!$AA:$AB, MATCH($AF13, 各隊total!$A:$A, 0), COLUMN(A12)), "")</f>
        <v>1053</v>
      </c>
      <c r="BK13" s="1" t="str">
        <f t="array" ref="BK13">IFERROR(INDEX(各隊total!$AB:$AB, MATCH($AF13, 各隊total!$A:$A, 0), COLUMN(A12)), "")</f>
        <v>33.3</v>
      </c>
      <c r="BL13" s="1" t="str">
        <f t="array" ref="BL13">IFERROR(INDEX(各隊total!$C:$AB, MATCH($AF13, 各隊total!$A:$A, 0), COLUMN(AA12)), "")</f>
        <v/>
      </c>
      <c r="CA13" s="20"/>
      <c r="CB13" s="28">
        <f>CF13+CJ13+CK13+CM13+CO13+CP13+CQ13+CR13</f>
        <v>3.35</v>
      </c>
      <c r="CC13" s="31">
        <f>CU13+CV13+CY13+CZ13+DA13</f>
        <v>3.1500000000000004</v>
      </c>
      <c r="CD13" s="58"/>
      <c r="CE13" s="1"/>
      <c r="CF13" s="27">
        <f>VLOOKUP(ROUND(CF12/CD12, 2), $BV$2:$BX$12, 3, TRUE)*BX$1</f>
        <v>0.44999999999999996</v>
      </c>
      <c r="CG13" s="58"/>
      <c r="CH13" s="58"/>
      <c r="CI13" s="58"/>
      <c r="CJ13" s="27">
        <f>VLOOKUP(ROUND(CJ12/CD12, 2), $BM$15:$BO$25, 3, TRUE)*BO$14</f>
        <v>0.2</v>
      </c>
      <c r="CK13" s="27">
        <f>VLOOKUP(ROUND(CK12/CD12, 2), $BY$2:$CA$12, 3, TRUE)*CA$1</f>
        <v>0.30000000000000004</v>
      </c>
      <c r="CL13" s="58"/>
      <c r="CM13" s="101">
        <f>VLOOKUP(ROUND(CM12/CN12, 2), $BP$15:$BR$25, 3, TRUE)*BR$14</f>
        <v>0.4</v>
      </c>
      <c r="CN13" s="78"/>
      <c r="CO13" s="27">
        <f>VLOOKUP(ROUND(CO12/CD12, 2), $BS$15:$BU$25, 3, TRUE)*BU$14</f>
        <v>0.1</v>
      </c>
      <c r="CP13" s="27">
        <f>VLOOKUP(CP12*1, BM$2:BO$12, 3, TRUE)*BO$1</f>
        <v>0.5</v>
      </c>
      <c r="CQ13" s="27">
        <f>VLOOKUP(CQ12*1, BP$2:BR$12, 3, TRUE)*BR$1</f>
        <v>0.8</v>
      </c>
      <c r="CR13" s="27">
        <f>VLOOKUP(CR12*1, BS$2:BU$12, 3, TRUE)*BU$1</f>
        <v>0.60000000000000009</v>
      </c>
      <c r="CS13" s="1"/>
      <c r="CT13" s="1"/>
      <c r="CU13" s="60">
        <f>VLOOKUP(CU12*1, BM$28:BO$38, 3, TRUE)*BO$27</f>
        <v>0.8</v>
      </c>
      <c r="CV13" s="60">
        <f>VLOOKUP(CV12*1, BP$28:BR$38, 3, TRUE)*BR$27</f>
        <v>1.4</v>
      </c>
      <c r="CW13" s="1"/>
      <c r="CX13" s="1"/>
      <c r="CY13" s="60">
        <f>VLOOKUP(CY12*1, BS$28:BU$38, 3, TRUE)*BU$27</f>
        <v>0.60000000000000009</v>
      </c>
      <c r="CZ13" s="60">
        <f>VLOOKUP(CZ12*1, BV$28:BX$38, 3, TRUE)*BX$27</f>
        <v>0.15</v>
      </c>
      <c r="DA13" s="60">
        <f>VLOOKUP(DA12*1, BY$28:CA$38, 3, TRUE)*CA$27</f>
        <v>0.2</v>
      </c>
      <c r="DF13" s="33"/>
      <c r="DH13" s="40" t="e">
        <f>DJ13+DL13+DM13+DN13+DO13-DP13-DQ13+DR13</f>
        <v>#VALUE!</v>
      </c>
      <c r="DI13" s="42" t="e">
        <f>DU13+DX13+EA13+ED13+EE13+EF13</f>
        <v>#VALUE!</v>
      </c>
      <c r="DJ13" s="38" t="e">
        <f>VLOOKUP(DJ12*1, FK$2:FM$12, 3, TRUE)*FM$1</f>
        <v>#VALUE!</v>
      </c>
      <c r="DL13" s="38" t="e">
        <f>VLOOKUP(DL12*1, FN$2:FP$12, 3, TRUE)*FP$1</f>
        <v>#VALUE!</v>
      </c>
      <c r="DM13" s="38" t="e">
        <f>VLOOKUP(DM12*1, FQ$2:FS$12, 3, TRUE)*FS$1</f>
        <v>#VALUE!</v>
      </c>
      <c r="DN13" s="38" t="e">
        <f>VLOOKUP(DN12*1, FT$2:FV$12, 3, TRUE)*FV$1</f>
        <v>#VALUE!</v>
      </c>
      <c r="DO13" s="38" t="e">
        <f>VLOOKUP(DO12*1, FW$2:FY$12, 3, TRUE)*FY$1</f>
        <v>#VALUE!</v>
      </c>
      <c r="DP13" s="39" t="e">
        <f>VLOOKUP(DP12*1, FK$14:FM$25, 3, TRUE)*FM$14</f>
        <v>#VALUE!</v>
      </c>
      <c r="DQ13" s="39" t="e">
        <f>VLOOKUP(DQ12*1, FN$14:FP$25, 3, TRUE)*FP$14</f>
        <v>#VALUE!</v>
      </c>
      <c r="DR13" s="38" t="e">
        <f>VLOOKUP(DR12*1, FQ$14:FS$25, 3, TRUE)*FS$14</f>
        <v>#VALUE!</v>
      </c>
      <c r="DU13" s="41" t="e">
        <f>VLOOKUP(DU12*1, FK$27:FM$38, 3, TRUE)*FM$27</f>
        <v>#VALUE!</v>
      </c>
      <c r="DX13" s="41" t="e">
        <f>VLOOKUP(DX12*1, FN$27:FP$38, 3, TRUE)*FP$27</f>
        <v>#VALUE!</v>
      </c>
      <c r="EA13" s="41" t="e">
        <f>VLOOKUP(EA12*1, FQ$27:FS$38, 3, TRUE)*FS$27</f>
        <v>#VALUE!</v>
      </c>
      <c r="ED13" s="41" t="e">
        <f>VLOOKUP(ED12*1, FT$27:FV$38, 3, TRUE)*FV$27</f>
        <v>#VALUE!</v>
      </c>
      <c r="EE13" s="41" t="e">
        <f>VLOOKUP(EE12*1, FW$27:FY$38, 3, TRUE)*FY$27</f>
        <v>#VALUE!</v>
      </c>
      <c r="EF13" s="41" t="e">
        <f>VLOOKUP(EF12*1, FK$40:FM$51, 3, TRUE)*FM$40</f>
        <v>#VALUE!</v>
      </c>
      <c r="EG13" s="57"/>
      <c r="EI13" s="33"/>
      <c r="EK13" s="40">
        <f>EM13+EO13+EP13+EQ13+ER13-ES13-ET13+EU13</f>
        <v>0.60000000000000009</v>
      </c>
      <c r="EL13" s="42">
        <f>EX13+FA13+FD13+FG13+FH13+FI13</f>
        <v>5</v>
      </c>
      <c r="EM13" s="38">
        <f>VLOOKUP(EM12*1, $FK$2:$FM$12, 3, TRUE)*$FM$1</f>
        <v>0.5</v>
      </c>
      <c r="EO13" s="38">
        <f>VLOOKUP(EO12*1, $FN$2:$FP$12, 3, TRUE)*$FP$1</f>
        <v>0</v>
      </c>
      <c r="EP13" s="38">
        <f>VLOOKUP(EP12*1, $FQ$2:$FS$12, 3, TRUE)*$FS$1</f>
        <v>0</v>
      </c>
      <c r="EQ13" s="38">
        <f>VLOOKUP(EQ12*1, $FT$2:$FV$12, 3, TRUE)*$FV$1</f>
        <v>0.4</v>
      </c>
      <c r="ER13" s="38">
        <f>VLOOKUP(ER12*1, $FW$2:$FY$12, 3, TRUE)*$FY$1</f>
        <v>0.2</v>
      </c>
      <c r="ES13" s="39">
        <f>VLOOKUP(ES12*1, $FK$14:$FM$25, 3, TRUE)*$FM$14</f>
        <v>1</v>
      </c>
      <c r="ET13" s="39">
        <f>VLOOKUP(ET12*1, $FN$14:$FP$25, 3, TRUE)*$FP$14</f>
        <v>1</v>
      </c>
      <c r="EU13" s="38">
        <f>VLOOKUP(EU12*1, $FQ$14:$FS$25, 3, TRUE)*$FS$14</f>
        <v>1.5</v>
      </c>
      <c r="EX13" s="41">
        <f>VLOOKUP(EX12*1, $FK$27:$FM$38, 3, TRUE)*$FM$27</f>
        <v>0</v>
      </c>
      <c r="FA13" s="41">
        <f>VLOOKUP(FA12*1, $FN$27:$FP$38, 3, TRUE)*$FP$27</f>
        <v>0</v>
      </c>
      <c r="FD13" s="41">
        <f>VLOOKUP(FD12*1, $FQ$27:$FS$38, 3, TRUE)*$FS$27</f>
        <v>0</v>
      </c>
      <c r="FG13" s="41">
        <f>VLOOKUP(FG12*1, $FT$27:$FV$38, 3, TRUE)*$FV$27</f>
        <v>0</v>
      </c>
      <c r="FH13" s="41">
        <f>VLOOKUP(FH12*1, $FW$27:$FY$38, 3, TRUE)*$FY$27</f>
        <v>1.5</v>
      </c>
      <c r="FI13" s="41">
        <f>VLOOKUP(FI12*1, $FK$40:$FM$51, 3, TRUE)*$FM$40</f>
        <v>3.5</v>
      </c>
      <c r="FY13" s="20"/>
    </row>
    <row r="14" spans="1:181">
      <c r="A14" s="4">
        <v>12</v>
      </c>
      <c r="B14" s="1" t="e">
        <v>#N/A</v>
      </c>
      <c r="C14" s="1" t="e">
        <v>#N/A</v>
      </c>
      <c r="D14" s="1" t="e">
        <v>#N/A</v>
      </c>
      <c r="E14" s="1" t="e">
        <v>#N/A</v>
      </c>
      <c r="F14" s="1" t="e">
        <v>#N/A</v>
      </c>
      <c r="G14" s="16" t="e">
        <v>#N/A</v>
      </c>
      <c r="H14" s="1" t="e">
        <v>#N/A</v>
      </c>
      <c r="I14" s="1" t="e">
        <v>#N/A</v>
      </c>
      <c r="J14" s="1" t="e">
        <v>#N/A</v>
      </c>
      <c r="K14" s="16" t="e">
        <v>#N/A</v>
      </c>
      <c r="L14" s="1" t="str">
        <f t="array" ref="L14">IFERROR(SUBSTITUTE(INDEX(正負盤!$6:$20, ROW(A11), MATCH(1, (MONTH(正負盤!$4:$4)=MONTH(DATE(LEFT($A$1,4),MID($A$1,5,2),RIGHT($A$1,2))-10))*(DAY(正負盤!$4:$4)=DAY(DATE(LEFT($A$1,4),MID($A$1,5,2),RIGHT($A$1,2))-10)), 0)), 0, "-"), "")</f>
        <v>O</v>
      </c>
      <c r="M14" s="1" t="str">
        <f t="array" ref="M14">IFERROR(SUBSTITUTE(INDEX(正負盤!$6:$20, ROW(A11), MATCH(1, (MONTH(正負盤!$4:$4)=MONTH(DATE(LEFT($A$1,4),MID($A$1,5,2),RIGHT($A$1,2))-9))*(DAY(正負盤!$4:$4)=DAY(DATE(LEFT($A$1,4),MID($A$1,5,2),RIGHT($A$1,2))-9)), 0)), 0, "-"), "")</f>
        <v>X</v>
      </c>
      <c r="N14" s="1" t="str">
        <f t="array" ref="N14">IFERROR(SUBSTITUTE(INDEX(正負盤!$6:$20, ROW(A11), MATCH(1, (MONTH(正負盤!$4:$4)=MONTH(DATE(LEFT($A$1,4),MID($A$1,5,2),RIGHT($A$1,2))-8))*(DAY(正負盤!$4:$4)=DAY(DATE(LEFT($A$1,4),MID($A$1,5,2),RIGHT($A$1,2))-8)), 0)), 0, "-"), "")</f>
        <v>X</v>
      </c>
      <c r="O14" s="1" t="str">
        <f t="array" ref="O14">IFERROR(SUBSTITUTE(INDEX(正負盤!$6:$20, ROW(A11), MATCH(1, (MONTH(正負盤!$4:$4)=MONTH(DATE(LEFT($A$1,4),MID($A$1,5,2),RIGHT($A$1,2))-7))*(DAY(正負盤!$4:$4)=DAY(DATE(LEFT($A$1,4),MID($A$1,5,2),RIGHT($A$1,2))-7)), 0)), 0, "-"), "")</f>
        <v/>
      </c>
      <c r="P14" s="1" t="str">
        <f t="array" ref="P14">IFERROR(SUBSTITUTE(INDEX(正負盤!$6:$20, ROW(A11), MATCH(1, (MONTH(正負盤!$4:$4)=MONTH(DATE(LEFT($A$1,4),MID($A$1,5,2),RIGHT($A$1,2))-6))*(DAY(正負盤!$4:$4)=DAY(DATE(LEFT($A$1,4),MID($A$1,5,2),RIGHT($A$1,2))-6)), 0)), 0, "-"), "")</f>
        <v>X</v>
      </c>
      <c r="Q14" s="1" t="str">
        <f t="array" ref="Q14">IFERROR(SUBSTITUTE(INDEX(正負盤!$6:$20, ROW(A11), MATCH(1, (MONTH(正負盤!$4:$4)=MONTH(DATE(LEFT($A$1,4),MID($A$1,5,2),RIGHT($A$1,2))-5))*(DAY(正負盤!$4:$4)=DAY(DATE(LEFT($A$1,4),MID($A$1,5,2),RIGHT($A$1,2))-5)), 0)), 0, "-"), "")</f>
        <v/>
      </c>
      <c r="R14" s="1" t="str">
        <f t="array" ref="R14">IFERROR(SUBSTITUTE(INDEX(正負盤!$6:$20, ROW(A11), MATCH(1, (MONTH(正負盤!$4:$4)=MONTH(DATE(LEFT($A$1,4),MID($A$1,5,2),RIGHT($A$1,2))-4))*(DAY(正負盤!$4:$4)=DAY(DATE(LEFT($A$1,4),MID($A$1,5,2),RIGHT($A$1,2))-4)), 0)), 0, "-"), "")</f>
        <v/>
      </c>
      <c r="S14" s="1" t="str">
        <f t="array" ref="S14">IFERROR(SUBSTITUTE(INDEX(正負盤!$6:$20, ROW(A11), MATCH(1, (MONTH(正負盤!$4:$4)=MONTH(DATE(LEFT($A$1,4),MID($A$1,5,2),RIGHT($A$1,2))-3))*(DAY(正負盤!$4:$4)=DAY(DATE(LEFT($A$1,4),MID($A$1,5,2),RIGHT($A$1,2))-3)), 0)), 0, "-"), "")</f>
        <v>O</v>
      </c>
      <c r="T14" s="1" t="str">
        <f t="array" ref="T14">IFERROR(SUBSTITUTE(INDEX(正負盤!$6:$20, ROW(A11), MATCH(1, (MONTH(正負盤!$4:$4)=MONTH(DATE(LEFT($A$1,4),MID($A$1,5,2),RIGHT($A$1,2))-2))*(DAY(正負盤!$4:$4)=DAY(DATE(LEFT($A$1,4),MID($A$1,5,2),RIGHT($A$1,2))-2)), 0)), 0, "-"), "")</f>
        <v>O</v>
      </c>
      <c r="U14" s="1" t="str">
        <f t="array" ref="U14">IFERROR(SUBSTITUTE(INDEX(正負盤!$6:$20, ROW(A11), MATCH(1, (MONTH(正負盤!$4:$4)=MONTH(DATE(LEFT($A$1,4),MID($A$1,5,2),RIGHT($A$1,2))-1))*(DAY(正負盤!$4:$4)=DAY(DATE(LEFT($A$1,4),MID($A$1,5,2),RIGHT($A$1,2))-1)), 0)), 0, "-"), "")</f>
        <v>X</v>
      </c>
      <c r="V14" s="82" t="str">
        <f>C9</f>
        <v>09:40</v>
      </c>
      <c r="W14" t="str">
        <f>E9</f>
        <v>小熊</v>
      </c>
      <c r="X14" s="17" t="str">
        <f t="array" aca="1" ref="X14" ca="1">_xlfn.LET(_xlpm.s,SUBSTITUTE(Y14,".",""),_xlpm.c,RIGHT(_xlpm.s,1),_xlpm.n,ROW(INDIRECT("1:"&amp;LEN(_xlpm.s))),_xlpm.cnt,MAX(IF(RIGHT(_xlpm.s,_xlpm.n)=REPT(_xlpm.c,_xlpm.n),_xlpm.n,0)),IF(_xlpm.cnt&gt;=2,_xlpm.cnt&amp;"連"&amp;_xlpm.c,"1"&amp;_xlpm.c))</f>
        <v>2連X</v>
      </c>
      <c r="Y14" s="82" t="str">
        <f t="array" ref="Y14">INDEX(各隊正負!$F:$F, MATCH("*"&amp;$W14&amp;"*", 各隊正負!$A:$A, 0)+6)</f>
        <v>O.O.O.O.O.O.O.O.X.X</v>
      </c>
      <c r="Z14" s="100"/>
      <c r="AA14" s="100"/>
      <c r="AB14" s="82" t="str">
        <f t="array" ref="AB14">INDEX(各隊正負!$F:$F, MATCH("*"&amp;$W14&amp;"*", 各隊正負!$A:$A, 0)+4)</f>
        <v>W.W.W.W.W.W.W.W.L.L</v>
      </c>
      <c r="AC14" s="78"/>
      <c r="AD14" s="78"/>
      <c r="AE14" s="1" t="str">
        <f t="array" aca="1" ref="AE14" ca="1">_xlfn.LET(_xlpm.s,SUBSTITUTE(AB14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4" s="19" t="str">
        <f>E9</f>
        <v>小熊</v>
      </c>
      <c r="AG14" s="1" t="str">
        <f t="array" ref="AG14">IFERROR(INDEX(各隊total!$B:$AB, MATCH($AF14, 各隊total!$A:$A, 0), COLUMN(A13)), "")</f>
        <v>28</v>
      </c>
      <c r="AH14" s="32">
        <f>CB27</f>
        <v>6.15</v>
      </c>
      <c r="AI14" s="61" t="str">
        <f t="shared" si="0"/>
        <v>A+</v>
      </c>
      <c r="AJ14" s="6">
        <f>CC27</f>
        <v>6.4999999999999991</v>
      </c>
      <c r="AK14" s="60" t="str">
        <f t="shared" si="1"/>
        <v>A+</v>
      </c>
      <c r="AL14" s="1" t="str">
        <f t="array" ref="AL14">IFERROR(INDEX(各隊total!$C:$AB, MATCH($AF14, 各隊total!$A:$A, 0), COLUMN(A13)), "")</f>
        <v>964</v>
      </c>
      <c r="AM14" s="1" t="str">
        <f t="array" ref="AM14">IFERROR(INDEX(各隊total!$D:$AB, MATCH($AF14, 各隊total!$A:$A, 0), COLUMN(A13)), "")</f>
        <v>149</v>
      </c>
      <c r="AN14" s="1" t="str">
        <f t="array" ref="AN14">IFERROR(INDEX(各隊total!$E:$AB, MATCH($AF14, 各隊total!$A:$A, 0), COLUMN(A13)), "")</f>
        <v>254</v>
      </c>
      <c r="AO14" s="1" t="str">
        <f t="array" ref="AO14">IFERROR(INDEX(各隊total!$F:$AB, MATCH($AF14, 各隊total!$A:$A, 0), COLUMN(A13)), "")</f>
        <v>41</v>
      </c>
      <c r="AP14" s="1" t="str">
        <f t="array" ref="AP14">IFERROR(INDEX(各隊total!$G:$AB, MATCH($AF14, 各隊total!$A:$A, 0), COLUMN(A13)), "")</f>
        <v>3</v>
      </c>
      <c r="AQ14" s="1" t="str">
        <f t="array" ref="AQ14">IFERROR(INDEX(各隊total!$H:$AB, MATCH($AF14, 各隊total!$A:$A, 0), COLUMN(A13)), "")</f>
        <v>37</v>
      </c>
      <c r="AR14" s="1" t="str">
        <f t="array" ref="AR14">IFERROR(INDEX(各隊total!$I:$AB, MATCH($AF14, 各隊total!$A:$A, 0), COLUMN(A13)), "")</f>
        <v>135</v>
      </c>
      <c r="AS14" s="1" t="str">
        <f t="array" ref="AS14">IFERROR(INDEX(各隊total!$J:$AB, MATCH($AF14, 各隊total!$A:$A, 0), COLUMN(A13)), "")</f>
        <v>412</v>
      </c>
      <c r="AT14" s="1" t="str">
        <f t="array" ref="AT14">IFERROR(INDEX(各隊total!$K:$AB, MATCH($AF14, 各隊total!$A:$A, 0), COLUMN(A13)), "")</f>
        <v>126</v>
      </c>
      <c r="AU14" s="1" t="str">
        <f t="array" ref="AU14">IFERROR(INDEX(各隊total!$L:$AB, MATCH($AF14, 各隊total!$A:$A, 0), COLUMN(A13)), "")</f>
        <v>239</v>
      </c>
      <c r="AV14" s="1" t="str">
        <f t="array" ref="AV14">IFERROR(INDEX(各隊total!$M:$AB, MATCH($AF14, 各隊total!$A:$A, 0), COLUMN(A13)), "")</f>
        <v>18</v>
      </c>
      <c r="AW14" s="1" t="str">
        <f t="array" ref="AW14">IFERROR(INDEX(各隊total!$N:$AB, MATCH($AF14, 各隊total!$A:$A, 0), COLUMN(A13)), "")</f>
        <v>.263</v>
      </c>
      <c r="AX14" s="1" t="str">
        <f t="array" ref="AX14">IFERROR(INDEX(各隊total!$O:$AB, MATCH($AF14, 各隊total!$A:$A, 0), COLUMN(A13)), "")</f>
        <v>.354</v>
      </c>
      <c r="AY14" s="1" t="str">
        <f t="array" ref="AY14">IFERROR(INDEX(各隊total!$P:$AB, MATCH($AF14, 各隊total!$A:$A, 0), COLUMN(A13)), "")</f>
        <v>.427</v>
      </c>
      <c r="AZ14" s="1" t="str">
        <f t="array" ref="AZ14">IFERROR(INDEX(各隊total!$Q:$AB, MATCH($AF14, 各隊total!$A:$A, 0), COLUMN(A13)), "")</f>
        <v>.781</v>
      </c>
      <c r="BA14" s="1">
        <f t="array" ref="BA14">IFERROR(INDEX(各隊total!$R:$AB, MATCH($AF14, 各隊total!$A:$A, 0), COLUMN(A13)), "")</f>
        <v>0</v>
      </c>
      <c r="BB14" s="1" t="str">
        <f t="array" ref="BB14">IFERROR(INDEX(各隊total!$S:$AB, MATCH($AF14, 各隊total!$A:$A, 0), COLUMN(A13)), "")</f>
        <v>151.1</v>
      </c>
      <c r="BC14" s="1" t="str">
        <f t="array" ref="BC14">IFERROR(INDEX(各隊total!$T:$AB, MATCH($AF14, 各隊total!$A:$A, 0), COLUMN(A13)), "")</f>
        <v>5.5</v>
      </c>
      <c r="BD14" s="1" t="str">
        <f t="array" ref="BD14">IFERROR(INDEX(各隊total!$U:$AB, MATCH($AF14, 各隊total!$A:$A, 0), COLUMN(A13)), "")</f>
        <v>.113</v>
      </c>
      <c r="BE14" s="1" t="str">
        <f t="array" ref="BE14">IFERROR(INDEX(各隊total!$V:$AB, MATCH($AF14, 各隊total!$A:$A, 0), COLUMN(A13)), "")</f>
        <v>0.53</v>
      </c>
      <c r="BF14" s="1" t="str">
        <f t="array" ref="BF14">IFERROR(INDEX(各隊total!$W:$AB, MATCH($AF14, 各隊total!$A:$A, 0), COLUMN(A13)), "")</f>
        <v>.164</v>
      </c>
      <c r="BG14" s="1" t="str">
        <f t="array" ref="BG14">IFERROR(INDEX(各隊total!$X:$AB, MATCH($AF14, 各隊total!$A:$A, 0), COLUMN(A13)), "")</f>
        <v>.309</v>
      </c>
      <c r="BH14" s="1" t="str">
        <f t="array" ref="BH14">IFERROR(INDEX(各隊total!$Y:$AB, MATCH($AF14, 各隊total!$A:$A, 0), COLUMN(A13)), "")</f>
        <v>3.89</v>
      </c>
      <c r="BI14" s="1" t="str">
        <f t="array" ref="BI14">IFERROR(INDEX(各隊total!$Z:$AB, MATCH($AF14, 各隊total!$A:$A, 0), COLUMN(A13)), "")</f>
        <v>81</v>
      </c>
      <c r="BJ14" s="1" t="str">
        <f t="array" ref="BJ14">IFERROR(INDEX(各隊total!$AA:$AB, MATCH($AF14, 各隊total!$A:$A, 0), COLUMN(A13)), "")</f>
        <v>1116</v>
      </c>
      <c r="BK14" s="1" t="str">
        <f t="array" ref="BK14">IFERROR(INDEX(各隊total!$AB:$AB, MATCH($AF14, 各隊total!$A:$A, 0), COLUMN(A13)), "")</f>
        <v>26.1</v>
      </c>
      <c r="BL14" s="1" t="str">
        <f t="array" ref="BL14">IFERROR(INDEX(各隊total!$C:$AB, MATCH($AF14, 各隊total!$A:$A, 0), COLUMN(AA13)), "")</f>
        <v/>
      </c>
      <c r="BM14" s="104" t="s">
        <v>528</v>
      </c>
      <c r="BN14" s="103"/>
      <c r="BO14" s="21">
        <v>0.1</v>
      </c>
      <c r="BP14" s="104" t="s">
        <v>529</v>
      </c>
      <c r="BQ14" s="103"/>
      <c r="BR14" s="21">
        <v>0.1</v>
      </c>
      <c r="BS14" s="104" t="s">
        <v>499</v>
      </c>
      <c r="BT14" s="103"/>
      <c r="BU14" s="21">
        <v>0.05</v>
      </c>
      <c r="BV14" s="104" t="s">
        <v>530</v>
      </c>
      <c r="BW14" s="103"/>
      <c r="BX14" s="21">
        <v>0</v>
      </c>
      <c r="BY14" s="105" t="s">
        <v>531</v>
      </c>
      <c r="BZ14" s="103"/>
      <c r="CA14" s="21">
        <v>0</v>
      </c>
      <c r="CB14" s="19" t="str">
        <f>AF8</f>
        <v>水手</v>
      </c>
      <c r="CC14" s="29"/>
      <c r="CD14" s="1" t="str">
        <f>AG8</f>
        <v>29</v>
      </c>
      <c r="CE14" s="1" t="str">
        <f t="shared" ref="CE14:DD14" si="8">AL8</f>
        <v>960</v>
      </c>
      <c r="CF14" s="1" t="str">
        <f t="shared" si="8"/>
        <v>118</v>
      </c>
      <c r="CG14" s="1" t="str">
        <f t="shared" si="8"/>
        <v>224</v>
      </c>
      <c r="CH14" s="1" t="str">
        <f t="shared" si="8"/>
        <v>40</v>
      </c>
      <c r="CI14" s="1" t="str">
        <f t="shared" si="8"/>
        <v>3</v>
      </c>
      <c r="CJ14" s="1" t="str">
        <f t="shared" si="8"/>
        <v>31</v>
      </c>
      <c r="CK14" s="1" t="str">
        <f t="shared" si="8"/>
        <v>115</v>
      </c>
      <c r="CL14" s="1" t="str">
        <f t="shared" si="8"/>
        <v>363</v>
      </c>
      <c r="CM14" s="1" t="str">
        <f t="shared" si="8"/>
        <v>113</v>
      </c>
      <c r="CN14" s="1" t="str">
        <f t="shared" si="8"/>
        <v>264</v>
      </c>
      <c r="CO14" s="1" t="str">
        <f t="shared" si="8"/>
        <v>21</v>
      </c>
      <c r="CP14" s="1" t="str">
        <f t="shared" si="8"/>
        <v>.233</v>
      </c>
      <c r="CQ14" s="1" t="str">
        <f t="shared" si="8"/>
        <v>.324</v>
      </c>
      <c r="CR14" s="1" t="str">
        <f t="shared" si="8"/>
        <v>.378</v>
      </c>
      <c r="CS14" s="1" t="str">
        <f t="shared" si="8"/>
        <v>.702</v>
      </c>
      <c r="CT14" s="1">
        <f t="shared" si="8"/>
        <v>0</v>
      </c>
      <c r="CU14" s="1" t="str">
        <f t="shared" si="8"/>
        <v>123.7</v>
      </c>
      <c r="CV14" s="1" t="str">
        <f t="shared" si="8"/>
        <v>4.4</v>
      </c>
      <c r="CW14" s="1" t="str">
        <f t="shared" si="8"/>
        <v>.103</v>
      </c>
      <c r="CX14" s="1" t="str">
        <f t="shared" si="8"/>
        <v>0.43</v>
      </c>
      <c r="CY14" s="1" t="str">
        <f t="shared" si="8"/>
        <v>.145</v>
      </c>
      <c r="CZ14" s="1" t="str">
        <f t="shared" si="8"/>
        <v>.276</v>
      </c>
      <c r="DA14" s="1" t="str">
        <f t="shared" si="8"/>
        <v>4.01</v>
      </c>
      <c r="DB14" s="1" t="str">
        <f t="shared" si="8"/>
        <v>74</v>
      </c>
      <c r="DC14" s="1" t="str">
        <f t="shared" si="8"/>
        <v>1101</v>
      </c>
      <c r="DD14" s="1" t="str">
        <f t="shared" si="8"/>
        <v>31.0</v>
      </c>
      <c r="DF14" s="35" t="str">
        <f>先發名單!M$2</f>
        <v>C. Simpson</v>
      </c>
      <c r="DG14" s="4" t="str">
        <f t="array" ref="DG14">IFERROR(INDEX(球員狀態!$C$2:$C$5000, MATCH(1, (球員狀態!$A$2:$A$5000=$DF$1)*(ISNUMBER(SEARCH($DF14, 球員狀態!$B$2:$B$5000))), 0)), "")</f>
        <v/>
      </c>
      <c r="DJ14" s="4" t="str">
        <f t="array" ref="DJ14">IFERROR(INDEX(球員狀態!$F$2:$F$5000, MATCH(1, (球員狀態!$A$2:$A$5000=$DF$1)*(ISNUMBER(SEARCH($DF14, 球員狀態!$B$2:$B$5000))), 0)), "")</f>
        <v/>
      </c>
      <c r="DK14" s="4" t="str">
        <f t="array" ref="DK14">IFERROR(INDEX(球員狀態!$G$2:$G$5000, MATCH(1, (球員狀態!$A$2:$A$5000=$DF$1)*(ISNUMBER(SEARCH($DF14, 球員狀態!$B$2:$B$5000))), 0)), "")</f>
        <v/>
      </c>
      <c r="DL14" s="4" t="str">
        <f t="array" ref="DL14">IFERROR(INDEX(球員狀態!H$2:H$5000, MATCH(1, (球員狀態!$A$2:$A$5000=$DF$1)*(ISNUMBER(SEARCH($DF14, 球員狀態!$B$2:$B$5000))), 0)), "")</f>
        <v/>
      </c>
      <c r="DM14" s="4" t="str">
        <f t="array" ref="DM14">IFERROR(INDEX(球員狀態!I$2:I$5000, MATCH(1, (球員狀態!$A$2:$A$5000=$DF$1)*(ISNUMBER(SEARCH($DF14, 球員狀態!$B$2:$B$5000))), 0)), "")</f>
        <v/>
      </c>
      <c r="DN14" s="4" t="str">
        <f t="array" ref="DN14">IFERROR(INDEX(球員狀態!J$2:J$5000, MATCH(1, (球員狀態!$A$2:$A$5000=$DF$1)*(ISNUMBER(SEARCH($DF14, 球員狀態!$B$2:$B$5000))), 0)), "")</f>
        <v/>
      </c>
      <c r="DO14" s="4" t="str">
        <f t="array" ref="DO14">IFERROR(INDEX(球員狀態!K$2:K$5000, MATCH(1, (球員狀態!$A$2:$A$5000=$DF$1)*(ISNUMBER(SEARCH($DF14, 球員狀態!$B$2:$B$5000))), 0)), "")</f>
        <v/>
      </c>
      <c r="DP14" s="4" t="str">
        <f t="array" ref="DP14">IFERROR(INDEX(球員狀態!L$2:L$5000, MATCH(1, (球員狀態!$A$2:$A$5000=$DF$1)*(ISNUMBER(SEARCH($DF14, 球員狀態!$B$2:$B$5000))), 0)), "")</f>
        <v/>
      </c>
      <c r="DQ14" s="4" t="str">
        <f t="array" ref="DQ14">IFERROR(INDEX(球員狀態!M$2:M$5000, MATCH(1, (球員狀態!$A$2:$A$5000=$DF$1)*(ISNUMBER(SEARCH($DF14, 球員狀態!$B$2:$B$5000))), 0)), "")</f>
        <v/>
      </c>
      <c r="DR14" s="4" t="str">
        <f t="array" ref="DR14">IFERROR(INDEX(球員狀態!N$2:N$5000, MATCH(1, (球員狀態!$A$2:$A$5000=$DF$1)*(ISNUMBER(SEARCH($DF14, 球員狀態!$B$2:$B$5000))), 0)), "")</f>
        <v/>
      </c>
      <c r="DS14" s="4" t="str">
        <f t="array" ref="DS14">IFERROR(INDEX(球員狀態!O$2:O$5000, MATCH(1, (球員狀態!$A$2:$A$5000=$DF$1)*(ISNUMBER(SEARCH($DF14, 球員狀態!$B$2:$B$5000))), 0)), "")</f>
        <v/>
      </c>
      <c r="DT14" s="4" t="str">
        <f t="array" ref="DT14">IFERROR(INDEX(球員狀態!P$2:P$5000, MATCH(1, (球員狀態!$A$2:$A$5000=$DF$1)*(ISNUMBER(SEARCH($DF14, 球員狀態!$B$2:$B$5000))), 0)), "")</f>
        <v/>
      </c>
      <c r="DU14" s="4" t="str">
        <f t="array" ref="DU14">IFERROR(INDEX(球員狀態!Q$2:Q$5000, MATCH(1, (球員狀態!$A$2:$A$5000=$DF$1)*(ISNUMBER(SEARCH($DF14, 球員狀態!$B$2:$B$5000))), 0)), "")</f>
        <v/>
      </c>
      <c r="DV14" s="4" t="str">
        <f t="array" ref="DV14">IFERROR(INDEX(球員狀態!R$2:R$5000, MATCH(1, (球員狀態!$A$2:$A$5000=$DF$1)*(ISNUMBER(SEARCH($DF14, 球員狀態!$B$2:$B$5000))), 0)), "")</f>
        <v/>
      </c>
      <c r="DW14" s="4" t="str">
        <f t="array" ref="DW14">IFERROR(INDEX(球員狀態!S$2:S$5000, MATCH(1, (球員狀態!$A$2:$A$5000=$DF$1)*(ISNUMBER(SEARCH($DF14, 球員狀態!$B$2:$B$5000))), 0)), "")</f>
        <v/>
      </c>
      <c r="DX14" s="4" t="str">
        <f t="array" ref="DX14">IFERROR(INDEX(球員狀態!T$2:T$5000, MATCH(1, (球員狀態!$A$2:$A$5000=$DF$1)*(ISNUMBER(SEARCH($DF14, 球員狀態!$B$2:$B$5000))), 0)), "")</f>
        <v/>
      </c>
      <c r="DY14" s="4" t="str">
        <f t="array" ref="DY14">IFERROR(INDEX(球員狀態!U$2:U$5000, MATCH(1, (球員狀態!$A$2:$A$5000=$DF$1)*(ISNUMBER(SEARCH($DF14, 球員狀態!$B$2:$B$5000))), 0)), "")</f>
        <v/>
      </c>
      <c r="DZ14" s="4" t="str">
        <f t="array" ref="DZ14">IFERROR(INDEX(球員狀態!V$2:V$5000, MATCH(1, (球員狀態!$A$2:$A$5000=$DF$1)*(ISNUMBER(SEARCH($DF14, 球員狀態!$B$2:$B$5000))), 0)), "")</f>
        <v/>
      </c>
      <c r="EA14" s="4" t="str">
        <f t="array" ref="EA14">IFERROR(INDEX(球員狀態!W$2:W$5000, MATCH(1, (球員狀態!$A$2:$A$5000=$DF$1)*(ISNUMBER(SEARCH($DF14, 球員狀態!$B$2:$B$5000))), 0)), "")</f>
        <v/>
      </c>
      <c r="EB14" s="4" t="str">
        <f t="array" ref="EB14">IFERROR(INDEX(球員狀態!X$2:X$5000, MATCH(1, (球員狀態!$A$2:$A$5000=$DF$1)*(ISNUMBER(SEARCH($DF14, 球員狀態!$B$2:$B$5000))), 0)), "")</f>
        <v/>
      </c>
      <c r="EC14" s="4" t="str">
        <f t="array" ref="EC14">IFERROR(INDEX(球員狀態!Y$2:Y$5000, MATCH(1, (球員狀態!$A$2:$A$5000=$DF$1)*(ISNUMBER(SEARCH($DF14, 球員狀態!$B$2:$B$5000))), 0)), "")</f>
        <v/>
      </c>
      <c r="ED14" s="4" t="str">
        <f t="array" ref="ED14">IFERROR(INDEX(球員狀態!Z$2:Z$5000, MATCH(1, (球員狀態!$A$2:$A$5000=$DF$1)*(ISNUMBER(SEARCH($DF14, 球員狀態!$B$2:$B$5000))), 0)), "")</f>
        <v/>
      </c>
      <c r="EE14" s="4" t="str">
        <f t="array" ref="EE14">IFERROR(INDEX(球員狀態!AA$2:AA$5000, MATCH(1, (球員狀態!$A$2:$A$5000=$DF$1)*(ISNUMBER(SEARCH($DF14, 球員狀態!$B$2:$B$5000))), 0)), "")</f>
        <v/>
      </c>
      <c r="EF14" s="4" t="str">
        <f t="array" ref="EF14">IFERROR(INDEX(球員狀態!AB$2:AB$5000, MATCH(1, (球員狀態!$A$2:$A$5000=$DF$1)*(ISNUMBER(SEARCH($DF14, 球員狀態!$B$2:$B$5000))), 0)), "")</f>
        <v/>
      </c>
      <c r="EG14" s="56"/>
      <c r="EI14" s="37" t="str">
        <f>先發名單!U$2</f>
        <v>D. Schneemann</v>
      </c>
      <c r="EJ14" s="4" t="str">
        <f t="array" ref="EJ14">IFERROR(INDEX(球員狀態!$C$2:$C$5000, MATCH(1, (球員狀態!$A$2:$A$5000=$EI$1)*(ISNUMBER(SEARCH($EI14, 球員狀態!$B$2:$B$5000))), 0)), "")</f>
        <v/>
      </c>
      <c r="EM14" s="4" t="str">
        <f t="array" ref="EM14">IFERROR(INDEX(球員狀態!F$2:F$5000, MATCH(1, (球員狀態!$A$2:$A$5000=$EI$1)*(ISNUMBER(SEARCH($EI14, 球員狀態!$B$2:$B$5000))), 0)), "")</f>
        <v/>
      </c>
      <c r="EN14" s="4" t="str">
        <f t="array" ref="EN14">IFERROR(INDEX(球員狀態!G$2:G$5000, MATCH(1, (球員狀態!$A$2:$A$5000=$EI$1)*(ISNUMBER(SEARCH($EI14, 球員狀態!$B$2:$B$5000))), 0)), "")</f>
        <v/>
      </c>
      <c r="EO14" s="4" t="str">
        <f t="array" ref="EO14">IFERROR(INDEX(球員狀態!H$2:H$5000, MATCH(1, (球員狀態!$A$2:$A$5000=$EI$1)*(ISNUMBER(SEARCH($EI14, 球員狀態!$B$2:$B$5000))), 0)), "")</f>
        <v/>
      </c>
      <c r="EP14" s="4" t="str">
        <f t="array" ref="EP14">IFERROR(INDEX(球員狀態!I$2:I$5000, MATCH(1, (球員狀態!$A$2:$A$5000=$EI$1)*(ISNUMBER(SEARCH($EI14, 球員狀態!$B$2:$B$5000))), 0)), "")</f>
        <v/>
      </c>
      <c r="EQ14" s="4" t="str">
        <f t="array" ref="EQ14">IFERROR(INDEX(球員狀態!J$2:J$5000, MATCH(1, (球員狀態!$A$2:$A$5000=$EI$1)*(ISNUMBER(SEARCH($EI14, 球員狀態!$B$2:$B$5000))), 0)), "")</f>
        <v/>
      </c>
      <c r="ER14" s="4" t="str">
        <f t="array" ref="ER14">IFERROR(INDEX(球員狀態!K$2:K$5000, MATCH(1, (球員狀態!$A$2:$A$5000=$EI$1)*(ISNUMBER(SEARCH($EI14, 球員狀態!$B$2:$B$5000))), 0)), "")</f>
        <v/>
      </c>
      <c r="ES14" s="4" t="str">
        <f t="array" ref="ES14">IFERROR(INDEX(球員狀態!L$2:L$5000, MATCH(1, (球員狀態!$A$2:$A$5000=$EI$1)*(ISNUMBER(SEARCH($EI14, 球員狀態!$B$2:$B$5000))), 0)), "")</f>
        <v/>
      </c>
      <c r="ET14" s="4" t="str">
        <f t="array" ref="ET14">IFERROR(INDEX(球員狀態!M$2:M$5000, MATCH(1, (球員狀態!$A$2:$A$5000=$EI$1)*(ISNUMBER(SEARCH($EI14, 球員狀態!$B$2:$B$5000))), 0)), "")</f>
        <v/>
      </c>
      <c r="EU14" s="4" t="str">
        <f t="array" ref="EU14">IFERROR(INDEX(球員狀態!N$2:N$5000, MATCH(1, (球員狀態!$A$2:$A$5000=$EI$1)*(ISNUMBER(SEARCH($EI14, 球員狀態!$B$2:$B$5000))), 0)), "")</f>
        <v/>
      </c>
      <c r="EV14" s="4" t="str">
        <f t="array" ref="EV14">IFERROR(INDEX(球員狀態!O$2:O$5000, MATCH(1, (球員狀態!$A$2:$A$5000=$EI$1)*(ISNUMBER(SEARCH($EI14, 球員狀態!$B$2:$B$5000))), 0)), "")</f>
        <v/>
      </c>
      <c r="EW14" s="4" t="str">
        <f t="array" ref="EW14">IFERROR(INDEX(球員狀態!P$2:P$5000, MATCH(1, (球員狀態!$A$2:$A$5000=$EI$1)*(ISNUMBER(SEARCH($EI14, 球員狀態!$B$2:$B$5000))), 0)), "")</f>
        <v/>
      </c>
      <c r="EX14" s="4" t="str">
        <f t="array" ref="EX14">IFERROR(INDEX(球員狀態!Q$2:Q$5000, MATCH(1, (球員狀態!$A$2:$A$5000=$EI$1)*(ISNUMBER(SEARCH($EI14, 球員狀態!$B$2:$B$5000))), 0)), "")</f>
        <v/>
      </c>
      <c r="EY14" s="4" t="str">
        <f t="array" ref="EY14">IFERROR(INDEX(球員狀態!R$2:R$5000, MATCH(1, (球員狀態!$A$2:$A$5000=$EI$1)*(ISNUMBER(SEARCH($EI14, 球員狀態!$B$2:$B$5000))), 0)), "")</f>
        <v/>
      </c>
      <c r="EZ14" s="4" t="str">
        <f t="array" ref="EZ14">IFERROR(INDEX(球員狀態!S$2:S$5000, MATCH(1, (球員狀態!$A$2:$A$5000=$EI$1)*(ISNUMBER(SEARCH($EI14, 球員狀態!$B$2:$B$5000))), 0)), "")</f>
        <v/>
      </c>
      <c r="FA14" s="4" t="str">
        <f t="array" ref="FA14">IFERROR(INDEX(球員狀態!T$2:T$5000, MATCH(1, (球員狀態!$A$2:$A$5000=$EI$1)*(ISNUMBER(SEARCH($EI14, 球員狀態!$B$2:$B$5000))), 0)), "")</f>
        <v/>
      </c>
      <c r="FB14" s="4" t="str">
        <f t="array" ref="FB14">IFERROR(INDEX(球員狀態!U$2:U$5000, MATCH(1, (球員狀態!$A$2:$A$5000=$EI$1)*(ISNUMBER(SEARCH($EI14, 球員狀態!$B$2:$B$5000))), 0)), "")</f>
        <v/>
      </c>
      <c r="FC14" s="4" t="str">
        <f t="array" ref="FC14">IFERROR(INDEX(球員狀態!V$2:V$5000, MATCH(1, (球員狀態!$A$2:$A$5000=$EI$1)*(ISNUMBER(SEARCH($EI14, 球員狀態!$B$2:$B$5000))), 0)), "")</f>
        <v/>
      </c>
      <c r="FD14" s="4" t="str">
        <f t="array" ref="FD14">IFERROR(INDEX(球員狀態!W$2:W$5000, MATCH(1, (球員狀態!$A$2:$A$5000=$EI$1)*(ISNUMBER(SEARCH($EI14, 球員狀態!$B$2:$B$5000))), 0)), "")</f>
        <v/>
      </c>
      <c r="FE14" s="4" t="str">
        <f t="array" ref="FE14">IFERROR(INDEX(球員狀態!X$2:X$5000, MATCH(1, (球員狀態!$A$2:$A$5000=$EI$1)*(ISNUMBER(SEARCH($EI14, 球員狀態!$B$2:$B$5000))), 0)), "")</f>
        <v/>
      </c>
      <c r="FF14" s="4" t="str">
        <f t="array" ref="FF14">IFERROR(INDEX(球員狀態!Y$2:Y$5000, MATCH(1, (球員狀態!$A$2:$A$5000=$EI$1)*(ISNUMBER(SEARCH($EI14, 球員狀態!$B$2:$B$5000))), 0)), "")</f>
        <v/>
      </c>
      <c r="FG14" s="4" t="str">
        <f t="array" ref="FG14">IFERROR(INDEX(球員狀態!Z$2:Z$5000, MATCH(1, (球員狀態!$A$2:$A$5000=$EI$1)*(ISNUMBER(SEARCH($EI14, 球員狀態!$B$2:$B$5000))), 0)), "")</f>
        <v/>
      </c>
      <c r="FH14" s="4" t="str">
        <f t="array" ref="FH14">IFERROR(INDEX(球員狀態!AA$2:AA$5000, MATCH(1, (球員狀態!$A$2:$A$5000=$EI$1)*(ISNUMBER(SEARCH($EI14, 球員狀態!$B$2:$B$5000))), 0)), "")</f>
        <v/>
      </c>
      <c r="FI14" s="4" t="str">
        <f t="array" ref="FI14">IFERROR(INDEX(球員狀態!AB$2:AB$5000, MATCH(1, (球員狀態!$A$2:$A$5000=$EI$1)*(ISNUMBER(SEARCH($EI14, 球員狀態!$B$2:$B$5000))), 0)), "")</f>
        <v/>
      </c>
      <c r="FK14" s="107" t="s">
        <v>532</v>
      </c>
      <c r="FL14" s="103"/>
      <c r="FM14" s="21">
        <v>0.1</v>
      </c>
      <c r="FN14" s="107" t="s">
        <v>533</v>
      </c>
      <c r="FO14" s="103"/>
      <c r="FP14" s="21">
        <v>0.1</v>
      </c>
      <c r="FQ14" s="102" t="s">
        <v>534</v>
      </c>
      <c r="FR14" s="103"/>
      <c r="FS14" s="21">
        <v>0.15</v>
      </c>
      <c r="FY14" s="20"/>
    </row>
    <row r="15" spans="1:181">
      <c r="A15" s="4">
        <v>13</v>
      </c>
      <c r="B15" s="1" t="e">
        <v>#N/A</v>
      </c>
      <c r="C15" s="1" t="e">
        <v>#N/A</v>
      </c>
      <c r="D15" s="1" t="e">
        <v>#N/A</v>
      </c>
      <c r="E15" s="1" t="e">
        <v>#N/A</v>
      </c>
      <c r="F15" s="1" t="e">
        <v>#N/A</v>
      </c>
      <c r="G15" s="1" t="e">
        <v>#N/A</v>
      </c>
      <c r="H15" s="1" t="e">
        <v>#N/A</v>
      </c>
      <c r="I15" s="1" t="e">
        <v>#N/A</v>
      </c>
      <c r="J15" s="1" t="e">
        <v>#N/A</v>
      </c>
      <c r="K15" s="1" t="e">
        <v>#N/A</v>
      </c>
      <c r="L15" s="1" t="str">
        <f t="array" ref="L15">IFERROR(SUBSTITUTE(INDEX(正負盤!$6:$20, ROW(A12), MATCH(1, (MONTH(正負盤!$4:$4)=MONTH(DATE(LEFT($A$1,4),MID($A$1,5,2),RIGHT($A$1,2))-10))*(DAY(正負盤!$4:$4)=DAY(DATE(LEFT($A$1,4),MID($A$1,5,2),RIGHT($A$1,2))-10)), 0)), 0, "-"), "")</f>
        <v>O</v>
      </c>
      <c r="M15" s="1" t="str">
        <f t="array" ref="M15">IFERROR(SUBSTITUTE(INDEX(正負盤!$6:$20, ROW(A12), MATCH(1, (MONTH(正負盤!$4:$4)=MONTH(DATE(LEFT($A$1,4),MID($A$1,5,2),RIGHT($A$1,2))-9))*(DAY(正負盤!$4:$4)=DAY(DATE(LEFT($A$1,4),MID($A$1,5,2),RIGHT($A$1,2))-9)), 0)), 0, "-"), "")</f>
        <v>O</v>
      </c>
      <c r="N15" s="1" t="str">
        <f t="array" ref="N15">IFERROR(SUBSTITUTE(INDEX(正負盤!$6:$20, ROW(A12), MATCH(1, (MONTH(正負盤!$4:$4)=MONTH(DATE(LEFT($A$1,4),MID($A$1,5,2),RIGHT($A$1,2))-8))*(DAY(正負盤!$4:$4)=DAY(DATE(LEFT($A$1,4),MID($A$1,5,2),RIGHT($A$1,2))-8)), 0)), 0, "-"), "")</f>
        <v>O</v>
      </c>
      <c r="O15" s="1" t="str">
        <f t="array" ref="O15">IFERROR(SUBSTITUTE(INDEX(正負盤!$6:$20, ROW(A12), MATCH(1, (MONTH(正負盤!$4:$4)=MONTH(DATE(LEFT($A$1,4),MID($A$1,5,2),RIGHT($A$1,2))-7))*(DAY(正負盤!$4:$4)=DAY(DATE(LEFT($A$1,4),MID($A$1,5,2),RIGHT($A$1,2))-7)), 0)), 0, "-"), "")</f>
        <v/>
      </c>
      <c r="P15" s="1" t="str">
        <f t="array" ref="P15">IFERROR(SUBSTITUTE(INDEX(正負盤!$6:$20, ROW(A12), MATCH(1, (MONTH(正負盤!$4:$4)=MONTH(DATE(LEFT($A$1,4),MID($A$1,5,2),RIGHT($A$1,2))-6))*(DAY(正負盤!$4:$4)=DAY(DATE(LEFT($A$1,4),MID($A$1,5,2),RIGHT($A$1,2))-6)), 0)), 0, "-"), "")</f>
        <v>X</v>
      </c>
      <c r="Q15" s="1" t="str">
        <f t="array" ref="Q15">IFERROR(SUBSTITUTE(INDEX(正負盤!$6:$20, ROW(A12), MATCH(1, (MONTH(正負盤!$4:$4)=MONTH(DATE(LEFT($A$1,4),MID($A$1,5,2),RIGHT($A$1,2))-5))*(DAY(正負盤!$4:$4)=DAY(DATE(LEFT($A$1,4),MID($A$1,5,2),RIGHT($A$1,2))-5)), 0)), 0, "-"), "")</f>
        <v/>
      </c>
      <c r="R15" s="1" t="str">
        <f t="array" ref="R15">IFERROR(SUBSTITUTE(INDEX(正負盤!$6:$20, ROW(A12), MATCH(1, (MONTH(正負盤!$4:$4)=MONTH(DATE(LEFT($A$1,4),MID($A$1,5,2),RIGHT($A$1,2))-4))*(DAY(正負盤!$4:$4)=DAY(DATE(LEFT($A$1,4),MID($A$1,5,2),RIGHT($A$1,2))-4)), 0)), 0, "-"), "")</f>
        <v/>
      </c>
      <c r="S15" s="1" t="str">
        <f t="array" ref="S15">IFERROR(SUBSTITUTE(INDEX(正負盤!$6:$20, ROW(A12), MATCH(1, (MONTH(正負盤!$4:$4)=MONTH(DATE(LEFT($A$1,4),MID($A$1,5,2),RIGHT($A$1,2))-3))*(DAY(正負盤!$4:$4)=DAY(DATE(LEFT($A$1,4),MID($A$1,5,2),RIGHT($A$1,2))-3)), 0)), 0, "-"), "")</f>
        <v>O</v>
      </c>
      <c r="T15" s="1" t="str">
        <f t="array" ref="T15">IFERROR(SUBSTITUTE(INDEX(正負盤!$6:$20, ROW(A12), MATCH(1, (MONTH(正負盤!$4:$4)=MONTH(DATE(LEFT($A$1,4),MID($A$1,5,2),RIGHT($A$1,2))-2))*(DAY(正負盤!$4:$4)=DAY(DATE(LEFT($A$1,4),MID($A$1,5,2),RIGHT($A$1,2))-2)), 0)), 0, "-"), "")</f>
        <v>X</v>
      </c>
      <c r="U15" s="1" t="str">
        <f t="array" ref="U15">IFERROR(SUBSTITUTE(INDEX(正負盤!$6:$20, ROW(A12), MATCH(1, (MONTH(正負盤!$4:$4)=MONTH(DATE(LEFT($A$1,4),MID($A$1,5,2),RIGHT($A$1,2))-1))*(DAY(正負盤!$4:$4)=DAY(DATE(LEFT($A$1,4),MID($A$1,5,2),RIGHT($A$1,2))-1)), 0)), 0, "-"), "")</f>
        <v>X</v>
      </c>
      <c r="V15" s="78"/>
      <c r="W15" t="str">
        <f>I9</f>
        <v>教士</v>
      </c>
      <c r="X15" s="17" t="str">
        <f t="array" aca="1" ref="X15" ca="1">_xlfn.LET(_xlpm.s,SUBSTITUTE(Y15,".",""),_xlpm.c,RIGHT(_xlpm.s,1),_xlpm.n,ROW(INDIRECT("1:"&amp;LEN(_xlpm.s))),_xlpm.cnt,MAX(IF(RIGHT(_xlpm.s,_xlpm.n)=REPT(_xlpm.c,_xlpm.n),_xlpm.n,0)),IF(_xlpm.cnt&gt;=2,_xlpm.cnt&amp;"連"&amp;_xlpm.c,"1"&amp;_xlpm.c))</f>
        <v>1X</v>
      </c>
      <c r="Y15" s="82" t="str">
        <f t="array" ref="Y15">INDEX(各隊正負!$F:$F, MATCH("*"&amp;$W15&amp;"*", 各隊正負!$A:$A, 0)+6)</f>
        <v>O.O.O.X.O.X.X.O.O.X</v>
      </c>
      <c r="Z15" s="100"/>
      <c r="AA15" s="100"/>
      <c r="AB15" s="82" t="str">
        <f t="array" ref="AB15">INDEX(各隊正負!$F:$F, MATCH("*"&amp;$W15&amp;"*", 各隊正負!$A:$A, 0)+4)</f>
        <v>W.W.W.L.W.W.W.W.W.L</v>
      </c>
      <c r="AC15" s="78"/>
      <c r="AD15" s="78"/>
      <c r="AE15" s="1" t="str">
        <f t="array" aca="1" ref="AE15" ca="1">_xlfn.LET(_xlpm.s,SUBSTITUTE(AB15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1敗</v>
      </c>
      <c r="AF15" s="19" t="str">
        <f>I9</f>
        <v>教士</v>
      </c>
      <c r="AG15" s="1" t="str">
        <f t="array" ref="AG15">IFERROR(INDEX(各隊total!$B:$AB, MATCH($AF15, 各隊total!$A:$A, 0), COLUMN(A14)), "")</f>
        <v>27</v>
      </c>
      <c r="AH15" s="32">
        <f>CB29</f>
        <v>3.9</v>
      </c>
      <c r="AI15" s="61" t="str">
        <f t="shared" si="0"/>
        <v>B-</v>
      </c>
      <c r="AJ15" s="6">
        <f>CC29</f>
        <v>4.1500000000000004</v>
      </c>
      <c r="AK15" s="60" t="str">
        <f t="shared" si="1"/>
        <v>B</v>
      </c>
      <c r="AL15" s="1" t="str">
        <f t="array" ref="AL15">IFERROR(INDEX(各隊total!$C:$AB, MATCH($AF15, 各隊total!$A:$A, 0), COLUMN(A14)), "")</f>
        <v>898</v>
      </c>
      <c r="AM15" s="1" t="str">
        <f t="array" ref="AM15">IFERROR(INDEX(各隊total!$D:$AB, MATCH($AF15, 各隊total!$A:$A, 0), COLUMN(A14)), "")</f>
        <v>123</v>
      </c>
      <c r="AN15" s="1" t="str">
        <f t="array" ref="AN15">IFERROR(INDEX(各隊total!$E:$AB, MATCH($AF15, 各隊total!$A:$A, 0), COLUMN(A14)), "")</f>
        <v>211</v>
      </c>
      <c r="AO15" s="1" t="str">
        <f t="array" ref="AO15">IFERROR(INDEX(各隊total!$F:$AB, MATCH($AF15, 各隊total!$A:$A, 0), COLUMN(A14)), "")</f>
        <v>51</v>
      </c>
      <c r="AP15" s="1" t="str">
        <f t="array" ref="AP15">IFERROR(INDEX(各隊total!$G:$AB, MATCH($AF15, 各隊total!$A:$A, 0), COLUMN(A14)), "")</f>
        <v>3</v>
      </c>
      <c r="AQ15" s="1" t="str">
        <f t="array" ref="AQ15">IFERROR(INDEX(各隊total!$H:$AB, MATCH($AF15, 各隊total!$A:$A, 0), COLUMN(A14)), "")</f>
        <v>25</v>
      </c>
      <c r="AR15" s="1" t="str">
        <f t="array" ref="AR15">IFERROR(INDEX(各隊total!$I:$AB, MATCH($AF15, 各隊total!$A:$A, 0), COLUMN(A14)), "")</f>
        <v>118</v>
      </c>
      <c r="AS15" s="1" t="str">
        <f t="array" ref="AS15">IFERROR(INDEX(各隊total!$J:$AB, MATCH($AF15, 各隊total!$A:$A, 0), COLUMN(A14)), "")</f>
        <v>343</v>
      </c>
      <c r="AT15" s="1" t="str">
        <f t="array" ref="AT15">IFERROR(INDEX(各隊total!$K:$AB, MATCH($AF15, 各隊total!$A:$A, 0), COLUMN(A14)), "")</f>
        <v>94</v>
      </c>
      <c r="AU15" s="1" t="str">
        <f t="array" ref="AU15">IFERROR(INDEX(各隊total!$L:$AB, MATCH($AF15, 各隊total!$A:$A, 0), COLUMN(A14)), "")</f>
        <v>222</v>
      </c>
      <c r="AV15" s="1" t="str">
        <f t="array" ref="AV15">IFERROR(INDEX(各隊total!$M:$AB, MATCH($AF15, 各隊total!$A:$A, 0), COLUMN(A14)), "")</f>
        <v>23</v>
      </c>
      <c r="AW15" s="1" t="str">
        <f t="array" ref="AW15">IFERROR(INDEX(各隊total!$N:$AB, MATCH($AF15, 各隊total!$A:$A, 0), COLUMN(A14)), "")</f>
        <v>.235</v>
      </c>
      <c r="AX15" s="1" t="str">
        <f t="array" ref="AX15">IFERROR(INDEX(各隊total!$O:$AB, MATCH($AF15, 各隊total!$A:$A, 0), COLUMN(A14)), "")</f>
        <v>.311</v>
      </c>
      <c r="AY15" s="1" t="str">
        <f t="array" ref="AY15">IFERROR(INDEX(各隊total!$P:$AB, MATCH($AF15, 各隊total!$A:$A, 0), COLUMN(A14)), "")</f>
        <v>.382</v>
      </c>
      <c r="AZ15" s="1" t="str">
        <f t="array" ref="AZ15">IFERROR(INDEX(各隊total!$Q:$AB, MATCH($AF15, 各隊total!$A:$A, 0), COLUMN(A14)), "")</f>
        <v>.693</v>
      </c>
      <c r="BA15" s="1">
        <f t="array" ref="BA15">IFERROR(INDEX(各隊total!$R:$AB, MATCH($AF15, 各隊total!$A:$A, 0), COLUMN(A14)), "")</f>
        <v>0</v>
      </c>
      <c r="BB15" s="1" t="str">
        <f t="array" ref="BB15">IFERROR(INDEX(各隊total!$S:$AB, MATCH($AF15, 各隊total!$A:$A, 0), COLUMN(A14)), "")</f>
        <v>110.8</v>
      </c>
      <c r="BC15" s="1" t="str">
        <f t="array" ref="BC15">IFERROR(INDEX(各隊total!$T:$AB, MATCH($AF15, 各隊total!$A:$A, 0), COLUMN(A14)), "")</f>
        <v>4.1</v>
      </c>
      <c r="BD15" s="1" t="str">
        <f t="array" ref="BD15">IFERROR(INDEX(各隊total!$U:$AB, MATCH($AF15, 各隊total!$A:$A, 0), COLUMN(A14)), "")</f>
        <v>.093</v>
      </c>
      <c r="BE15" s="1" t="str">
        <f t="array" ref="BE15">IFERROR(INDEX(各隊total!$V:$AB, MATCH($AF15, 各隊total!$A:$A, 0), COLUMN(A14)), "")</f>
        <v>0.42</v>
      </c>
      <c r="BF15" s="1" t="str">
        <f t="array" ref="BF15">IFERROR(INDEX(各隊total!$W:$AB, MATCH($AF15, 各隊total!$A:$A, 0), COLUMN(A14)), "")</f>
        <v>.147</v>
      </c>
      <c r="BG15" s="1" t="str">
        <f t="array" ref="BG15">IFERROR(INDEX(各隊total!$X:$AB, MATCH($AF15, 各隊total!$A:$A, 0), COLUMN(A14)), "")</f>
        <v>.271</v>
      </c>
      <c r="BH15" s="1" t="str">
        <f t="array" ref="BH15">IFERROR(INDEX(各隊total!$Y:$AB, MATCH($AF15, 各隊total!$A:$A, 0), COLUMN(A14)), "")</f>
        <v>3.91</v>
      </c>
      <c r="BI15" s="1" t="str">
        <f t="array" ref="BI15">IFERROR(INDEX(各隊total!$Z:$AB, MATCH($AF15, 各隊total!$A:$A, 0), COLUMN(A14)), "")</f>
        <v>79</v>
      </c>
      <c r="BJ15" s="1" t="str">
        <f t="array" ref="BJ15">IFERROR(INDEX(各隊total!$AA:$AB, MATCH($AF15, 各隊total!$A:$A, 0), COLUMN(A14)), "")</f>
        <v>1014</v>
      </c>
      <c r="BK15" s="1" t="str">
        <f t="array" ref="BK15">IFERROR(INDEX(各隊total!$AB:$AB, MATCH($AF15, 各隊total!$A:$A, 0), COLUMN(A14)), "")</f>
        <v>35.9</v>
      </c>
      <c r="BL15" s="1" t="str">
        <f t="array" ref="BL15">IFERROR(INDEX(各隊total!$C:$AB, MATCH($AF15, 各隊total!$A:$A, 0), COLUMN(AA14)), "")</f>
        <v/>
      </c>
      <c r="BM15" s="22">
        <v>0</v>
      </c>
      <c r="BN15" s="19">
        <v>0.5</v>
      </c>
      <c r="BO15" s="23">
        <v>0</v>
      </c>
      <c r="BP15" s="22">
        <v>0</v>
      </c>
      <c r="BQ15" s="19">
        <v>0.15</v>
      </c>
      <c r="BR15" s="23">
        <v>0</v>
      </c>
      <c r="BS15" s="22">
        <v>0</v>
      </c>
      <c r="BT15" s="19">
        <v>0.2</v>
      </c>
      <c r="BU15" s="23">
        <v>0</v>
      </c>
      <c r="BV15" s="22">
        <v>0</v>
      </c>
      <c r="BW15" s="19">
        <v>1.5</v>
      </c>
      <c r="BX15" s="23" t="s">
        <v>535</v>
      </c>
      <c r="BY15" s="22">
        <v>0</v>
      </c>
      <c r="BZ15" s="19">
        <v>1.5</v>
      </c>
      <c r="CA15" s="23" t="s">
        <v>535</v>
      </c>
      <c r="CB15" s="28">
        <f>CF15+CJ15+CK15+CM15+CO15+CP15+CQ15+CR15</f>
        <v>3.9</v>
      </c>
      <c r="CC15" s="31">
        <f>CU15+CV15+CY15+CZ15+DA15</f>
        <v>5.05</v>
      </c>
      <c r="CD15" s="58"/>
      <c r="CE15" s="1"/>
      <c r="CF15" s="27">
        <f>VLOOKUP(ROUND(CF14/CD14, 2), $BV$2:$BX$12, 3, TRUE)*BX$1</f>
        <v>0.44999999999999996</v>
      </c>
      <c r="CG15" s="58"/>
      <c r="CH15" s="58"/>
      <c r="CI15" s="58"/>
      <c r="CJ15" s="27">
        <f>VLOOKUP(ROUND(CJ14/CD14, 2), $BM$15:$BO$25, 3, TRUE)*BO$14</f>
        <v>0.4</v>
      </c>
      <c r="CK15" s="27">
        <f>VLOOKUP(ROUND(CK14/CD14, 2), $BY$2:$CA$12, 3, TRUE)*CA$1</f>
        <v>0.30000000000000004</v>
      </c>
      <c r="CL15" s="58"/>
      <c r="CM15" s="101">
        <f>VLOOKUP(ROUND(CM14/CN14, 2), $BP$15:$BR$25, 3, TRUE)*BR$14</f>
        <v>0.5</v>
      </c>
      <c r="CN15" s="78"/>
      <c r="CO15" s="27">
        <f>VLOOKUP(ROUND(CO14/CD14, 2), $BS$15:$BU$25, 3, TRUE)*BU$14</f>
        <v>0.25</v>
      </c>
      <c r="CP15" s="27">
        <f>VLOOKUP(CP14*1, BM$2:BO$12, 3, TRUE)*BO$1</f>
        <v>0.4</v>
      </c>
      <c r="CQ15" s="27">
        <f>VLOOKUP(CQ14*1, BP$2:BR$12, 3, TRUE)*BR$1</f>
        <v>1</v>
      </c>
      <c r="CR15" s="27">
        <f>VLOOKUP(CR14*1, BS$2:BU$12, 3, TRUE)*BU$1</f>
        <v>0.60000000000000009</v>
      </c>
      <c r="CS15" s="1"/>
      <c r="CT15" s="1"/>
      <c r="CU15" s="60">
        <f>VLOOKUP(CU14*1, BM$28:BO$38, 3, TRUE)*BO$27</f>
        <v>0.9</v>
      </c>
      <c r="CV15" s="60">
        <f>VLOOKUP(CV14*1, BP$28:BR$38, 3, TRUE)*BR$27</f>
        <v>1.4</v>
      </c>
      <c r="CW15" s="1"/>
      <c r="CX15" s="1"/>
      <c r="CY15" s="60">
        <f>VLOOKUP(CY14*1, BS$28:BU$38, 3, TRUE)*BU$27</f>
        <v>0.60000000000000009</v>
      </c>
      <c r="CZ15" s="60">
        <f>VLOOKUP(CZ14*1, BV$28:BX$38, 3, TRUE)*BX$27</f>
        <v>0.75</v>
      </c>
      <c r="DA15" s="60">
        <f>VLOOKUP(DA14*1, BY$28:CA$38, 3, TRUE)*CA$27</f>
        <v>1.4000000000000001</v>
      </c>
      <c r="DH15" s="40" t="e">
        <f>DJ15+DL15+DM15+DN15+DO15-DP15-DQ15+DR15</f>
        <v>#VALUE!</v>
      </c>
      <c r="DI15" s="42" t="e">
        <f>DU15+DX15+EA15+ED15+EE15+EF15</f>
        <v>#VALUE!</v>
      </c>
      <c r="DJ15" s="38" t="e">
        <f>VLOOKUP(DJ14*1, FK$2:FM$12, 3, TRUE)*FM$1</f>
        <v>#VALUE!</v>
      </c>
      <c r="DL15" s="38" t="e">
        <f>VLOOKUP(DL14*1, FN$2:FP$12, 3, TRUE)*FP$1</f>
        <v>#VALUE!</v>
      </c>
      <c r="DM15" s="38" t="e">
        <f>VLOOKUP(DM14*1, FQ$2:FS$12, 3, TRUE)*FS$1</f>
        <v>#VALUE!</v>
      </c>
      <c r="DN15" s="38" t="e">
        <f>VLOOKUP(DN14*1, FT$2:FV$12, 3, TRUE)*FV$1</f>
        <v>#VALUE!</v>
      </c>
      <c r="DO15" s="38" t="e">
        <f>VLOOKUP(DO14*1, FW$2:FY$12, 3, TRUE)*FY$1</f>
        <v>#VALUE!</v>
      </c>
      <c r="DP15" s="39" t="e">
        <f>VLOOKUP(DP14*1, FK$14:FM$25, 3, TRUE)*FM$14</f>
        <v>#VALUE!</v>
      </c>
      <c r="DQ15" s="39" t="e">
        <f>VLOOKUP(DQ14*1, FN$14:FP$25, 3, TRUE)*FP$14</f>
        <v>#VALUE!</v>
      </c>
      <c r="DR15" s="38" t="e">
        <f>VLOOKUP(DR14*1, FQ$14:FS$25, 3, TRUE)*FS$14</f>
        <v>#VALUE!</v>
      </c>
      <c r="DU15" s="41" t="e">
        <f>VLOOKUP(DU14*1, FK$27:FM$38, 3, TRUE)*FM$27</f>
        <v>#VALUE!</v>
      </c>
      <c r="DX15" s="41" t="e">
        <f>VLOOKUP(DX14*1, FN$27:FP$38, 3, TRUE)*FP$27</f>
        <v>#VALUE!</v>
      </c>
      <c r="EA15" s="41" t="e">
        <f>VLOOKUP(EA14*1, FQ$27:FS$38, 3, TRUE)*FS$27</f>
        <v>#VALUE!</v>
      </c>
      <c r="ED15" s="41" t="e">
        <f>VLOOKUP(ED14*1, FT$27:FV$38, 3, TRUE)*FV$27</f>
        <v>#VALUE!</v>
      </c>
      <c r="EE15" s="41" t="e">
        <f>VLOOKUP(EE14*1, FW$27:FY$38, 3, TRUE)*FY$27</f>
        <v>#VALUE!</v>
      </c>
      <c r="EF15" s="41" t="e">
        <f>VLOOKUP(EF14*1, FK$40:FM$51, 3, TRUE)*FM$40</f>
        <v>#VALUE!</v>
      </c>
      <c r="EG15" s="57"/>
      <c r="EK15" s="40" t="e">
        <f>EM15+EO15+EP15+EQ15+ER15-ES15-ET15+EU15</f>
        <v>#VALUE!</v>
      </c>
      <c r="EL15" s="42" t="e">
        <f>EX15+FA15+FD15+FG15+FH15+FI15</f>
        <v>#VALUE!</v>
      </c>
      <c r="EM15" s="38" t="e">
        <f>VLOOKUP(EM14*1, $FK$2:$FM$12, 3, TRUE)*$FM$1</f>
        <v>#VALUE!</v>
      </c>
      <c r="EO15" s="38" t="e">
        <f>VLOOKUP(EO14*1, $FN$2:$FP$12, 3, TRUE)*$FP$1</f>
        <v>#VALUE!</v>
      </c>
      <c r="EP15" s="38" t="e">
        <f>VLOOKUP(EP14*1, $FQ$2:$FS$12, 3, TRUE)*$FS$1</f>
        <v>#VALUE!</v>
      </c>
      <c r="EQ15" s="38" t="e">
        <f>VLOOKUP(EQ14*1, $FT$2:$FV$12, 3, TRUE)*$FV$1</f>
        <v>#VALUE!</v>
      </c>
      <c r="ER15" s="38" t="e">
        <f>VLOOKUP(ER14*1, $FW$2:$FY$12, 3, TRUE)*$FY$1</f>
        <v>#VALUE!</v>
      </c>
      <c r="ES15" s="39" t="e">
        <f>VLOOKUP(ES14*1, $FK$14:$FM$25, 3, TRUE)*$FM$14</f>
        <v>#VALUE!</v>
      </c>
      <c r="ET15" s="39" t="e">
        <f>VLOOKUP(ET14*1, $FN$14:$FP$25, 3, TRUE)*$FP$14</f>
        <v>#VALUE!</v>
      </c>
      <c r="EU15" s="38" t="e">
        <f>VLOOKUP(EU14*1, $FQ$14:$FS$25, 3, TRUE)*$FS$14</f>
        <v>#VALUE!</v>
      </c>
      <c r="EX15" s="41" t="e">
        <f>VLOOKUP(EX14*1, $FK$27:$FM$38, 3, TRUE)*$FM$27</f>
        <v>#VALUE!</v>
      </c>
      <c r="FA15" s="41" t="e">
        <f>VLOOKUP(FA14*1, $FN$27:$FP$38, 3, TRUE)*$FP$27</f>
        <v>#VALUE!</v>
      </c>
      <c r="FD15" s="41" t="e">
        <f>VLOOKUP(FD14*1, $FQ$27:$FS$38, 3, TRUE)*$FS$27</f>
        <v>#VALUE!</v>
      </c>
      <c r="FG15" s="41" t="e">
        <f>VLOOKUP(FG14*1, $FT$27:$FV$38, 3, TRUE)*$FV$27</f>
        <v>#VALUE!</v>
      </c>
      <c r="FH15" s="41" t="e">
        <f>VLOOKUP(FH14*1, $FW$27:$FY$38, 3, TRUE)*$FY$27</f>
        <v>#VALUE!</v>
      </c>
      <c r="FI15" s="41" t="e">
        <f>VLOOKUP(FI14*1, $FK$40:$FM$51, 3, TRUE)*$FM$40</f>
        <v>#VALUE!</v>
      </c>
      <c r="FK15" s="22">
        <v>0</v>
      </c>
      <c r="FL15" s="19">
        <v>0.6</v>
      </c>
      <c r="FM15" s="23">
        <v>0</v>
      </c>
      <c r="FN15" s="22">
        <v>0</v>
      </c>
      <c r="FO15" s="19">
        <v>1</v>
      </c>
      <c r="FP15" s="23">
        <v>0</v>
      </c>
      <c r="FQ15" s="22">
        <v>0</v>
      </c>
      <c r="FR15" s="19">
        <v>0.8</v>
      </c>
      <c r="FS15" s="23">
        <v>0</v>
      </c>
      <c r="FY15" s="20"/>
    </row>
    <row r="16" spans="1:181">
      <c r="A16" s="4">
        <v>14</v>
      </c>
      <c r="B16" s="1" t="e">
        <v>#N/A</v>
      </c>
      <c r="C16" s="1" t="e">
        <v>#N/A</v>
      </c>
      <c r="D16" s="1" t="e">
        <v>#N/A</v>
      </c>
      <c r="E16" s="1" t="e">
        <v>#N/A</v>
      </c>
      <c r="F16" s="1" t="e">
        <v>#N/A</v>
      </c>
      <c r="G16" s="1" t="e">
        <v>#N/A</v>
      </c>
      <c r="H16" s="1" t="e">
        <v>#N/A</v>
      </c>
      <c r="I16" s="1" t="e">
        <v>#N/A</v>
      </c>
      <c r="J16" s="1" t="e">
        <v>#N/A</v>
      </c>
      <c r="K16" s="1" t="e">
        <v>#N/A</v>
      </c>
      <c r="L16" s="1" t="str">
        <f t="array" ref="L16">IFERROR(SUBSTITUTE(INDEX(正負盤!$6:$20, ROW(A13), MATCH(1, (MONTH(正負盤!$4:$4)=MONTH(DATE(LEFT($A$1,4),MID($A$1,5,2),RIGHT($A$1,2))-10))*(DAY(正負盤!$4:$4)=DAY(DATE(LEFT($A$1,4),MID($A$1,5,2),RIGHT($A$1,2))-10)), 0)), 0, "-"), "")</f>
        <v>O</v>
      </c>
      <c r="M16" s="1" t="str">
        <f t="array" ref="M16">IFERROR(SUBSTITUTE(INDEX(正負盤!$6:$20, ROW(A13), MATCH(1, (MONTH(正負盤!$4:$4)=MONTH(DATE(LEFT($A$1,4),MID($A$1,5,2),RIGHT($A$1,2))-9))*(DAY(正負盤!$4:$4)=DAY(DATE(LEFT($A$1,4),MID($A$1,5,2),RIGHT($A$1,2))-9)), 0)), 0, "-"), "")</f>
        <v>X</v>
      </c>
      <c r="N16" s="1" t="str">
        <f t="array" ref="N16">IFERROR(SUBSTITUTE(INDEX(正負盤!$6:$20, ROW(A13), MATCH(1, (MONTH(正負盤!$4:$4)=MONTH(DATE(LEFT($A$1,4),MID($A$1,5,2),RIGHT($A$1,2))-8))*(DAY(正負盤!$4:$4)=DAY(DATE(LEFT($A$1,4),MID($A$1,5,2),RIGHT($A$1,2))-8)), 0)), 0, "-"), "")</f>
        <v>X</v>
      </c>
      <c r="O16" s="1" t="str">
        <f t="array" ref="O16">IFERROR(SUBSTITUTE(INDEX(正負盤!$6:$20, ROW(A13), MATCH(1, (MONTH(正負盤!$4:$4)=MONTH(DATE(LEFT($A$1,4),MID($A$1,5,2),RIGHT($A$1,2))-7))*(DAY(正負盤!$4:$4)=DAY(DATE(LEFT($A$1,4),MID($A$1,5,2),RIGHT($A$1,2))-7)), 0)), 0, "-"), "")</f>
        <v/>
      </c>
      <c r="P16" s="1" t="str">
        <f t="array" ref="P16">IFERROR(SUBSTITUTE(INDEX(正負盤!$6:$20, ROW(A13), MATCH(1, (MONTH(正負盤!$4:$4)=MONTH(DATE(LEFT($A$1,4),MID($A$1,5,2),RIGHT($A$1,2))-6))*(DAY(正負盤!$4:$4)=DAY(DATE(LEFT($A$1,4),MID($A$1,5,2),RIGHT($A$1,2))-6)), 0)), 0, "-"), "")</f>
        <v>X</v>
      </c>
      <c r="Q16" s="1" t="str">
        <f t="array" ref="Q16">IFERROR(SUBSTITUTE(INDEX(正負盤!$6:$20, ROW(A13), MATCH(1, (MONTH(正負盤!$4:$4)=MONTH(DATE(LEFT($A$1,4),MID($A$1,5,2),RIGHT($A$1,2))-5))*(DAY(正負盤!$4:$4)=DAY(DATE(LEFT($A$1,4),MID($A$1,5,2),RIGHT($A$1,2))-5)), 0)), 0, "-"), "")</f>
        <v/>
      </c>
      <c r="R16" s="1" t="str">
        <f t="array" ref="R16">IFERROR(SUBSTITUTE(INDEX(正負盤!$6:$20, ROW(A13), MATCH(1, (MONTH(正負盤!$4:$4)=MONTH(DATE(LEFT($A$1,4),MID($A$1,5,2),RIGHT($A$1,2))-4))*(DAY(正負盤!$4:$4)=DAY(DATE(LEFT($A$1,4),MID($A$1,5,2),RIGHT($A$1,2))-4)), 0)), 0, "-"), "")</f>
        <v/>
      </c>
      <c r="S16" s="1" t="str">
        <f t="array" ref="S16">IFERROR(SUBSTITUTE(INDEX(正負盤!$6:$20, ROW(A13), MATCH(1, (MONTH(正負盤!$4:$4)=MONTH(DATE(LEFT($A$1,4),MID($A$1,5,2),RIGHT($A$1,2))-3))*(DAY(正負盤!$4:$4)=DAY(DATE(LEFT($A$1,4),MID($A$1,5,2),RIGHT($A$1,2))-3)), 0)), 0, "-"), "")</f>
        <v>X</v>
      </c>
      <c r="T16" s="1" t="str">
        <f t="array" ref="T16">IFERROR(SUBSTITUTE(INDEX(正負盤!$6:$20, ROW(A13), MATCH(1, (MONTH(正負盤!$4:$4)=MONTH(DATE(LEFT($A$1,4),MID($A$1,5,2),RIGHT($A$1,2))-2))*(DAY(正負盤!$4:$4)=DAY(DATE(LEFT($A$1,4),MID($A$1,5,2),RIGHT($A$1,2))-2)), 0)), 0, "-"), "")</f>
        <v>X</v>
      </c>
      <c r="U16" s="1" t="str">
        <f t="array" ref="U16">IFERROR(SUBSTITUTE(INDEX(正負盤!$6:$20, ROW(A13), MATCH(1, (MONTH(正負盤!$4:$4)=MONTH(DATE(LEFT($A$1,4),MID($A$1,5,2),RIGHT($A$1,2))-1))*(DAY(正負盤!$4:$4)=DAY(DATE(LEFT($A$1,4),MID($A$1,5,2),RIGHT($A$1,2))-1)), 0)), 0, "-"), "")</f>
        <v>O</v>
      </c>
      <c r="V16" s="82" t="str">
        <f>C10</f>
        <v>10:10</v>
      </c>
      <c r="W16" t="str">
        <f>E10</f>
        <v>馬林魚</v>
      </c>
      <c r="X16" s="17" t="str">
        <f t="array" aca="1" ref="X16" ca="1">_xlfn.LET(_xlpm.s,SUBSTITUTE(Y16,".",""),_xlpm.c,RIGHT(_xlpm.s,1),_xlpm.n,ROW(INDIRECT("1:"&amp;LEN(_xlpm.s))),_xlpm.cnt,MAX(IF(RIGHT(_xlpm.s,_xlpm.n)=REPT(_xlpm.c,_xlpm.n),_xlpm.n,0)),IF(_xlpm.cnt&gt;=2,_xlpm.cnt&amp;"連"&amp;_xlpm.c,"1"&amp;_xlpm.c))</f>
        <v>2連X</v>
      </c>
      <c r="Y16" s="82" t="str">
        <f t="array" ref="Y16">INDEX(各隊正負!$F:$F, MATCH("*"&amp;$W16&amp;"*", 各隊正負!$A:$A, 0)+6)</f>
        <v>O.X.X.X.O.O.X.O.X.X</v>
      </c>
      <c r="Z16" s="100"/>
      <c r="AA16" s="100"/>
      <c r="AB16" s="82" t="str">
        <f t="array" ref="AB16">INDEX(各隊正負!$F:$F, MATCH("*"&amp;$W16&amp;"*", 各隊正負!$A:$A, 0)+4)</f>
        <v>L.L.L.L.W.W.L.W.L.L</v>
      </c>
      <c r="AC16" s="78"/>
      <c r="AD16" s="78"/>
      <c r="AE16" s="1" t="str">
        <f t="array" aca="1" ref="AE16" ca="1">_xlfn.LET(_xlpm.s,SUBSTITUTE(AB16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2連敗</v>
      </c>
      <c r="AF16" s="19" t="str">
        <f>E10</f>
        <v>馬林魚</v>
      </c>
      <c r="AG16" s="1" t="str">
        <f t="array" ref="AG16">IFERROR(INDEX(各隊total!$B:$AB, MATCH($AF16, 各隊total!$A:$A, 0), COLUMN(A15)), "")</f>
        <v>28</v>
      </c>
      <c r="AH16" s="32">
        <f>CB31</f>
        <v>4.4000000000000004</v>
      </c>
      <c r="AI16" s="61" t="str">
        <f t="shared" si="0"/>
        <v>B</v>
      </c>
      <c r="AJ16" s="6">
        <f>CC31</f>
        <v>4.5</v>
      </c>
      <c r="AK16" s="60" t="str">
        <f t="shared" si="1"/>
        <v>B</v>
      </c>
      <c r="AL16" s="1" t="str">
        <f t="array" ref="AL16">IFERROR(INDEX(各隊total!$C:$AB, MATCH($AF16, 各隊total!$A:$A, 0), COLUMN(A15)), "")</f>
        <v>930</v>
      </c>
      <c r="AM16" s="1" t="str">
        <f t="array" ref="AM16">IFERROR(INDEX(各隊total!$D:$AB, MATCH($AF16, 各隊total!$A:$A, 0), COLUMN(A15)), "")</f>
        <v>126</v>
      </c>
      <c r="AN16" s="1" t="str">
        <f t="array" ref="AN16">IFERROR(INDEX(各隊total!$E:$AB, MATCH($AF16, 各隊total!$A:$A, 0), COLUMN(A15)), "")</f>
        <v>237</v>
      </c>
      <c r="AO16" s="1" t="str">
        <f t="array" ref="AO16">IFERROR(INDEX(各隊total!$F:$AB, MATCH($AF16, 各隊total!$A:$A, 0), COLUMN(A15)), "")</f>
        <v>46</v>
      </c>
      <c r="AP16" s="1" t="str">
        <f t="array" ref="AP16">IFERROR(INDEX(各隊total!$G:$AB, MATCH($AF16, 各隊total!$A:$A, 0), COLUMN(A15)), "")</f>
        <v>8</v>
      </c>
      <c r="AQ16" s="1" t="str">
        <f t="array" ref="AQ16">IFERROR(INDEX(各隊total!$H:$AB, MATCH($AF16, 各隊total!$A:$A, 0), COLUMN(A15)), "")</f>
        <v>20</v>
      </c>
      <c r="AR16" s="1" t="str">
        <f t="array" ref="AR16">IFERROR(INDEX(各隊total!$I:$AB, MATCH($AF16, 各隊total!$A:$A, 0), COLUMN(A15)), "")</f>
        <v>121</v>
      </c>
      <c r="AS16" s="1" t="str">
        <f t="array" ref="AS16">IFERROR(INDEX(各隊total!$J:$AB, MATCH($AF16, 各隊total!$A:$A, 0), COLUMN(A15)), "")</f>
        <v>359</v>
      </c>
      <c r="AT16" s="1" t="str">
        <f t="array" ref="AT16">IFERROR(INDEX(各隊total!$K:$AB, MATCH($AF16, 各隊total!$A:$A, 0), COLUMN(A15)), "")</f>
        <v>96</v>
      </c>
      <c r="AU16" s="1" t="str">
        <f t="array" ref="AU16">IFERROR(INDEX(各隊total!$L:$AB, MATCH($AF16, 各隊total!$A:$A, 0), COLUMN(A15)), "")</f>
        <v>214</v>
      </c>
      <c r="AV16" s="1" t="str">
        <f t="array" ref="AV16">IFERROR(INDEX(各隊total!$M:$AB, MATCH($AF16, 各隊total!$A:$A, 0), COLUMN(A15)), "")</f>
        <v>31</v>
      </c>
      <c r="AW16" s="1" t="str">
        <f t="array" ref="AW16">IFERROR(INDEX(各隊total!$N:$AB, MATCH($AF16, 各隊total!$A:$A, 0), COLUMN(A15)), "")</f>
        <v>.255</v>
      </c>
      <c r="AX16" s="1" t="str">
        <f t="array" ref="AX16">IFERROR(INDEX(各隊total!$O:$AB, MATCH($AF16, 各隊total!$A:$A, 0), COLUMN(A15)), "")</f>
        <v>.332</v>
      </c>
      <c r="AY16" s="1" t="str">
        <f t="array" ref="AY16">IFERROR(INDEX(各隊total!$P:$AB, MATCH($AF16, 各隊total!$A:$A, 0), COLUMN(A15)), "")</f>
        <v>.386</v>
      </c>
      <c r="AZ16" s="1" t="str">
        <f t="array" ref="AZ16">IFERROR(INDEX(各隊total!$Q:$AB, MATCH($AF16, 各隊total!$A:$A, 0), COLUMN(A15)), "")</f>
        <v>.718</v>
      </c>
      <c r="BA16" s="1">
        <f t="array" ref="BA16">IFERROR(INDEX(各隊total!$R:$AB, MATCH($AF16, 各隊total!$A:$A, 0), COLUMN(A15)), "")</f>
        <v>0</v>
      </c>
      <c r="BB16" s="1" t="str">
        <f t="array" ref="BB16">IFERROR(INDEX(各隊total!$S:$AB, MATCH($AF16, 各隊total!$A:$A, 0), COLUMN(A15)), "")</f>
        <v>126.4</v>
      </c>
      <c r="BC16" s="1" t="str">
        <f t="array" ref="BC16">IFERROR(INDEX(各隊total!$T:$AB, MATCH($AF16, 各隊total!$A:$A, 0), COLUMN(A15)), "")</f>
        <v>4.7</v>
      </c>
      <c r="BD16" s="1" t="str">
        <f t="array" ref="BD16">IFERROR(INDEX(各隊total!$U:$AB, MATCH($AF16, 各隊total!$A:$A, 0), COLUMN(A15)), "")</f>
        <v>.091</v>
      </c>
      <c r="BE16" s="1" t="str">
        <f t="array" ref="BE16">IFERROR(INDEX(各隊total!$V:$AB, MATCH($AF16, 各隊total!$A:$A, 0), COLUMN(A15)), "")</f>
        <v>0.45</v>
      </c>
      <c r="BF16" s="1" t="str">
        <f t="array" ref="BF16">IFERROR(INDEX(各隊total!$W:$AB, MATCH($AF16, 各隊total!$A:$A, 0), COLUMN(A15)), "")</f>
        <v>.131</v>
      </c>
      <c r="BG16" s="1" t="str">
        <f t="array" ref="BG16">IFERROR(INDEX(各隊total!$X:$AB, MATCH($AF16, 各隊total!$A:$A, 0), COLUMN(A15)), "")</f>
        <v>.260</v>
      </c>
      <c r="BH16" s="1" t="str">
        <f t="array" ref="BH16">IFERROR(INDEX(各隊total!$Y:$AB, MATCH($AF16, 各隊total!$A:$A, 0), COLUMN(A15)), "")</f>
        <v>3.87</v>
      </c>
      <c r="BI16" s="1" t="str">
        <f t="array" ref="BI16">IFERROR(INDEX(各隊total!$Z:$AB, MATCH($AF16, 各隊total!$A:$A, 0), COLUMN(A15)), "")</f>
        <v>74</v>
      </c>
      <c r="BJ16" s="1" t="str">
        <f t="array" ref="BJ16">IFERROR(INDEX(各隊total!$AA:$AB, MATCH($AF16, 各隊total!$A:$A, 0), COLUMN(A15)), "")</f>
        <v>1054</v>
      </c>
      <c r="BK16" s="1" t="str">
        <f t="array" ref="BK16">IFERROR(INDEX(各隊total!$AB:$AB, MATCH($AF16, 各隊total!$A:$A, 0), COLUMN(A15)), "")</f>
        <v>46.5</v>
      </c>
      <c r="BL16" s="1" t="str">
        <f t="array" ref="BL16">IFERROR(INDEX(各隊total!$C:$AB, MATCH($AF16, 各隊total!$A:$A, 0), COLUMN(AA15)), "")</f>
        <v/>
      </c>
      <c r="BM16" s="22">
        <v>0.51</v>
      </c>
      <c r="BN16" s="19">
        <v>0.7</v>
      </c>
      <c r="BO16" s="23">
        <v>1</v>
      </c>
      <c r="BP16" s="22">
        <v>0.16</v>
      </c>
      <c r="BQ16" s="19">
        <v>0.22</v>
      </c>
      <c r="BR16" s="23">
        <v>1</v>
      </c>
      <c r="BS16" s="22">
        <v>0.21</v>
      </c>
      <c r="BT16" s="19">
        <v>0.35</v>
      </c>
      <c r="BU16" s="23">
        <v>1</v>
      </c>
      <c r="BV16" s="22">
        <v>1.6</v>
      </c>
      <c r="BW16" s="19">
        <v>3</v>
      </c>
      <c r="BX16" s="23" t="s">
        <v>536</v>
      </c>
      <c r="BY16" s="22">
        <v>1.51</v>
      </c>
      <c r="BZ16" s="19">
        <v>2.5</v>
      </c>
      <c r="CA16" s="23" t="s">
        <v>536</v>
      </c>
      <c r="CB16" s="19" t="str">
        <f>AF9</f>
        <v>雙城</v>
      </c>
      <c r="CC16" s="29"/>
      <c r="CD16" s="1" t="str">
        <f>AG9</f>
        <v>28</v>
      </c>
      <c r="CE16" s="1" t="str">
        <f t="shared" ref="CE16:DD16" si="9">AL9</f>
        <v>927</v>
      </c>
      <c r="CF16" s="1" t="str">
        <f t="shared" si="9"/>
        <v>132</v>
      </c>
      <c r="CG16" s="1" t="str">
        <f t="shared" si="9"/>
        <v>210</v>
      </c>
      <c r="CH16" s="1" t="str">
        <f t="shared" si="9"/>
        <v>34</v>
      </c>
      <c r="CI16" s="1" t="str">
        <f t="shared" si="9"/>
        <v>2</v>
      </c>
      <c r="CJ16" s="1" t="str">
        <f t="shared" si="9"/>
        <v>33</v>
      </c>
      <c r="CK16" s="1" t="str">
        <f t="shared" si="9"/>
        <v>127</v>
      </c>
      <c r="CL16" s="1" t="str">
        <f t="shared" si="9"/>
        <v>347</v>
      </c>
      <c r="CM16" s="1" t="str">
        <f t="shared" si="9"/>
        <v>119</v>
      </c>
      <c r="CN16" s="1" t="str">
        <f t="shared" si="9"/>
        <v>249</v>
      </c>
      <c r="CO16" s="1" t="str">
        <f t="shared" si="9"/>
        <v>18</v>
      </c>
      <c r="CP16" s="1" t="str">
        <f t="shared" si="9"/>
        <v>.227</v>
      </c>
      <c r="CQ16" s="1" t="str">
        <f t="shared" si="9"/>
        <v>.323</v>
      </c>
      <c r="CR16" s="1" t="str">
        <f t="shared" si="9"/>
        <v>.374</v>
      </c>
      <c r="CS16" s="1" t="str">
        <f t="shared" si="9"/>
        <v>.698</v>
      </c>
      <c r="CT16" s="1">
        <f t="shared" si="9"/>
        <v>0</v>
      </c>
      <c r="CU16" s="1" t="str">
        <f t="shared" si="9"/>
        <v>118.7</v>
      </c>
      <c r="CV16" s="1" t="str">
        <f t="shared" si="9"/>
        <v>4.3</v>
      </c>
      <c r="CW16" s="1" t="str">
        <f t="shared" si="9"/>
        <v>.111</v>
      </c>
      <c r="CX16" s="1" t="str">
        <f t="shared" si="9"/>
        <v>0.48</v>
      </c>
      <c r="CY16" s="1" t="str">
        <f t="shared" si="9"/>
        <v>.148</v>
      </c>
      <c r="CZ16" s="1" t="str">
        <f t="shared" si="9"/>
        <v>.288</v>
      </c>
      <c r="DA16" s="1" t="str">
        <f t="shared" si="9"/>
        <v>4.01</v>
      </c>
      <c r="DB16" s="1" t="str">
        <f t="shared" si="9"/>
        <v>69</v>
      </c>
      <c r="DC16" s="1" t="str">
        <f t="shared" si="9"/>
        <v>1075</v>
      </c>
      <c r="DD16" s="1" t="str">
        <f t="shared" si="9"/>
        <v>28.1</v>
      </c>
      <c r="DF16" s="35" t="str">
        <f>先發名單!N$2</f>
        <v>Nick Fortes</v>
      </c>
      <c r="DG16" s="4" t="str">
        <f t="array" ref="DG16">IFERROR(INDEX(球員狀態!$C$2:$C$5000, MATCH(1, (球員狀態!$A$2:$A$5000=$DF$1)*(ISNUMBER(SEARCH($DF16, 球員狀態!$B$2:$B$5000))), 0)), "")</f>
        <v>C</v>
      </c>
      <c r="DJ16" s="4" t="str">
        <f t="array" ref="DJ16">IFERROR(INDEX(球員狀態!$F$2:$F$5000, MATCH(1, (球員狀態!$A$2:$A$5000=$DF$1)*(ISNUMBER(SEARCH($DF16, 球員狀態!$B$2:$B$5000))), 0)), "")</f>
        <v>5</v>
      </c>
      <c r="DK16" s="4" t="str">
        <f t="array" ref="DK16">IFERROR(INDEX(球員狀態!$G$2:$G$5000, MATCH(1, (球員狀態!$A$2:$A$5000=$DF$1)*(ISNUMBER(SEARCH($DF16, 球員狀態!$B$2:$B$5000))), 0)), "")</f>
        <v>20</v>
      </c>
      <c r="DL16" s="4" t="str">
        <f t="array" ref="DL16">IFERROR(INDEX(球員狀態!H$2:H$5000, MATCH(1, (球員狀態!$A$2:$A$5000=$DF$1)*(ISNUMBER(SEARCH($DF16, 球員狀態!$B$2:$B$5000))), 0)), "")</f>
        <v>5</v>
      </c>
      <c r="DM16" s="4" t="str">
        <f t="array" ref="DM16">IFERROR(INDEX(球員狀態!I$2:I$5000, MATCH(1, (球員狀態!$A$2:$A$5000=$DF$1)*(ISNUMBER(SEARCH($DF16, 球員狀態!$B$2:$B$5000))), 0)), "")</f>
        <v>0</v>
      </c>
      <c r="DN16" s="4" t="str">
        <f t="array" ref="DN16">IFERROR(INDEX(球員狀態!J$2:J$5000, MATCH(1, (球員狀態!$A$2:$A$5000=$DF$1)*(ISNUMBER(SEARCH($DF16, 球員狀態!$B$2:$B$5000))), 0)), "")</f>
        <v>1</v>
      </c>
      <c r="DO16" s="4" t="str">
        <f t="array" ref="DO16">IFERROR(INDEX(球員狀態!K$2:K$5000, MATCH(1, (球員狀態!$A$2:$A$5000=$DF$1)*(ISNUMBER(SEARCH($DF16, 球員狀態!$B$2:$B$5000))), 0)), "")</f>
        <v>8</v>
      </c>
      <c r="DP16" s="4" t="str">
        <f t="array" ref="DP16">IFERROR(INDEX(球員狀態!L$2:L$5000, MATCH(1, (球員狀態!$A$2:$A$5000=$DF$1)*(ISNUMBER(SEARCH($DF16, 球員狀態!$B$2:$B$5000))), 0)), "")</f>
        <v>28</v>
      </c>
      <c r="DQ16" s="4" t="str">
        <f t="array" ref="DQ16">IFERROR(INDEX(球員狀態!M$2:M$5000, MATCH(1, (球員狀態!$A$2:$A$5000=$DF$1)*(ISNUMBER(SEARCH($DF16, 球員狀態!$B$2:$B$5000))), 0)), "")</f>
        <v>2</v>
      </c>
      <c r="DR16" s="4" t="str">
        <f t="array" ref="DR16">IFERROR(INDEX(球員狀態!N$2:N$5000, MATCH(1, (球員狀態!$A$2:$A$5000=$DF$1)*(ISNUMBER(SEARCH($DF16, 球員狀態!$B$2:$B$5000))), 0)), "")</f>
        <v>9</v>
      </c>
      <c r="DS16" s="4" t="str">
        <f t="array" ref="DS16">IFERROR(INDEX(球員狀態!O$2:O$5000, MATCH(1, (球員狀態!$A$2:$A$5000=$DF$1)*(ISNUMBER(SEARCH($DF16, 球員狀態!$B$2:$B$5000))), 0)), "")</f>
        <v>0</v>
      </c>
      <c r="DT16" s="4" t="str">
        <f t="array" ref="DT16">IFERROR(INDEX(球員狀態!P$2:P$5000, MATCH(1, (球員狀態!$A$2:$A$5000=$DF$1)*(ISNUMBER(SEARCH($DF16, 球員狀態!$B$2:$B$5000))), 0)), "")</f>
        <v>.290</v>
      </c>
      <c r="DU16" s="4" t="str">
        <f t="array" ref="DU16">IFERROR(INDEX(球員狀態!Q$2:Q$5000, MATCH(1, (球員狀態!$A$2:$A$5000=$DF$1)*(ISNUMBER(SEARCH($DF16, 球員狀態!$B$2:$B$5000))), 0)), "")</f>
        <v>.338</v>
      </c>
      <c r="DV16" s="4" t="str">
        <f t="array" ref="DV16">IFERROR(INDEX(球員狀態!R$2:R$5000, MATCH(1, (球員狀態!$A$2:$A$5000=$DF$1)*(ISNUMBER(SEARCH($DF16, 球員狀態!$B$2:$B$5000))), 0)), "")</f>
        <v>.406</v>
      </c>
      <c r="DW16" s="4" t="str">
        <f t="array" ref="DW16">IFERROR(INDEX(球員狀態!S$2:S$5000, MATCH(1, (球員狀態!$A$2:$A$5000=$DF$1)*(ISNUMBER(SEARCH($DF16, 球員狀態!$B$2:$B$5000))), 0)), "")</f>
        <v>.744</v>
      </c>
      <c r="DX16" s="4" t="str">
        <f t="array" ref="DX16">IFERROR(INDEX(球員狀態!T$2:T$5000, MATCH(1, (球員狀態!$A$2:$A$5000=$DF$1)*(ISNUMBER(SEARCH($DF16, 球員狀態!$B$2:$B$5000))), 0)), "")</f>
        <v>0.2</v>
      </c>
      <c r="DY16" s="4" t="str">
        <f t="array" ref="DY16">IFERROR(INDEX(球員狀態!U$2:U$5000, MATCH(1, (球員狀態!$A$2:$A$5000=$DF$1)*(ISNUMBER(SEARCH($DF16, 球員狀態!$B$2:$B$5000))), 0)), "")</f>
        <v>8.3</v>
      </c>
      <c r="DZ16" s="4" t="str">
        <f t="array" ref="DZ16">IFERROR(INDEX(球員狀態!V$2:V$5000, MATCH(1, (球員狀態!$A$2:$A$5000=$DF$1)*(ISNUMBER(SEARCH($DF16, 球員狀態!$B$2:$B$5000))), 0)), "")</f>
        <v>4.2</v>
      </c>
      <c r="EA16" s="4" t="str">
        <f t="array" ref="EA16">IFERROR(INDEX(球員狀態!W$2:W$5000, MATCH(1, (球員狀態!$A$2:$A$5000=$DF$1)*(ISNUMBER(SEARCH($DF16, 球員狀態!$B$2:$B$5000))), 0)), "")</f>
        <v>.027</v>
      </c>
      <c r="EB16" s="4" t="str">
        <f t="array" ref="EB16">IFERROR(INDEX(球員狀態!X$2:X$5000, MATCH(1, (球員狀態!$A$2:$A$5000=$DF$1)*(ISNUMBER(SEARCH($DF16, 球員狀態!$B$2:$B$5000))), 0)), "")</f>
        <v>0.22</v>
      </c>
      <c r="EC16" s="4" t="str">
        <f t="array" ref="EC16">IFERROR(INDEX(球員狀態!Y$2:Y$5000, MATCH(1, (球員狀態!$A$2:$A$5000=$DF$1)*(ISNUMBER(SEARCH($DF16, 球員狀態!$B$2:$B$5000))), 0)), "")</f>
        <v>.116</v>
      </c>
      <c r="ED16" s="4" t="str">
        <f t="array" ref="ED16">IFERROR(INDEX(球員狀態!Z$2:Z$5000, MATCH(1, (球員狀態!$A$2:$A$5000=$DF$1)*(ISNUMBER(SEARCH($DF16, 球員狀態!$B$2:$B$5000))), 0)), "")</f>
        <v>.145</v>
      </c>
      <c r="EE16" s="4" t="str">
        <f t="array" ref="EE16">IFERROR(INDEX(球員狀態!AA$2:AA$5000, MATCH(1, (球員狀態!$A$2:$A$5000=$DF$1)*(ISNUMBER(SEARCH($DF16, 球員狀態!$B$2:$B$5000))), 0)), "")</f>
        <v>3.38</v>
      </c>
      <c r="EF16" s="4" t="str">
        <f t="array" ref="EF16">IFERROR(INDEX(球員狀態!AB$2:AB$5000, MATCH(1, (球員狀態!$A$2:$A$5000=$DF$1)*(ISNUMBER(SEARCH($DF16, 球員狀態!$B$2:$B$5000))), 0)), "")</f>
        <v>6</v>
      </c>
      <c r="EG16" s="56"/>
      <c r="EI16" s="37" t="str">
        <f>先發名單!V$2</f>
        <v>Juan Brito</v>
      </c>
      <c r="EJ16" s="4" t="str">
        <f t="array" ref="EJ16">IFERROR(INDEX(球員狀態!$C$2:$C$5000, MATCH(1, (球員狀態!$A$2:$A$5000=$EI$1)*(ISNUMBER(SEARCH($EI16, 球員狀態!$B$2:$B$5000))), 0)), "")</f>
        <v>SS</v>
      </c>
      <c r="EM16" s="4" t="str">
        <f t="array" ref="EM16">IFERROR(INDEX(球員狀態!F$2:F$5000, MATCH(1, (球員狀態!$A$2:$A$5000=$EI$1)*(ISNUMBER(SEARCH($EI16, 球員狀態!$B$2:$B$5000))), 0)), "")</f>
        <v>7</v>
      </c>
      <c r="EN16" s="4" t="str">
        <f t="array" ref="EN16">IFERROR(INDEX(球員狀態!G$2:G$5000, MATCH(1, (球員狀態!$A$2:$A$5000=$EI$1)*(ISNUMBER(SEARCH($EI16, 球員狀態!$B$2:$B$5000))), 0)), "")</f>
        <v>9</v>
      </c>
      <c r="EO16" s="4" t="str">
        <f t="array" ref="EO16">IFERROR(INDEX(球員狀態!H$2:H$5000, MATCH(1, (球員狀態!$A$2:$A$5000=$EI$1)*(ISNUMBER(SEARCH($EI16, 球員狀態!$B$2:$B$5000))), 0)), "")</f>
        <v>4</v>
      </c>
      <c r="EP16" s="4" t="str">
        <f t="array" ref="EP16">IFERROR(INDEX(球員狀態!I$2:I$5000, MATCH(1, (球員狀態!$A$2:$A$5000=$EI$1)*(ISNUMBER(SEARCH($EI16, 球員狀態!$B$2:$B$5000))), 0)), "")</f>
        <v>0</v>
      </c>
      <c r="EQ16" s="4" t="str">
        <f t="array" ref="EQ16">IFERROR(INDEX(球員狀態!J$2:J$5000, MATCH(1, (球員狀態!$A$2:$A$5000=$EI$1)*(ISNUMBER(SEARCH($EI16, 球員狀態!$B$2:$B$5000))), 0)), "")</f>
        <v>0</v>
      </c>
      <c r="ER16" s="4" t="str">
        <f t="array" ref="ER16">IFERROR(INDEX(球員狀態!K$2:K$5000, MATCH(1, (球員狀態!$A$2:$A$5000=$EI$1)*(ISNUMBER(SEARCH($EI16, 球員狀態!$B$2:$B$5000))), 0)), "")</f>
        <v>3</v>
      </c>
      <c r="ES16" s="4" t="str">
        <f t="array" ref="ES16">IFERROR(INDEX(球員狀態!L$2:L$5000, MATCH(1, (球員狀態!$A$2:$A$5000=$EI$1)*(ISNUMBER(SEARCH($EI16, 球員狀態!$B$2:$B$5000))), 0)), "")</f>
        <v>13</v>
      </c>
      <c r="ET16" s="4" t="str">
        <f t="array" ref="ET16">IFERROR(INDEX(球員狀態!M$2:M$5000, MATCH(1, (球員狀態!$A$2:$A$5000=$EI$1)*(ISNUMBER(SEARCH($EI16, 球員狀態!$B$2:$B$5000))), 0)), "")</f>
        <v>4</v>
      </c>
      <c r="EU16" s="4" t="str">
        <f t="array" ref="EU16">IFERROR(INDEX(球員狀態!N$2:N$5000, MATCH(1, (球員狀態!$A$2:$A$5000=$EI$1)*(ISNUMBER(SEARCH($EI16, 球員狀態!$B$2:$B$5000))), 0)), "")</f>
        <v>17</v>
      </c>
      <c r="EV16" s="4" t="str">
        <f t="array" ref="EV16">IFERROR(INDEX(球員狀態!O$2:O$5000, MATCH(1, (球員狀態!$A$2:$A$5000=$EI$1)*(ISNUMBER(SEARCH($EI16, 球員狀態!$B$2:$B$5000))), 0)), "")</f>
        <v>0</v>
      </c>
      <c r="EW16" s="4" t="str">
        <f t="array" ref="EW16">IFERROR(INDEX(球員狀態!P$2:P$5000, MATCH(1, (球員狀態!$A$2:$A$5000=$EI$1)*(ISNUMBER(SEARCH($EI16, 球員狀態!$B$2:$B$5000))), 0)), "")</f>
        <v>.176</v>
      </c>
      <c r="EX16" s="4" t="str">
        <f t="array" ref="EX16">IFERROR(INDEX(球員狀態!Q$2:Q$5000, MATCH(1, (球員狀態!$A$2:$A$5000=$EI$1)*(ISNUMBER(SEARCH($EI16, 球員狀態!$B$2:$B$5000))), 0)), "")</f>
        <v>.250</v>
      </c>
      <c r="EY16" s="4" t="str">
        <f t="array" ref="EY16">IFERROR(INDEX(球員狀態!R$2:R$5000, MATCH(1, (球員狀態!$A$2:$A$5000=$EI$1)*(ISNUMBER(SEARCH($EI16, 球員狀態!$B$2:$B$5000))), 0)), "")</f>
        <v>.255</v>
      </c>
      <c r="EZ16" s="4" t="str">
        <f t="array" ref="EZ16">IFERROR(INDEX(球員狀態!S$2:S$5000, MATCH(1, (球員狀態!$A$2:$A$5000=$EI$1)*(ISNUMBER(SEARCH($EI16, 球員狀態!$B$2:$B$5000))), 0)), "")</f>
        <v>.505</v>
      </c>
      <c r="FA16" s="4" t="str">
        <f t="array" ref="FA16">IFERROR(INDEX(球員狀態!T$2:T$5000, MATCH(1, (球員狀態!$A$2:$A$5000=$EI$1)*(ISNUMBER(SEARCH($EI16, 球員狀態!$B$2:$B$5000))), 0)), "")</f>
        <v>-0.5</v>
      </c>
      <c r="FB16" s="4" t="str">
        <f t="array" ref="FB16">IFERROR(INDEX(球員狀態!U$2:U$5000, MATCH(1, (球員狀態!$A$2:$A$5000=$EI$1)*(ISNUMBER(SEARCH($EI16, 球員狀態!$B$2:$B$5000))), 0)), "")</f>
        <v>2.8</v>
      </c>
      <c r="FC16" s="4" t="str">
        <f t="array" ref="FC16">IFERROR(INDEX(球員狀態!V$2:V$5000, MATCH(1, (球員狀態!$A$2:$A$5000=$EI$1)*(ISNUMBER(SEARCH($EI16, 球員狀態!$B$2:$B$5000))), 0)), "")</f>
        <v>1.7</v>
      </c>
      <c r="FD16" s="4" t="str">
        <f t="array" ref="FD16">IFERROR(INDEX(球員狀態!W$2:W$5000, MATCH(1, (球員狀態!$A$2:$A$5000=$EI$1)*(ISNUMBER(SEARCH($EI16, 球員狀態!$B$2:$B$5000))), 0)), "")</f>
        <v>.071</v>
      </c>
      <c r="FE16" s="4" t="str">
        <f t="array" ref="FE16">IFERROR(INDEX(球員狀態!X$2:X$5000, MATCH(1, (球員狀態!$A$2:$A$5000=$EI$1)*(ISNUMBER(SEARCH($EI16, 球員狀態!$B$2:$B$5000))), 0)), "")</f>
        <v>0.24</v>
      </c>
      <c r="FF16" s="4" t="str">
        <f t="array" ref="FF16">IFERROR(INDEX(球員狀態!Y$2:Y$5000, MATCH(1, (球員狀態!$A$2:$A$5000=$EI$1)*(ISNUMBER(SEARCH($EI16, 球員狀態!$B$2:$B$5000))), 0)), "")</f>
        <v>.078</v>
      </c>
      <c r="FG16" s="4" t="str">
        <f t="array" ref="FG16">IFERROR(INDEX(球員狀態!Z$2:Z$5000, MATCH(1, (球員狀態!$A$2:$A$5000=$EI$1)*(ISNUMBER(SEARCH($EI16, 球員狀態!$B$2:$B$5000))), 0)), "")</f>
        <v>.157</v>
      </c>
      <c r="FH16" s="4" t="str">
        <f t="array" ref="FH16">IFERROR(INDEX(球員狀態!AA$2:AA$5000, MATCH(1, (球員狀態!$A$2:$A$5000=$EI$1)*(ISNUMBER(SEARCH($EI16, 球員狀態!$B$2:$B$5000))), 0)), "")</f>
        <v>4.20</v>
      </c>
      <c r="FI16" s="4" t="str">
        <f t="array" ref="FI16">IFERROR(INDEX(球員狀態!AB$2:AB$5000, MATCH(1, (球員狀態!$A$2:$A$5000=$EI$1)*(ISNUMBER(SEARCH($EI16, 球員狀態!$B$2:$B$5000))), 0)), "")</f>
        <v>4</v>
      </c>
      <c r="FK16" s="22">
        <v>0.61</v>
      </c>
      <c r="FL16" s="19">
        <v>0.9</v>
      </c>
      <c r="FM16" s="23">
        <v>1</v>
      </c>
      <c r="FN16" s="22">
        <v>1.01</v>
      </c>
      <c r="FO16" s="19">
        <v>1.4</v>
      </c>
      <c r="FP16" s="23">
        <v>1</v>
      </c>
      <c r="FQ16" s="22">
        <v>0.81</v>
      </c>
      <c r="FR16" s="19">
        <v>1.1000000000000001</v>
      </c>
      <c r="FS16" s="23">
        <v>1</v>
      </c>
      <c r="FY16" s="20"/>
    </row>
    <row r="17" spans="1:181">
      <c r="A17" s="53">
        <v>15</v>
      </c>
      <c r="B17" s="4" t="e">
        <v>#N/A</v>
      </c>
      <c r="C17" s="4" t="e">
        <v>#N/A</v>
      </c>
      <c r="D17" s="4" t="e">
        <v>#N/A</v>
      </c>
      <c r="E17" s="4" t="e">
        <v>#N/A</v>
      </c>
      <c r="F17" s="4" t="e">
        <v>#N/A</v>
      </c>
      <c r="G17" s="4" t="e">
        <v>#N/A</v>
      </c>
      <c r="H17" s="4" t="e">
        <v>#N/A</v>
      </c>
      <c r="I17" s="4" t="e">
        <v>#N/A</v>
      </c>
      <c r="J17" s="4" t="e">
        <v>#N/A</v>
      </c>
      <c r="K17" s="4" t="e">
        <v>#N/A</v>
      </c>
      <c r="L17" s="1" t="str">
        <f t="array" ref="L17">IFERROR(SUBSTITUTE(INDEX(正負盤!$6:$20, ROW(A14), MATCH(1, (MONTH(正負盤!$4:$4)=MONTH(DATE(LEFT($A$1,4),MID($A$1,5,2),RIGHT($A$1,2))-10))*(DAY(正負盤!$4:$4)=DAY(DATE(LEFT($A$1,4),MID($A$1,5,2),RIGHT($A$1,2))-10)), 0)), 0, "-"), "")</f>
        <v>O</v>
      </c>
      <c r="M17" s="1" t="str">
        <f t="array" ref="M17">IFERROR(SUBSTITUTE(INDEX(正負盤!$6:$20, ROW(A14), MATCH(1, (MONTH(正負盤!$4:$4)=MONTH(DATE(LEFT($A$1,4),MID($A$1,5,2),RIGHT($A$1,2))-9))*(DAY(正負盤!$4:$4)=DAY(DATE(LEFT($A$1,4),MID($A$1,5,2),RIGHT($A$1,2))-9)), 0)), 0, "-"), "")</f>
        <v>O</v>
      </c>
      <c r="N17" s="1" t="str">
        <f t="array" ref="N17">IFERROR(SUBSTITUTE(INDEX(正負盤!$6:$20, ROW(A14), MATCH(1, (MONTH(正負盤!$4:$4)=MONTH(DATE(LEFT($A$1,4),MID($A$1,5,2),RIGHT($A$1,2))-8))*(DAY(正負盤!$4:$4)=DAY(DATE(LEFT($A$1,4),MID($A$1,5,2),RIGHT($A$1,2))-8)), 0)), 0, "-"), "")</f>
        <v>O</v>
      </c>
      <c r="O17" s="1" t="str">
        <f t="array" ref="O17">IFERROR(SUBSTITUTE(INDEX(正負盤!$6:$20, ROW(A14), MATCH(1, (MONTH(正負盤!$4:$4)=MONTH(DATE(LEFT($A$1,4),MID($A$1,5,2),RIGHT($A$1,2))-7))*(DAY(正負盤!$4:$4)=DAY(DATE(LEFT($A$1,4),MID($A$1,5,2),RIGHT($A$1,2))-7)), 0)), 0, "-"), "")</f>
        <v/>
      </c>
      <c r="P17" s="1" t="str">
        <f t="array" ref="P17">IFERROR(SUBSTITUTE(INDEX(正負盤!$6:$20, ROW(A14), MATCH(1, (MONTH(正負盤!$4:$4)=MONTH(DATE(LEFT($A$1,4),MID($A$1,5,2),RIGHT($A$1,2))-6))*(DAY(正負盤!$4:$4)=DAY(DATE(LEFT($A$1,4),MID($A$1,5,2),RIGHT($A$1,2))-6)), 0)), 0, "-"), "")</f>
        <v>X</v>
      </c>
      <c r="Q17" s="1" t="str">
        <f t="array" ref="Q17">IFERROR(SUBSTITUTE(INDEX(正負盤!$6:$20, ROW(A14), MATCH(1, (MONTH(正負盤!$4:$4)=MONTH(DATE(LEFT($A$1,4),MID($A$1,5,2),RIGHT($A$1,2))-5))*(DAY(正負盤!$4:$4)=DAY(DATE(LEFT($A$1,4),MID($A$1,5,2),RIGHT($A$1,2))-5)), 0)), 0, "-"), "")</f>
        <v/>
      </c>
      <c r="R17" s="1" t="str">
        <f t="array" ref="R17">IFERROR(SUBSTITUTE(INDEX(正負盤!$6:$20, ROW(A14), MATCH(1, (MONTH(正負盤!$4:$4)=MONTH(DATE(LEFT($A$1,4),MID($A$1,5,2),RIGHT($A$1,2))-4))*(DAY(正負盤!$4:$4)=DAY(DATE(LEFT($A$1,4),MID($A$1,5,2),RIGHT($A$1,2))-4)), 0)), 0, "-"), "")</f>
        <v/>
      </c>
      <c r="S17" s="1" t="str">
        <f t="array" ref="S17">IFERROR(SUBSTITUTE(INDEX(正負盤!$6:$20, ROW(A14), MATCH(1, (MONTH(正負盤!$4:$4)=MONTH(DATE(LEFT($A$1,4),MID($A$1,5,2),RIGHT($A$1,2))-3))*(DAY(正負盤!$4:$4)=DAY(DATE(LEFT($A$1,4),MID($A$1,5,2),RIGHT($A$1,2))-3)), 0)), 0, "-"), "")</f>
        <v>O</v>
      </c>
      <c r="T17" s="1" t="str">
        <f t="array" ref="T17">IFERROR(SUBSTITUTE(INDEX(正負盤!$6:$20, ROW(A14), MATCH(1, (MONTH(正負盤!$4:$4)=MONTH(DATE(LEFT($A$1,4),MID($A$1,5,2),RIGHT($A$1,2))-2))*(DAY(正負盤!$4:$4)=DAY(DATE(LEFT($A$1,4),MID($A$1,5,2),RIGHT($A$1,2))-2)), 0)), 0, "-"), "")</f>
        <v>X</v>
      </c>
      <c r="U17" s="1" t="str">
        <f t="array" ref="U17">IFERROR(SUBSTITUTE(INDEX(正負盤!$6:$20, ROW(A14), MATCH(1, (MONTH(正負盤!$4:$4)=MONTH(DATE(LEFT($A$1,4),MID($A$1,5,2),RIGHT($A$1,2))-1))*(DAY(正負盤!$4:$4)=DAY(DATE(LEFT($A$1,4),MID($A$1,5,2),RIGHT($A$1,2))-1)), 0)), 0, "-"), "")</f>
        <v>O</v>
      </c>
      <c r="V17" s="78"/>
      <c r="W17" t="str">
        <f>I10</f>
        <v>道奇</v>
      </c>
      <c r="X17" s="17" t="str">
        <f t="array" aca="1" ref="X17" ca="1">_xlfn.LET(_xlpm.s,SUBSTITUTE(Y17,".",""),_xlpm.c,RIGHT(_xlpm.s,1),_xlpm.n,ROW(INDIRECT("1:"&amp;LEN(_xlpm.s))),_xlpm.cnt,MAX(IF(RIGHT(_xlpm.s,_xlpm.n)=REPT(_xlpm.c,_xlpm.n),_xlpm.n,0)),IF(_xlpm.cnt&gt;=2,_xlpm.cnt&amp;"連"&amp;_xlpm.c,"1"&amp;_xlpm.c))</f>
        <v>2連O</v>
      </c>
      <c r="Y17" s="82" t="str">
        <f t="array" ref="Y17">INDEX(各隊正負!$F:$F, MATCH("*"&amp;$W17&amp;"*", 各隊正負!$A:$A, 0)+6)</f>
        <v>O.O.X.X.O.X.O.X.O.O</v>
      </c>
      <c r="Z17" s="100"/>
      <c r="AA17" s="100"/>
      <c r="AB17" s="82" t="str">
        <f t="array" ref="AB17">INDEX(各隊正負!$F:$F, MATCH("*"&amp;$W17&amp;"*", 各隊正負!$A:$A, 0)+4)</f>
        <v>W.W.L.L.W.L.W.L.W.W</v>
      </c>
      <c r="AC17" s="78"/>
      <c r="AD17" s="78"/>
      <c r="AE17" s="1" t="str">
        <f t="array" aca="1" ref="AE17" ca="1">_xlfn.LET(_xlpm.s,SUBSTITUTE(AB17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2連勝</v>
      </c>
      <c r="AF17" s="19" t="str">
        <f>I10</f>
        <v>道奇</v>
      </c>
      <c r="AG17" s="1" t="str">
        <f t="array" ref="AG17">IFERROR(INDEX(各隊total!$B:$AB, MATCH($AF17, 各隊total!$A:$A, 0), COLUMN(A16)), "")</f>
        <v>28</v>
      </c>
      <c r="AH17" s="32">
        <f>CB33</f>
        <v>6.5500000000000007</v>
      </c>
      <c r="AI17" s="61" t="str">
        <f t="shared" si="0"/>
        <v>S</v>
      </c>
      <c r="AJ17" s="6">
        <f>CC33</f>
        <v>7.6000000000000005</v>
      </c>
      <c r="AK17" s="60" t="str">
        <f t="shared" si="1"/>
        <v>S+</v>
      </c>
      <c r="AL17" s="1" t="str">
        <f t="array" ref="AL17">IFERROR(INDEX(各隊total!$C:$AB, MATCH($AF17, 各隊total!$A:$A, 0), COLUMN(A16)), "")</f>
        <v>949</v>
      </c>
      <c r="AM17" s="1" t="str">
        <f t="array" ref="AM17">IFERROR(INDEX(各隊total!$D:$AB, MATCH($AF17, 各隊total!$A:$A, 0), COLUMN(A16)), "")</f>
        <v>159</v>
      </c>
      <c r="AN17" s="1" t="str">
        <f t="array" ref="AN17">IFERROR(INDEX(各隊total!$E:$AB, MATCH($AF17, 各隊total!$A:$A, 0), COLUMN(A16)), "")</f>
        <v>264</v>
      </c>
      <c r="AO17" s="1" t="str">
        <f t="array" ref="AO17">IFERROR(INDEX(各隊total!$F:$AB, MATCH($AF17, 各隊total!$A:$A, 0), COLUMN(A16)), "")</f>
        <v>48</v>
      </c>
      <c r="AP17" s="1" t="str">
        <f t="array" ref="AP17">IFERROR(INDEX(各隊total!$G:$AB, MATCH($AF17, 各隊total!$A:$A, 0), COLUMN(A16)), "")</f>
        <v>1</v>
      </c>
      <c r="AQ17" s="1" t="str">
        <f t="array" ref="AQ17">IFERROR(INDEX(各隊total!$H:$AB, MATCH($AF17, 各隊total!$A:$A, 0), COLUMN(A16)), "")</f>
        <v>45</v>
      </c>
      <c r="AR17" s="1" t="str">
        <f t="array" ref="AR17">IFERROR(INDEX(各隊total!$I:$AB, MATCH($AF17, 各隊total!$A:$A, 0), COLUMN(A16)), "")</f>
        <v>151</v>
      </c>
      <c r="AS17" s="1" t="str">
        <f t="array" ref="AS17">IFERROR(INDEX(各隊total!$J:$AB, MATCH($AF17, 各隊total!$A:$A, 0), COLUMN(A16)), "")</f>
        <v>449</v>
      </c>
      <c r="AT17" s="1" t="str">
        <f t="array" ref="AT17">IFERROR(INDEX(各隊total!$K:$AB, MATCH($AF17, 各隊total!$A:$A, 0), COLUMN(A16)), "")</f>
        <v>109</v>
      </c>
      <c r="AU17" s="1" t="str">
        <f t="array" ref="AU17">IFERROR(INDEX(各隊total!$L:$AB, MATCH($AF17, 各隊total!$A:$A, 0), COLUMN(A16)), "")</f>
        <v>233</v>
      </c>
      <c r="AV17" s="1" t="str">
        <f t="array" ref="AV17">IFERROR(INDEX(各隊total!$M:$AB, MATCH($AF17, 各隊total!$A:$A, 0), COLUMN(A16)), "")</f>
        <v>16</v>
      </c>
      <c r="AW17" s="1" t="str">
        <f t="array" ref="AW17">IFERROR(INDEX(各隊total!$N:$AB, MATCH($AF17, 各隊total!$A:$A, 0), COLUMN(A16)), "")</f>
        <v>.278</v>
      </c>
      <c r="AX17" s="1" t="str">
        <f t="array" ref="AX17">IFERROR(INDEX(各隊total!$O:$AB, MATCH($AF17, 各隊total!$A:$A, 0), COLUMN(A16)), "")</f>
        <v>.355</v>
      </c>
      <c r="AY17" s="1" t="str">
        <f t="array" ref="AY17">IFERROR(INDEX(各隊total!$P:$AB, MATCH($AF17, 各隊total!$A:$A, 0), COLUMN(A16)), "")</f>
        <v>.473</v>
      </c>
      <c r="AZ17" s="1" t="str">
        <f t="array" ref="AZ17">IFERROR(INDEX(各隊total!$Q:$AB, MATCH($AF17, 各隊total!$A:$A, 0), COLUMN(A16)), "")</f>
        <v>.828</v>
      </c>
      <c r="BA17" s="1">
        <f t="array" ref="BA17">IFERROR(INDEX(各隊total!$R:$AB, MATCH($AF17, 各隊total!$A:$A, 0), COLUMN(A16)), "")</f>
        <v>0</v>
      </c>
      <c r="BB17" s="1" t="str">
        <f t="array" ref="BB17">IFERROR(INDEX(各隊total!$S:$AB, MATCH($AF17, 各隊total!$A:$A, 0), COLUMN(A16)), "")</f>
        <v>159.7</v>
      </c>
      <c r="BC17" s="1" t="str">
        <f t="array" ref="BC17">IFERROR(INDEX(各隊total!$T:$AB, MATCH($AF17, 各隊total!$A:$A, 0), COLUMN(A16)), "")</f>
        <v>6.0</v>
      </c>
      <c r="BD17" s="1" t="str">
        <f t="array" ref="BD17">IFERROR(INDEX(各隊total!$U:$AB, MATCH($AF17, 各隊total!$A:$A, 0), COLUMN(A16)), "")</f>
        <v>.101</v>
      </c>
      <c r="BE17" s="1" t="str">
        <f t="array" ref="BE17">IFERROR(INDEX(各隊total!$V:$AB, MATCH($AF17, 各隊total!$A:$A, 0), COLUMN(A16)), "")</f>
        <v>0.47</v>
      </c>
      <c r="BF17" s="1" t="str">
        <f t="array" ref="BF17">IFERROR(INDEX(各隊total!$W:$AB, MATCH($AF17, 各隊total!$A:$A, 0), COLUMN(A16)), "")</f>
        <v>.195</v>
      </c>
      <c r="BG17" s="1" t="str">
        <f t="array" ref="BG17">IFERROR(INDEX(各隊total!$X:$AB, MATCH($AF17, 各隊total!$A:$A, 0), COLUMN(A16)), "")</f>
        <v>.322</v>
      </c>
      <c r="BH17" s="1" t="str">
        <f t="array" ref="BH17">IFERROR(INDEX(各隊total!$Y:$AB, MATCH($AF17, 各隊total!$A:$A, 0), COLUMN(A16)), "")</f>
        <v>3.95</v>
      </c>
      <c r="BI17" s="1" t="str">
        <f t="array" ref="BI17">IFERROR(INDEX(各隊total!$Z:$AB, MATCH($AF17, 各隊total!$A:$A, 0), COLUMN(A16)), "")</f>
        <v>94</v>
      </c>
      <c r="BJ17" s="1" t="str">
        <f t="array" ref="BJ17">IFERROR(INDEX(各隊total!$AA:$AB, MATCH($AF17, 各隊total!$A:$A, 0), COLUMN(A16)), "")</f>
        <v>1082</v>
      </c>
      <c r="BK17" s="1" t="str">
        <f t="array" ref="BK17">IFERROR(INDEX(各隊total!$AB:$AB, MATCH($AF17, 各隊total!$A:$A, 0), COLUMN(A16)), "")</f>
        <v>21.1</v>
      </c>
      <c r="BL17" s="1" t="str">
        <f t="array" ref="BL17">IFERROR(INDEX(各隊total!$C:$AB, MATCH($AF17, 各隊total!$A:$A, 0), COLUMN(AA16)), "")</f>
        <v/>
      </c>
      <c r="BM17" s="22">
        <v>0.71</v>
      </c>
      <c r="BN17" s="19">
        <v>0.85</v>
      </c>
      <c r="BO17" s="23">
        <v>2</v>
      </c>
      <c r="BP17" s="22">
        <v>0.23</v>
      </c>
      <c r="BQ17" s="19">
        <v>0.28000000000000003</v>
      </c>
      <c r="BR17" s="23">
        <v>2</v>
      </c>
      <c r="BS17" s="22">
        <v>0.36</v>
      </c>
      <c r="BT17" s="19">
        <v>0.45</v>
      </c>
      <c r="BU17" s="23">
        <v>2</v>
      </c>
      <c r="BV17" s="22">
        <v>3.01</v>
      </c>
      <c r="BW17" s="19">
        <v>3.5</v>
      </c>
      <c r="BX17" s="23" t="s">
        <v>537</v>
      </c>
      <c r="BY17" s="22">
        <v>2.5099999999999998</v>
      </c>
      <c r="BZ17" s="19">
        <v>3.5</v>
      </c>
      <c r="CA17" s="23" t="s">
        <v>537</v>
      </c>
      <c r="CB17" s="28">
        <f>CF17+CJ17+CK17+CM17+CO17+CP17+CQ17+CR17</f>
        <v>4.4500000000000011</v>
      </c>
      <c r="CC17" s="31">
        <f>CU17+CV17+CY17+CZ17+DA17</f>
        <v>5.15</v>
      </c>
      <c r="CD17" s="58"/>
      <c r="CE17" s="1"/>
      <c r="CF17" s="27">
        <f>VLOOKUP(ROUND(CF16/CD16, 2), $BV$2:$BX$12, 3, TRUE)*BX$1</f>
        <v>0.75</v>
      </c>
      <c r="CG17" s="58"/>
      <c r="CH17" s="58"/>
      <c r="CI17" s="58"/>
      <c r="CJ17" s="27">
        <f>VLOOKUP(ROUND(CJ16/CD16, 2), $BM$15:$BO$25, 3, TRUE)*BO$14</f>
        <v>0.5</v>
      </c>
      <c r="CK17" s="27">
        <f>VLOOKUP(ROUND(CK16/CD16, 2), $BY$2:$CA$12, 3, TRUE)*CA$1</f>
        <v>0.5</v>
      </c>
      <c r="CL17" s="58"/>
      <c r="CM17" s="101">
        <f>VLOOKUP(ROUND(CM16/CN16, 2), $BP$15:$BR$25, 3, TRUE)*BR$14</f>
        <v>0.60000000000000009</v>
      </c>
      <c r="CN17" s="78"/>
      <c r="CO17" s="27">
        <f>VLOOKUP(ROUND(CO16/CD16, 2), $BS$15:$BU$25, 3, TRUE)*BU$14</f>
        <v>0.2</v>
      </c>
      <c r="CP17" s="27">
        <f>VLOOKUP(CP16*1, BM$2:BO$12, 3, TRUE)*BO$1</f>
        <v>0.30000000000000004</v>
      </c>
      <c r="CQ17" s="27">
        <f>VLOOKUP(CQ16*1, BP$2:BR$12, 3, TRUE)*BR$1</f>
        <v>1</v>
      </c>
      <c r="CR17" s="27">
        <f>VLOOKUP(CR16*1, BS$2:BU$12, 3, TRUE)*BU$1</f>
        <v>0.60000000000000009</v>
      </c>
      <c r="CS17" s="1"/>
      <c r="CT17" s="1"/>
      <c r="CU17" s="60">
        <f>VLOOKUP(CU16*1, BM$28:BO$38, 3, TRUE)*BO$27</f>
        <v>0.8</v>
      </c>
      <c r="CV17" s="60">
        <f>VLOOKUP(CV16*1, BP$28:BR$38, 3, TRUE)*BR$27</f>
        <v>1.4</v>
      </c>
      <c r="CW17" s="1"/>
      <c r="CX17" s="1"/>
      <c r="CY17" s="60">
        <f>VLOOKUP(CY16*1, BS$28:BU$38, 3, TRUE)*BU$27</f>
        <v>0.8</v>
      </c>
      <c r="CZ17" s="60">
        <f>VLOOKUP(CZ16*1, BV$28:BX$38, 3, TRUE)*BX$27</f>
        <v>0.75</v>
      </c>
      <c r="DA17" s="60">
        <f>VLOOKUP(DA16*1, BY$28:CA$38, 3, TRUE)*CA$27</f>
        <v>1.4000000000000001</v>
      </c>
      <c r="DH17" s="40">
        <f>DJ17+DL17+DM17+DN17+DO17-DP17-DQ17+DR17</f>
        <v>1.95</v>
      </c>
      <c r="DI17" s="42">
        <f>DU17+DX17+EA17+ED17+EE17+EF17</f>
        <v>5</v>
      </c>
      <c r="DJ17" s="38">
        <f>VLOOKUP(DJ16*1, FK$2:FM$12, 3, TRUE)*FM$1</f>
        <v>0.25</v>
      </c>
      <c r="DL17" s="38">
        <f>VLOOKUP(DL16*1, FN$2:FP$12, 3, TRUE)*FP$1</f>
        <v>0.6</v>
      </c>
      <c r="DM17" s="38">
        <f>VLOOKUP(DM16*1, FQ$2:FS$12, 3, TRUE)*FS$1</f>
        <v>0</v>
      </c>
      <c r="DN17" s="38">
        <f>VLOOKUP(DN16*1, FT$2:FV$12, 3, TRUE)*FV$1</f>
        <v>0.4</v>
      </c>
      <c r="DO17" s="38">
        <f>VLOOKUP(DO16*1, FW$2:FY$12, 3, TRUE)*FY$1</f>
        <v>0.5</v>
      </c>
      <c r="DP17" s="39">
        <f>VLOOKUP(DP16*1, FK$14:FM$25, 3, TRUE)*FM$14</f>
        <v>1</v>
      </c>
      <c r="DQ17" s="39">
        <f>VLOOKUP(DQ16*1, FN$14:FP$25, 3, TRUE)*FP$14</f>
        <v>0.30000000000000004</v>
      </c>
      <c r="DR17" s="38">
        <f>VLOOKUP(DR16*1, FQ$14:FS$25, 3, TRUE)*FS$14</f>
        <v>1.5</v>
      </c>
      <c r="DU17" s="41">
        <f>VLOOKUP(DU16*1, FK$27:FM$38, 3, TRUE)*FM$27</f>
        <v>0</v>
      </c>
      <c r="DX17" s="41">
        <f>VLOOKUP(DX16*1, FN$27:FP$38, 3, TRUE)*FP$27</f>
        <v>0</v>
      </c>
      <c r="EA17" s="41">
        <f>VLOOKUP(EA16*1, FQ$27:FS$38, 3, TRUE)*FS$27</f>
        <v>0</v>
      </c>
      <c r="ED17" s="41">
        <f>VLOOKUP(ED16*1, FT$27:FV$38, 3, TRUE)*FV$27</f>
        <v>0</v>
      </c>
      <c r="EE17" s="41">
        <f>VLOOKUP(EE16*1, FW$27:FY$38, 3, TRUE)*FY$27</f>
        <v>1.5</v>
      </c>
      <c r="EF17" s="41">
        <f>VLOOKUP(EF16*1, FK$40:FM$51, 3, TRUE)*FM$40</f>
        <v>3.5</v>
      </c>
      <c r="EG17" s="57"/>
      <c r="EK17" s="40">
        <f>EM17+EO17+EP17+EQ17+ER17-ES17-ET17+EU17</f>
        <v>1.0499999999999998</v>
      </c>
      <c r="EL17" s="42" t="e">
        <f>EX17+FA17+FD17+FG17+FH17+FI17</f>
        <v>#N/A</v>
      </c>
      <c r="EM17" s="38">
        <f>VLOOKUP(EM16*1, $FK$2:$FM$12, 3, TRUE)*$FM$1</f>
        <v>0.5</v>
      </c>
      <c r="EO17" s="38">
        <f>VLOOKUP(EO16*1, $FN$2:$FP$12, 3, TRUE)*$FP$1</f>
        <v>0.44999999999999996</v>
      </c>
      <c r="EP17" s="38">
        <f>VLOOKUP(EP16*1, $FQ$2:$FS$12, 3, TRUE)*$FS$1</f>
        <v>0</v>
      </c>
      <c r="EQ17" s="38">
        <f>VLOOKUP(EQ16*1, $FT$2:$FV$12, 3, TRUE)*$FV$1</f>
        <v>0</v>
      </c>
      <c r="ER17" s="38">
        <f>VLOOKUP(ER16*1, $FW$2:$FY$12, 3, TRUE)*$FY$1</f>
        <v>0.5</v>
      </c>
      <c r="ES17" s="39">
        <f>VLOOKUP(ES16*1, $FK$14:$FM$25, 3, TRUE)*$FM$14</f>
        <v>1</v>
      </c>
      <c r="ET17" s="39">
        <f>VLOOKUP(ET16*1, $FN$14:$FP$25, 3, TRUE)*$FP$14</f>
        <v>0.9</v>
      </c>
      <c r="EU17" s="38">
        <f>VLOOKUP(EU16*1, $FQ$14:$FS$25, 3, TRUE)*$FS$14</f>
        <v>1.5</v>
      </c>
      <c r="EX17" s="41">
        <f>VLOOKUP(EX16*1, $FK$27:$FM$38, 3, TRUE)*$FM$27</f>
        <v>0</v>
      </c>
      <c r="FA17" s="41" t="e">
        <f>VLOOKUP(FA16*1, $FN$27:$FP$38, 3, TRUE)*$FP$27</f>
        <v>#N/A</v>
      </c>
      <c r="FD17" s="41">
        <f>VLOOKUP(FD16*1, $FQ$27:$FS$38, 3, TRUE)*$FS$27</f>
        <v>0</v>
      </c>
      <c r="FG17" s="41">
        <f>VLOOKUP(FG16*1, $FT$27:$FV$38, 3, TRUE)*$FV$27</f>
        <v>0</v>
      </c>
      <c r="FH17" s="41">
        <f>VLOOKUP(FH16*1, $FW$27:$FY$38, 3, TRUE)*$FY$27</f>
        <v>1.5</v>
      </c>
      <c r="FI17" s="41">
        <f>VLOOKUP(FI16*1, $FK$40:$FM$51, 3, TRUE)*$FM$40</f>
        <v>3.5</v>
      </c>
      <c r="FK17" s="22">
        <v>0.91</v>
      </c>
      <c r="FL17" s="19">
        <v>1.2</v>
      </c>
      <c r="FM17" s="23">
        <v>2</v>
      </c>
      <c r="FN17" s="22">
        <v>1.41</v>
      </c>
      <c r="FO17" s="19">
        <v>1.7</v>
      </c>
      <c r="FP17" s="23">
        <v>2</v>
      </c>
      <c r="FQ17" s="22">
        <v>1.1100000000000001</v>
      </c>
      <c r="FR17" s="19">
        <v>1.4</v>
      </c>
      <c r="FS17" s="23">
        <v>2</v>
      </c>
      <c r="FY17" s="20"/>
    </row>
    <row r="18" spans="1:181">
      <c r="A18" s="53">
        <v>16</v>
      </c>
      <c r="L18" s="1" t="str">
        <f t="array" ref="L18">IFERROR(SUBSTITUTE(INDEX(正負盤!$6:$20, ROW(A15), MATCH(1, (MONTH(正負盤!$4:$4)=MONTH(DATE(LEFT($A$1,4),MID($A$1,5,2),RIGHT($A$1,2))-10))*(DAY(正負盤!$4:$4)=DAY(DATE(LEFT($A$1,4),MID($A$1,5,2),RIGHT($A$1,2))-10)), 0)), 0, "-"), "")</f>
        <v>X</v>
      </c>
      <c r="M18" s="1" t="str">
        <f t="array" ref="M18">IFERROR(SUBSTITUTE(INDEX(正負盤!$6:$20, ROW(A15), MATCH(1, (MONTH(正負盤!$4:$4)=MONTH(DATE(LEFT($A$1,4),MID($A$1,5,2),RIGHT($A$1,2))-9))*(DAY(正負盤!$4:$4)=DAY(DATE(LEFT($A$1,4),MID($A$1,5,2),RIGHT($A$1,2))-9)), 0)), 0, "-"), "")</f>
        <v>O</v>
      </c>
      <c r="N18" s="1" t="str">
        <f t="array" ref="N18">IFERROR(SUBSTITUTE(INDEX(正負盤!$6:$20, ROW(A15), MATCH(1, (MONTH(正負盤!$4:$4)=MONTH(DATE(LEFT($A$1,4),MID($A$1,5,2),RIGHT($A$1,2))-8))*(DAY(正負盤!$4:$4)=DAY(DATE(LEFT($A$1,4),MID($A$1,5,2),RIGHT($A$1,2))-8)), 0)), 0, "-"), "")</f>
        <v>O</v>
      </c>
      <c r="O18" s="1" t="str">
        <f t="array" ref="O18">IFERROR(SUBSTITUTE(INDEX(正負盤!$6:$20, ROW(A15), MATCH(1, (MONTH(正負盤!$4:$4)=MONTH(DATE(LEFT($A$1,4),MID($A$1,5,2),RIGHT($A$1,2))-7))*(DAY(正負盤!$4:$4)=DAY(DATE(LEFT($A$1,4),MID($A$1,5,2),RIGHT($A$1,2))-7)), 0)), 0, "-"), "")</f>
        <v/>
      </c>
      <c r="P18" s="1" t="str">
        <f t="array" ref="P18">IFERROR(SUBSTITUTE(INDEX(正負盤!$6:$20, ROW(A15), MATCH(1, (MONTH(正負盤!$4:$4)=MONTH(DATE(LEFT($A$1,4),MID($A$1,5,2),RIGHT($A$1,2))-6))*(DAY(正負盤!$4:$4)=DAY(DATE(LEFT($A$1,4),MID($A$1,5,2),RIGHT($A$1,2))-6)), 0)), 0, "-"), "")</f>
        <v>X</v>
      </c>
      <c r="Q18" s="1" t="str">
        <f t="array" ref="Q18">IFERROR(SUBSTITUTE(INDEX(正負盤!$6:$20, ROW(A15), MATCH(1, (MONTH(正負盤!$4:$4)=MONTH(DATE(LEFT($A$1,4),MID($A$1,5,2),RIGHT($A$1,2))-5))*(DAY(正負盤!$4:$4)=DAY(DATE(LEFT($A$1,4),MID($A$1,5,2),RIGHT($A$1,2))-5)), 0)), 0, "-"), "")</f>
        <v/>
      </c>
      <c r="R18" s="1" t="str">
        <f t="array" ref="R18">IFERROR(SUBSTITUTE(INDEX(正負盤!$6:$20, ROW(A15), MATCH(1, (MONTH(正負盤!$4:$4)=MONTH(DATE(LEFT($A$1,4),MID($A$1,5,2),RIGHT($A$1,2))-4))*(DAY(正負盤!$4:$4)=DAY(DATE(LEFT($A$1,4),MID($A$1,5,2),RIGHT($A$1,2))-4)), 0)), 0, "-"), "")</f>
        <v/>
      </c>
      <c r="S18" s="1" t="str">
        <f t="array" ref="S18">IFERROR(SUBSTITUTE(INDEX(正負盤!$6:$20, ROW(A15), MATCH(1, (MONTH(正負盤!$4:$4)=MONTH(DATE(LEFT($A$1,4),MID($A$1,5,2),RIGHT($A$1,2))-3))*(DAY(正負盤!$4:$4)=DAY(DATE(LEFT($A$1,4),MID($A$1,5,2),RIGHT($A$1,2))-3)), 0)), 0, "-"), "")</f>
        <v/>
      </c>
      <c r="T18" s="1" t="str">
        <f t="array" ref="T18">IFERROR(SUBSTITUTE(INDEX(正負盤!$6:$20, ROW(A15), MATCH(1, (MONTH(正負盤!$4:$4)=MONTH(DATE(LEFT($A$1,4),MID($A$1,5,2),RIGHT($A$1,2))-2))*(DAY(正負盤!$4:$4)=DAY(DATE(LEFT($A$1,4),MID($A$1,5,2),RIGHT($A$1,2))-2)), 0)), 0, "-"), "")</f>
        <v>X</v>
      </c>
      <c r="U18" s="1" t="str">
        <f t="array" ref="U18">IFERROR(SUBSTITUTE(INDEX(正負盤!$6:$20, ROW(A15), MATCH(1, (MONTH(正負盤!$4:$4)=MONTH(DATE(LEFT($A$1,4),MID($A$1,5,2),RIGHT($A$1,2))-1))*(DAY(正負盤!$4:$4)=DAY(DATE(LEFT($A$1,4),MID($A$1,5,2),RIGHT($A$1,2))-1)), 0)), 0, "-"), "")</f>
        <v>O</v>
      </c>
      <c r="V18" s="82" t="e">
        <f>C11</f>
        <v>#N/A</v>
      </c>
      <c r="W18" t="e">
        <f>E11</f>
        <v>#N/A</v>
      </c>
      <c r="X18" s="17" t="e">
        <f t="array" aca="1" ref="X18" ca="1">_xlfn.LET(_xlpm.s,SUBSTITUTE(Y18,".",""),_xlpm.c,RIGHT(_xlpm.s,1),_xlpm.n,ROW(INDIRECT("1:"&amp;LEN(_xlpm.s))),_xlpm.cnt,MAX(IF(RIGHT(_xlpm.s,_xlpm.n)=REPT(_xlpm.c,_xlpm.n),_xlpm.n,0)),IF(_xlpm.cnt&gt;=2,_xlpm.cnt&amp;"連"&amp;_xlpm.c,"1"&amp;_xlpm.c))</f>
        <v>#N/A</v>
      </c>
      <c r="Y18" s="82" t="e">
        <f t="array" ref="Y18">INDEX(各隊正負!$F:$F, MATCH("*"&amp;$W18&amp;"*", 各隊正負!$A:$A, 0)+6)</f>
        <v>#N/A</v>
      </c>
      <c r="Z18" s="100"/>
      <c r="AA18" s="100"/>
      <c r="AB18" s="82" t="e">
        <f t="array" ref="AB18">INDEX(各隊正負!$F:$F, MATCH("*"&amp;$W18&amp;"*", 各隊正負!$A:$A, 0)+4)</f>
        <v>#N/A</v>
      </c>
      <c r="AC18" s="78"/>
      <c r="AD18" s="78"/>
      <c r="AE18" s="1" t="e">
        <f t="array" aca="1" ref="AE18" ca="1">_xlfn.LET(_xlpm.s,SUBSTITUTE(AB18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18" s="19" t="e">
        <f>E11</f>
        <v>#N/A</v>
      </c>
      <c r="AG18" s="1" t="str">
        <f t="array" ref="AG18">IFERROR(INDEX(各隊total!$B:$AB, MATCH($AF18, 各隊total!$A:$A, 0), COLUMN(A17)), "")</f>
        <v/>
      </c>
      <c r="AH18" s="32" t="e">
        <f>CB35</f>
        <v>#VALUE!</v>
      </c>
      <c r="AI18" s="61" t="e">
        <f t="shared" si="0"/>
        <v>#VALUE!</v>
      </c>
      <c r="AJ18" s="6" t="e">
        <f>CC35</f>
        <v>#VALUE!</v>
      </c>
      <c r="AK18" s="60" t="e">
        <f t="shared" si="1"/>
        <v>#VALUE!</v>
      </c>
      <c r="AL18" s="1" t="str">
        <f t="array" ref="AL18">IFERROR(INDEX(各隊total!$C:$AB, MATCH($AF18, 各隊total!$A:$A, 0), COLUMN(A17)), "")</f>
        <v/>
      </c>
      <c r="AM18" s="1" t="str">
        <f t="array" ref="AM18">IFERROR(INDEX(各隊total!$D:$AB, MATCH($AF18, 各隊total!$A:$A, 0), COLUMN(A17)), "")</f>
        <v/>
      </c>
      <c r="AN18" s="1" t="str">
        <f t="array" ref="AN18">IFERROR(INDEX(各隊total!$E:$AB, MATCH($AF18, 各隊total!$A:$A, 0), COLUMN(A17)), "")</f>
        <v/>
      </c>
      <c r="AO18" s="1" t="str">
        <f t="array" ref="AO18">IFERROR(INDEX(各隊total!$F:$AB, MATCH($AF18, 各隊total!$A:$A, 0), COLUMN(A17)), "")</f>
        <v/>
      </c>
      <c r="AP18" s="1" t="str">
        <f t="array" ref="AP18">IFERROR(INDEX(各隊total!$G:$AB, MATCH($AF18, 各隊total!$A:$A, 0), COLUMN(A17)), "")</f>
        <v/>
      </c>
      <c r="AQ18" s="1" t="str">
        <f t="array" ref="AQ18">IFERROR(INDEX(各隊total!$H:$AB, MATCH($AF18, 各隊total!$A:$A, 0), COLUMN(A17)), "")</f>
        <v/>
      </c>
      <c r="AR18" s="1" t="str">
        <f t="array" ref="AR18">IFERROR(INDEX(各隊total!$I:$AB, MATCH($AF18, 各隊total!$A:$A, 0), COLUMN(A17)), "")</f>
        <v/>
      </c>
      <c r="AS18" s="1" t="str">
        <f t="array" ref="AS18">IFERROR(INDEX(各隊total!$J:$AB, MATCH($AF18, 各隊total!$A:$A, 0), COLUMN(A17)), "")</f>
        <v/>
      </c>
      <c r="AT18" s="1" t="str">
        <f t="array" ref="AT18">IFERROR(INDEX(各隊total!$K:$AB, MATCH($AF18, 各隊total!$A:$A, 0), COLUMN(A17)), "")</f>
        <v/>
      </c>
      <c r="AU18" s="1" t="str">
        <f t="array" ref="AU18">IFERROR(INDEX(各隊total!$L:$AB, MATCH($AF18, 各隊total!$A:$A, 0), COLUMN(A17)), "")</f>
        <v/>
      </c>
      <c r="AV18" s="1" t="str">
        <f t="array" ref="AV18">IFERROR(INDEX(各隊total!$M:$AB, MATCH($AF18, 各隊total!$A:$A, 0), COLUMN(A17)), "")</f>
        <v/>
      </c>
      <c r="AW18" s="1" t="str">
        <f t="array" ref="AW18">IFERROR(INDEX(各隊total!$N:$AB, MATCH($AF18, 各隊total!$A:$A, 0), COLUMN(A17)), "")</f>
        <v/>
      </c>
      <c r="AX18" s="1" t="str">
        <f t="array" ref="AX18">IFERROR(INDEX(各隊total!$O:$AB, MATCH($AF18, 各隊total!$A:$A, 0), COLUMN(A17)), "")</f>
        <v/>
      </c>
      <c r="AY18" s="1" t="str">
        <f t="array" ref="AY18">IFERROR(INDEX(各隊total!$P:$AB, MATCH($AF18, 各隊total!$A:$A, 0), COLUMN(A17)), "")</f>
        <v/>
      </c>
      <c r="AZ18" s="1" t="str">
        <f t="array" ref="AZ18">IFERROR(INDEX(各隊total!$Q:$AB, MATCH($AF18, 各隊total!$A:$A, 0), COLUMN(A17)), "")</f>
        <v/>
      </c>
      <c r="BA18" s="1" t="str">
        <f t="array" ref="BA18">IFERROR(INDEX(各隊total!$R:$AB, MATCH($AF18, 各隊total!$A:$A, 0), COLUMN(A17)), "")</f>
        <v/>
      </c>
      <c r="BB18" s="1" t="str">
        <f t="array" ref="BB18">IFERROR(INDEX(各隊total!$S:$AB, MATCH($AF18, 各隊total!$A:$A, 0), COLUMN(A17)), "")</f>
        <v/>
      </c>
      <c r="BC18" s="1" t="str">
        <f t="array" ref="BC18">IFERROR(INDEX(各隊total!$T:$AB, MATCH($AF18, 各隊total!$A:$A, 0), COLUMN(A17)), "")</f>
        <v/>
      </c>
      <c r="BD18" s="1" t="str">
        <f t="array" ref="BD18">IFERROR(INDEX(各隊total!$U:$AB, MATCH($AF18, 各隊total!$A:$A, 0), COLUMN(A17)), "")</f>
        <v/>
      </c>
      <c r="BE18" s="1" t="str">
        <f t="array" ref="BE18">IFERROR(INDEX(各隊total!$V:$AB, MATCH($AF18, 各隊total!$A:$A, 0), COLUMN(A17)), "")</f>
        <v/>
      </c>
      <c r="BF18" s="1" t="str">
        <f t="array" ref="BF18">IFERROR(INDEX(各隊total!$W:$AB, MATCH($AF18, 各隊total!$A:$A, 0), COLUMN(A17)), "")</f>
        <v/>
      </c>
      <c r="BG18" s="1" t="str">
        <f t="array" ref="BG18">IFERROR(INDEX(各隊total!$X:$AB, MATCH($AF18, 各隊total!$A:$A, 0), COLUMN(A17)), "")</f>
        <v/>
      </c>
      <c r="BH18" s="1" t="str">
        <f t="array" ref="BH18">IFERROR(INDEX(各隊total!$Y:$AB, MATCH($AF18, 各隊total!$A:$A, 0), COLUMN(A17)), "")</f>
        <v/>
      </c>
      <c r="BI18" s="1" t="str">
        <f t="array" ref="BI18">IFERROR(INDEX(各隊total!$Z:$AB, MATCH($AF18, 各隊total!$A:$A, 0), COLUMN(A17)), "")</f>
        <v/>
      </c>
      <c r="BJ18" s="1" t="str">
        <f t="array" ref="BJ18">IFERROR(INDEX(各隊total!$AA:$AB, MATCH($AF18, 各隊total!$A:$A, 0), COLUMN(A17)), "")</f>
        <v/>
      </c>
      <c r="BK18" s="1" t="str">
        <f t="array" ref="BK18">IFERROR(INDEX(各隊total!$AB:$AB, MATCH($AF18, 各隊total!$A:$A, 0), COLUMN(A17)), "")</f>
        <v/>
      </c>
      <c r="BL18" s="1" t="str">
        <f t="array" ref="BL18">IFERROR(INDEX(各隊total!$C:$AB, MATCH($AF18, 各隊total!$A:$A, 0), COLUMN(AA17)), "")</f>
        <v/>
      </c>
      <c r="BM18" s="22">
        <v>0.86</v>
      </c>
      <c r="BN18" s="19">
        <v>1</v>
      </c>
      <c r="BO18" s="23">
        <v>3</v>
      </c>
      <c r="BP18" s="22">
        <v>0.28999999999999998</v>
      </c>
      <c r="BQ18" s="19">
        <v>0.34</v>
      </c>
      <c r="BR18" s="23">
        <v>3</v>
      </c>
      <c r="BS18" s="22">
        <v>0.46</v>
      </c>
      <c r="BT18" s="19">
        <v>0.55000000000000004</v>
      </c>
      <c r="BU18" s="23">
        <v>3</v>
      </c>
      <c r="BV18" s="22">
        <v>3.51</v>
      </c>
      <c r="BW18" s="19">
        <v>4</v>
      </c>
      <c r="BX18" s="23" t="s">
        <v>538</v>
      </c>
      <c r="BY18" s="22">
        <v>3.51</v>
      </c>
      <c r="BZ18" s="19">
        <v>4</v>
      </c>
      <c r="CA18" s="23" t="s">
        <v>538</v>
      </c>
      <c r="CB18" s="19" t="str">
        <f>AF10</f>
        <v>天使</v>
      </c>
      <c r="CC18" s="29"/>
      <c r="CD18" s="1" t="str">
        <f>AG10</f>
        <v>29</v>
      </c>
      <c r="CE18" s="1" t="str">
        <f t="shared" ref="CE18:DD18" si="10">AL10</f>
        <v>964</v>
      </c>
      <c r="CF18" s="1" t="str">
        <f t="shared" si="10"/>
        <v>139</v>
      </c>
      <c r="CG18" s="1" t="str">
        <f t="shared" si="10"/>
        <v>224</v>
      </c>
      <c r="CH18" s="1" t="str">
        <f t="shared" si="10"/>
        <v>38</v>
      </c>
      <c r="CI18" s="1" t="str">
        <f t="shared" si="10"/>
        <v>2</v>
      </c>
      <c r="CJ18" s="1" t="str">
        <f t="shared" si="10"/>
        <v>38</v>
      </c>
      <c r="CK18" s="1" t="str">
        <f t="shared" si="10"/>
        <v>133</v>
      </c>
      <c r="CL18" s="1" t="str">
        <f t="shared" si="10"/>
        <v>380</v>
      </c>
      <c r="CM18" s="1" t="str">
        <f t="shared" si="10"/>
        <v>130</v>
      </c>
      <c r="CN18" s="1" t="str">
        <f t="shared" si="10"/>
        <v>286</v>
      </c>
      <c r="CO18" s="1" t="str">
        <f t="shared" si="10"/>
        <v>18</v>
      </c>
      <c r="CP18" s="1" t="str">
        <f t="shared" si="10"/>
        <v>.232</v>
      </c>
      <c r="CQ18" s="1" t="str">
        <f t="shared" si="10"/>
        <v>.334</v>
      </c>
      <c r="CR18" s="1" t="str">
        <f t="shared" si="10"/>
        <v>.394</v>
      </c>
      <c r="CS18" s="1" t="str">
        <f t="shared" si="10"/>
        <v>.728</v>
      </c>
      <c r="CT18" s="1">
        <f t="shared" si="10"/>
        <v>0</v>
      </c>
      <c r="CU18" s="1" t="str">
        <f t="shared" si="10"/>
        <v>131.6</v>
      </c>
      <c r="CV18" s="1" t="str">
        <f t="shared" si="10"/>
        <v>4.5</v>
      </c>
      <c r="CW18" s="1" t="str">
        <f t="shared" si="10"/>
        <v>.115</v>
      </c>
      <c r="CX18" s="1" t="str">
        <f t="shared" si="10"/>
        <v>0.45</v>
      </c>
      <c r="CY18" s="1" t="str">
        <f t="shared" si="10"/>
        <v>.162</v>
      </c>
      <c r="CZ18" s="1" t="str">
        <f t="shared" si="10"/>
        <v>.310</v>
      </c>
      <c r="DA18" s="1" t="str">
        <f t="shared" si="10"/>
        <v>4.03</v>
      </c>
      <c r="DB18" s="1" t="str">
        <f t="shared" si="10"/>
        <v>78</v>
      </c>
      <c r="DC18" s="1" t="str">
        <f t="shared" si="10"/>
        <v>1129</v>
      </c>
      <c r="DD18" s="1" t="str">
        <f t="shared" si="10"/>
        <v>25.4</v>
      </c>
      <c r="DF18" s="35" t="str">
        <f>先發名單!O$2</f>
        <v>Taylor Walls</v>
      </c>
      <c r="DG18" s="4" t="str">
        <f t="array" ref="DG18">IFERROR(INDEX(球員狀態!$C$2:$C$5000, MATCH(1, (球員狀態!$A$2:$A$5000=$DF$1)*(ISNUMBER(SEARCH($DF18, 球員狀態!$B$2:$B$5000))), 0)), "")</f>
        <v>SS</v>
      </c>
      <c r="DJ18" s="4" t="str">
        <f t="array" ref="DJ18">IFERROR(INDEX(球員狀態!$F$2:$F$5000, MATCH(1, (球員狀態!$A$2:$A$5000=$DF$1)*(ISNUMBER(SEARCH($DF18, 球員狀態!$B$2:$B$5000))), 0)), "")</f>
        <v>8</v>
      </c>
      <c r="DK18" s="4" t="str">
        <f t="array" ref="DK18">IFERROR(INDEX(球員狀態!$G$2:$G$5000, MATCH(1, (球員狀態!$A$2:$A$5000=$DF$1)*(ISNUMBER(SEARCH($DF18, 球員狀態!$B$2:$B$5000))), 0)), "")</f>
        <v>11</v>
      </c>
      <c r="DL18" s="4" t="str">
        <f t="array" ref="DL18">IFERROR(INDEX(球員狀態!H$2:H$5000, MATCH(1, (球員狀態!$A$2:$A$5000=$DF$1)*(ISNUMBER(SEARCH($DF18, 球員狀態!$B$2:$B$5000))), 0)), "")</f>
        <v>2</v>
      </c>
      <c r="DM18" s="4" t="str">
        <f t="array" ref="DM18">IFERROR(INDEX(球員狀態!I$2:I$5000, MATCH(1, (球員狀態!$A$2:$A$5000=$DF$1)*(ISNUMBER(SEARCH($DF18, 球員狀態!$B$2:$B$5000))), 0)), "")</f>
        <v>0</v>
      </c>
      <c r="DN18" s="4" t="str">
        <f t="array" ref="DN18">IFERROR(INDEX(球員狀態!J$2:J$5000, MATCH(1, (球員狀態!$A$2:$A$5000=$DF$1)*(ISNUMBER(SEARCH($DF18, 球員狀態!$B$2:$B$5000))), 0)), "")</f>
        <v>0</v>
      </c>
      <c r="DO18" s="4" t="str">
        <f t="array" ref="DO18">IFERROR(INDEX(球員狀態!K$2:K$5000, MATCH(1, (球員狀態!$A$2:$A$5000=$DF$1)*(ISNUMBER(SEARCH($DF18, 球員狀態!$B$2:$B$5000))), 0)), "")</f>
        <v>4</v>
      </c>
      <c r="DP18" s="4" t="str">
        <f t="array" ref="DP18">IFERROR(INDEX(球員狀態!L$2:L$5000, MATCH(1, (球員狀態!$A$2:$A$5000=$DF$1)*(ISNUMBER(SEARCH($DF18, 球員狀態!$B$2:$B$5000))), 0)), "")</f>
        <v>13</v>
      </c>
      <c r="DQ18" s="4" t="str">
        <f t="array" ref="DQ18">IFERROR(INDEX(球員狀態!M$2:M$5000, MATCH(1, (球員狀態!$A$2:$A$5000=$DF$1)*(ISNUMBER(SEARCH($DF18, 球員狀態!$B$2:$B$5000))), 0)), "")</f>
        <v>4</v>
      </c>
      <c r="DR18" s="4" t="str">
        <f t="array" ref="DR18">IFERROR(INDEX(球員狀態!N$2:N$5000, MATCH(1, (球員狀態!$A$2:$A$5000=$DF$1)*(ISNUMBER(SEARCH($DF18, 球員狀態!$B$2:$B$5000))), 0)), "")</f>
        <v>16</v>
      </c>
      <c r="DS18" s="4" t="str">
        <f t="array" ref="DS18">IFERROR(INDEX(球員狀態!O$2:O$5000, MATCH(1, (球員狀態!$A$2:$A$5000=$DF$1)*(ISNUMBER(SEARCH($DF18, 球員狀態!$B$2:$B$5000))), 0)), "")</f>
        <v>3</v>
      </c>
      <c r="DT18" s="4" t="str">
        <f t="array" ref="DT18">IFERROR(INDEX(球員狀態!P$2:P$5000, MATCH(1, (球員狀態!$A$2:$A$5000=$DF$1)*(ISNUMBER(SEARCH($DF18, 球員狀態!$B$2:$B$5000))), 0)), "")</f>
        <v>.212</v>
      </c>
      <c r="DU18" s="4" t="str">
        <f t="array" ref="DU18">IFERROR(INDEX(球員狀態!Q$2:Q$5000, MATCH(1, (球員狀態!$A$2:$A$5000=$DF$1)*(ISNUMBER(SEARCH($DF18, 球員狀態!$B$2:$B$5000))), 0)), "")</f>
        <v>.281</v>
      </c>
      <c r="DV18" s="4" t="str">
        <f t="array" ref="DV18">IFERROR(INDEX(球員狀態!R$2:R$5000, MATCH(1, (球員狀態!$A$2:$A$5000=$DF$1)*(ISNUMBER(SEARCH($DF18, 球員狀態!$B$2:$B$5000))), 0)), "")</f>
        <v>.250</v>
      </c>
      <c r="DW18" s="4" t="str">
        <f t="array" ref="DW18">IFERROR(INDEX(球員狀態!S$2:S$5000, MATCH(1, (球員狀態!$A$2:$A$5000=$DF$1)*(ISNUMBER(SEARCH($DF18, 球員狀態!$B$2:$B$5000))), 0)), "")</f>
        <v>.531</v>
      </c>
      <c r="DX18" s="4" t="str">
        <f t="array" ref="DX18">IFERROR(INDEX(球員狀態!T$2:T$5000, MATCH(1, (球員狀態!$A$2:$A$5000=$DF$1)*(ISNUMBER(SEARCH($DF18, 球員狀態!$B$2:$B$5000))), 0)), "")</f>
        <v>0.1</v>
      </c>
      <c r="DY18" s="4" t="str">
        <f t="array" ref="DY18">IFERROR(INDEX(球員狀態!U$2:U$5000, MATCH(1, (球員狀態!$A$2:$A$5000=$DF$1)*(ISNUMBER(SEARCH($DF18, 球員狀態!$B$2:$B$5000))), 0)), "")</f>
        <v>3.8</v>
      </c>
      <c r="DZ18" s="4" t="str">
        <f t="array" ref="DZ18">IFERROR(INDEX(球員狀態!V$2:V$5000, MATCH(1, (球員狀態!$A$2:$A$5000=$DF$1)*(ISNUMBER(SEARCH($DF18, 球員狀態!$B$2:$B$5000))), 0)), "")</f>
        <v>2.2</v>
      </c>
      <c r="EA18" s="4" t="str">
        <f t="array" ref="EA18">IFERROR(INDEX(球員狀態!W$2:W$5000, MATCH(1, (球員狀態!$A$2:$A$5000=$DF$1)*(ISNUMBER(SEARCH($DF18, 球員狀態!$B$2:$B$5000))), 0)), "")</f>
        <v>.066</v>
      </c>
      <c r="EB18" s="4" t="str">
        <f t="array" ref="EB18">IFERROR(INDEX(球員狀態!X$2:X$5000, MATCH(1, (球員狀態!$A$2:$A$5000=$DF$1)*(ISNUMBER(SEARCH($DF18, 球員狀態!$B$2:$B$5000))), 0)), "")</f>
        <v>0.25</v>
      </c>
      <c r="EC18" s="4" t="str">
        <f t="array" ref="EC18">IFERROR(INDEX(球員狀態!Y$2:Y$5000, MATCH(1, (球員狀態!$A$2:$A$5000=$DF$1)*(ISNUMBER(SEARCH($DF18, 球員狀態!$B$2:$B$5000))), 0)), "")</f>
        <v>.038</v>
      </c>
      <c r="ED18" s="4" t="str">
        <f t="array" ref="ED18">IFERROR(INDEX(球員狀態!Z$2:Z$5000, MATCH(1, (球員狀態!$A$2:$A$5000=$DF$1)*(ISNUMBER(SEARCH($DF18, 球員狀態!$B$2:$B$5000))), 0)), "")</f>
        <v>.154</v>
      </c>
      <c r="EE18" s="4" t="str">
        <f t="array" ref="EE18">IFERROR(INDEX(球員狀態!AA$2:AA$5000, MATCH(1, (球員狀態!$A$2:$A$5000=$DF$1)*(ISNUMBER(SEARCH($DF18, 球員狀態!$B$2:$B$5000))), 0)), "")</f>
        <v>3.87</v>
      </c>
      <c r="EF18" s="4" t="str">
        <f t="array" ref="EF18">IFERROR(INDEX(球員狀態!AB$2:AB$5000, MATCH(1, (球員狀態!$A$2:$A$5000=$DF$1)*(ISNUMBER(SEARCH($DF18, 球員狀態!$B$2:$B$5000))), 0)), "")</f>
        <v>2</v>
      </c>
      <c r="EG18" s="56"/>
      <c r="EI18" s="37" t="str">
        <f>先發名單!W$2</f>
        <v>A. Hedges</v>
      </c>
      <c r="EJ18" s="4" t="str">
        <f t="array" ref="EJ18">IFERROR(INDEX(球員狀態!$C$2:$C$5000, MATCH(1, (球員狀態!$A$2:$A$5000=$EI$1)*(ISNUMBER(SEARCH($EI18, 球員狀態!$B$2:$B$5000))), 0)), "")</f>
        <v/>
      </c>
      <c r="EM18" s="4" t="str">
        <f t="array" ref="EM18">IFERROR(INDEX(球員狀態!F$2:F$5000, MATCH(1, (球員狀態!$A$2:$A$5000=$EI$1)*(ISNUMBER(SEARCH($EI18, 球員狀態!$B$2:$B$5000))), 0)), "")</f>
        <v/>
      </c>
      <c r="EN18" s="4" t="str">
        <f t="array" ref="EN18">IFERROR(INDEX(球員狀態!G$2:G$5000, MATCH(1, (球員狀態!$A$2:$A$5000=$EI$1)*(ISNUMBER(SEARCH($EI18, 球員狀態!$B$2:$B$5000))), 0)), "")</f>
        <v/>
      </c>
      <c r="EO18" s="4" t="str">
        <f t="array" ref="EO18">IFERROR(INDEX(球員狀態!H$2:H$5000, MATCH(1, (球員狀態!$A$2:$A$5000=$EI$1)*(ISNUMBER(SEARCH($EI18, 球員狀態!$B$2:$B$5000))), 0)), "")</f>
        <v/>
      </c>
      <c r="EP18" s="4" t="str">
        <f t="array" ref="EP18">IFERROR(INDEX(球員狀態!I$2:I$5000, MATCH(1, (球員狀態!$A$2:$A$5000=$EI$1)*(ISNUMBER(SEARCH($EI18, 球員狀態!$B$2:$B$5000))), 0)), "")</f>
        <v/>
      </c>
      <c r="EQ18" s="4" t="str">
        <f t="array" ref="EQ18">IFERROR(INDEX(球員狀態!J$2:J$5000, MATCH(1, (球員狀態!$A$2:$A$5000=$EI$1)*(ISNUMBER(SEARCH($EI18, 球員狀態!$B$2:$B$5000))), 0)), "")</f>
        <v/>
      </c>
      <c r="ER18" s="4" t="str">
        <f t="array" ref="ER18">IFERROR(INDEX(球員狀態!K$2:K$5000, MATCH(1, (球員狀態!$A$2:$A$5000=$EI$1)*(ISNUMBER(SEARCH($EI18, 球員狀態!$B$2:$B$5000))), 0)), "")</f>
        <v/>
      </c>
      <c r="ES18" s="4" t="str">
        <f t="array" ref="ES18">IFERROR(INDEX(球員狀態!L$2:L$5000, MATCH(1, (球員狀態!$A$2:$A$5000=$EI$1)*(ISNUMBER(SEARCH($EI18, 球員狀態!$B$2:$B$5000))), 0)), "")</f>
        <v/>
      </c>
      <c r="ET18" s="4" t="str">
        <f t="array" ref="ET18">IFERROR(INDEX(球員狀態!M$2:M$5000, MATCH(1, (球員狀態!$A$2:$A$5000=$EI$1)*(ISNUMBER(SEARCH($EI18, 球員狀態!$B$2:$B$5000))), 0)), "")</f>
        <v/>
      </c>
      <c r="EU18" s="4" t="str">
        <f t="array" ref="EU18">IFERROR(INDEX(球員狀態!N$2:N$5000, MATCH(1, (球員狀態!$A$2:$A$5000=$EI$1)*(ISNUMBER(SEARCH($EI18, 球員狀態!$B$2:$B$5000))), 0)), "")</f>
        <v/>
      </c>
      <c r="EV18" s="4" t="str">
        <f t="array" ref="EV18">IFERROR(INDEX(球員狀態!O$2:O$5000, MATCH(1, (球員狀態!$A$2:$A$5000=$EI$1)*(ISNUMBER(SEARCH($EI18, 球員狀態!$B$2:$B$5000))), 0)), "")</f>
        <v/>
      </c>
      <c r="EW18" s="4" t="str">
        <f t="array" ref="EW18">IFERROR(INDEX(球員狀態!P$2:P$5000, MATCH(1, (球員狀態!$A$2:$A$5000=$EI$1)*(ISNUMBER(SEARCH($EI18, 球員狀態!$B$2:$B$5000))), 0)), "")</f>
        <v/>
      </c>
      <c r="EX18" s="4" t="str">
        <f t="array" ref="EX18">IFERROR(INDEX(球員狀態!Q$2:Q$5000, MATCH(1, (球員狀態!$A$2:$A$5000=$EI$1)*(ISNUMBER(SEARCH($EI18, 球員狀態!$B$2:$B$5000))), 0)), "")</f>
        <v/>
      </c>
      <c r="EY18" s="4" t="str">
        <f t="array" ref="EY18">IFERROR(INDEX(球員狀態!R$2:R$5000, MATCH(1, (球員狀態!$A$2:$A$5000=$EI$1)*(ISNUMBER(SEARCH($EI18, 球員狀態!$B$2:$B$5000))), 0)), "")</f>
        <v/>
      </c>
      <c r="EZ18" s="4" t="str">
        <f t="array" ref="EZ18">IFERROR(INDEX(球員狀態!S$2:S$5000, MATCH(1, (球員狀態!$A$2:$A$5000=$EI$1)*(ISNUMBER(SEARCH($EI18, 球員狀態!$B$2:$B$5000))), 0)), "")</f>
        <v/>
      </c>
      <c r="FA18" s="4" t="str">
        <f t="array" ref="FA18">IFERROR(INDEX(球員狀態!T$2:T$5000, MATCH(1, (球員狀態!$A$2:$A$5000=$EI$1)*(ISNUMBER(SEARCH($EI18, 球員狀態!$B$2:$B$5000))), 0)), "")</f>
        <v/>
      </c>
      <c r="FB18" s="4" t="str">
        <f t="array" ref="FB18">IFERROR(INDEX(球員狀態!U$2:U$5000, MATCH(1, (球員狀態!$A$2:$A$5000=$EI$1)*(ISNUMBER(SEARCH($EI18, 球員狀態!$B$2:$B$5000))), 0)), "")</f>
        <v/>
      </c>
      <c r="FC18" s="4" t="str">
        <f t="array" ref="FC18">IFERROR(INDEX(球員狀態!V$2:V$5000, MATCH(1, (球員狀態!$A$2:$A$5000=$EI$1)*(ISNUMBER(SEARCH($EI18, 球員狀態!$B$2:$B$5000))), 0)), "")</f>
        <v/>
      </c>
      <c r="FD18" s="4" t="str">
        <f t="array" ref="FD18">IFERROR(INDEX(球員狀態!W$2:W$5000, MATCH(1, (球員狀態!$A$2:$A$5000=$EI$1)*(ISNUMBER(SEARCH($EI18, 球員狀態!$B$2:$B$5000))), 0)), "")</f>
        <v/>
      </c>
      <c r="FE18" s="4" t="str">
        <f t="array" ref="FE18">IFERROR(INDEX(球員狀態!X$2:X$5000, MATCH(1, (球員狀態!$A$2:$A$5000=$EI$1)*(ISNUMBER(SEARCH($EI18, 球員狀態!$B$2:$B$5000))), 0)), "")</f>
        <v/>
      </c>
      <c r="FF18" s="4" t="str">
        <f t="array" ref="FF18">IFERROR(INDEX(球員狀態!Y$2:Y$5000, MATCH(1, (球員狀態!$A$2:$A$5000=$EI$1)*(ISNUMBER(SEARCH($EI18, 球員狀態!$B$2:$B$5000))), 0)), "")</f>
        <v/>
      </c>
      <c r="FG18" s="4" t="str">
        <f t="array" ref="FG18">IFERROR(INDEX(球員狀態!Z$2:Z$5000, MATCH(1, (球員狀態!$A$2:$A$5000=$EI$1)*(ISNUMBER(SEARCH($EI18, 球員狀態!$B$2:$B$5000))), 0)), "")</f>
        <v/>
      </c>
      <c r="FH18" s="4" t="str">
        <f t="array" ref="FH18">IFERROR(INDEX(球員狀態!AA$2:AA$5000, MATCH(1, (球員狀態!$A$2:$A$5000=$EI$1)*(ISNUMBER(SEARCH($EI18, 球員狀態!$B$2:$B$5000))), 0)), "")</f>
        <v/>
      </c>
      <c r="FI18" s="4" t="str">
        <f t="array" ref="FI18">IFERROR(INDEX(球員狀態!AB$2:AB$5000, MATCH(1, (球員狀態!$A$2:$A$5000=$EI$1)*(ISNUMBER(SEARCH($EI18, 球員狀態!$B$2:$B$5000))), 0)), "")</f>
        <v/>
      </c>
      <c r="FK18" s="22">
        <v>1.21</v>
      </c>
      <c r="FL18" s="19">
        <v>1.5</v>
      </c>
      <c r="FM18" s="23">
        <v>3</v>
      </c>
      <c r="FN18" s="22">
        <v>1.71</v>
      </c>
      <c r="FO18" s="19">
        <v>2</v>
      </c>
      <c r="FP18" s="23">
        <v>3</v>
      </c>
      <c r="FQ18" s="22">
        <v>1.41</v>
      </c>
      <c r="FR18" s="19">
        <v>1.7</v>
      </c>
      <c r="FS18" s="23">
        <v>3</v>
      </c>
      <c r="FY18" s="20"/>
    </row>
    <row r="19" spans="1:181">
      <c r="T19" s="1" t="str">
        <f t="array" ref="T19">IFERROR(SUBSTITUTE(INDEX(正負盤!$6:$20, ROW(A16), MATCH(1, (MONTH(正負盤!$4:$4)=MONTH(DATE(LEFT($A$1,4),MID($A$1,5,2),RIGHT($A$1,2))-2))*(DAY(正負盤!$4:$4)=DAY(DATE(LEFT($A$1,4),MID($A$1,5,2),RIGHT($A$1,2))-2)), 0)), 0, "-"), "")</f>
        <v/>
      </c>
      <c r="V19" s="78"/>
      <c r="W19" t="e">
        <f>I11</f>
        <v>#N/A</v>
      </c>
      <c r="X19" s="17" t="e">
        <f t="array" aca="1" ref="X19" ca="1">_xlfn.LET(_xlpm.s,SUBSTITUTE(Y19,".",""),_xlpm.c,RIGHT(_xlpm.s,1),_xlpm.n,ROW(INDIRECT("1:"&amp;LEN(_xlpm.s))),_xlpm.cnt,MAX(IF(RIGHT(_xlpm.s,_xlpm.n)=REPT(_xlpm.c,_xlpm.n),_xlpm.n,0)),IF(_xlpm.cnt&gt;=2,_xlpm.cnt&amp;"連"&amp;_xlpm.c,"1"&amp;_xlpm.c))</f>
        <v>#N/A</v>
      </c>
      <c r="Y19" s="82" t="e">
        <f t="array" ref="Y19">INDEX(各隊正負!$F:$F, MATCH("*"&amp;$W19&amp;"*", 各隊正負!$A:$A, 0)+6)</f>
        <v>#N/A</v>
      </c>
      <c r="Z19" s="100"/>
      <c r="AA19" s="100"/>
      <c r="AB19" s="82" t="e">
        <f t="array" ref="AB19">INDEX(各隊正負!$F:$F, MATCH("*"&amp;$W19&amp;"*", 各隊正負!$A:$A, 0)+4)</f>
        <v>#N/A</v>
      </c>
      <c r="AC19" s="78"/>
      <c r="AD19" s="78"/>
      <c r="AE19" s="1" t="e">
        <f t="array" aca="1" ref="AE19" ca="1">_xlfn.LET(_xlpm.s,SUBSTITUTE(AB19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19" s="19" t="e">
        <f>I11</f>
        <v>#N/A</v>
      </c>
      <c r="AG19" s="1" t="str">
        <f t="array" ref="AG19">IFERROR(INDEX(各隊total!$B:$AB, MATCH($AF19, 各隊total!$A:$A, 0), COLUMN(A18)), "")</f>
        <v/>
      </c>
      <c r="AH19" s="32" t="e">
        <f>CB37</f>
        <v>#VALUE!</v>
      </c>
      <c r="AI19" s="61" t="e">
        <f t="shared" si="0"/>
        <v>#VALUE!</v>
      </c>
      <c r="AJ19" s="6" t="e">
        <f>CC37</f>
        <v>#VALUE!</v>
      </c>
      <c r="AK19" s="60" t="e">
        <f t="shared" si="1"/>
        <v>#VALUE!</v>
      </c>
      <c r="AL19" s="1" t="str">
        <f t="array" ref="AL19">IFERROR(INDEX(各隊total!$C:$AB, MATCH($AF19, 各隊total!$A:$A, 0), COLUMN(A18)), "")</f>
        <v/>
      </c>
      <c r="AM19" s="1" t="str">
        <f t="array" ref="AM19">IFERROR(INDEX(各隊total!$D:$AB, MATCH($AF19, 各隊total!$A:$A, 0), COLUMN(A18)), "")</f>
        <v/>
      </c>
      <c r="AN19" s="1" t="str">
        <f t="array" ref="AN19">IFERROR(INDEX(各隊total!$E:$AB, MATCH($AF19, 各隊total!$A:$A, 0), COLUMN(A18)), "")</f>
        <v/>
      </c>
      <c r="AO19" s="1" t="str">
        <f t="array" ref="AO19">IFERROR(INDEX(各隊total!$F:$AB, MATCH($AF19, 各隊total!$A:$A, 0), COLUMN(A18)), "")</f>
        <v/>
      </c>
      <c r="AP19" s="1" t="str">
        <f t="array" ref="AP19">IFERROR(INDEX(各隊total!$G:$AB, MATCH($AF19, 各隊total!$A:$A, 0), COLUMN(A18)), "")</f>
        <v/>
      </c>
      <c r="AQ19" s="1" t="str">
        <f t="array" ref="AQ19">IFERROR(INDEX(各隊total!$H:$AB, MATCH($AF19, 各隊total!$A:$A, 0), COLUMN(A18)), "")</f>
        <v/>
      </c>
      <c r="AR19" s="1" t="str">
        <f t="array" ref="AR19">IFERROR(INDEX(各隊total!$I:$AB, MATCH($AF19, 各隊total!$A:$A, 0), COLUMN(A18)), "")</f>
        <v/>
      </c>
      <c r="AS19" s="1" t="str">
        <f t="array" ref="AS19">IFERROR(INDEX(各隊total!$J:$AB, MATCH($AF19, 各隊total!$A:$A, 0), COLUMN(A18)), "")</f>
        <v/>
      </c>
      <c r="AT19" s="1" t="str">
        <f t="array" ref="AT19">IFERROR(INDEX(各隊total!$K:$AB, MATCH($AF19, 各隊total!$A:$A, 0), COLUMN(A18)), "")</f>
        <v/>
      </c>
      <c r="AU19" s="1" t="str">
        <f t="array" ref="AU19">IFERROR(INDEX(各隊total!$L:$AB, MATCH($AF19, 各隊total!$A:$A, 0), COLUMN(A18)), "")</f>
        <v/>
      </c>
      <c r="AV19" s="1" t="str">
        <f t="array" ref="AV19">IFERROR(INDEX(各隊total!$M:$AB, MATCH($AF19, 各隊total!$A:$A, 0), COLUMN(A18)), "")</f>
        <v/>
      </c>
      <c r="AW19" s="1" t="str">
        <f t="array" ref="AW19">IFERROR(INDEX(各隊total!$N:$AB, MATCH($AF19, 各隊total!$A:$A, 0), COLUMN(A18)), "")</f>
        <v/>
      </c>
      <c r="AX19" s="1" t="str">
        <f t="array" ref="AX19">IFERROR(INDEX(各隊total!$O:$AB, MATCH($AF19, 各隊total!$A:$A, 0), COLUMN(A18)), "")</f>
        <v/>
      </c>
      <c r="AY19" s="1" t="str">
        <f t="array" ref="AY19">IFERROR(INDEX(各隊total!$P:$AB, MATCH($AF19, 各隊total!$A:$A, 0), COLUMN(A18)), "")</f>
        <v/>
      </c>
      <c r="AZ19" s="1" t="str">
        <f t="array" ref="AZ19">IFERROR(INDEX(各隊total!$Q:$AB, MATCH($AF19, 各隊total!$A:$A, 0), COLUMN(A18)), "")</f>
        <v/>
      </c>
      <c r="BA19" s="1" t="str">
        <f t="array" ref="BA19">IFERROR(INDEX(各隊total!$R:$AB, MATCH($AF19, 各隊total!$A:$A, 0), COLUMN(A18)), "")</f>
        <v/>
      </c>
      <c r="BB19" s="1" t="str">
        <f t="array" ref="BB19">IFERROR(INDEX(各隊total!$S:$AB, MATCH($AF19, 各隊total!$A:$A, 0), COLUMN(A18)), "")</f>
        <v/>
      </c>
      <c r="BC19" s="1" t="str">
        <f t="array" ref="BC19">IFERROR(INDEX(各隊total!$T:$AB, MATCH($AF19, 各隊total!$A:$A, 0), COLUMN(A18)), "")</f>
        <v/>
      </c>
      <c r="BD19" s="1" t="str">
        <f t="array" ref="BD19">IFERROR(INDEX(各隊total!$U:$AB, MATCH($AF19, 各隊total!$A:$A, 0), COLUMN(A18)), "")</f>
        <v/>
      </c>
      <c r="BE19" s="1" t="str">
        <f t="array" ref="BE19">IFERROR(INDEX(各隊total!$V:$AB, MATCH($AF19, 各隊total!$A:$A, 0), COLUMN(A18)), "")</f>
        <v/>
      </c>
      <c r="BF19" s="1" t="str">
        <f t="array" ref="BF19">IFERROR(INDEX(各隊total!$W:$AB, MATCH($AF19, 各隊total!$A:$A, 0), COLUMN(A18)), "")</f>
        <v/>
      </c>
      <c r="BG19" s="1" t="str">
        <f t="array" ref="BG19">IFERROR(INDEX(各隊total!$X:$AB, MATCH($AF19, 各隊total!$A:$A, 0), COLUMN(A18)), "")</f>
        <v/>
      </c>
      <c r="BH19" s="1" t="str">
        <f t="array" ref="BH19">IFERROR(INDEX(各隊total!$Y:$AB, MATCH($AF19, 各隊total!$A:$A, 0), COLUMN(A18)), "")</f>
        <v/>
      </c>
      <c r="BI19" s="1" t="str">
        <f t="array" ref="BI19">IFERROR(INDEX(各隊total!$Z:$AB, MATCH($AF19, 各隊total!$A:$A, 0), COLUMN(A18)), "")</f>
        <v/>
      </c>
      <c r="BJ19" s="1" t="str">
        <f t="array" ref="BJ19">IFERROR(INDEX(各隊total!$AA:$AB, MATCH($AF19, 各隊total!$A:$A, 0), COLUMN(A18)), "")</f>
        <v/>
      </c>
      <c r="BK19" s="1" t="str">
        <f t="array" ref="BK19">IFERROR(INDEX(各隊total!$AB:$AB, MATCH($AF19, 各隊total!$A:$A, 0), COLUMN(A18)), "")</f>
        <v/>
      </c>
      <c r="BL19" s="1" t="str">
        <f t="array" ref="BL19">IFERROR(INDEX(各隊total!$C:$AB, MATCH($AF19, 各隊total!$A:$A, 0), COLUMN(AA18)), "")</f>
        <v/>
      </c>
      <c r="BM19" s="22">
        <v>1.01</v>
      </c>
      <c r="BN19" s="19">
        <v>1.1499999999999999</v>
      </c>
      <c r="BO19" s="23">
        <v>4</v>
      </c>
      <c r="BP19" s="22">
        <v>0.35</v>
      </c>
      <c r="BQ19" s="19">
        <v>0.4</v>
      </c>
      <c r="BR19" s="23">
        <v>4</v>
      </c>
      <c r="BS19" s="22">
        <v>0.56000000000000005</v>
      </c>
      <c r="BT19" s="19">
        <v>0.65</v>
      </c>
      <c r="BU19" s="23">
        <v>4</v>
      </c>
      <c r="BV19" s="22">
        <v>4.01</v>
      </c>
      <c r="BW19" s="19">
        <v>4.5</v>
      </c>
      <c r="BX19" s="23" t="s">
        <v>539</v>
      </c>
      <c r="BY19" s="22">
        <v>4.01</v>
      </c>
      <c r="BZ19" s="19">
        <v>4.5</v>
      </c>
      <c r="CA19" s="23" t="s">
        <v>539</v>
      </c>
      <c r="CB19" s="28">
        <f>CF19+CJ19+CK19+CM19+CO19+CP19+CQ19+CR19</f>
        <v>4.75</v>
      </c>
      <c r="CC19" s="31">
        <f>CU19+CV19+CY19+CZ19+DA19</f>
        <v>5.95</v>
      </c>
      <c r="CD19" s="58"/>
      <c r="CE19" s="1"/>
      <c r="CF19" s="27">
        <f>VLOOKUP(ROUND(CF18/CD18, 2), $BV$2:$BX$12, 3, TRUE)*BX$1</f>
        <v>0.75</v>
      </c>
      <c r="CG19" s="58"/>
      <c r="CH19" s="58"/>
      <c r="CI19" s="58"/>
      <c r="CJ19" s="27">
        <f>VLOOKUP(ROUND(CJ18/CD18, 2), $BM$15:$BO$25, 3, TRUE)*BO$14</f>
        <v>0.60000000000000009</v>
      </c>
      <c r="CK19" s="27">
        <f>VLOOKUP(ROUND(CK18/CD18, 2), $BY$2:$CA$12, 3, TRUE)*CA$1</f>
        <v>0.5</v>
      </c>
      <c r="CL19" s="58"/>
      <c r="CM19" s="101">
        <f>VLOOKUP(ROUND(CM18/CN18, 2), $BP$15:$BR$25, 3, TRUE)*BR$14</f>
        <v>0.5</v>
      </c>
      <c r="CN19" s="78"/>
      <c r="CO19" s="27">
        <f>VLOOKUP(ROUND(CO18/CD18, 2), $BS$15:$BU$25, 3, TRUE)*BU$14</f>
        <v>0.2</v>
      </c>
      <c r="CP19" s="27">
        <f>VLOOKUP(CP18*1, BM$2:BO$12, 3, TRUE)*BO$1</f>
        <v>0.4</v>
      </c>
      <c r="CQ19" s="27">
        <f>VLOOKUP(CQ18*1, BP$2:BR$12, 3, TRUE)*BR$1</f>
        <v>1.2000000000000002</v>
      </c>
      <c r="CR19" s="27">
        <f>VLOOKUP(CR18*1, BS$2:BU$12, 3, TRUE)*BU$1</f>
        <v>0.60000000000000009</v>
      </c>
      <c r="CS19" s="1"/>
      <c r="CT19" s="1"/>
      <c r="CU19" s="60">
        <f>VLOOKUP(CU18*1, BM$28:BO$38, 3, TRUE)*BO$27</f>
        <v>0.9</v>
      </c>
      <c r="CV19" s="60">
        <f>VLOOKUP(CV18*1, BP$28:BR$38, 3, TRUE)*BR$27</f>
        <v>1.75</v>
      </c>
      <c r="CW19" s="1"/>
      <c r="CX19" s="1"/>
      <c r="CY19" s="60">
        <f>VLOOKUP(CY18*1, BS$28:BU$38, 3, TRUE)*BU$27</f>
        <v>1</v>
      </c>
      <c r="CZ19" s="60">
        <f>VLOOKUP(CZ18*1, BV$28:BX$38, 3, TRUE)*BX$27</f>
        <v>0.89999999999999991</v>
      </c>
      <c r="DA19" s="60">
        <f>VLOOKUP(DA18*1, BY$28:CA$38, 3, TRUE)*CA$27</f>
        <v>1.4000000000000001</v>
      </c>
      <c r="DH19" s="40">
        <f>DJ19+DL19+DM19+DN19+DO19-DP19-DQ19+DR19</f>
        <v>0.74999999999999989</v>
      </c>
      <c r="DI19" s="42">
        <f>DU19+DX19+EA19+ED19+EE19+EF19</f>
        <v>5</v>
      </c>
      <c r="DJ19" s="38">
        <f>VLOOKUP(DJ18*1, FK$2:FM$12, 3, TRUE)*FM$1</f>
        <v>0.5</v>
      </c>
      <c r="DL19" s="38">
        <f>VLOOKUP(DL18*1, FN$2:FP$12, 3, TRUE)*FP$1</f>
        <v>0.15</v>
      </c>
      <c r="DM19" s="38">
        <f>VLOOKUP(DM18*1, FQ$2:FS$12, 3, TRUE)*FS$1</f>
        <v>0</v>
      </c>
      <c r="DN19" s="38">
        <f>VLOOKUP(DN18*1, FT$2:FV$12, 3, TRUE)*FV$1</f>
        <v>0</v>
      </c>
      <c r="DO19" s="38">
        <f>VLOOKUP(DO18*1, FW$2:FY$12, 3, TRUE)*FY$1</f>
        <v>0.5</v>
      </c>
      <c r="DP19" s="39">
        <f>VLOOKUP(DP18*1, FK$14:FM$25, 3, TRUE)*FM$14</f>
        <v>1</v>
      </c>
      <c r="DQ19" s="39">
        <f>VLOOKUP(DQ18*1, FN$14:FP$25, 3, TRUE)*FP$14</f>
        <v>0.9</v>
      </c>
      <c r="DR19" s="38">
        <f>VLOOKUP(DR18*1, FQ$14:FS$25, 3, TRUE)*FS$14</f>
        <v>1.5</v>
      </c>
      <c r="DU19" s="41">
        <f>VLOOKUP(DU18*1, FK$27:FM$38, 3, TRUE)*FM$27</f>
        <v>0</v>
      </c>
      <c r="DX19" s="41">
        <f>VLOOKUP(DX18*1, FN$27:FP$38, 3, TRUE)*FP$27</f>
        <v>0</v>
      </c>
      <c r="EA19" s="41">
        <f>VLOOKUP(EA18*1, FQ$27:FS$38, 3, TRUE)*FS$27</f>
        <v>0</v>
      </c>
      <c r="ED19" s="41">
        <f>VLOOKUP(ED18*1, FT$27:FV$38, 3, TRUE)*FV$27</f>
        <v>0</v>
      </c>
      <c r="EE19" s="41">
        <f>VLOOKUP(EE18*1, FW$27:FY$38, 3, TRUE)*FY$27</f>
        <v>1.5</v>
      </c>
      <c r="EF19" s="41">
        <f>VLOOKUP(EF18*1, FK$40:FM$51, 3, TRUE)*FM$40</f>
        <v>3.5</v>
      </c>
      <c r="EG19" s="57"/>
      <c r="EK19" s="40" t="e">
        <f>EM19+EO19+EP19+EQ19+ER19-ES19-ET19+EU19</f>
        <v>#VALUE!</v>
      </c>
      <c r="EL19" s="42" t="e">
        <f>EX19+FA19+FD19+FG19+FH19+FI19</f>
        <v>#VALUE!</v>
      </c>
      <c r="EM19" s="38" t="e">
        <f>VLOOKUP(EM18*1, $FK$2:$FM$12, 3, TRUE)*$FM$1</f>
        <v>#VALUE!</v>
      </c>
      <c r="EO19" s="38" t="e">
        <f>VLOOKUP(EO18*1, $FN$2:$FP$12, 3, TRUE)*$FP$1</f>
        <v>#VALUE!</v>
      </c>
      <c r="EP19" s="38" t="e">
        <f>VLOOKUP(EP18*1, $FQ$2:$FS$12, 3, TRUE)*$FS$1</f>
        <v>#VALUE!</v>
      </c>
      <c r="EQ19" s="38" t="e">
        <f>VLOOKUP(EQ18*1, $FT$2:$FV$12, 3, TRUE)*$FV$1</f>
        <v>#VALUE!</v>
      </c>
      <c r="ER19" s="38" t="e">
        <f>VLOOKUP(ER18*1, $FW$2:$FY$12, 3, TRUE)*$FY$1</f>
        <v>#VALUE!</v>
      </c>
      <c r="ES19" s="39" t="e">
        <f>VLOOKUP(ES18*1, $FK$14:$FM$25, 3, TRUE)*$FM$14</f>
        <v>#VALUE!</v>
      </c>
      <c r="ET19" s="39" t="e">
        <f>VLOOKUP(ET18*1, $FN$14:$FP$25, 3, TRUE)*$FP$14</f>
        <v>#VALUE!</v>
      </c>
      <c r="EU19" s="38" t="e">
        <f>VLOOKUP(EU18*1, $FQ$14:$FS$25, 3, TRUE)*$FS$14</f>
        <v>#VALUE!</v>
      </c>
      <c r="EX19" s="41" t="e">
        <f>VLOOKUP(EX18*1, $FK$27:$FM$38, 3, TRUE)*$FM$27</f>
        <v>#VALUE!</v>
      </c>
      <c r="FA19" s="41" t="e">
        <f>VLOOKUP(FA18*1, $FN$27:$FP$38, 3, TRUE)*$FP$27</f>
        <v>#VALUE!</v>
      </c>
      <c r="FD19" s="41" t="e">
        <f>VLOOKUP(FD18*1, $FQ$27:$FS$38, 3, TRUE)*$FS$27</f>
        <v>#VALUE!</v>
      </c>
      <c r="FG19" s="41" t="e">
        <f>VLOOKUP(FG18*1, $FT$27:$FV$38, 3, TRUE)*$FV$27</f>
        <v>#VALUE!</v>
      </c>
      <c r="FH19" s="41" t="e">
        <f>VLOOKUP(FH18*1, $FW$27:$FY$38, 3, TRUE)*$FY$27</f>
        <v>#VALUE!</v>
      </c>
      <c r="FI19" s="41" t="e">
        <f>VLOOKUP(FI18*1, $FK$40:$FM$51, 3, TRUE)*$FM$40</f>
        <v>#VALUE!</v>
      </c>
      <c r="FK19" s="22">
        <v>1.51</v>
      </c>
      <c r="FL19" s="19">
        <v>1.9</v>
      </c>
      <c r="FM19" s="23">
        <v>4</v>
      </c>
      <c r="FN19" s="22">
        <v>2.0099999999999998</v>
      </c>
      <c r="FO19" s="19">
        <v>2.2999999999999998</v>
      </c>
      <c r="FP19" s="23">
        <v>4</v>
      </c>
      <c r="FQ19" s="22">
        <v>1.71</v>
      </c>
      <c r="FR19" s="19">
        <v>2</v>
      </c>
      <c r="FS19" s="23">
        <v>4</v>
      </c>
      <c r="FY19" s="20"/>
    </row>
    <row r="20" spans="1:181">
      <c r="V20" s="82" t="e">
        <f>C12</f>
        <v>#N/A</v>
      </c>
      <c r="W20" t="e">
        <f>E12</f>
        <v>#N/A</v>
      </c>
      <c r="X20" s="17" t="e">
        <f t="array" aca="1" ref="X20" ca="1">_xlfn.LET(_xlpm.s,SUBSTITUTE(Y20,".",""),_xlpm.c,RIGHT(_xlpm.s,1),_xlpm.n,ROW(INDIRECT("1:"&amp;LEN(_xlpm.s))),_xlpm.cnt,MAX(IF(RIGHT(_xlpm.s,_xlpm.n)=REPT(_xlpm.c,_xlpm.n),_xlpm.n,0)),IF(_xlpm.cnt&gt;=2,_xlpm.cnt&amp;"連"&amp;_xlpm.c,"1"&amp;_xlpm.c))</f>
        <v>#N/A</v>
      </c>
      <c r="Y20" s="82" t="e">
        <f t="array" ref="Y20">INDEX(各隊正負!$F:$F, MATCH("*"&amp;$W20&amp;"*", 各隊正負!$A:$A, 0)+6)</f>
        <v>#N/A</v>
      </c>
      <c r="Z20" s="100"/>
      <c r="AA20" s="100"/>
      <c r="AB20" s="82" t="e">
        <f t="array" ref="AB20">INDEX(各隊正負!$F:$F, MATCH("*"&amp;$W20&amp;"*", 各隊正負!$A:$A, 0)+4)</f>
        <v>#N/A</v>
      </c>
      <c r="AC20" s="78"/>
      <c r="AD20" s="78"/>
      <c r="AE20" s="1" t="e">
        <f t="array" aca="1" ref="AE20" ca="1">_xlfn.LET(_xlpm.s,SUBSTITUTE(AB20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0" s="19" t="e">
        <f>E12</f>
        <v>#N/A</v>
      </c>
      <c r="AG20" s="1" t="str">
        <f t="array" ref="AG20">IFERROR(INDEX(各隊total!$B:$AB, MATCH($AF20, 各隊total!$A:$A, 0), COLUMN(A19)), "")</f>
        <v/>
      </c>
      <c r="AH20" s="32" t="e">
        <f>CB39</f>
        <v>#VALUE!</v>
      </c>
      <c r="AI20" s="61" t="e">
        <f t="shared" si="0"/>
        <v>#VALUE!</v>
      </c>
      <c r="AJ20" s="6" t="e">
        <f>CC39</f>
        <v>#VALUE!</v>
      </c>
      <c r="AK20" s="60" t="e">
        <f t="shared" si="1"/>
        <v>#VALUE!</v>
      </c>
      <c r="AL20" s="1" t="str">
        <f t="array" ref="AL20">IFERROR(INDEX(各隊total!$C:$AB, MATCH($AF20, 各隊total!$A:$A, 0), COLUMN(A19)), "")</f>
        <v/>
      </c>
      <c r="AM20" s="1" t="str">
        <f t="array" ref="AM20">IFERROR(INDEX(各隊total!$D:$AB, MATCH($AF20, 各隊total!$A:$A, 0), COLUMN(A19)), "")</f>
        <v/>
      </c>
      <c r="AN20" s="1" t="str">
        <f t="array" ref="AN20">IFERROR(INDEX(各隊total!$E:$AB, MATCH($AF20, 各隊total!$A:$A, 0), COLUMN(A19)), "")</f>
        <v/>
      </c>
      <c r="AO20" s="1" t="str">
        <f t="array" ref="AO20">IFERROR(INDEX(各隊total!$F:$AB, MATCH($AF20, 各隊total!$A:$A, 0), COLUMN(A19)), "")</f>
        <v/>
      </c>
      <c r="AP20" s="1" t="str">
        <f t="array" ref="AP20">IFERROR(INDEX(各隊total!$G:$AB, MATCH($AF20, 各隊total!$A:$A, 0), COLUMN(A19)), "")</f>
        <v/>
      </c>
      <c r="AQ20" s="1" t="str">
        <f t="array" ref="AQ20">IFERROR(INDEX(各隊total!$H:$AB, MATCH($AF20, 各隊total!$A:$A, 0), COLUMN(A19)), "")</f>
        <v/>
      </c>
      <c r="AR20" s="1" t="str">
        <f t="array" ref="AR20">IFERROR(INDEX(各隊total!$I:$AB, MATCH($AF20, 各隊total!$A:$A, 0), COLUMN(A19)), "")</f>
        <v/>
      </c>
      <c r="AS20" s="1" t="str">
        <f t="array" ref="AS20">IFERROR(INDEX(各隊total!$J:$AB, MATCH($AF20, 各隊total!$A:$A, 0), COLUMN(A19)), "")</f>
        <v/>
      </c>
      <c r="AT20" s="1" t="str">
        <f t="array" ref="AT20">IFERROR(INDEX(各隊total!$K:$AB, MATCH($AF20, 各隊total!$A:$A, 0), COLUMN(A19)), "")</f>
        <v/>
      </c>
      <c r="AU20" s="1" t="str">
        <f t="array" ref="AU20">IFERROR(INDEX(各隊total!$L:$AB, MATCH($AF20, 各隊total!$A:$A, 0), COLUMN(A19)), "")</f>
        <v/>
      </c>
      <c r="AV20" s="1" t="str">
        <f t="array" ref="AV20">IFERROR(INDEX(各隊total!$M:$AB, MATCH($AF20, 各隊total!$A:$A, 0), COLUMN(A19)), "")</f>
        <v/>
      </c>
      <c r="AW20" s="1" t="str">
        <f t="array" ref="AW20">IFERROR(INDEX(各隊total!$N:$AB, MATCH($AF20, 各隊total!$A:$A, 0), COLUMN(A19)), "")</f>
        <v/>
      </c>
      <c r="AX20" s="1" t="str">
        <f t="array" ref="AX20">IFERROR(INDEX(各隊total!$O:$AB, MATCH($AF20, 各隊total!$A:$A, 0), COLUMN(A19)), "")</f>
        <v/>
      </c>
      <c r="AY20" s="1" t="str">
        <f t="array" ref="AY20">IFERROR(INDEX(各隊total!$P:$AB, MATCH($AF20, 各隊total!$A:$A, 0), COLUMN(A19)), "")</f>
        <v/>
      </c>
      <c r="AZ20" s="1" t="str">
        <f t="array" ref="AZ20">IFERROR(INDEX(各隊total!$Q:$AB, MATCH($AF20, 各隊total!$A:$A, 0), COLUMN(A19)), "")</f>
        <v/>
      </c>
      <c r="BA20" s="1" t="str">
        <f t="array" ref="BA20">IFERROR(INDEX(各隊total!$R:$AB, MATCH($AF20, 各隊total!$A:$A, 0), COLUMN(A19)), "")</f>
        <v/>
      </c>
      <c r="BB20" s="1" t="str">
        <f t="array" ref="BB20">IFERROR(INDEX(各隊total!$S:$AB, MATCH($AF20, 各隊total!$A:$A, 0), COLUMN(A19)), "")</f>
        <v/>
      </c>
      <c r="BC20" s="1" t="str">
        <f t="array" ref="BC20">IFERROR(INDEX(各隊total!$T:$AB, MATCH($AF20, 各隊total!$A:$A, 0), COLUMN(A19)), "")</f>
        <v/>
      </c>
      <c r="BD20" s="1" t="str">
        <f t="array" ref="BD20">IFERROR(INDEX(各隊total!$U:$AB, MATCH($AF20, 各隊total!$A:$A, 0), COLUMN(A19)), "")</f>
        <v/>
      </c>
      <c r="BE20" s="1" t="str">
        <f t="array" ref="BE20">IFERROR(INDEX(各隊total!$V:$AB, MATCH($AF20, 各隊total!$A:$A, 0), COLUMN(A19)), "")</f>
        <v/>
      </c>
      <c r="BF20" s="1" t="str">
        <f t="array" ref="BF20">IFERROR(INDEX(各隊total!$W:$AB, MATCH($AF20, 各隊total!$A:$A, 0), COLUMN(A19)), "")</f>
        <v/>
      </c>
      <c r="BG20" s="1" t="str">
        <f t="array" ref="BG20">IFERROR(INDEX(各隊total!$X:$AB, MATCH($AF20, 各隊total!$A:$A, 0), COLUMN(A19)), "")</f>
        <v/>
      </c>
      <c r="BH20" s="1" t="str">
        <f t="array" ref="BH20">IFERROR(INDEX(各隊total!$Y:$AB, MATCH($AF20, 各隊total!$A:$A, 0), COLUMN(A19)), "")</f>
        <v/>
      </c>
      <c r="BI20" s="1" t="str">
        <f t="array" ref="BI20">IFERROR(INDEX(各隊total!$Z:$AB, MATCH($AF20, 各隊total!$A:$A, 0), COLUMN(A19)), "")</f>
        <v/>
      </c>
      <c r="BJ20" s="1" t="str">
        <f t="array" ref="BJ20">IFERROR(INDEX(各隊total!$AA:$AB, MATCH($AF20, 各隊total!$A:$A, 0), COLUMN(A19)), "")</f>
        <v/>
      </c>
      <c r="BK20" s="1" t="str">
        <f t="array" ref="BK20">IFERROR(INDEX(各隊total!$AB:$AB, MATCH($AF20, 各隊total!$A:$A, 0), COLUMN(A19)), "")</f>
        <v/>
      </c>
      <c r="BL20" s="1" t="str">
        <f t="array" ref="BL20">IFERROR(INDEX(各隊total!$C:$AB, MATCH($AF20, 各隊total!$A:$A, 0), COLUMN(AA19)), "")</f>
        <v/>
      </c>
      <c r="BM20" s="22">
        <v>1.1599999999999999</v>
      </c>
      <c r="BN20" s="19">
        <v>1.3</v>
      </c>
      <c r="BO20" s="23">
        <v>5</v>
      </c>
      <c r="BP20" s="22">
        <v>0.41</v>
      </c>
      <c r="BQ20" s="19">
        <v>0.46</v>
      </c>
      <c r="BR20" s="23">
        <v>5</v>
      </c>
      <c r="BS20" s="22">
        <v>0.66</v>
      </c>
      <c r="BT20" s="19">
        <v>0.75</v>
      </c>
      <c r="BU20" s="23">
        <v>5</v>
      </c>
      <c r="BV20" s="22">
        <v>4.51</v>
      </c>
      <c r="BW20" s="19">
        <v>5</v>
      </c>
      <c r="BX20" s="23" t="s">
        <v>540</v>
      </c>
      <c r="BY20" s="22">
        <v>4.51</v>
      </c>
      <c r="BZ20" s="19">
        <v>5</v>
      </c>
      <c r="CA20" s="23" t="s">
        <v>540</v>
      </c>
      <c r="CB20" s="19" t="str">
        <f>AF11</f>
        <v>白襪</v>
      </c>
      <c r="CC20" s="29"/>
      <c r="CD20" s="1" t="str">
        <f>AG11</f>
        <v>28</v>
      </c>
      <c r="CE20" s="1" t="str">
        <f t="shared" ref="CE20:DD20" si="11">AL11</f>
        <v>924</v>
      </c>
      <c r="CF20" s="1" t="str">
        <f t="shared" si="11"/>
        <v>113</v>
      </c>
      <c r="CG20" s="1" t="str">
        <f t="shared" si="11"/>
        <v>205</v>
      </c>
      <c r="CH20" s="1" t="str">
        <f t="shared" si="11"/>
        <v>31</v>
      </c>
      <c r="CI20" s="1" t="str">
        <f t="shared" si="11"/>
        <v>5</v>
      </c>
      <c r="CJ20" s="1" t="str">
        <f t="shared" si="11"/>
        <v>33</v>
      </c>
      <c r="CK20" s="1" t="str">
        <f t="shared" si="11"/>
        <v>103</v>
      </c>
      <c r="CL20" s="1" t="str">
        <f t="shared" si="11"/>
        <v>345</v>
      </c>
      <c r="CM20" s="1" t="str">
        <f t="shared" si="11"/>
        <v>111</v>
      </c>
      <c r="CN20" s="1" t="str">
        <f t="shared" si="11"/>
        <v>264</v>
      </c>
      <c r="CO20" s="1" t="str">
        <f t="shared" si="11"/>
        <v>23</v>
      </c>
      <c r="CP20" s="1" t="str">
        <f t="shared" si="11"/>
        <v>.222</v>
      </c>
      <c r="CQ20" s="1" t="str">
        <f t="shared" si="11"/>
        <v>.315</v>
      </c>
      <c r="CR20" s="1" t="str">
        <f t="shared" si="11"/>
        <v>.373</v>
      </c>
      <c r="CS20" s="1" t="str">
        <f t="shared" si="11"/>
        <v>.689</v>
      </c>
      <c r="CT20" s="1">
        <f t="shared" si="11"/>
        <v>0</v>
      </c>
      <c r="CU20" s="1" t="str">
        <f t="shared" si="11"/>
        <v>114.2</v>
      </c>
      <c r="CV20" s="1" t="str">
        <f t="shared" si="11"/>
        <v>4.0</v>
      </c>
      <c r="CW20" s="1" t="str">
        <f t="shared" si="11"/>
        <v>.103</v>
      </c>
      <c r="CX20" s="1" t="str">
        <f t="shared" si="11"/>
        <v>0.42</v>
      </c>
      <c r="CY20" s="1" t="str">
        <f t="shared" si="11"/>
        <v>.152</v>
      </c>
      <c r="CZ20" s="1" t="str">
        <f t="shared" si="11"/>
        <v>.289</v>
      </c>
      <c r="DA20" s="1" t="str">
        <f t="shared" si="11"/>
        <v>3.85</v>
      </c>
      <c r="DB20" s="1" t="str">
        <f t="shared" si="11"/>
        <v>69</v>
      </c>
      <c r="DC20" s="1" t="str">
        <f t="shared" si="11"/>
        <v>1073</v>
      </c>
      <c r="DD20" s="1" t="str">
        <f t="shared" si="11"/>
        <v>28.0</v>
      </c>
      <c r="DF20" s="33"/>
      <c r="DG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56"/>
      <c r="EI20" s="37" t="str">
        <f>先發名單!X$2</f>
        <v>B. Rocchio</v>
      </c>
      <c r="EJ20" s="4" t="str">
        <f t="array" ref="EJ20">IFERROR(INDEX(球員狀態!$C$2:$C$5000, MATCH(1, (球員狀態!$A$2:$A$5000=$EI$1)*(ISNUMBER(SEARCH($EI20, 球員狀態!$B$2:$B$5000))), 0)), "")</f>
        <v/>
      </c>
      <c r="EM20" s="4" t="str">
        <f t="array" ref="EM20">IFERROR(INDEX(球員狀態!F$2:F$5000, MATCH(1, (球員狀態!$A$2:$A$5000=$EI$1)*(ISNUMBER(SEARCH($EI20, 球員狀態!$B$2:$B$5000))), 0)), "")</f>
        <v/>
      </c>
      <c r="EN20" s="4" t="str">
        <f t="array" ref="EN20">IFERROR(INDEX(球員狀態!G$2:G$5000, MATCH(1, (球員狀態!$A$2:$A$5000=$EI$1)*(ISNUMBER(SEARCH($EI20, 球員狀態!$B$2:$B$5000))), 0)), "")</f>
        <v/>
      </c>
      <c r="EO20" s="4" t="str">
        <f t="array" ref="EO20">IFERROR(INDEX(球員狀態!H$2:H$5000, MATCH(1, (球員狀態!$A$2:$A$5000=$EI$1)*(ISNUMBER(SEARCH($EI20, 球員狀態!$B$2:$B$5000))), 0)), "")</f>
        <v/>
      </c>
      <c r="EP20" s="4" t="str">
        <f t="array" ref="EP20">IFERROR(INDEX(球員狀態!I$2:I$5000, MATCH(1, (球員狀態!$A$2:$A$5000=$EI$1)*(ISNUMBER(SEARCH($EI20, 球員狀態!$B$2:$B$5000))), 0)), "")</f>
        <v/>
      </c>
      <c r="EQ20" s="4" t="str">
        <f t="array" ref="EQ20">IFERROR(INDEX(球員狀態!J$2:J$5000, MATCH(1, (球員狀態!$A$2:$A$5000=$EI$1)*(ISNUMBER(SEARCH($EI20, 球員狀態!$B$2:$B$5000))), 0)), "")</f>
        <v/>
      </c>
      <c r="ER20" s="4" t="str">
        <f t="array" ref="ER20">IFERROR(INDEX(球員狀態!K$2:K$5000, MATCH(1, (球員狀態!$A$2:$A$5000=$EI$1)*(ISNUMBER(SEARCH($EI20, 球員狀態!$B$2:$B$5000))), 0)), "")</f>
        <v/>
      </c>
      <c r="ES20" s="4" t="str">
        <f t="array" ref="ES20">IFERROR(INDEX(球員狀態!L$2:L$5000, MATCH(1, (球員狀態!$A$2:$A$5000=$EI$1)*(ISNUMBER(SEARCH($EI20, 球員狀態!$B$2:$B$5000))), 0)), "")</f>
        <v/>
      </c>
      <c r="ET20" s="4" t="str">
        <f t="array" ref="ET20">IFERROR(INDEX(球員狀態!M$2:M$5000, MATCH(1, (球員狀態!$A$2:$A$5000=$EI$1)*(ISNUMBER(SEARCH($EI20, 球員狀態!$B$2:$B$5000))), 0)), "")</f>
        <v/>
      </c>
      <c r="EU20" s="4" t="str">
        <f t="array" ref="EU20">IFERROR(INDEX(球員狀態!N$2:N$5000, MATCH(1, (球員狀態!$A$2:$A$5000=$EI$1)*(ISNUMBER(SEARCH($EI20, 球員狀態!$B$2:$B$5000))), 0)), "")</f>
        <v/>
      </c>
      <c r="EV20" s="4" t="str">
        <f t="array" ref="EV20">IFERROR(INDEX(球員狀態!O$2:O$5000, MATCH(1, (球員狀態!$A$2:$A$5000=$EI$1)*(ISNUMBER(SEARCH($EI20, 球員狀態!$B$2:$B$5000))), 0)), "")</f>
        <v/>
      </c>
      <c r="EW20" s="4" t="str">
        <f t="array" ref="EW20">IFERROR(INDEX(球員狀態!P$2:P$5000, MATCH(1, (球員狀態!$A$2:$A$5000=$EI$1)*(ISNUMBER(SEARCH($EI20, 球員狀態!$B$2:$B$5000))), 0)), "")</f>
        <v/>
      </c>
      <c r="EX20" s="4" t="str">
        <f t="array" ref="EX20">IFERROR(INDEX(球員狀態!Q$2:Q$5000, MATCH(1, (球員狀態!$A$2:$A$5000=$EI$1)*(ISNUMBER(SEARCH($EI20, 球員狀態!$B$2:$B$5000))), 0)), "")</f>
        <v/>
      </c>
      <c r="EY20" s="4" t="str">
        <f t="array" ref="EY20">IFERROR(INDEX(球員狀態!R$2:R$5000, MATCH(1, (球員狀態!$A$2:$A$5000=$EI$1)*(ISNUMBER(SEARCH($EI20, 球員狀態!$B$2:$B$5000))), 0)), "")</f>
        <v/>
      </c>
      <c r="EZ20" s="4" t="str">
        <f t="array" ref="EZ20">IFERROR(INDEX(球員狀態!S$2:S$5000, MATCH(1, (球員狀態!$A$2:$A$5000=$EI$1)*(ISNUMBER(SEARCH($EI20, 球員狀態!$B$2:$B$5000))), 0)), "")</f>
        <v/>
      </c>
      <c r="FA20" s="4" t="str">
        <f t="array" ref="FA20">IFERROR(INDEX(球員狀態!T$2:T$5000, MATCH(1, (球員狀態!$A$2:$A$5000=$EI$1)*(ISNUMBER(SEARCH($EI20, 球員狀態!$B$2:$B$5000))), 0)), "")</f>
        <v/>
      </c>
      <c r="FB20" s="4" t="str">
        <f t="array" ref="FB20">IFERROR(INDEX(球員狀態!U$2:U$5000, MATCH(1, (球員狀態!$A$2:$A$5000=$EI$1)*(ISNUMBER(SEARCH($EI20, 球員狀態!$B$2:$B$5000))), 0)), "")</f>
        <v/>
      </c>
      <c r="FC20" s="4" t="str">
        <f t="array" ref="FC20">IFERROR(INDEX(球員狀態!V$2:V$5000, MATCH(1, (球員狀態!$A$2:$A$5000=$EI$1)*(ISNUMBER(SEARCH($EI20, 球員狀態!$B$2:$B$5000))), 0)), "")</f>
        <v/>
      </c>
      <c r="FD20" s="4" t="str">
        <f t="array" ref="FD20">IFERROR(INDEX(球員狀態!W$2:W$5000, MATCH(1, (球員狀態!$A$2:$A$5000=$EI$1)*(ISNUMBER(SEARCH($EI20, 球員狀態!$B$2:$B$5000))), 0)), "")</f>
        <v/>
      </c>
      <c r="FE20" s="4" t="str">
        <f t="array" ref="FE20">IFERROR(INDEX(球員狀態!X$2:X$5000, MATCH(1, (球員狀態!$A$2:$A$5000=$EI$1)*(ISNUMBER(SEARCH($EI20, 球員狀態!$B$2:$B$5000))), 0)), "")</f>
        <v/>
      </c>
      <c r="FF20" s="4" t="str">
        <f t="array" ref="FF20">IFERROR(INDEX(球員狀態!Y$2:Y$5000, MATCH(1, (球員狀態!$A$2:$A$5000=$EI$1)*(ISNUMBER(SEARCH($EI20, 球員狀態!$B$2:$B$5000))), 0)), "")</f>
        <v/>
      </c>
      <c r="FG20" s="4" t="str">
        <f t="array" ref="FG20">IFERROR(INDEX(球員狀態!Z$2:Z$5000, MATCH(1, (球員狀態!$A$2:$A$5000=$EI$1)*(ISNUMBER(SEARCH($EI20, 球員狀態!$B$2:$B$5000))), 0)), "")</f>
        <v/>
      </c>
      <c r="FH20" s="4" t="str">
        <f t="array" ref="FH20">IFERROR(INDEX(球員狀態!AA$2:AA$5000, MATCH(1, (球員狀態!$A$2:$A$5000=$EI$1)*(ISNUMBER(SEARCH($EI20, 球員狀態!$B$2:$B$5000))), 0)), "")</f>
        <v/>
      </c>
      <c r="FI20" s="4" t="str">
        <f t="array" ref="FI20">IFERROR(INDEX(球員狀態!AB$2:AB$5000, MATCH(1, (球員狀態!$A$2:$A$5000=$EI$1)*(ISNUMBER(SEARCH($EI20, 球員狀態!$B$2:$B$5000))), 0)), "")</f>
        <v/>
      </c>
      <c r="FK20" s="22">
        <v>1.91</v>
      </c>
      <c r="FL20" s="19">
        <v>2.2999999999999998</v>
      </c>
      <c r="FM20" s="23">
        <v>5</v>
      </c>
      <c r="FN20" s="22">
        <v>2.31</v>
      </c>
      <c r="FO20" s="19">
        <v>2.6</v>
      </c>
      <c r="FP20" s="23">
        <v>5</v>
      </c>
      <c r="FQ20" s="22">
        <v>2.0099999999999998</v>
      </c>
      <c r="FR20" s="19">
        <v>2.2999999999999998</v>
      </c>
      <c r="FS20" s="23">
        <v>5</v>
      </c>
      <c r="FY20" s="20"/>
    </row>
    <row r="21" spans="1:181">
      <c r="V21" s="78"/>
      <c r="W21" t="e">
        <f>I12</f>
        <v>#N/A</v>
      </c>
      <c r="X21" s="17" t="e">
        <f t="array" aca="1" ref="X21" ca="1">_xlfn.LET(_xlpm.s,SUBSTITUTE(Y21,".",""),_xlpm.c,RIGHT(_xlpm.s,1),_xlpm.n,ROW(INDIRECT("1:"&amp;LEN(_xlpm.s))),_xlpm.cnt,MAX(IF(RIGHT(_xlpm.s,_xlpm.n)=REPT(_xlpm.c,_xlpm.n),_xlpm.n,0)),IF(_xlpm.cnt&gt;=2,_xlpm.cnt&amp;"連"&amp;_xlpm.c,"1"&amp;_xlpm.c))</f>
        <v>#N/A</v>
      </c>
      <c r="Y21" s="82" t="e">
        <f t="array" ref="Y21">INDEX(各隊正負!$F:$F, MATCH("*"&amp;$W21&amp;"*", 各隊正負!$A:$A, 0)+6)</f>
        <v>#N/A</v>
      </c>
      <c r="Z21" s="100"/>
      <c r="AA21" s="100"/>
      <c r="AB21" s="82" t="e">
        <f t="array" ref="AB21">INDEX(各隊正負!$F:$F, MATCH("*"&amp;$W21&amp;"*", 各隊正負!$A:$A, 0)+4)</f>
        <v>#N/A</v>
      </c>
      <c r="AC21" s="78"/>
      <c r="AD21" s="78"/>
      <c r="AE21" s="1" t="e">
        <f t="array" aca="1" ref="AE21" ca="1">_xlfn.LET(_xlpm.s,SUBSTITUTE(AB21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1" s="19" t="e">
        <f>I12</f>
        <v>#N/A</v>
      </c>
      <c r="AG21" s="1" t="str">
        <f t="array" ref="AG21">IFERROR(INDEX(各隊total!$B:$AB, MATCH($AF21, 各隊total!$A:$A, 0), COLUMN(A20)), "")</f>
        <v/>
      </c>
      <c r="AH21" s="32" t="e">
        <f>CB41</f>
        <v>#VALUE!</v>
      </c>
      <c r="AI21" s="61" t="e">
        <f t="shared" si="0"/>
        <v>#VALUE!</v>
      </c>
      <c r="AJ21" s="6" t="e">
        <f>CC41</f>
        <v>#VALUE!</v>
      </c>
      <c r="AK21" s="60" t="e">
        <f t="shared" si="1"/>
        <v>#VALUE!</v>
      </c>
      <c r="AL21" s="1" t="str">
        <f t="array" ref="AL21">IFERROR(INDEX(各隊total!$C:$AB, MATCH($AF21, 各隊total!$A:$A, 0), COLUMN(A20)), "")</f>
        <v/>
      </c>
      <c r="AM21" s="1" t="str">
        <f t="array" ref="AM21">IFERROR(INDEX(各隊total!$D:$AB, MATCH($AF21, 各隊total!$A:$A, 0), COLUMN(A20)), "")</f>
        <v/>
      </c>
      <c r="AN21" s="1" t="str">
        <f t="array" ref="AN21">IFERROR(INDEX(各隊total!$E:$AB, MATCH($AF21, 各隊total!$A:$A, 0), COLUMN(A20)), "")</f>
        <v/>
      </c>
      <c r="AO21" s="1" t="str">
        <f t="array" ref="AO21">IFERROR(INDEX(各隊total!$F:$AB, MATCH($AF21, 各隊total!$A:$A, 0), COLUMN(A20)), "")</f>
        <v/>
      </c>
      <c r="AP21" s="1" t="str">
        <f t="array" ref="AP21">IFERROR(INDEX(各隊total!$G:$AB, MATCH($AF21, 各隊total!$A:$A, 0), COLUMN(A20)), "")</f>
        <v/>
      </c>
      <c r="AQ21" s="1" t="str">
        <f t="array" ref="AQ21">IFERROR(INDEX(各隊total!$H:$AB, MATCH($AF21, 各隊total!$A:$A, 0), COLUMN(A20)), "")</f>
        <v/>
      </c>
      <c r="AR21" s="1" t="str">
        <f t="array" ref="AR21">IFERROR(INDEX(各隊total!$I:$AB, MATCH($AF21, 各隊total!$A:$A, 0), COLUMN(A20)), "")</f>
        <v/>
      </c>
      <c r="AS21" s="1" t="str">
        <f t="array" ref="AS21">IFERROR(INDEX(各隊total!$J:$AB, MATCH($AF21, 各隊total!$A:$A, 0), COLUMN(A20)), "")</f>
        <v/>
      </c>
      <c r="AT21" s="1" t="str">
        <f t="array" ref="AT21">IFERROR(INDEX(各隊total!$K:$AB, MATCH($AF21, 各隊total!$A:$A, 0), COLUMN(A20)), "")</f>
        <v/>
      </c>
      <c r="AU21" s="1" t="str">
        <f t="array" ref="AU21">IFERROR(INDEX(各隊total!$L:$AB, MATCH($AF21, 各隊total!$A:$A, 0), COLUMN(A20)), "")</f>
        <v/>
      </c>
      <c r="AV21" s="1" t="str">
        <f t="array" ref="AV21">IFERROR(INDEX(各隊total!$M:$AB, MATCH($AF21, 各隊total!$A:$A, 0), COLUMN(A20)), "")</f>
        <v/>
      </c>
      <c r="AW21" s="1" t="str">
        <f t="array" ref="AW21">IFERROR(INDEX(各隊total!$N:$AB, MATCH($AF21, 各隊total!$A:$A, 0), COLUMN(A20)), "")</f>
        <v/>
      </c>
      <c r="AX21" s="1" t="str">
        <f t="array" ref="AX21">IFERROR(INDEX(各隊total!$O:$AB, MATCH($AF21, 各隊total!$A:$A, 0), COLUMN(A20)), "")</f>
        <v/>
      </c>
      <c r="AY21" s="1" t="str">
        <f t="array" ref="AY21">IFERROR(INDEX(各隊total!$P:$AB, MATCH($AF21, 各隊total!$A:$A, 0), COLUMN(A20)), "")</f>
        <v/>
      </c>
      <c r="AZ21" s="1" t="str">
        <f t="array" ref="AZ21">IFERROR(INDEX(各隊total!$Q:$AB, MATCH($AF21, 各隊total!$A:$A, 0), COLUMN(A20)), "")</f>
        <v/>
      </c>
      <c r="BA21" s="1" t="str">
        <f t="array" ref="BA21">IFERROR(INDEX(各隊total!$R:$AB, MATCH($AF21, 各隊total!$A:$A, 0), COLUMN(A20)), "")</f>
        <v/>
      </c>
      <c r="BB21" s="1" t="str">
        <f t="array" ref="BB21">IFERROR(INDEX(各隊total!$S:$AB, MATCH($AF21, 各隊total!$A:$A, 0), COLUMN(A20)), "")</f>
        <v/>
      </c>
      <c r="BC21" s="1" t="str">
        <f t="array" ref="BC21">IFERROR(INDEX(各隊total!$T:$AB, MATCH($AF21, 各隊total!$A:$A, 0), COLUMN(A20)), "")</f>
        <v/>
      </c>
      <c r="BD21" s="1" t="str">
        <f t="array" ref="BD21">IFERROR(INDEX(各隊total!$U:$AB, MATCH($AF21, 各隊total!$A:$A, 0), COLUMN(A20)), "")</f>
        <v/>
      </c>
      <c r="BE21" s="1" t="str">
        <f t="array" ref="BE21">IFERROR(INDEX(各隊total!$V:$AB, MATCH($AF21, 各隊total!$A:$A, 0), COLUMN(A20)), "")</f>
        <v/>
      </c>
      <c r="BF21" s="1" t="str">
        <f t="array" ref="BF21">IFERROR(INDEX(各隊total!$W:$AB, MATCH($AF21, 各隊total!$A:$A, 0), COLUMN(A20)), "")</f>
        <v/>
      </c>
      <c r="BG21" s="1" t="str">
        <f t="array" ref="BG21">IFERROR(INDEX(各隊total!$X:$AB, MATCH($AF21, 各隊total!$A:$A, 0), COLUMN(A20)), "")</f>
        <v/>
      </c>
      <c r="BH21" s="1" t="str">
        <f t="array" ref="BH21">IFERROR(INDEX(各隊total!$Y:$AB, MATCH($AF21, 各隊total!$A:$A, 0), COLUMN(A20)), "")</f>
        <v/>
      </c>
      <c r="BI21" s="1" t="str">
        <f t="array" ref="BI21">IFERROR(INDEX(各隊total!$Z:$AB, MATCH($AF21, 各隊total!$A:$A, 0), COLUMN(A20)), "")</f>
        <v/>
      </c>
      <c r="BJ21" s="1" t="str">
        <f t="array" ref="BJ21">IFERROR(INDEX(各隊total!$AA:$AB, MATCH($AF21, 各隊total!$A:$A, 0), COLUMN(A20)), "")</f>
        <v/>
      </c>
      <c r="BK21" s="1" t="str">
        <f t="array" ref="BK21">IFERROR(INDEX(各隊total!$AB:$AB, MATCH($AF21, 各隊total!$A:$A, 0), COLUMN(A20)), "")</f>
        <v/>
      </c>
      <c r="BL21" s="1" t="str">
        <f t="array" ref="BL21">IFERROR(INDEX(各隊total!$C:$AB, MATCH($AF21, 各隊total!$A:$A, 0), COLUMN(AA20)), "")</f>
        <v/>
      </c>
      <c r="BM21" s="22">
        <v>1.31</v>
      </c>
      <c r="BN21" s="19">
        <v>1.5</v>
      </c>
      <c r="BO21" s="23">
        <v>6</v>
      </c>
      <c r="BP21" s="22">
        <v>0.47</v>
      </c>
      <c r="BQ21" s="19">
        <v>0.52</v>
      </c>
      <c r="BR21" s="23">
        <v>6</v>
      </c>
      <c r="BS21" s="22">
        <v>0.76</v>
      </c>
      <c r="BT21" s="19">
        <v>0.9</v>
      </c>
      <c r="BU21" s="23">
        <v>6</v>
      </c>
      <c r="BV21" s="22">
        <v>5.01</v>
      </c>
      <c r="BW21" s="19">
        <v>5.5</v>
      </c>
      <c r="BX21" s="23" t="s">
        <v>541</v>
      </c>
      <c r="BY21" s="22">
        <v>5.01</v>
      </c>
      <c r="BZ21" s="19">
        <v>5.5</v>
      </c>
      <c r="CA21" s="23" t="s">
        <v>541</v>
      </c>
      <c r="CB21" s="28">
        <f>CF21+CJ21+CK21+CM21+CO21+CP21+CQ21+CR21</f>
        <v>3.65</v>
      </c>
      <c r="CC21" s="31">
        <f>CU21+CV21+CY21+CZ21+DA21</f>
        <v>4</v>
      </c>
      <c r="CD21" s="58"/>
      <c r="CE21" s="1"/>
      <c r="CF21" s="27">
        <f>VLOOKUP(ROUND(CF20/CD20, 2), $BV$2:$BX$12, 3, TRUE)*BX$1</f>
        <v>0.44999999999999996</v>
      </c>
      <c r="CG21" s="58"/>
      <c r="CH21" s="58"/>
      <c r="CI21" s="58"/>
      <c r="CJ21" s="27">
        <f>VLOOKUP(ROUND(CJ20/CD20, 2), $BM$15:$BO$25, 3, TRUE)*BO$14</f>
        <v>0.5</v>
      </c>
      <c r="CK21" s="27">
        <f>VLOOKUP(ROUND(CK20/CD20, 2), $BY$2:$CA$12, 3, TRUE)*CA$1</f>
        <v>0.2</v>
      </c>
      <c r="CL21" s="58"/>
      <c r="CM21" s="101">
        <f>VLOOKUP(ROUND(CM20/CN20, 2), $BP$15:$BR$25, 3, TRUE)*BR$14</f>
        <v>0.5</v>
      </c>
      <c r="CN21" s="78"/>
      <c r="CO21" s="27">
        <f>VLOOKUP(ROUND(CO20/CD20, 2), $BS$15:$BU$25, 3, TRUE)*BU$14</f>
        <v>0.30000000000000004</v>
      </c>
      <c r="CP21" s="27">
        <f>VLOOKUP(CP20*1, BM$2:BO$12, 3, TRUE)*BO$1</f>
        <v>0.30000000000000004</v>
      </c>
      <c r="CQ21" s="27">
        <f>VLOOKUP(CQ20*1, BP$2:BR$12, 3, TRUE)*BR$1</f>
        <v>0.8</v>
      </c>
      <c r="CR21" s="27">
        <f>VLOOKUP(CR20*1, BS$2:BU$12, 3, TRUE)*BU$1</f>
        <v>0.60000000000000009</v>
      </c>
      <c r="CS21" s="1"/>
      <c r="CT21" s="1"/>
      <c r="CU21" s="60">
        <f>VLOOKUP(CU20*1, BM$28:BO$38, 3, TRUE)*BO$27</f>
        <v>0.8</v>
      </c>
      <c r="CV21" s="60">
        <f>VLOOKUP(CV20*1, BP$28:BR$38, 3, TRUE)*BR$27</f>
        <v>1.0499999999999998</v>
      </c>
      <c r="CW21" s="1"/>
      <c r="CX21" s="1"/>
      <c r="CY21" s="60">
        <f>VLOOKUP(CY20*1, BS$28:BU$38, 3, TRUE)*BU$27</f>
        <v>0.8</v>
      </c>
      <c r="CZ21" s="60">
        <f>VLOOKUP(CZ20*1, BV$28:BX$38, 3, TRUE)*BX$27</f>
        <v>0.75</v>
      </c>
      <c r="DA21" s="60">
        <f>VLOOKUP(DA20*1, BY$28:CA$38, 3, TRUE)*CA$27</f>
        <v>0.60000000000000009</v>
      </c>
      <c r="DH21" s="4"/>
      <c r="DI21" s="4"/>
      <c r="DJ21" s="58"/>
      <c r="DL21" s="58"/>
      <c r="DM21" s="58"/>
      <c r="DN21" s="58"/>
      <c r="DO21" s="58"/>
      <c r="DP21" s="58"/>
      <c r="DQ21" s="58"/>
      <c r="DR21" s="58"/>
      <c r="DU21" s="1"/>
      <c r="DX21" s="1"/>
      <c r="EA21" s="1"/>
      <c r="ED21" s="1"/>
      <c r="EE21" s="1"/>
      <c r="EF21" s="1"/>
      <c r="EG21" s="54"/>
      <c r="EK21" s="40" t="e">
        <f>EM21+EO21+EP21+EQ21+ER21-ES21-ET21+EU21</f>
        <v>#VALUE!</v>
      </c>
      <c r="EL21" s="42" t="e">
        <f>EX21+FA21+FD21+FG21+FH21+FI21</f>
        <v>#VALUE!</v>
      </c>
      <c r="EM21" s="38" t="e">
        <f>VLOOKUP(EM20*1, $FK$2:$FM$12, 3, TRUE)*$FM$1</f>
        <v>#VALUE!</v>
      </c>
      <c r="EO21" s="38" t="e">
        <f>VLOOKUP(EO20*1, $FN$2:$FP$12, 3, TRUE)*$FP$1</f>
        <v>#VALUE!</v>
      </c>
      <c r="EP21" s="38" t="e">
        <f>VLOOKUP(EP20*1, $FQ$2:$FS$12, 3, TRUE)*$FS$1</f>
        <v>#VALUE!</v>
      </c>
      <c r="EQ21" s="38" t="e">
        <f>VLOOKUP(EQ20*1, $FT$2:$FV$12, 3, TRUE)*$FV$1</f>
        <v>#VALUE!</v>
      </c>
      <c r="ER21" s="38" t="e">
        <f>VLOOKUP(ER20*1, $FW$2:$FY$12, 3, TRUE)*$FY$1</f>
        <v>#VALUE!</v>
      </c>
      <c r="ES21" s="39" t="e">
        <f>VLOOKUP(ES20*1, $FK$14:$FM$25, 3, TRUE)*$FM$14</f>
        <v>#VALUE!</v>
      </c>
      <c r="ET21" s="39" t="e">
        <f>VLOOKUP(ET20*1, $FN$14:$FP$25, 3, TRUE)*$FP$14</f>
        <v>#VALUE!</v>
      </c>
      <c r="EU21" s="38" t="e">
        <f>VLOOKUP(EU20*1, $FQ$14:$FS$25, 3, TRUE)*$FS$14</f>
        <v>#VALUE!</v>
      </c>
      <c r="EX21" s="41" t="e">
        <f>VLOOKUP(EX20*1, $FK$27:$FM$38, 3, TRUE)*$FM$27</f>
        <v>#VALUE!</v>
      </c>
      <c r="FA21" s="41" t="e">
        <f>VLOOKUP(FA20*1, $FN$27:$FP$38, 3, TRUE)*$FP$27</f>
        <v>#VALUE!</v>
      </c>
      <c r="FD21" s="41" t="e">
        <f>VLOOKUP(FD20*1, $FQ$27:$FS$38, 3, TRUE)*$FS$27</f>
        <v>#VALUE!</v>
      </c>
      <c r="FG21" s="41" t="e">
        <f>VLOOKUP(FG20*1, $FT$27:$FV$38, 3, TRUE)*$FV$27</f>
        <v>#VALUE!</v>
      </c>
      <c r="FH21" s="41" t="e">
        <f>VLOOKUP(FH20*1, $FW$27:$FY$38, 3, TRUE)*$FY$27</f>
        <v>#VALUE!</v>
      </c>
      <c r="FI21" s="41" t="e">
        <f>VLOOKUP(FI20*1, $FK$40:$FM$51, 3, TRUE)*$FM$40</f>
        <v>#VALUE!</v>
      </c>
      <c r="FK21" s="22">
        <v>2.31</v>
      </c>
      <c r="FL21" s="19">
        <v>2.7</v>
      </c>
      <c r="FM21" s="23">
        <v>6</v>
      </c>
      <c r="FN21" s="22">
        <v>2.61</v>
      </c>
      <c r="FO21" s="19">
        <v>3</v>
      </c>
      <c r="FP21" s="23">
        <v>6</v>
      </c>
      <c r="FQ21" s="22">
        <v>2.31</v>
      </c>
      <c r="FR21" s="19">
        <v>2.7</v>
      </c>
      <c r="FS21" s="23">
        <v>6</v>
      </c>
      <c r="FY21" s="20"/>
    </row>
    <row r="22" spans="1:181">
      <c r="V22" s="82" t="e">
        <f>C13</f>
        <v>#N/A</v>
      </c>
      <c r="W22" t="e">
        <f>E13</f>
        <v>#N/A</v>
      </c>
      <c r="X22" s="17" t="e">
        <f t="array" aca="1" ref="X22" ca="1">_xlfn.LET(_xlpm.s,SUBSTITUTE(Y22,".",""),_xlpm.c,RIGHT(_xlpm.s,1),_xlpm.n,ROW(INDIRECT("1:"&amp;LEN(_xlpm.s))),_xlpm.cnt,MAX(IF(RIGHT(_xlpm.s,_xlpm.n)=REPT(_xlpm.c,_xlpm.n),_xlpm.n,0)),IF(_xlpm.cnt&gt;=2,_xlpm.cnt&amp;"連"&amp;_xlpm.c,"1"&amp;_xlpm.c))</f>
        <v>#N/A</v>
      </c>
      <c r="Y22" s="82" t="e">
        <f t="array" ref="Y22">INDEX(各隊正負!$F:$F, MATCH("*"&amp;$W22&amp;"*", 各隊正負!$A:$A, 0)+6)</f>
        <v>#N/A</v>
      </c>
      <c r="Z22" s="100"/>
      <c r="AA22" s="100"/>
      <c r="AB22" s="82" t="e">
        <f t="array" ref="AB22">INDEX(各隊正負!$F:$F, MATCH("*"&amp;$W22&amp;"*", 各隊正負!$A:$A, 0)+4)</f>
        <v>#N/A</v>
      </c>
      <c r="AC22" s="78"/>
      <c r="AD22" s="78"/>
      <c r="AE22" s="1" t="e">
        <f t="array" aca="1" ref="AE22" ca="1">_xlfn.LET(_xlpm.s,SUBSTITUTE(AB22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2" s="19" t="e">
        <f>E13</f>
        <v>#N/A</v>
      </c>
      <c r="AG22" s="1" t="str">
        <f t="array" ref="AG22">IFERROR(INDEX(各隊total!$B:$AB, MATCH($AF22, 各隊total!$A:$A, 0), COLUMN(A21)), "")</f>
        <v/>
      </c>
      <c r="AH22" s="32" t="e">
        <f>CB43</f>
        <v>#VALUE!</v>
      </c>
      <c r="AI22" s="61" t="e">
        <f t="shared" si="0"/>
        <v>#VALUE!</v>
      </c>
      <c r="AJ22" s="6" t="e">
        <f>CC43</f>
        <v>#VALUE!</v>
      </c>
      <c r="AK22" s="60" t="e">
        <f t="shared" si="1"/>
        <v>#VALUE!</v>
      </c>
      <c r="AL22" s="1" t="str">
        <f t="array" ref="AL22">IFERROR(INDEX(各隊total!$C:$AB, MATCH($AF22, 各隊total!$A:$A, 0), COLUMN(A21)), "")</f>
        <v/>
      </c>
      <c r="AM22" s="1" t="str">
        <f t="array" ref="AM22">IFERROR(INDEX(各隊total!$D:$AB, MATCH($AF22, 各隊total!$A:$A, 0), COLUMN(A21)), "")</f>
        <v/>
      </c>
      <c r="AN22" s="1" t="str">
        <f t="array" ref="AN22">IFERROR(INDEX(各隊total!$E:$AB, MATCH($AF22, 各隊total!$A:$A, 0), COLUMN(A21)), "")</f>
        <v/>
      </c>
      <c r="AO22" s="1" t="str">
        <f t="array" ref="AO22">IFERROR(INDEX(各隊total!$F:$AB, MATCH($AF22, 各隊total!$A:$A, 0), COLUMN(A21)), "")</f>
        <v/>
      </c>
      <c r="AP22" s="1" t="str">
        <f t="array" ref="AP22">IFERROR(INDEX(各隊total!$G:$AB, MATCH($AF22, 各隊total!$A:$A, 0), COLUMN(A21)), "")</f>
        <v/>
      </c>
      <c r="AQ22" s="1" t="str">
        <f t="array" ref="AQ22">IFERROR(INDEX(各隊total!$H:$AB, MATCH($AF22, 各隊total!$A:$A, 0), COLUMN(A21)), "")</f>
        <v/>
      </c>
      <c r="AR22" s="1" t="str">
        <f t="array" ref="AR22">IFERROR(INDEX(各隊total!$I:$AB, MATCH($AF22, 各隊total!$A:$A, 0), COLUMN(A21)), "")</f>
        <v/>
      </c>
      <c r="AS22" s="1" t="str">
        <f t="array" ref="AS22">IFERROR(INDEX(各隊total!$J:$AB, MATCH($AF22, 各隊total!$A:$A, 0), COLUMN(A21)), "")</f>
        <v/>
      </c>
      <c r="AT22" s="1" t="str">
        <f t="array" ref="AT22">IFERROR(INDEX(各隊total!$K:$AB, MATCH($AF22, 各隊total!$A:$A, 0), COLUMN(A21)), "")</f>
        <v/>
      </c>
      <c r="AU22" s="1" t="str">
        <f t="array" ref="AU22">IFERROR(INDEX(各隊total!$L:$AB, MATCH($AF22, 各隊total!$A:$A, 0), COLUMN(A21)), "")</f>
        <v/>
      </c>
      <c r="AV22" s="1" t="str">
        <f t="array" ref="AV22">IFERROR(INDEX(各隊total!$M:$AB, MATCH($AF22, 各隊total!$A:$A, 0), COLUMN(A21)), "")</f>
        <v/>
      </c>
      <c r="AW22" s="1" t="str">
        <f t="array" ref="AW22">IFERROR(INDEX(各隊total!$N:$AB, MATCH($AF22, 各隊total!$A:$A, 0), COLUMN(A21)), "")</f>
        <v/>
      </c>
      <c r="AX22" s="1" t="str">
        <f t="array" ref="AX22">IFERROR(INDEX(各隊total!$O:$AB, MATCH($AF22, 各隊total!$A:$A, 0), COLUMN(A21)), "")</f>
        <v/>
      </c>
      <c r="AY22" s="1" t="str">
        <f t="array" ref="AY22">IFERROR(INDEX(各隊total!$P:$AB, MATCH($AF22, 各隊total!$A:$A, 0), COLUMN(A21)), "")</f>
        <v/>
      </c>
      <c r="AZ22" s="1" t="str">
        <f t="array" ref="AZ22">IFERROR(INDEX(各隊total!$Q:$AB, MATCH($AF22, 各隊total!$A:$A, 0), COLUMN(A21)), "")</f>
        <v/>
      </c>
      <c r="BA22" s="1" t="str">
        <f t="array" ref="BA22">IFERROR(INDEX(各隊total!$R:$AB, MATCH($AF22, 各隊total!$A:$A, 0), COLUMN(A21)), "")</f>
        <v/>
      </c>
      <c r="BB22" s="1" t="str">
        <f t="array" ref="BB22">IFERROR(INDEX(各隊total!$S:$AB, MATCH($AF22, 各隊total!$A:$A, 0), COLUMN(A21)), "")</f>
        <v/>
      </c>
      <c r="BC22" s="1" t="str">
        <f t="array" ref="BC22">IFERROR(INDEX(各隊total!$T:$AB, MATCH($AF22, 各隊total!$A:$A, 0), COLUMN(A21)), "")</f>
        <v/>
      </c>
      <c r="BD22" s="1" t="str">
        <f t="array" ref="BD22">IFERROR(INDEX(各隊total!$U:$AB, MATCH($AF22, 各隊total!$A:$A, 0), COLUMN(A21)), "")</f>
        <v/>
      </c>
      <c r="BE22" s="1" t="str">
        <f t="array" ref="BE22">IFERROR(INDEX(各隊total!$V:$AB, MATCH($AF22, 各隊total!$A:$A, 0), COLUMN(A21)), "")</f>
        <v/>
      </c>
      <c r="BF22" s="1" t="str">
        <f t="array" ref="BF22">IFERROR(INDEX(各隊total!$W:$AB, MATCH($AF22, 各隊total!$A:$A, 0), COLUMN(A21)), "")</f>
        <v/>
      </c>
      <c r="BG22" s="1" t="str">
        <f t="array" ref="BG22">IFERROR(INDEX(各隊total!$X:$AB, MATCH($AF22, 各隊total!$A:$A, 0), COLUMN(A21)), "")</f>
        <v/>
      </c>
      <c r="BH22" s="1" t="str">
        <f t="array" ref="BH22">IFERROR(INDEX(各隊total!$Y:$AB, MATCH($AF22, 各隊total!$A:$A, 0), COLUMN(A21)), "")</f>
        <v/>
      </c>
      <c r="BI22" s="1" t="str">
        <f t="array" ref="BI22">IFERROR(INDEX(各隊total!$Z:$AB, MATCH($AF22, 各隊total!$A:$A, 0), COLUMN(A21)), "")</f>
        <v/>
      </c>
      <c r="BJ22" s="1" t="str">
        <f t="array" ref="BJ22">IFERROR(INDEX(各隊total!$AA:$AB, MATCH($AF22, 各隊total!$A:$A, 0), COLUMN(A21)), "")</f>
        <v/>
      </c>
      <c r="BK22" s="1" t="str">
        <f t="array" ref="BK22">IFERROR(INDEX(各隊total!$AB:$AB, MATCH($AF22, 各隊total!$A:$A, 0), COLUMN(A21)), "")</f>
        <v/>
      </c>
      <c r="BL22" s="1" t="str">
        <f t="array" ref="BL22">IFERROR(INDEX(各隊total!$C:$AB, MATCH($AF22, 各隊total!$A:$A, 0), COLUMN(AA21)), "")</f>
        <v/>
      </c>
      <c r="BM22" s="22">
        <v>1.51</v>
      </c>
      <c r="BN22" s="19">
        <v>1.7</v>
      </c>
      <c r="BO22" s="23">
        <v>7</v>
      </c>
      <c r="BP22" s="22">
        <v>0.53</v>
      </c>
      <c r="BQ22" s="19">
        <v>0.6</v>
      </c>
      <c r="BR22" s="23">
        <v>7</v>
      </c>
      <c r="BS22" s="22">
        <v>0.91</v>
      </c>
      <c r="BT22" s="19">
        <v>1.1000000000000001</v>
      </c>
      <c r="BU22" s="23">
        <v>7</v>
      </c>
      <c r="BV22" s="22">
        <v>5.51</v>
      </c>
      <c r="BW22" s="19">
        <v>6</v>
      </c>
      <c r="BX22" s="23" t="s">
        <v>542</v>
      </c>
      <c r="BY22" s="22">
        <v>5.51</v>
      </c>
      <c r="BZ22" s="19">
        <v>6</v>
      </c>
      <c r="CA22" s="23" t="s">
        <v>542</v>
      </c>
      <c r="CB22" s="19" t="str">
        <f>AF12</f>
        <v>洋基</v>
      </c>
      <c r="CC22" s="29"/>
      <c r="CD22" s="1" t="str">
        <f>AG12</f>
        <v>28</v>
      </c>
      <c r="CE22" s="1" t="str">
        <f t="shared" ref="CE22:DD22" si="12">AL12</f>
        <v>916</v>
      </c>
      <c r="CF22" s="1" t="str">
        <f t="shared" si="12"/>
        <v>146</v>
      </c>
      <c r="CG22" s="1" t="str">
        <f t="shared" si="12"/>
        <v>213</v>
      </c>
      <c r="CH22" s="1" t="str">
        <f t="shared" si="12"/>
        <v>43</v>
      </c>
      <c r="CI22" s="1" t="str">
        <f t="shared" si="12"/>
        <v>4</v>
      </c>
      <c r="CJ22" s="1" t="str">
        <f t="shared" si="12"/>
        <v>43</v>
      </c>
      <c r="CK22" s="1" t="str">
        <f t="shared" si="12"/>
        <v>138</v>
      </c>
      <c r="CL22" s="1" t="str">
        <f t="shared" si="12"/>
        <v>393</v>
      </c>
      <c r="CM22" s="1" t="str">
        <f t="shared" si="12"/>
        <v>134</v>
      </c>
      <c r="CN22" s="1" t="str">
        <f t="shared" si="12"/>
        <v>259</v>
      </c>
      <c r="CO22" s="1" t="str">
        <f t="shared" si="12"/>
        <v>31</v>
      </c>
      <c r="CP22" s="1" t="str">
        <f t="shared" si="12"/>
        <v>.233</v>
      </c>
      <c r="CQ22" s="1" t="str">
        <f t="shared" si="12"/>
        <v>.331</v>
      </c>
      <c r="CR22" s="1" t="str">
        <f t="shared" si="12"/>
        <v>.429</v>
      </c>
      <c r="CS22" s="1" t="str">
        <f t="shared" si="12"/>
        <v>.760</v>
      </c>
      <c r="CT22" s="1">
        <f t="shared" si="12"/>
        <v>0</v>
      </c>
      <c r="CU22" s="1" t="str">
        <f t="shared" si="12"/>
        <v>136.7</v>
      </c>
      <c r="CV22" s="1" t="str">
        <f t="shared" si="12"/>
        <v>5.0</v>
      </c>
      <c r="CW22" s="1" t="str">
        <f t="shared" si="12"/>
        <v>.126</v>
      </c>
      <c r="CX22" s="1" t="str">
        <f t="shared" si="12"/>
        <v>0.52</v>
      </c>
      <c r="CY22" s="1" t="str">
        <f t="shared" si="12"/>
        <v>.197</v>
      </c>
      <c r="CZ22" s="1" t="str">
        <f t="shared" si="12"/>
        <v>.369</v>
      </c>
      <c r="DA22" s="1" t="str">
        <f t="shared" si="12"/>
        <v>4.02</v>
      </c>
      <c r="DB22" s="1" t="str">
        <f t="shared" si="12"/>
        <v>90</v>
      </c>
      <c r="DC22" s="1" t="str">
        <f t="shared" si="12"/>
        <v>1066</v>
      </c>
      <c r="DD22" s="1" t="str">
        <f t="shared" si="12"/>
        <v>21.3</v>
      </c>
      <c r="DF22" s="33"/>
      <c r="DG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56"/>
      <c r="EI22" s="37">
        <f>先發名單!Y$2</f>
        <v>0</v>
      </c>
      <c r="EJ22" s="4" t="str">
        <f t="array" ref="EJ22">IFERROR(INDEX(球員狀態!$C$2:$C$5000, MATCH(1, (球員狀態!$A$2:$A$5000=$EI$1)*(ISNUMBER(SEARCH($EI22, 球員狀態!$B$2:$B$5000))), 0)), "")</f>
        <v/>
      </c>
      <c r="EM22" s="4" t="str">
        <f t="array" ref="EM22">IFERROR(INDEX(球員狀態!F$2:F$5000, MATCH(1, (球員狀態!$A$2:$A$5000=$EI$1)*(ISNUMBER(SEARCH($EI22, 球員狀態!$B$2:$B$5000))), 0)), "")</f>
        <v/>
      </c>
      <c r="EN22" s="4" t="str">
        <f t="array" ref="EN22">IFERROR(INDEX(球員狀態!G$2:G$5000, MATCH(1, (球員狀態!$A$2:$A$5000=$EI$1)*(ISNUMBER(SEARCH($EI22, 球員狀態!$B$2:$B$5000))), 0)), "")</f>
        <v/>
      </c>
      <c r="EO22" s="4" t="str">
        <f t="array" ref="EO22">IFERROR(INDEX(球員狀態!H$2:H$5000, MATCH(1, (球員狀態!$A$2:$A$5000=$EI$1)*(ISNUMBER(SEARCH($EI22, 球員狀態!$B$2:$B$5000))), 0)), "")</f>
        <v/>
      </c>
      <c r="EP22" s="4" t="str">
        <f t="array" ref="EP22">IFERROR(INDEX(球員狀態!I$2:I$5000, MATCH(1, (球員狀態!$A$2:$A$5000=$EI$1)*(ISNUMBER(SEARCH($EI22, 球員狀態!$B$2:$B$5000))), 0)), "")</f>
        <v/>
      </c>
      <c r="EQ22" s="4" t="str">
        <f t="array" ref="EQ22">IFERROR(INDEX(球員狀態!J$2:J$5000, MATCH(1, (球員狀態!$A$2:$A$5000=$EI$1)*(ISNUMBER(SEARCH($EI22, 球員狀態!$B$2:$B$5000))), 0)), "")</f>
        <v/>
      </c>
      <c r="ER22" s="4" t="str">
        <f t="array" ref="ER22">IFERROR(INDEX(球員狀態!K$2:K$5000, MATCH(1, (球員狀態!$A$2:$A$5000=$EI$1)*(ISNUMBER(SEARCH($EI22, 球員狀態!$B$2:$B$5000))), 0)), "")</f>
        <v/>
      </c>
      <c r="ES22" s="4" t="str">
        <f t="array" ref="ES22">IFERROR(INDEX(球員狀態!L$2:L$5000, MATCH(1, (球員狀態!$A$2:$A$5000=$EI$1)*(ISNUMBER(SEARCH($EI22, 球員狀態!$B$2:$B$5000))), 0)), "")</f>
        <v/>
      </c>
      <c r="ET22" s="4" t="str">
        <f t="array" ref="ET22">IFERROR(INDEX(球員狀態!M$2:M$5000, MATCH(1, (球員狀態!$A$2:$A$5000=$EI$1)*(ISNUMBER(SEARCH($EI22, 球員狀態!$B$2:$B$5000))), 0)), "")</f>
        <v/>
      </c>
      <c r="EU22" s="4" t="str">
        <f t="array" ref="EU22">IFERROR(INDEX(球員狀態!N$2:N$5000, MATCH(1, (球員狀態!$A$2:$A$5000=$EI$1)*(ISNUMBER(SEARCH($EI22, 球員狀態!$B$2:$B$5000))), 0)), "")</f>
        <v/>
      </c>
      <c r="EV22" s="4" t="str">
        <f t="array" ref="EV22">IFERROR(INDEX(球員狀態!O$2:O$5000, MATCH(1, (球員狀態!$A$2:$A$5000=$EI$1)*(ISNUMBER(SEARCH($EI22, 球員狀態!$B$2:$B$5000))), 0)), "")</f>
        <v/>
      </c>
      <c r="EW22" s="4" t="str">
        <f t="array" ref="EW22">IFERROR(INDEX(球員狀態!P$2:P$5000, MATCH(1, (球員狀態!$A$2:$A$5000=$EI$1)*(ISNUMBER(SEARCH($EI22, 球員狀態!$B$2:$B$5000))), 0)), "")</f>
        <v/>
      </c>
      <c r="EX22" s="4" t="str">
        <f t="array" ref="EX22">IFERROR(INDEX(球員狀態!Q$2:Q$5000, MATCH(1, (球員狀態!$A$2:$A$5000=$EI$1)*(ISNUMBER(SEARCH($EI22, 球員狀態!$B$2:$B$5000))), 0)), "")</f>
        <v/>
      </c>
      <c r="EY22" s="4" t="str">
        <f t="array" ref="EY22">IFERROR(INDEX(球員狀態!R$2:R$5000, MATCH(1, (球員狀態!$A$2:$A$5000=$EI$1)*(ISNUMBER(SEARCH($EI22, 球員狀態!$B$2:$B$5000))), 0)), "")</f>
        <v/>
      </c>
      <c r="EZ22" s="4" t="str">
        <f t="array" ref="EZ22">IFERROR(INDEX(球員狀態!S$2:S$5000, MATCH(1, (球員狀態!$A$2:$A$5000=$EI$1)*(ISNUMBER(SEARCH($EI22, 球員狀態!$B$2:$B$5000))), 0)), "")</f>
        <v/>
      </c>
      <c r="FA22" s="4" t="str">
        <f t="array" ref="FA22">IFERROR(INDEX(球員狀態!T$2:T$5000, MATCH(1, (球員狀態!$A$2:$A$5000=$EI$1)*(ISNUMBER(SEARCH($EI22, 球員狀態!$B$2:$B$5000))), 0)), "")</f>
        <v/>
      </c>
      <c r="FB22" s="4" t="str">
        <f t="array" ref="FB22">IFERROR(INDEX(球員狀態!U$2:U$5000, MATCH(1, (球員狀態!$A$2:$A$5000=$EI$1)*(ISNUMBER(SEARCH($EI22, 球員狀態!$B$2:$B$5000))), 0)), "")</f>
        <v/>
      </c>
      <c r="FC22" s="4" t="str">
        <f t="array" ref="FC22">IFERROR(INDEX(球員狀態!V$2:V$5000, MATCH(1, (球員狀態!$A$2:$A$5000=$EI$1)*(ISNUMBER(SEARCH($EI22, 球員狀態!$B$2:$B$5000))), 0)), "")</f>
        <v/>
      </c>
      <c r="FD22" s="4" t="str">
        <f t="array" ref="FD22">IFERROR(INDEX(球員狀態!W$2:W$5000, MATCH(1, (球員狀態!$A$2:$A$5000=$EI$1)*(ISNUMBER(SEARCH($EI22, 球員狀態!$B$2:$B$5000))), 0)), "")</f>
        <v/>
      </c>
      <c r="FE22" s="4" t="str">
        <f t="array" ref="FE22">IFERROR(INDEX(球員狀態!X$2:X$5000, MATCH(1, (球員狀態!$A$2:$A$5000=$EI$1)*(ISNUMBER(SEARCH($EI22, 球員狀態!$B$2:$B$5000))), 0)), "")</f>
        <v/>
      </c>
      <c r="FF22" s="4" t="str">
        <f t="array" ref="FF22">IFERROR(INDEX(球員狀態!Y$2:Y$5000, MATCH(1, (球員狀態!$A$2:$A$5000=$EI$1)*(ISNUMBER(SEARCH($EI22, 球員狀態!$B$2:$B$5000))), 0)), "")</f>
        <v/>
      </c>
      <c r="FG22" s="4" t="str">
        <f t="array" ref="FG22">IFERROR(INDEX(球員狀態!Z$2:Z$5000, MATCH(1, (球員狀態!$A$2:$A$5000=$EI$1)*(ISNUMBER(SEARCH($EI22, 球員狀態!$B$2:$B$5000))), 0)), "")</f>
        <v/>
      </c>
      <c r="FH22" s="4" t="str">
        <f t="array" ref="FH22">IFERROR(INDEX(球員狀態!AA$2:AA$5000, MATCH(1, (球員狀態!$A$2:$A$5000=$EI$1)*(ISNUMBER(SEARCH($EI22, 球員狀態!$B$2:$B$5000))), 0)), "")</f>
        <v/>
      </c>
      <c r="FI22" s="4" t="str">
        <f t="array" ref="FI22">IFERROR(INDEX(球員狀態!AB$2:AB$5000, MATCH(1, (球員狀態!$A$2:$A$5000=$EI$1)*(ISNUMBER(SEARCH($EI22, 球員狀態!$B$2:$B$5000))), 0)), "")</f>
        <v/>
      </c>
      <c r="FK22" s="22">
        <v>2.71</v>
      </c>
      <c r="FL22" s="19">
        <v>3.2</v>
      </c>
      <c r="FM22" s="23">
        <v>7</v>
      </c>
      <c r="FN22" s="22">
        <v>3.01</v>
      </c>
      <c r="FO22" s="19">
        <v>3.4</v>
      </c>
      <c r="FP22" s="23">
        <v>7</v>
      </c>
      <c r="FQ22" s="22">
        <v>2.71</v>
      </c>
      <c r="FR22" s="19">
        <v>3.2</v>
      </c>
      <c r="FS22" s="23">
        <v>7</v>
      </c>
      <c r="FY22" s="20"/>
    </row>
    <row r="23" spans="1:181">
      <c r="V23" s="78"/>
      <c r="W23" t="e">
        <f>I13</f>
        <v>#N/A</v>
      </c>
      <c r="X23" s="17" t="e">
        <f t="array" aca="1" ref="X23" ca="1">_xlfn.LET(_xlpm.s,SUBSTITUTE(Y23,".",""),_xlpm.c,RIGHT(_xlpm.s,1),_xlpm.n,ROW(INDIRECT("1:"&amp;LEN(_xlpm.s))),_xlpm.cnt,MAX(IF(RIGHT(_xlpm.s,_xlpm.n)=REPT(_xlpm.c,_xlpm.n),_xlpm.n,0)),IF(_xlpm.cnt&gt;=2,_xlpm.cnt&amp;"連"&amp;_xlpm.c,"1"&amp;_xlpm.c))</f>
        <v>#N/A</v>
      </c>
      <c r="Y23" s="82" t="e">
        <f t="array" ref="Y23">INDEX(各隊正負!$F:$F, MATCH("*"&amp;$W23&amp;"*", 各隊正負!$A:$A, 0)+6)</f>
        <v>#N/A</v>
      </c>
      <c r="Z23" s="100"/>
      <c r="AA23" s="100"/>
      <c r="AB23" s="82" t="e">
        <f t="array" ref="AB23">INDEX(各隊正負!$F:$F, MATCH("*"&amp;$W23&amp;"*", 各隊正負!$A:$A, 0)+4)</f>
        <v>#N/A</v>
      </c>
      <c r="AC23" s="78"/>
      <c r="AD23" s="78"/>
      <c r="AE23" s="1" t="e">
        <f t="array" aca="1" ref="AE23" ca="1">_xlfn.LET(_xlpm.s,SUBSTITUTE(AB23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3" s="19" t="e">
        <f>I13</f>
        <v>#N/A</v>
      </c>
      <c r="AG23" s="1" t="str">
        <f t="array" ref="AG23">IFERROR(INDEX(各隊total!$B:$AB, MATCH($AF23, 各隊total!$A:$A, 0), COLUMN(A22)), "")</f>
        <v/>
      </c>
      <c r="AH23" s="32" t="e">
        <f>CB45</f>
        <v>#VALUE!</v>
      </c>
      <c r="AI23" s="61" t="e">
        <f t="shared" si="0"/>
        <v>#VALUE!</v>
      </c>
      <c r="AJ23" s="6" t="e">
        <f>CC45</f>
        <v>#VALUE!</v>
      </c>
      <c r="AK23" s="60" t="e">
        <f t="shared" si="1"/>
        <v>#VALUE!</v>
      </c>
      <c r="AL23" s="1" t="str">
        <f t="array" ref="AL23">IFERROR(INDEX(各隊total!$C:$AB, MATCH($AF23, 各隊total!$A:$A, 0), COLUMN(A22)), "")</f>
        <v/>
      </c>
      <c r="AM23" s="1" t="str">
        <f t="array" ref="AM23">IFERROR(INDEX(各隊total!$D:$AB, MATCH($AF23, 各隊total!$A:$A, 0), COLUMN(A22)), "")</f>
        <v/>
      </c>
      <c r="AN23" s="1" t="str">
        <f t="array" ref="AN23">IFERROR(INDEX(各隊total!$E:$AB, MATCH($AF23, 各隊total!$A:$A, 0), COLUMN(A22)), "")</f>
        <v/>
      </c>
      <c r="AO23" s="1" t="str">
        <f t="array" ref="AO23">IFERROR(INDEX(各隊total!$F:$AB, MATCH($AF23, 各隊total!$A:$A, 0), COLUMN(A22)), "")</f>
        <v/>
      </c>
      <c r="AP23" s="1" t="str">
        <f t="array" ref="AP23">IFERROR(INDEX(各隊total!$G:$AB, MATCH($AF23, 各隊total!$A:$A, 0), COLUMN(A22)), "")</f>
        <v/>
      </c>
      <c r="AQ23" s="1" t="str">
        <f t="array" ref="AQ23">IFERROR(INDEX(各隊total!$H:$AB, MATCH($AF23, 各隊total!$A:$A, 0), COLUMN(A22)), "")</f>
        <v/>
      </c>
      <c r="AR23" s="1" t="str">
        <f t="array" ref="AR23">IFERROR(INDEX(各隊total!$I:$AB, MATCH($AF23, 各隊total!$A:$A, 0), COLUMN(A22)), "")</f>
        <v/>
      </c>
      <c r="AS23" s="1" t="str">
        <f t="array" ref="AS23">IFERROR(INDEX(各隊total!$J:$AB, MATCH($AF23, 各隊total!$A:$A, 0), COLUMN(A22)), "")</f>
        <v/>
      </c>
      <c r="AT23" s="1" t="str">
        <f t="array" ref="AT23">IFERROR(INDEX(各隊total!$K:$AB, MATCH($AF23, 各隊total!$A:$A, 0), COLUMN(A22)), "")</f>
        <v/>
      </c>
      <c r="AU23" s="1" t="str">
        <f t="array" ref="AU23">IFERROR(INDEX(各隊total!$L:$AB, MATCH($AF23, 各隊total!$A:$A, 0), COLUMN(A22)), "")</f>
        <v/>
      </c>
      <c r="AV23" s="1" t="str">
        <f t="array" ref="AV23">IFERROR(INDEX(各隊total!$M:$AB, MATCH($AF23, 各隊total!$A:$A, 0), COLUMN(A22)), "")</f>
        <v/>
      </c>
      <c r="AW23" s="1" t="str">
        <f t="array" ref="AW23">IFERROR(INDEX(各隊total!$N:$AB, MATCH($AF23, 各隊total!$A:$A, 0), COLUMN(A22)), "")</f>
        <v/>
      </c>
      <c r="AX23" s="1" t="str">
        <f t="array" ref="AX23">IFERROR(INDEX(各隊total!$O:$AB, MATCH($AF23, 各隊total!$A:$A, 0), COLUMN(A22)), "")</f>
        <v/>
      </c>
      <c r="AY23" s="1" t="str">
        <f t="array" ref="AY23">IFERROR(INDEX(各隊total!$P:$AB, MATCH($AF23, 各隊total!$A:$A, 0), COLUMN(A22)), "")</f>
        <v/>
      </c>
      <c r="AZ23" s="1" t="str">
        <f t="array" ref="AZ23">IFERROR(INDEX(各隊total!$Q:$AB, MATCH($AF23, 各隊total!$A:$A, 0), COLUMN(A22)), "")</f>
        <v/>
      </c>
      <c r="BA23" s="1" t="str">
        <f t="array" ref="BA23">IFERROR(INDEX(各隊total!$R:$AB, MATCH($AF23, 各隊total!$A:$A, 0), COLUMN(A22)), "")</f>
        <v/>
      </c>
      <c r="BB23" s="1" t="str">
        <f t="array" ref="BB23">IFERROR(INDEX(各隊total!$S:$AB, MATCH($AF23, 各隊total!$A:$A, 0), COLUMN(A22)), "")</f>
        <v/>
      </c>
      <c r="BC23" s="1" t="str">
        <f t="array" ref="BC23">IFERROR(INDEX(各隊total!$T:$AB, MATCH($AF23, 各隊total!$A:$A, 0), COLUMN(A22)), "")</f>
        <v/>
      </c>
      <c r="BD23" s="1" t="str">
        <f t="array" ref="BD23">IFERROR(INDEX(各隊total!$U:$AB, MATCH($AF23, 各隊total!$A:$A, 0), COLUMN(A22)), "")</f>
        <v/>
      </c>
      <c r="BE23" s="1" t="str">
        <f t="array" ref="BE23">IFERROR(INDEX(各隊total!$V:$AB, MATCH($AF23, 各隊total!$A:$A, 0), COLUMN(A22)), "")</f>
        <v/>
      </c>
      <c r="BF23" s="1" t="str">
        <f t="array" ref="BF23">IFERROR(INDEX(各隊total!$W:$AB, MATCH($AF23, 各隊total!$A:$A, 0), COLUMN(A22)), "")</f>
        <v/>
      </c>
      <c r="BG23" s="1" t="str">
        <f t="array" ref="BG23">IFERROR(INDEX(各隊total!$X:$AB, MATCH($AF23, 各隊total!$A:$A, 0), COLUMN(A22)), "")</f>
        <v/>
      </c>
      <c r="BH23" s="1" t="str">
        <f t="array" ref="BH23">IFERROR(INDEX(各隊total!$Y:$AB, MATCH($AF23, 各隊total!$A:$A, 0), COLUMN(A22)), "")</f>
        <v/>
      </c>
      <c r="BI23" s="1" t="str">
        <f t="array" ref="BI23">IFERROR(INDEX(各隊total!$Z:$AB, MATCH($AF23, 各隊total!$A:$A, 0), COLUMN(A22)), "")</f>
        <v/>
      </c>
      <c r="BJ23" s="1" t="str">
        <f t="array" ref="BJ23">IFERROR(INDEX(各隊total!$AA:$AB, MATCH($AF23, 各隊total!$A:$A, 0), COLUMN(A22)), "")</f>
        <v/>
      </c>
      <c r="BK23" s="1" t="str">
        <f t="array" ref="BK23">IFERROR(INDEX(各隊total!$AB:$AB, MATCH($AF23, 各隊total!$A:$A, 0), COLUMN(A22)), "")</f>
        <v/>
      </c>
      <c r="BL23" s="1" t="str">
        <f t="array" ref="BL23">IFERROR(INDEX(各隊total!$C:$AB, MATCH($AF23, 各隊total!$A:$A, 0), COLUMN(AA22)), "")</f>
        <v/>
      </c>
      <c r="BM23" s="22">
        <v>1.71</v>
      </c>
      <c r="BN23" s="19">
        <v>1.95</v>
      </c>
      <c r="BO23" s="23">
        <v>8</v>
      </c>
      <c r="BP23" s="22">
        <v>0.61</v>
      </c>
      <c r="BQ23" s="19">
        <v>0.7</v>
      </c>
      <c r="BR23" s="23">
        <v>8</v>
      </c>
      <c r="BS23" s="22">
        <v>1.1100000000000001</v>
      </c>
      <c r="BT23" s="19">
        <v>1.35</v>
      </c>
      <c r="BU23" s="23">
        <v>8</v>
      </c>
      <c r="BV23" s="22">
        <v>6.01</v>
      </c>
      <c r="BW23" s="19">
        <v>6.5</v>
      </c>
      <c r="BX23" s="23" t="s">
        <v>543</v>
      </c>
      <c r="BY23" s="22">
        <v>6.01</v>
      </c>
      <c r="BZ23" s="19">
        <v>6.5</v>
      </c>
      <c r="CA23" s="23" t="s">
        <v>543</v>
      </c>
      <c r="CB23" s="28">
        <f>CF23+CJ23+CK23+CM23+CO23+CP23+CQ23+CR23</f>
        <v>5.8000000000000007</v>
      </c>
      <c r="CC23" s="31">
        <f>CU23+CV23+CY23+CZ23+DA23</f>
        <v>7.25</v>
      </c>
      <c r="CD23" s="58"/>
      <c r="CE23" s="1"/>
      <c r="CF23" s="27">
        <f>VLOOKUP(ROUND(CF22/CD22, 2), $BV$2:$BX$12, 3, TRUE)*BX$1</f>
        <v>0.89999999999999991</v>
      </c>
      <c r="CG23" s="58"/>
      <c r="CH23" s="58"/>
      <c r="CI23" s="58"/>
      <c r="CJ23" s="27">
        <f>VLOOKUP(ROUND(CJ22/CD22, 2), $BM$15:$BO$25, 3, TRUE)*BO$14</f>
        <v>0.70000000000000007</v>
      </c>
      <c r="CK23" s="27">
        <f>VLOOKUP(ROUND(CK22/CD22, 2), $BY$2:$CA$12, 3, TRUE)*CA$1</f>
        <v>0.60000000000000009</v>
      </c>
      <c r="CL23" s="58"/>
      <c r="CM23" s="101">
        <f>VLOOKUP(ROUND(CM22/CN22, 2), $BP$15:$BR$25, 3, TRUE)*BR$14</f>
        <v>0.60000000000000009</v>
      </c>
      <c r="CN23" s="78"/>
      <c r="CO23" s="27">
        <f>VLOOKUP(ROUND(CO22/CD22, 2), $BS$15:$BU$25, 3, TRUE)*BU$14</f>
        <v>0.4</v>
      </c>
      <c r="CP23" s="27">
        <f>VLOOKUP(CP22*1, BM$2:BO$12, 3, TRUE)*BO$1</f>
        <v>0.4</v>
      </c>
      <c r="CQ23" s="27">
        <f>VLOOKUP(CQ22*1, BP$2:BR$12, 3, TRUE)*BR$1</f>
        <v>1.2000000000000002</v>
      </c>
      <c r="CR23" s="27">
        <f>VLOOKUP(CR22*1, BS$2:BU$12, 3, TRUE)*BU$1</f>
        <v>1</v>
      </c>
      <c r="CS23" s="1"/>
      <c r="CT23" s="1"/>
      <c r="CU23" s="60">
        <f>VLOOKUP(CU22*1, BM$28:BO$38, 3, TRUE)*BO$27</f>
        <v>1</v>
      </c>
      <c r="CV23" s="60">
        <f>VLOOKUP(CV22*1, BP$28:BR$38, 3, TRUE)*BR$27</f>
        <v>2.0999999999999996</v>
      </c>
      <c r="CW23" s="1"/>
      <c r="CX23" s="1"/>
      <c r="CY23" s="60">
        <f>VLOOKUP(CY22*1, BS$28:BU$38, 3, TRUE)*BU$27</f>
        <v>1.4000000000000001</v>
      </c>
      <c r="CZ23" s="60">
        <f>VLOOKUP(CZ22*1, BV$28:BX$38, 3, TRUE)*BX$27</f>
        <v>1.3499999999999999</v>
      </c>
      <c r="DA23" s="60">
        <f>VLOOKUP(DA22*1, BY$28:CA$38, 3, TRUE)*CA$27</f>
        <v>1.4000000000000001</v>
      </c>
      <c r="DH23" s="4"/>
      <c r="DI23" s="4"/>
      <c r="DJ23" s="58"/>
      <c r="DL23" s="58"/>
      <c r="DM23" s="58"/>
      <c r="DN23" s="58"/>
      <c r="DO23" s="58"/>
      <c r="DP23" s="58"/>
      <c r="DQ23" s="58"/>
      <c r="DR23" s="58"/>
      <c r="DU23" s="1"/>
      <c r="DX23" s="1"/>
      <c r="EA23" s="1"/>
      <c r="ED23" s="1"/>
      <c r="EE23" s="1"/>
      <c r="EF23" s="1"/>
      <c r="EG23" s="54"/>
      <c r="EK23" s="40" t="e">
        <f>EM23+EO23+EP23+EQ23+ER23-ES23-ET23+EU23</f>
        <v>#VALUE!</v>
      </c>
      <c r="EL23" s="42" t="e">
        <f>EX23+FA23+FD23+FG23+FH23+FI23</f>
        <v>#VALUE!</v>
      </c>
      <c r="EM23" s="38" t="e">
        <f>VLOOKUP(EM22*1, $FK$2:$FM$12, 3, TRUE)*$FM$1</f>
        <v>#VALUE!</v>
      </c>
      <c r="EO23" s="38" t="e">
        <f>VLOOKUP(EO22*1, $FN$2:$FP$12, 3, TRUE)*$FP$1</f>
        <v>#VALUE!</v>
      </c>
      <c r="EP23" s="38" t="e">
        <f>VLOOKUP(EP22*1, $FQ$2:$FS$12, 3, TRUE)*$FS$1</f>
        <v>#VALUE!</v>
      </c>
      <c r="EQ23" s="38" t="e">
        <f>VLOOKUP(EQ22*1, $FT$2:$FV$12, 3, TRUE)*$FV$1</f>
        <v>#VALUE!</v>
      </c>
      <c r="ER23" s="38" t="e">
        <f>VLOOKUP(ER22*1, $FW$2:$FY$12, 3, TRUE)*$FY$1</f>
        <v>#VALUE!</v>
      </c>
      <c r="ES23" s="39" t="e">
        <f>VLOOKUP(ES22*1, $FK$14:$FM$25, 3, TRUE)*$FM$14</f>
        <v>#VALUE!</v>
      </c>
      <c r="ET23" s="39" t="e">
        <f>VLOOKUP(ET22*1, $FN$14:$FP$25, 3, TRUE)*$FP$14</f>
        <v>#VALUE!</v>
      </c>
      <c r="EU23" s="38" t="e">
        <f>VLOOKUP(EU22*1, $FQ$14:$FS$25, 3, TRUE)*$FS$14</f>
        <v>#VALUE!</v>
      </c>
      <c r="EX23" s="41" t="e">
        <f>VLOOKUP(EX22*1, $FK$27:$FM$38, 3, TRUE)*$FM$27</f>
        <v>#VALUE!</v>
      </c>
      <c r="FA23" s="41" t="e">
        <f>VLOOKUP(FA22*1, $FN$27:$FP$38, 3, TRUE)*$FP$27</f>
        <v>#VALUE!</v>
      </c>
      <c r="FD23" s="41" t="e">
        <f>VLOOKUP(FD22*1, $FQ$27:$FS$38, 3, TRUE)*$FS$27</f>
        <v>#VALUE!</v>
      </c>
      <c r="FG23" s="41" t="e">
        <f>VLOOKUP(FG22*1, $FT$27:$FV$38, 3, TRUE)*$FV$27</f>
        <v>#VALUE!</v>
      </c>
      <c r="FH23" s="41" t="e">
        <f>VLOOKUP(FH22*1, $FW$27:$FY$38, 3, TRUE)*$FY$27</f>
        <v>#VALUE!</v>
      </c>
      <c r="FI23" s="41" t="e">
        <f>VLOOKUP(FI22*1, $FK$40:$FM$51, 3, TRUE)*$FM$40</f>
        <v>#VALUE!</v>
      </c>
      <c r="FK23" s="22">
        <v>3.21</v>
      </c>
      <c r="FL23" s="19">
        <v>3.8</v>
      </c>
      <c r="FM23" s="23">
        <v>8</v>
      </c>
      <c r="FN23" s="22">
        <v>3.41</v>
      </c>
      <c r="FO23" s="19">
        <v>3.8</v>
      </c>
      <c r="FP23" s="23">
        <v>8</v>
      </c>
      <c r="FQ23" s="22">
        <v>3.21</v>
      </c>
      <c r="FR23" s="19">
        <v>3.8</v>
      </c>
      <c r="FS23" s="23">
        <v>8</v>
      </c>
      <c r="FY23" s="20"/>
    </row>
    <row r="24" spans="1:181">
      <c r="V24" s="82" t="e">
        <f>C14</f>
        <v>#N/A</v>
      </c>
      <c r="W24" t="e">
        <f>E14</f>
        <v>#N/A</v>
      </c>
      <c r="X24" s="17" t="e">
        <f t="array" aca="1" ref="X24" ca="1">_xlfn.LET(_xlpm.s,SUBSTITUTE(Y24,".",""),_xlpm.c,RIGHT(_xlpm.s,1),_xlpm.n,ROW(INDIRECT("1:"&amp;LEN(_xlpm.s))),_xlpm.cnt,MAX(IF(RIGHT(_xlpm.s,_xlpm.n)=REPT(_xlpm.c,_xlpm.n),_xlpm.n,0)),IF(_xlpm.cnt&gt;=2,_xlpm.cnt&amp;"連"&amp;_xlpm.c,"1"&amp;_xlpm.c))</f>
        <v>#N/A</v>
      </c>
      <c r="Y24" s="82" t="e">
        <f t="array" ref="Y24">INDEX(各隊正負!$F:$F, MATCH("*"&amp;$W24&amp;"*", 各隊正負!$A:$A, 0)+6)</f>
        <v>#N/A</v>
      </c>
      <c r="Z24" s="100"/>
      <c r="AA24" s="100"/>
      <c r="AB24" s="82" t="e">
        <f t="array" ref="AB24">INDEX(各隊正負!$F:$F, MATCH("*"&amp;$W24&amp;"*", 各隊正負!$A:$A, 0)+4)</f>
        <v>#N/A</v>
      </c>
      <c r="AC24" s="78"/>
      <c r="AD24" s="78"/>
      <c r="AE24" s="1" t="e">
        <f t="array" aca="1" ref="AE24" ca="1">_xlfn.LET(_xlpm.s,SUBSTITUTE(AB24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4" s="19" t="e">
        <f>E14</f>
        <v>#N/A</v>
      </c>
      <c r="AG24" s="1" t="str">
        <f t="array" ref="AG24">IFERROR(INDEX(各隊total!$B:$AB, MATCH($AF24, 各隊total!$A:$A, 0), COLUMN(A23)), "")</f>
        <v/>
      </c>
      <c r="AH24" s="32" t="e">
        <f>CB47</f>
        <v>#VALUE!</v>
      </c>
      <c r="AI24" s="61" t="e">
        <f t="shared" si="0"/>
        <v>#VALUE!</v>
      </c>
      <c r="AJ24" s="6" t="e">
        <f>CC47</f>
        <v>#VALUE!</v>
      </c>
      <c r="AK24" s="60" t="e">
        <f t="shared" si="1"/>
        <v>#VALUE!</v>
      </c>
      <c r="AL24" s="1" t="str">
        <f t="array" ref="AL24">IFERROR(INDEX(各隊total!$C:$AB, MATCH($AF24, 各隊total!$A:$A, 0), COLUMN(A23)), "")</f>
        <v/>
      </c>
      <c r="AM24" s="1" t="str">
        <f t="array" ref="AM24">IFERROR(INDEX(各隊total!$D:$AB, MATCH($AF24, 各隊total!$A:$A, 0), COLUMN(A23)), "")</f>
        <v/>
      </c>
      <c r="AN24" s="1" t="str">
        <f t="array" ref="AN24">IFERROR(INDEX(各隊total!$E:$AB, MATCH($AF24, 各隊total!$A:$A, 0), COLUMN(A23)), "")</f>
        <v/>
      </c>
      <c r="AO24" s="1" t="str">
        <f t="array" ref="AO24">IFERROR(INDEX(各隊total!$F:$AB, MATCH($AF24, 各隊total!$A:$A, 0), COLUMN(A23)), "")</f>
        <v/>
      </c>
      <c r="AP24" s="1" t="str">
        <f t="array" ref="AP24">IFERROR(INDEX(各隊total!$G:$AB, MATCH($AF24, 各隊total!$A:$A, 0), COLUMN(A23)), "")</f>
        <v/>
      </c>
      <c r="AQ24" s="1" t="str">
        <f t="array" ref="AQ24">IFERROR(INDEX(各隊total!$H:$AB, MATCH($AF24, 各隊total!$A:$A, 0), COLUMN(A23)), "")</f>
        <v/>
      </c>
      <c r="AR24" s="1" t="str">
        <f t="array" ref="AR24">IFERROR(INDEX(各隊total!$I:$AB, MATCH($AF24, 各隊total!$A:$A, 0), COLUMN(A23)), "")</f>
        <v/>
      </c>
      <c r="AS24" s="1" t="str">
        <f t="array" ref="AS24">IFERROR(INDEX(各隊total!$J:$AB, MATCH($AF24, 各隊total!$A:$A, 0), COLUMN(A23)), "")</f>
        <v/>
      </c>
      <c r="AT24" s="1" t="str">
        <f t="array" ref="AT24">IFERROR(INDEX(各隊total!$K:$AB, MATCH($AF24, 各隊total!$A:$A, 0), COLUMN(A23)), "")</f>
        <v/>
      </c>
      <c r="AU24" s="1" t="str">
        <f t="array" ref="AU24">IFERROR(INDEX(各隊total!$L:$AB, MATCH($AF24, 各隊total!$A:$A, 0), COLUMN(A23)), "")</f>
        <v/>
      </c>
      <c r="AV24" s="1" t="str">
        <f t="array" ref="AV24">IFERROR(INDEX(各隊total!$M:$AB, MATCH($AF24, 各隊total!$A:$A, 0), COLUMN(A23)), "")</f>
        <v/>
      </c>
      <c r="AW24" s="1" t="str">
        <f t="array" ref="AW24">IFERROR(INDEX(各隊total!$N:$AB, MATCH($AF24, 各隊total!$A:$A, 0), COLUMN(A23)), "")</f>
        <v/>
      </c>
      <c r="AX24" s="1" t="str">
        <f t="array" ref="AX24">IFERROR(INDEX(各隊total!$O:$AB, MATCH($AF24, 各隊total!$A:$A, 0), COLUMN(A23)), "")</f>
        <v/>
      </c>
      <c r="AY24" s="1" t="str">
        <f t="array" ref="AY24">IFERROR(INDEX(各隊total!$P:$AB, MATCH($AF24, 各隊total!$A:$A, 0), COLUMN(A23)), "")</f>
        <v/>
      </c>
      <c r="AZ24" s="1" t="str">
        <f t="array" ref="AZ24">IFERROR(INDEX(各隊total!$Q:$AB, MATCH($AF24, 各隊total!$A:$A, 0), COLUMN(A23)), "")</f>
        <v/>
      </c>
      <c r="BA24" s="1" t="str">
        <f t="array" ref="BA24">IFERROR(INDEX(各隊total!$R:$AB, MATCH($AF24, 各隊total!$A:$A, 0), COLUMN(A23)), "")</f>
        <v/>
      </c>
      <c r="BB24" s="1" t="str">
        <f t="array" ref="BB24">IFERROR(INDEX(各隊total!$S:$AB, MATCH($AF24, 各隊total!$A:$A, 0), COLUMN(A23)), "")</f>
        <v/>
      </c>
      <c r="BC24" s="1" t="str">
        <f t="array" ref="BC24">IFERROR(INDEX(各隊total!$T:$AB, MATCH($AF24, 各隊total!$A:$A, 0), COLUMN(A23)), "")</f>
        <v/>
      </c>
      <c r="BD24" s="1" t="str">
        <f t="array" ref="BD24">IFERROR(INDEX(各隊total!$U:$AB, MATCH($AF24, 各隊total!$A:$A, 0), COLUMN(A23)), "")</f>
        <v/>
      </c>
      <c r="BE24" s="1" t="str">
        <f t="array" ref="BE24">IFERROR(INDEX(各隊total!$V:$AB, MATCH($AF24, 各隊total!$A:$A, 0), COLUMN(A23)), "")</f>
        <v/>
      </c>
      <c r="BF24" s="1" t="str">
        <f t="array" ref="BF24">IFERROR(INDEX(各隊total!$W:$AB, MATCH($AF24, 各隊total!$A:$A, 0), COLUMN(A23)), "")</f>
        <v/>
      </c>
      <c r="BG24" s="1" t="str">
        <f t="array" ref="BG24">IFERROR(INDEX(各隊total!$X:$AB, MATCH($AF24, 各隊total!$A:$A, 0), COLUMN(A23)), "")</f>
        <v/>
      </c>
      <c r="BH24" s="1" t="str">
        <f t="array" ref="BH24">IFERROR(INDEX(各隊total!$Y:$AB, MATCH($AF24, 各隊total!$A:$A, 0), COLUMN(A23)), "")</f>
        <v/>
      </c>
      <c r="BI24" s="1" t="str">
        <f t="array" ref="BI24">IFERROR(INDEX(各隊total!$Z:$AB, MATCH($AF24, 各隊total!$A:$A, 0), COLUMN(A23)), "")</f>
        <v/>
      </c>
      <c r="BJ24" s="1" t="str">
        <f t="array" ref="BJ24">IFERROR(INDEX(各隊total!$AA:$AB, MATCH($AF24, 各隊total!$A:$A, 0), COLUMN(A23)), "")</f>
        <v/>
      </c>
      <c r="BK24" s="1" t="str">
        <f t="array" ref="BK24">IFERROR(INDEX(各隊total!$AB:$AB, MATCH($AF24, 各隊total!$A:$A, 0), COLUMN(A23)), "")</f>
        <v/>
      </c>
      <c r="BM24" s="22">
        <v>1.96</v>
      </c>
      <c r="BN24" s="19">
        <v>2.2000000000000002</v>
      </c>
      <c r="BO24" s="23">
        <v>9</v>
      </c>
      <c r="BP24" s="22">
        <v>0.71</v>
      </c>
      <c r="BQ24" s="19">
        <v>0.85</v>
      </c>
      <c r="BR24" s="23">
        <v>9</v>
      </c>
      <c r="BS24" s="22">
        <v>1.36</v>
      </c>
      <c r="BT24" s="19">
        <v>1.65</v>
      </c>
      <c r="BU24" s="23">
        <v>9</v>
      </c>
      <c r="BV24" s="22">
        <v>6.51</v>
      </c>
      <c r="BW24" s="19">
        <v>7</v>
      </c>
      <c r="BX24" s="23" t="s">
        <v>544</v>
      </c>
      <c r="BY24" s="22">
        <v>6.51</v>
      </c>
      <c r="BZ24" s="19">
        <v>7</v>
      </c>
      <c r="CA24" s="23" t="s">
        <v>544</v>
      </c>
      <c r="CB24" s="19" t="str">
        <f>AF13</f>
        <v>遊騎兵</v>
      </c>
      <c r="CC24" s="29"/>
      <c r="CD24" s="1" t="str">
        <f>AG13</f>
        <v>28</v>
      </c>
      <c r="CE24" s="1" t="str">
        <f t="shared" ref="CE24:DD24" si="13">AL13</f>
        <v>932</v>
      </c>
      <c r="CF24" s="1" t="str">
        <f t="shared" si="13"/>
        <v>113</v>
      </c>
      <c r="CG24" s="1" t="str">
        <f t="shared" si="13"/>
        <v>221</v>
      </c>
      <c r="CH24" s="1" t="str">
        <f t="shared" si="13"/>
        <v>47</v>
      </c>
      <c r="CI24" s="1" t="str">
        <f t="shared" si="13"/>
        <v>3</v>
      </c>
      <c r="CJ24" s="1" t="str">
        <f t="shared" si="13"/>
        <v>28</v>
      </c>
      <c r="CK24" s="1" t="str">
        <f t="shared" si="13"/>
        <v>107</v>
      </c>
      <c r="CL24" s="1" t="str">
        <f t="shared" si="13"/>
        <v>358</v>
      </c>
      <c r="CM24" s="1" t="str">
        <f t="shared" si="13"/>
        <v>100</v>
      </c>
      <c r="CN24" s="1" t="str">
        <f t="shared" si="13"/>
        <v>258</v>
      </c>
      <c r="CO24" s="1" t="str">
        <f t="shared" si="13"/>
        <v>17</v>
      </c>
      <c r="CP24" s="1" t="str">
        <f t="shared" si="13"/>
        <v>.237</v>
      </c>
      <c r="CQ24" s="1" t="str">
        <f t="shared" si="13"/>
        <v>.314</v>
      </c>
      <c r="CR24" s="1" t="str">
        <f t="shared" si="13"/>
        <v>.384</v>
      </c>
      <c r="CS24" s="1" t="str">
        <f t="shared" si="13"/>
        <v>.698</v>
      </c>
      <c r="CT24" s="1">
        <f t="shared" si="13"/>
        <v>0</v>
      </c>
      <c r="CU24" s="1" t="str">
        <f t="shared" si="13"/>
        <v>115.0</v>
      </c>
      <c r="CV24" s="1" t="str">
        <f t="shared" si="13"/>
        <v>4.2</v>
      </c>
      <c r="CW24" s="1" t="str">
        <f t="shared" si="13"/>
        <v>.095</v>
      </c>
      <c r="CX24" s="1" t="str">
        <f t="shared" si="13"/>
        <v>0.39</v>
      </c>
      <c r="CY24" s="1" t="str">
        <f t="shared" si="13"/>
        <v>.147</v>
      </c>
      <c r="CZ24" s="1" t="str">
        <f t="shared" si="13"/>
        <v>.269</v>
      </c>
      <c r="DA24" s="1" t="str">
        <f t="shared" si="13"/>
        <v>3.88</v>
      </c>
      <c r="DB24" s="1" t="str">
        <f t="shared" si="13"/>
        <v>78</v>
      </c>
      <c r="DC24" s="1" t="str">
        <f t="shared" si="13"/>
        <v>1053</v>
      </c>
      <c r="DD24" s="1" t="str">
        <f t="shared" si="13"/>
        <v>33.3</v>
      </c>
      <c r="DF24" s="33"/>
      <c r="DG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56"/>
      <c r="EI24" s="37">
        <f>先發名單!Z$2</f>
        <v>0</v>
      </c>
      <c r="EJ24" s="4" t="str">
        <f t="array" ref="EJ24">IFERROR(INDEX(球員狀態!$C$2:$C$5000, MATCH(1, (球員狀態!$A$2:$A$5000=$EI$1)*(ISNUMBER(SEARCH($EI24, 球員狀態!$B$2:$B$5000))), 0)), "")</f>
        <v/>
      </c>
      <c r="EM24" s="4" t="str">
        <f t="array" ref="EM24">IFERROR(INDEX(球員狀態!F$2:F$5000, MATCH(1, (球員狀態!$A$2:$A$5000=$EI$1)*(ISNUMBER(SEARCH($EI24, 球員狀態!$B$2:$B$5000))), 0)), "")</f>
        <v/>
      </c>
      <c r="EN24" s="4" t="str">
        <f t="array" ref="EN24">IFERROR(INDEX(球員狀態!G$2:G$5000, MATCH(1, (球員狀態!$A$2:$A$5000=$EI$1)*(ISNUMBER(SEARCH($EI24, 球員狀態!$B$2:$B$5000))), 0)), "")</f>
        <v/>
      </c>
      <c r="EO24" s="4" t="str">
        <f t="array" ref="EO24">IFERROR(INDEX(球員狀態!H$2:H$5000, MATCH(1, (球員狀態!$A$2:$A$5000=$EI$1)*(ISNUMBER(SEARCH($EI24, 球員狀態!$B$2:$B$5000))), 0)), "")</f>
        <v/>
      </c>
      <c r="EP24" s="4" t="str">
        <f t="array" ref="EP24">IFERROR(INDEX(球員狀態!I$2:I$5000, MATCH(1, (球員狀態!$A$2:$A$5000=$EI$1)*(ISNUMBER(SEARCH($EI24, 球員狀態!$B$2:$B$5000))), 0)), "")</f>
        <v/>
      </c>
      <c r="EQ24" s="4" t="str">
        <f t="array" ref="EQ24">IFERROR(INDEX(球員狀態!J$2:J$5000, MATCH(1, (球員狀態!$A$2:$A$5000=$EI$1)*(ISNUMBER(SEARCH($EI24, 球員狀態!$B$2:$B$5000))), 0)), "")</f>
        <v/>
      </c>
      <c r="ER24" s="4" t="str">
        <f t="array" ref="ER24">IFERROR(INDEX(球員狀態!K$2:K$5000, MATCH(1, (球員狀態!$A$2:$A$5000=$EI$1)*(ISNUMBER(SEARCH($EI24, 球員狀態!$B$2:$B$5000))), 0)), "")</f>
        <v/>
      </c>
      <c r="ES24" s="4" t="str">
        <f t="array" ref="ES24">IFERROR(INDEX(球員狀態!L$2:L$5000, MATCH(1, (球員狀態!$A$2:$A$5000=$EI$1)*(ISNUMBER(SEARCH($EI24, 球員狀態!$B$2:$B$5000))), 0)), "")</f>
        <v/>
      </c>
      <c r="ET24" s="4" t="str">
        <f t="array" ref="ET24">IFERROR(INDEX(球員狀態!M$2:M$5000, MATCH(1, (球員狀態!$A$2:$A$5000=$EI$1)*(ISNUMBER(SEARCH($EI24, 球員狀態!$B$2:$B$5000))), 0)), "")</f>
        <v/>
      </c>
      <c r="EU24" s="4" t="str">
        <f t="array" ref="EU24">IFERROR(INDEX(球員狀態!N$2:N$5000, MATCH(1, (球員狀態!$A$2:$A$5000=$EI$1)*(ISNUMBER(SEARCH($EI24, 球員狀態!$B$2:$B$5000))), 0)), "")</f>
        <v/>
      </c>
      <c r="EV24" s="4" t="str">
        <f t="array" ref="EV24">IFERROR(INDEX(球員狀態!O$2:O$5000, MATCH(1, (球員狀態!$A$2:$A$5000=$EI$1)*(ISNUMBER(SEARCH($EI24, 球員狀態!$B$2:$B$5000))), 0)), "")</f>
        <v/>
      </c>
      <c r="EW24" s="4" t="str">
        <f t="array" ref="EW24">IFERROR(INDEX(球員狀態!P$2:P$5000, MATCH(1, (球員狀態!$A$2:$A$5000=$EI$1)*(ISNUMBER(SEARCH($EI24, 球員狀態!$B$2:$B$5000))), 0)), "")</f>
        <v/>
      </c>
      <c r="EX24" s="4" t="str">
        <f t="array" ref="EX24">IFERROR(INDEX(球員狀態!Q$2:Q$5000, MATCH(1, (球員狀態!$A$2:$A$5000=$EI$1)*(ISNUMBER(SEARCH($EI24, 球員狀態!$B$2:$B$5000))), 0)), "")</f>
        <v/>
      </c>
      <c r="EY24" s="4" t="str">
        <f t="array" ref="EY24">IFERROR(INDEX(球員狀態!R$2:R$5000, MATCH(1, (球員狀態!$A$2:$A$5000=$EI$1)*(ISNUMBER(SEARCH($EI24, 球員狀態!$B$2:$B$5000))), 0)), "")</f>
        <v/>
      </c>
      <c r="EZ24" s="4" t="str">
        <f t="array" ref="EZ24">IFERROR(INDEX(球員狀態!S$2:S$5000, MATCH(1, (球員狀態!$A$2:$A$5000=$EI$1)*(ISNUMBER(SEARCH($EI24, 球員狀態!$B$2:$B$5000))), 0)), "")</f>
        <v/>
      </c>
      <c r="FA24" s="4" t="str">
        <f t="array" ref="FA24">IFERROR(INDEX(球員狀態!T$2:T$5000, MATCH(1, (球員狀態!$A$2:$A$5000=$EI$1)*(ISNUMBER(SEARCH($EI24, 球員狀態!$B$2:$B$5000))), 0)), "")</f>
        <v/>
      </c>
      <c r="FB24" s="4" t="str">
        <f t="array" ref="FB24">IFERROR(INDEX(球員狀態!U$2:U$5000, MATCH(1, (球員狀態!$A$2:$A$5000=$EI$1)*(ISNUMBER(SEARCH($EI24, 球員狀態!$B$2:$B$5000))), 0)), "")</f>
        <v/>
      </c>
      <c r="FC24" s="4" t="str">
        <f t="array" ref="FC24">IFERROR(INDEX(球員狀態!V$2:V$5000, MATCH(1, (球員狀態!$A$2:$A$5000=$EI$1)*(ISNUMBER(SEARCH($EI24, 球員狀態!$B$2:$B$5000))), 0)), "")</f>
        <v/>
      </c>
      <c r="FD24" s="4" t="str">
        <f t="array" ref="FD24">IFERROR(INDEX(球員狀態!W$2:W$5000, MATCH(1, (球員狀態!$A$2:$A$5000=$EI$1)*(ISNUMBER(SEARCH($EI24, 球員狀態!$B$2:$B$5000))), 0)), "")</f>
        <v/>
      </c>
      <c r="FE24" s="4" t="str">
        <f t="array" ref="FE24">IFERROR(INDEX(球員狀態!X$2:X$5000, MATCH(1, (球員狀態!$A$2:$A$5000=$EI$1)*(ISNUMBER(SEARCH($EI24, 球員狀態!$B$2:$B$5000))), 0)), "")</f>
        <v/>
      </c>
      <c r="FF24" s="4" t="str">
        <f t="array" ref="FF24">IFERROR(INDEX(球員狀態!Y$2:Y$5000, MATCH(1, (球員狀態!$A$2:$A$5000=$EI$1)*(ISNUMBER(SEARCH($EI24, 球員狀態!$B$2:$B$5000))), 0)), "")</f>
        <v/>
      </c>
      <c r="FG24" s="4" t="str">
        <f t="array" ref="FG24">IFERROR(INDEX(球員狀態!Z$2:Z$5000, MATCH(1, (球員狀態!$A$2:$A$5000=$EI$1)*(ISNUMBER(SEARCH($EI24, 球員狀態!$B$2:$B$5000))), 0)), "")</f>
        <v/>
      </c>
      <c r="FH24" s="4" t="str">
        <f t="array" ref="FH24">IFERROR(INDEX(球員狀態!AA$2:AA$5000, MATCH(1, (球員狀態!$A$2:$A$5000=$EI$1)*(ISNUMBER(SEARCH($EI24, 球員狀態!$B$2:$B$5000))), 0)), "")</f>
        <v/>
      </c>
      <c r="FI24" s="4" t="str">
        <f t="array" ref="FI24">IFERROR(INDEX(球員狀態!AB$2:AB$5000, MATCH(1, (球員狀態!$A$2:$A$5000=$EI$1)*(ISNUMBER(SEARCH($EI24, 球員狀態!$B$2:$B$5000))), 0)), "")</f>
        <v/>
      </c>
      <c r="FK24" s="22">
        <v>3.81</v>
      </c>
      <c r="FL24" s="19">
        <v>4.5999999999999996</v>
      </c>
      <c r="FM24" s="23">
        <v>9</v>
      </c>
      <c r="FN24" s="22">
        <v>3.81</v>
      </c>
      <c r="FO24" s="19">
        <v>4.3</v>
      </c>
      <c r="FP24" s="23">
        <v>9</v>
      </c>
      <c r="FQ24" s="22">
        <v>3.81</v>
      </c>
      <c r="FR24" s="19">
        <v>4.5999999999999996</v>
      </c>
      <c r="FS24" s="23">
        <v>9</v>
      </c>
      <c r="FY24" s="20"/>
    </row>
    <row r="25" spans="1:181" ht="15.6" customHeight="1" thickBot="1">
      <c r="V25" s="78"/>
      <c r="W25" t="e">
        <f>I14</f>
        <v>#N/A</v>
      </c>
      <c r="X25" s="17" t="e">
        <f t="array" aca="1" ref="X25" ca="1">_xlfn.LET(_xlpm.s,SUBSTITUTE(Y25,".",""),_xlpm.c,RIGHT(_xlpm.s,1),_xlpm.n,ROW(INDIRECT("1:"&amp;LEN(_xlpm.s))),_xlpm.cnt,MAX(IF(RIGHT(_xlpm.s,_xlpm.n)=REPT(_xlpm.c,_xlpm.n),_xlpm.n,0)),IF(_xlpm.cnt&gt;=2,_xlpm.cnt&amp;"連"&amp;_xlpm.c,"1"&amp;_xlpm.c))</f>
        <v>#N/A</v>
      </c>
      <c r="Y25" s="82" t="e">
        <f t="array" ref="Y25">INDEX(各隊正負!$F:$F, MATCH("*"&amp;$W25&amp;"*", 各隊正負!$A:$A, 0)+6)</f>
        <v>#N/A</v>
      </c>
      <c r="Z25" s="100"/>
      <c r="AA25" s="100"/>
      <c r="AB25" s="82" t="e">
        <f t="array" ref="AB25">INDEX(各隊正負!$F:$F, MATCH("*"&amp;$W25&amp;"*", 各隊正負!$A:$A, 0)+4)</f>
        <v>#N/A</v>
      </c>
      <c r="AC25" s="78"/>
      <c r="AD25" s="78"/>
      <c r="AE25" s="1" t="e">
        <f t="array" aca="1" ref="AE25" ca="1">_xlfn.LET(_xlpm.s,SUBSTITUTE(AB25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5" s="19" t="e">
        <f>I14</f>
        <v>#N/A</v>
      </c>
      <c r="AG25" s="1" t="str">
        <f t="array" ref="AG25">IFERROR(INDEX(各隊total!$B:$AB, MATCH($AF25, 各隊total!$A:$A, 0), COLUMN(A24)), "")</f>
        <v/>
      </c>
      <c r="AH25" s="32" t="e">
        <f>CB49</f>
        <v>#VALUE!</v>
      </c>
      <c r="AI25" s="61" t="e">
        <f t="shared" si="0"/>
        <v>#VALUE!</v>
      </c>
      <c r="AJ25" s="6" t="e">
        <f>CC49</f>
        <v>#VALUE!</v>
      </c>
      <c r="AK25" s="60" t="e">
        <f t="shared" si="1"/>
        <v>#VALUE!</v>
      </c>
      <c r="AL25" s="1" t="str">
        <f t="array" ref="AL25">IFERROR(INDEX(各隊total!$C:$AB, MATCH($AF25, 各隊total!$A:$A, 0), COLUMN(A24)), "")</f>
        <v/>
      </c>
      <c r="AM25" s="1" t="str">
        <f t="array" ref="AM25">IFERROR(INDEX(各隊total!$D:$AB, MATCH($AF25, 各隊total!$A:$A, 0), COLUMN(A24)), "")</f>
        <v/>
      </c>
      <c r="AN25" s="1" t="str">
        <f t="array" ref="AN25">IFERROR(INDEX(各隊total!$E:$AB, MATCH($AF25, 各隊total!$A:$A, 0), COLUMN(A24)), "")</f>
        <v/>
      </c>
      <c r="AO25" s="1" t="str">
        <f t="array" ref="AO25">IFERROR(INDEX(各隊total!$F:$AB, MATCH($AF25, 各隊total!$A:$A, 0), COLUMN(A24)), "")</f>
        <v/>
      </c>
      <c r="AP25" s="1" t="str">
        <f t="array" ref="AP25">IFERROR(INDEX(各隊total!$G:$AB, MATCH($AF25, 各隊total!$A:$A, 0), COLUMN(A24)), "")</f>
        <v/>
      </c>
      <c r="AQ25" s="1" t="str">
        <f t="array" ref="AQ25">IFERROR(INDEX(各隊total!$H:$AB, MATCH($AF25, 各隊total!$A:$A, 0), COLUMN(A24)), "")</f>
        <v/>
      </c>
      <c r="AR25" s="1" t="str">
        <f t="array" ref="AR25">IFERROR(INDEX(各隊total!$I:$AB, MATCH($AF25, 各隊total!$A:$A, 0), COLUMN(A24)), "")</f>
        <v/>
      </c>
      <c r="AS25" s="1" t="str">
        <f t="array" ref="AS25">IFERROR(INDEX(各隊total!$J:$AB, MATCH($AF25, 各隊total!$A:$A, 0), COLUMN(A24)), "")</f>
        <v/>
      </c>
      <c r="AT25" s="1" t="str">
        <f t="array" ref="AT25">IFERROR(INDEX(各隊total!$K:$AB, MATCH($AF25, 各隊total!$A:$A, 0), COLUMN(A24)), "")</f>
        <v/>
      </c>
      <c r="AU25" s="1" t="str">
        <f t="array" ref="AU25">IFERROR(INDEX(各隊total!$L:$AB, MATCH($AF25, 各隊total!$A:$A, 0), COLUMN(A24)), "")</f>
        <v/>
      </c>
      <c r="AV25" s="1" t="str">
        <f t="array" ref="AV25">IFERROR(INDEX(各隊total!$M:$AB, MATCH($AF25, 各隊total!$A:$A, 0), COLUMN(A24)), "")</f>
        <v/>
      </c>
      <c r="AW25" s="1" t="str">
        <f t="array" ref="AW25">IFERROR(INDEX(各隊total!$N:$AB, MATCH($AF25, 各隊total!$A:$A, 0), COLUMN(A24)), "")</f>
        <v/>
      </c>
      <c r="AX25" s="1" t="str">
        <f t="array" ref="AX25">IFERROR(INDEX(各隊total!$O:$AB, MATCH($AF25, 各隊total!$A:$A, 0), COLUMN(A24)), "")</f>
        <v/>
      </c>
      <c r="AY25" s="1" t="str">
        <f t="array" ref="AY25">IFERROR(INDEX(各隊total!$P:$AB, MATCH($AF25, 各隊total!$A:$A, 0), COLUMN(A24)), "")</f>
        <v/>
      </c>
      <c r="AZ25" s="1" t="str">
        <f t="array" ref="AZ25">IFERROR(INDEX(各隊total!$Q:$AB, MATCH($AF25, 各隊total!$A:$A, 0), COLUMN(A24)), "")</f>
        <v/>
      </c>
      <c r="BA25" s="1" t="str">
        <f t="array" ref="BA25">IFERROR(INDEX(各隊total!$R:$AB, MATCH($AF25, 各隊total!$A:$A, 0), COLUMN(A24)), "")</f>
        <v/>
      </c>
      <c r="BB25" s="1" t="str">
        <f t="array" ref="BB25">IFERROR(INDEX(各隊total!$S:$AB, MATCH($AF25, 各隊total!$A:$A, 0), COLUMN(A24)), "")</f>
        <v/>
      </c>
      <c r="BC25" s="1" t="str">
        <f t="array" ref="BC25">IFERROR(INDEX(各隊total!$T:$AB, MATCH($AF25, 各隊total!$A:$A, 0), COLUMN(A24)), "")</f>
        <v/>
      </c>
      <c r="BD25" s="1" t="str">
        <f t="array" ref="BD25">IFERROR(INDEX(各隊total!$U:$AB, MATCH($AF25, 各隊total!$A:$A, 0), COLUMN(A24)), "")</f>
        <v/>
      </c>
      <c r="BE25" s="1" t="str">
        <f t="array" ref="BE25">IFERROR(INDEX(各隊total!$V:$AB, MATCH($AF25, 各隊total!$A:$A, 0), COLUMN(A24)), "")</f>
        <v/>
      </c>
      <c r="BF25" s="1" t="str">
        <f t="array" ref="BF25">IFERROR(INDEX(各隊total!$W:$AB, MATCH($AF25, 各隊total!$A:$A, 0), COLUMN(A24)), "")</f>
        <v/>
      </c>
      <c r="BG25" s="1" t="str">
        <f t="array" ref="BG25">IFERROR(INDEX(各隊total!$X:$AB, MATCH($AF25, 各隊total!$A:$A, 0), COLUMN(A24)), "")</f>
        <v/>
      </c>
      <c r="BH25" s="1" t="str">
        <f t="array" ref="BH25">IFERROR(INDEX(各隊total!$Y:$AB, MATCH($AF25, 各隊total!$A:$A, 0), COLUMN(A24)), "")</f>
        <v/>
      </c>
      <c r="BI25" s="1" t="str">
        <f t="array" ref="BI25">IFERROR(INDEX(各隊total!$Z:$AB, MATCH($AF25, 各隊total!$A:$A, 0), COLUMN(A24)), "")</f>
        <v/>
      </c>
      <c r="BJ25" s="1" t="str">
        <f t="array" ref="BJ25">IFERROR(INDEX(各隊total!$AA:$AB, MATCH($AF25, 各隊total!$A:$A, 0), COLUMN(A24)), "")</f>
        <v/>
      </c>
      <c r="BK25" s="1" t="str">
        <f t="array" ref="BK25">IFERROR(INDEX(各隊total!$AB:$AB, MATCH($AF25, 各隊total!$A:$A, 0), COLUMN(A24)), "")</f>
        <v/>
      </c>
      <c r="BM25" s="24">
        <v>2.21</v>
      </c>
      <c r="BN25" s="25">
        <v>5</v>
      </c>
      <c r="BO25" s="26">
        <v>10</v>
      </c>
      <c r="BP25" s="24">
        <v>0.86</v>
      </c>
      <c r="BQ25" s="25">
        <v>2</v>
      </c>
      <c r="BR25" s="26">
        <v>10</v>
      </c>
      <c r="BS25" s="24">
        <v>1.66</v>
      </c>
      <c r="BT25" s="25">
        <v>4</v>
      </c>
      <c r="BU25" s="26">
        <v>10</v>
      </c>
      <c r="BV25" s="24">
        <v>7.1</v>
      </c>
      <c r="BW25" s="25">
        <v>10</v>
      </c>
      <c r="BX25" s="26" t="s">
        <v>545</v>
      </c>
      <c r="BY25" s="24">
        <v>7.01</v>
      </c>
      <c r="BZ25" s="25">
        <v>10</v>
      </c>
      <c r="CA25" s="26" t="s">
        <v>545</v>
      </c>
      <c r="CB25" s="28">
        <f>CF25+CJ25+CK25+CM25+CO25+CP25+CQ25+CR25</f>
        <v>3.4500000000000006</v>
      </c>
      <c r="CC25" s="31">
        <f>CU25+CV25+CY25+CZ25+DA25</f>
        <v>4.4000000000000004</v>
      </c>
      <c r="CD25" s="58"/>
      <c r="CE25" s="1"/>
      <c r="CF25" s="27">
        <f>VLOOKUP(ROUND(CF24/CD24, 2), $BV$2:$BX$12, 3, TRUE)*BX$1</f>
        <v>0.44999999999999996</v>
      </c>
      <c r="CG25" s="58"/>
      <c r="CH25" s="58"/>
      <c r="CI25" s="58"/>
      <c r="CJ25" s="27">
        <f>VLOOKUP(ROUND(CJ24/CD24, 2), $BM$15:$BO$25, 3, TRUE)*BO$14</f>
        <v>0.30000000000000004</v>
      </c>
      <c r="CK25" s="27">
        <f>VLOOKUP(ROUND(CK24/CD24, 2), $BY$2:$CA$12, 3, TRUE)*CA$1</f>
        <v>0.30000000000000004</v>
      </c>
      <c r="CL25" s="58"/>
      <c r="CM25" s="101">
        <f>VLOOKUP(ROUND(CM24/CN24, 2), $BP$15:$BR$25, 3, TRUE)*BR$14</f>
        <v>0.4</v>
      </c>
      <c r="CN25" s="78"/>
      <c r="CO25" s="27">
        <f>VLOOKUP(ROUND(CO24/CD24, 2), $BS$15:$BU$25, 3, TRUE)*BU$14</f>
        <v>0.2</v>
      </c>
      <c r="CP25" s="27">
        <f>VLOOKUP(CP24*1, BM$2:BO$12, 3, TRUE)*BO$1</f>
        <v>0.4</v>
      </c>
      <c r="CQ25" s="27">
        <f>VLOOKUP(CQ24*1, BP$2:BR$12, 3, TRUE)*BR$1</f>
        <v>0.8</v>
      </c>
      <c r="CR25" s="27">
        <f>VLOOKUP(CR24*1, BS$2:BU$12, 3, TRUE)*BU$1</f>
        <v>0.60000000000000009</v>
      </c>
      <c r="CS25" s="1"/>
      <c r="CT25" s="1"/>
      <c r="CU25" s="60">
        <f>VLOOKUP(CU24*1, BM$28:BO$38, 3, TRUE)*BO$27</f>
        <v>0.8</v>
      </c>
      <c r="CV25" s="60">
        <f>VLOOKUP(CV24*1, BP$28:BR$38, 3, TRUE)*BR$27</f>
        <v>1.4</v>
      </c>
      <c r="CW25" s="1"/>
      <c r="CX25" s="1"/>
      <c r="CY25" s="60">
        <f>VLOOKUP(CY24*1, BS$28:BU$38, 3, TRUE)*BU$27</f>
        <v>0.8</v>
      </c>
      <c r="CZ25" s="60">
        <f>VLOOKUP(CZ24*1, BV$28:BX$38, 3, TRUE)*BX$27</f>
        <v>0.6</v>
      </c>
      <c r="DA25" s="60">
        <f>VLOOKUP(DA24*1, BY$28:CA$38, 3, TRUE)*CA$27</f>
        <v>0.8</v>
      </c>
      <c r="DH25" s="4"/>
      <c r="DI25" s="4"/>
      <c r="DJ25" s="58"/>
      <c r="DL25" s="58"/>
      <c r="DM25" s="58"/>
      <c r="DN25" s="58"/>
      <c r="DO25" s="58"/>
      <c r="DP25" s="58"/>
      <c r="DQ25" s="58"/>
      <c r="DR25" s="58"/>
      <c r="DU25" s="1"/>
      <c r="DX25" s="1"/>
      <c r="EA25" s="1"/>
      <c r="ED25" s="1"/>
      <c r="EE25" s="1"/>
      <c r="EF25" s="1"/>
      <c r="EG25" s="54"/>
      <c r="EK25" s="40" t="e">
        <f>EM25+EO25+EP25+EQ25+ER25-ES25-ET25+EU25</f>
        <v>#VALUE!</v>
      </c>
      <c r="EL25" s="42" t="e">
        <f>EX25+FA25+FD25+FG25+FH25+FI25</f>
        <v>#VALUE!</v>
      </c>
      <c r="EM25" s="38" t="e">
        <f>VLOOKUP(EM24*1, $FK$2:$FM$12, 3, TRUE)*$FM$1</f>
        <v>#VALUE!</v>
      </c>
      <c r="EO25" s="38" t="e">
        <f>VLOOKUP(EO24*1, $FN$2:$FP$12, 3, TRUE)*$FP$1</f>
        <v>#VALUE!</v>
      </c>
      <c r="EP25" s="38" t="e">
        <f>VLOOKUP(EP24*1, $FQ$2:$FS$12, 3, TRUE)*$FS$1</f>
        <v>#VALUE!</v>
      </c>
      <c r="EQ25" s="38" t="e">
        <f>VLOOKUP(EQ24*1, $FT$2:$FV$12, 3, TRUE)*$FV$1</f>
        <v>#VALUE!</v>
      </c>
      <c r="ER25" s="38" t="e">
        <f>VLOOKUP(ER24*1, $FW$2:$FY$12, 3, TRUE)*$FY$1</f>
        <v>#VALUE!</v>
      </c>
      <c r="ES25" s="39" t="e">
        <f>VLOOKUP(ES24*1, $FK$14:$FM$25, 3, TRUE)*$FM$14</f>
        <v>#VALUE!</v>
      </c>
      <c r="ET25" s="39" t="e">
        <f>VLOOKUP(ET24*1, $FN$14:$FP$25, 3, TRUE)*$FP$14</f>
        <v>#VALUE!</v>
      </c>
      <c r="EU25" s="38" t="e">
        <f>VLOOKUP(EU24*1, $FQ$14:$FS$25, 3, TRUE)*$FS$14</f>
        <v>#VALUE!</v>
      </c>
      <c r="EX25" s="41" t="e">
        <f>VLOOKUP(EX24*1, $FK$27:$FM$38, 3, TRUE)*$FM$27</f>
        <v>#VALUE!</v>
      </c>
      <c r="FA25" s="41" t="e">
        <f>VLOOKUP(FA24*1, $FN$27:$FP$38, 3, TRUE)*$FP$27</f>
        <v>#VALUE!</v>
      </c>
      <c r="FD25" s="41" t="e">
        <f>VLOOKUP(FD24*1, $FQ$27:$FS$38, 3, TRUE)*$FS$27</f>
        <v>#VALUE!</v>
      </c>
      <c r="FG25" s="41" t="e">
        <f>VLOOKUP(FG24*1, $FT$27:$FV$38, 3, TRUE)*$FV$27</f>
        <v>#VALUE!</v>
      </c>
      <c r="FH25" s="41" t="e">
        <f>VLOOKUP(FH24*1, $FW$27:$FY$38, 3, TRUE)*$FY$27</f>
        <v>#VALUE!</v>
      </c>
      <c r="FI25" s="41" t="e">
        <f>VLOOKUP(FI24*1, $FK$40:$FM$51, 3, TRUE)*$FM$40</f>
        <v>#VALUE!</v>
      </c>
      <c r="FK25" s="24">
        <v>4.6100000000000003</v>
      </c>
      <c r="FL25" s="25">
        <v>200</v>
      </c>
      <c r="FM25" s="26">
        <v>10</v>
      </c>
      <c r="FN25" s="24">
        <v>4.3099999999999996</v>
      </c>
      <c r="FO25" s="25">
        <v>200</v>
      </c>
      <c r="FP25" s="26">
        <v>10</v>
      </c>
      <c r="FQ25" s="24">
        <v>4.6100000000000003</v>
      </c>
      <c r="FR25" s="25">
        <v>200</v>
      </c>
      <c r="FS25" s="26">
        <v>10</v>
      </c>
      <c r="FY25" s="20"/>
    </row>
    <row r="26" spans="1:181" ht="15.6" customHeight="1" thickBot="1">
      <c r="V26" s="82" t="e">
        <f>C15</f>
        <v>#N/A</v>
      </c>
      <c r="W26" t="e">
        <f>E15</f>
        <v>#N/A</v>
      </c>
      <c r="X26" s="17" t="e">
        <f t="array" aca="1" ref="X26" ca="1">_xlfn.LET(_xlpm.s,SUBSTITUTE(Y26,".",""),_xlpm.c,RIGHT(_xlpm.s,1),_xlpm.n,ROW(INDIRECT("1:"&amp;LEN(_xlpm.s))),_xlpm.cnt,MAX(IF(RIGHT(_xlpm.s,_xlpm.n)=REPT(_xlpm.c,_xlpm.n),_xlpm.n,0)),IF(_xlpm.cnt&gt;=2,_xlpm.cnt&amp;"連"&amp;_xlpm.c,"1"&amp;_xlpm.c))</f>
        <v>#N/A</v>
      </c>
      <c r="Y26" s="82" t="e">
        <f t="array" ref="Y26">INDEX(各隊正負!$F:$F, MATCH("*"&amp;$W26&amp;"*", 各隊正負!$A:$A, 0)+6)</f>
        <v>#N/A</v>
      </c>
      <c r="Z26" s="100"/>
      <c r="AA26" s="100"/>
      <c r="AB26" s="82" t="e">
        <f t="array" ref="AB26">INDEX(各隊正負!$F:$F, MATCH("*"&amp;$W26&amp;"*", 各隊正負!$A:$A, 0)+4)</f>
        <v>#N/A</v>
      </c>
      <c r="AC26" s="78"/>
      <c r="AD26" s="78"/>
      <c r="AE26" s="1" t="e">
        <f t="array" aca="1" ref="AE26" ca="1">_xlfn.LET(_xlpm.s,SUBSTITUTE(AB26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6" s="19" t="e">
        <f>E15</f>
        <v>#N/A</v>
      </c>
      <c r="AG26" s="1" t="str">
        <f t="array" ref="AG26">IFERROR(INDEX(各隊total!$B:$AB, MATCH($AF26, 各隊total!$A:$A, 0), COLUMN(A25)), "")</f>
        <v/>
      </c>
      <c r="AH26" s="32" t="e">
        <f>CB51</f>
        <v>#VALUE!</v>
      </c>
      <c r="AI26" s="61" t="e">
        <f t="shared" si="0"/>
        <v>#VALUE!</v>
      </c>
      <c r="AJ26" s="6" t="e">
        <f>CC51</f>
        <v>#VALUE!</v>
      </c>
      <c r="AK26" s="60" t="e">
        <f t="shared" si="1"/>
        <v>#VALUE!</v>
      </c>
      <c r="AL26" s="1" t="str">
        <f t="array" ref="AL26">IFERROR(INDEX(各隊total!$C:$AB, MATCH($AF26, 各隊total!$A:$A, 0), COLUMN(A25)), "")</f>
        <v/>
      </c>
      <c r="AM26" s="1" t="str">
        <f t="array" ref="AM26">IFERROR(INDEX(各隊total!$D:$AB, MATCH($AF26, 各隊total!$A:$A, 0), COLUMN(A25)), "")</f>
        <v/>
      </c>
      <c r="AN26" s="1" t="str">
        <f t="array" ref="AN26">IFERROR(INDEX(各隊total!$E:$AB, MATCH($AF26, 各隊total!$A:$A, 0), COLUMN(A25)), "")</f>
        <v/>
      </c>
      <c r="AO26" s="1" t="str">
        <f t="array" ref="AO26">IFERROR(INDEX(各隊total!$F:$AB, MATCH($AF26, 各隊total!$A:$A, 0), COLUMN(A25)), "")</f>
        <v/>
      </c>
      <c r="AP26" s="1" t="str">
        <f t="array" ref="AP26">IFERROR(INDEX(各隊total!$G:$AB, MATCH($AF26, 各隊total!$A:$A, 0), COLUMN(A25)), "")</f>
        <v/>
      </c>
      <c r="AQ26" s="1" t="str">
        <f t="array" ref="AQ26">IFERROR(INDEX(各隊total!$H:$AB, MATCH($AF26, 各隊total!$A:$A, 0), COLUMN(A25)), "")</f>
        <v/>
      </c>
      <c r="AR26" s="1" t="str">
        <f t="array" ref="AR26">IFERROR(INDEX(各隊total!$I:$AB, MATCH($AF26, 各隊total!$A:$A, 0), COLUMN(A25)), "")</f>
        <v/>
      </c>
      <c r="AS26" s="1" t="str">
        <f t="array" ref="AS26">IFERROR(INDEX(各隊total!$J:$AB, MATCH($AF26, 各隊total!$A:$A, 0), COLUMN(A25)), "")</f>
        <v/>
      </c>
      <c r="AT26" s="1" t="str">
        <f t="array" ref="AT26">IFERROR(INDEX(各隊total!$K:$AB, MATCH($AF26, 各隊total!$A:$A, 0), COLUMN(A25)), "")</f>
        <v/>
      </c>
      <c r="AU26" s="1" t="str">
        <f t="array" ref="AU26">IFERROR(INDEX(各隊total!$L:$AB, MATCH($AF26, 各隊total!$A:$A, 0), COLUMN(A25)), "")</f>
        <v/>
      </c>
      <c r="AV26" s="1" t="str">
        <f t="array" ref="AV26">IFERROR(INDEX(各隊total!$M:$AB, MATCH($AF26, 各隊total!$A:$A, 0), COLUMN(A25)), "")</f>
        <v/>
      </c>
      <c r="AW26" s="1" t="str">
        <f t="array" ref="AW26">IFERROR(INDEX(各隊total!$N:$AB, MATCH($AF26, 各隊total!$A:$A, 0), COLUMN(A25)), "")</f>
        <v/>
      </c>
      <c r="AX26" s="1" t="str">
        <f t="array" ref="AX26">IFERROR(INDEX(各隊total!$O:$AB, MATCH($AF26, 各隊total!$A:$A, 0), COLUMN(A25)), "")</f>
        <v/>
      </c>
      <c r="AY26" s="1" t="str">
        <f t="array" ref="AY26">IFERROR(INDEX(各隊total!$P:$AB, MATCH($AF26, 各隊total!$A:$A, 0), COLUMN(A25)), "")</f>
        <v/>
      </c>
      <c r="AZ26" s="1" t="str">
        <f t="array" ref="AZ26">IFERROR(INDEX(各隊total!$Q:$AB, MATCH($AF26, 各隊total!$A:$A, 0), COLUMN(A25)), "")</f>
        <v/>
      </c>
      <c r="BA26" s="1" t="str">
        <f t="array" ref="BA26">IFERROR(INDEX(各隊total!$R:$AB, MATCH($AF26, 各隊total!$A:$A, 0), COLUMN(A25)), "")</f>
        <v/>
      </c>
      <c r="BB26" s="1" t="str">
        <f t="array" ref="BB26">IFERROR(INDEX(各隊total!$S:$AB, MATCH($AF26, 各隊total!$A:$A, 0), COLUMN(A25)), "")</f>
        <v/>
      </c>
      <c r="BC26" s="1" t="str">
        <f t="array" ref="BC26">IFERROR(INDEX(各隊total!$T:$AB, MATCH($AF26, 各隊total!$A:$A, 0), COLUMN(A25)), "")</f>
        <v/>
      </c>
      <c r="BD26" s="1" t="str">
        <f t="array" ref="BD26">IFERROR(INDEX(各隊total!$U:$AB, MATCH($AF26, 各隊total!$A:$A, 0), COLUMN(A25)), "")</f>
        <v/>
      </c>
      <c r="BE26" s="1" t="str">
        <f t="array" ref="BE26">IFERROR(INDEX(各隊total!$V:$AB, MATCH($AF26, 各隊total!$A:$A, 0), COLUMN(A25)), "")</f>
        <v/>
      </c>
      <c r="BF26" s="1" t="str">
        <f t="array" ref="BF26">IFERROR(INDEX(各隊total!$W:$AB, MATCH($AF26, 各隊total!$A:$A, 0), COLUMN(A25)), "")</f>
        <v/>
      </c>
      <c r="BG26" s="1" t="str">
        <f t="array" ref="BG26">IFERROR(INDEX(各隊total!$X:$AB, MATCH($AF26, 各隊total!$A:$A, 0), COLUMN(A25)), "")</f>
        <v/>
      </c>
      <c r="BH26" s="1" t="str">
        <f t="array" ref="BH26">IFERROR(INDEX(各隊total!$Y:$AB, MATCH($AF26, 各隊total!$A:$A, 0), COLUMN(A25)), "")</f>
        <v/>
      </c>
      <c r="BI26" s="1" t="str">
        <f t="array" ref="BI26">IFERROR(INDEX(各隊total!$Z:$AB, MATCH($AF26, 各隊total!$A:$A, 0), COLUMN(A25)), "")</f>
        <v/>
      </c>
      <c r="BJ26" s="1" t="str">
        <f t="array" ref="BJ26">IFERROR(INDEX(各隊total!$AA:$AB, MATCH($AF26, 各隊total!$A:$A, 0), COLUMN(A25)), "")</f>
        <v/>
      </c>
      <c r="BK26" s="1" t="str">
        <f t="array" ref="BK26">IFERROR(INDEX(各隊total!$AB:$AB, MATCH($AF26, 各隊total!$A:$A, 0), COLUMN(A25)), "")</f>
        <v/>
      </c>
      <c r="CA26" s="20"/>
      <c r="CB26" s="19" t="str">
        <f>AF14</f>
        <v>小熊</v>
      </c>
      <c r="CC26" s="29"/>
      <c r="CD26" s="1" t="str">
        <f>AG14</f>
        <v>28</v>
      </c>
      <c r="CE26" s="1" t="str">
        <f t="shared" ref="CE26:DD26" si="14">AL14</f>
        <v>964</v>
      </c>
      <c r="CF26" s="1" t="str">
        <f t="shared" si="14"/>
        <v>149</v>
      </c>
      <c r="CG26" s="1" t="str">
        <f t="shared" si="14"/>
        <v>254</v>
      </c>
      <c r="CH26" s="1" t="str">
        <f t="shared" si="14"/>
        <v>41</v>
      </c>
      <c r="CI26" s="1" t="str">
        <f t="shared" si="14"/>
        <v>3</v>
      </c>
      <c r="CJ26" s="1" t="str">
        <f t="shared" si="14"/>
        <v>37</v>
      </c>
      <c r="CK26" s="1" t="str">
        <f t="shared" si="14"/>
        <v>135</v>
      </c>
      <c r="CL26" s="1" t="str">
        <f t="shared" si="14"/>
        <v>412</v>
      </c>
      <c r="CM26" s="1" t="str">
        <f t="shared" si="14"/>
        <v>126</v>
      </c>
      <c r="CN26" s="1" t="str">
        <f t="shared" si="14"/>
        <v>239</v>
      </c>
      <c r="CO26" s="1" t="str">
        <f t="shared" si="14"/>
        <v>18</v>
      </c>
      <c r="CP26" s="1" t="str">
        <f t="shared" si="14"/>
        <v>.263</v>
      </c>
      <c r="CQ26" s="1" t="str">
        <f t="shared" si="14"/>
        <v>.354</v>
      </c>
      <c r="CR26" s="1" t="str">
        <f t="shared" si="14"/>
        <v>.427</v>
      </c>
      <c r="CS26" s="1" t="str">
        <f t="shared" si="14"/>
        <v>.781</v>
      </c>
      <c r="CT26" s="1">
        <f t="shared" si="14"/>
        <v>0</v>
      </c>
      <c r="CU26" s="1" t="str">
        <f t="shared" si="14"/>
        <v>151.1</v>
      </c>
      <c r="CV26" s="1" t="str">
        <f t="shared" si="14"/>
        <v>5.5</v>
      </c>
      <c r="CW26" s="1" t="str">
        <f t="shared" si="14"/>
        <v>.113</v>
      </c>
      <c r="CX26" s="1" t="str">
        <f t="shared" si="14"/>
        <v>0.53</v>
      </c>
      <c r="CY26" s="1" t="str">
        <f t="shared" si="14"/>
        <v>.164</v>
      </c>
      <c r="CZ26" s="1" t="str">
        <f t="shared" si="14"/>
        <v>.309</v>
      </c>
      <c r="DA26" s="1" t="str">
        <f t="shared" si="14"/>
        <v>3.89</v>
      </c>
      <c r="DB26" s="1" t="str">
        <f t="shared" si="14"/>
        <v>81</v>
      </c>
      <c r="DC26" s="1" t="str">
        <f t="shared" si="14"/>
        <v>1116</v>
      </c>
      <c r="DD26" s="1" t="str">
        <f t="shared" si="14"/>
        <v>26.1</v>
      </c>
      <c r="DF26" s="33"/>
      <c r="DG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56"/>
      <c r="EI26" s="37">
        <f>先發名單!AA$2</f>
        <v>0</v>
      </c>
      <c r="EJ26" s="4" t="str">
        <f t="array" ref="EJ26">IFERROR(INDEX(球員狀態!$C$2:$C$5000, MATCH(1, (球員狀態!$A$2:$A$5000=$EI$1)*(ISNUMBER(SEARCH($EI26, 球員狀態!$B$2:$B$5000))), 0)), "")</f>
        <v/>
      </c>
      <c r="EM26" s="4" t="str">
        <f t="array" ref="EM26">IFERROR(INDEX(球員狀態!F$2:F$5000, MATCH(1, (球員狀態!$A$2:$A$5000=$EI$1)*(ISNUMBER(SEARCH($EI26, 球員狀態!$B$2:$B$5000))), 0)), "")</f>
        <v/>
      </c>
      <c r="EN26" s="4" t="str">
        <f t="array" ref="EN26">IFERROR(INDEX(球員狀態!G$2:G$5000, MATCH(1, (球員狀態!$A$2:$A$5000=$EI$1)*(ISNUMBER(SEARCH($EI26, 球員狀態!$B$2:$B$5000))), 0)), "")</f>
        <v/>
      </c>
      <c r="EO26" s="4" t="str">
        <f t="array" ref="EO26">IFERROR(INDEX(球員狀態!H$2:H$5000, MATCH(1, (球員狀態!$A$2:$A$5000=$EI$1)*(ISNUMBER(SEARCH($EI26, 球員狀態!$B$2:$B$5000))), 0)), "")</f>
        <v/>
      </c>
      <c r="EP26" s="4" t="str">
        <f t="array" ref="EP26">IFERROR(INDEX(球員狀態!I$2:I$5000, MATCH(1, (球員狀態!$A$2:$A$5000=$EI$1)*(ISNUMBER(SEARCH($EI26, 球員狀態!$B$2:$B$5000))), 0)), "")</f>
        <v/>
      </c>
      <c r="EQ26" s="4" t="str">
        <f t="array" ref="EQ26">IFERROR(INDEX(球員狀態!J$2:J$5000, MATCH(1, (球員狀態!$A$2:$A$5000=$EI$1)*(ISNUMBER(SEARCH($EI26, 球員狀態!$B$2:$B$5000))), 0)), "")</f>
        <v/>
      </c>
      <c r="ER26" s="4" t="str">
        <f t="array" ref="ER26">IFERROR(INDEX(球員狀態!K$2:K$5000, MATCH(1, (球員狀態!$A$2:$A$5000=$EI$1)*(ISNUMBER(SEARCH($EI26, 球員狀態!$B$2:$B$5000))), 0)), "")</f>
        <v/>
      </c>
      <c r="ES26" s="4" t="str">
        <f t="array" ref="ES26">IFERROR(INDEX(球員狀態!L$2:L$5000, MATCH(1, (球員狀態!$A$2:$A$5000=$EI$1)*(ISNUMBER(SEARCH($EI26, 球員狀態!$B$2:$B$5000))), 0)), "")</f>
        <v/>
      </c>
      <c r="ET26" s="4" t="str">
        <f t="array" ref="ET26">IFERROR(INDEX(球員狀態!M$2:M$5000, MATCH(1, (球員狀態!$A$2:$A$5000=$EI$1)*(ISNUMBER(SEARCH($EI26, 球員狀態!$B$2:$B$5000))), 0)), "")</f>
        <v/>
      </c>
      <c r="EU26" s="4" t="str">
        <f t="array" ref="EU26">IFERROR(INDEX(球員狀態!N$2:N$5000, MATCH(1, (球員狀態!$A$2:$A$5000=$EI$1)*(ISNUMBER(SEARCH($EI26, 球員狀態!$B$2:$B$5000))), 0)), "")</f>
        <v/>
      </c>
      <c r="EV26" s="4" t="str">
        <f t="array" ref="EV26">IFERROR(INDEX(球員狀態!O$2:O$5000, MATCH(1, (球員狀態!$A$2:$A$5000=$EI$1)*(ISNUMBER(SEARCH($EI26, 球員狀態!$B$2:$B$5000))), 0)), "")</f>
        <v/>
      </c>
      <c r="EW26" s="4" t="str">
        <f t="array" ref="EW26">IFERROR(INDEX(球員狀態!P$2:P$5000, MATCH(1, (球員狀態!$A$2:$A$5000=$EI$1)*(ISNUMBER(SEARCH($EI26, 球員狀態!$B$2:$B$5000))), 0)), "")</f>
        <v/>
      </c>
      <c r="EX26" s="4" t="str">
        <f t="array" ref="EX26">IFERROR(INDEX(球員狀態!Q$2:Q$5000, MATCH(1, (球員狀態!$A$2:$A$5000=$EI$1)*(ISNUMBER(SEARCH($EI26, 球員狀態!$B$2:$B$5000))), 0)), "")</f>
        <v/>
      </c>
      <c r="EY26" s="4" t="str">
        <f t="array" ref="EY26">IFERROR(INDEX(球員狀態!R$2:R$5000, MATCH(1, (球員狀態!$A$2:$A$5000=$EI$1)*(ISNUMBER(SEARCH($EI26, 球員狀態!$B$2:$B$5000))), 0)), "")</f>
        <v/>
      </c>
      <c r="EZ26" s="4" t="str">
        <f t="array" ref="EZ26">IFERROR(INDEX(球員狀態!S$2:S$5000, MATCH(1, (球員狀態!$A$2:$A$5000=$EI$1)*(ISNUMBER(SEARCH($EI26, 球員狀態!$B$2:$B$5000))), 0)), "")</f>
        <v/>
      </c>
      <c r="FA26" s="4" t="str">
        <f t="array" ref="FA26">IFERROR(INDEX(球員狀態!T$2:T$5000, MATCH(1, (球員狀態!$A$2:$A$5000=$EI$1)*(ISNUMBER(SEARCH($EI26, 球員狀態!$B$2:$B$5000))), 0)), "")</f>
        <v/>
      </c>
      <c r="FB26" s="4" t="str">
        <f t="array" ref="FB26">IFERROR(INDEX(球員狀態!U$2:U$5000, MATCH(1, (球員狀態!$A$2:$A$5000=$EI$1)*(ISNUMBER(SEARCH($EI26, 球員狀態!$B$2:$B$5000))), 0)), "")</f>
        <v/>
      </c>
      <c r="FC26" s="4" t="str">
        <f t="array" ref="FC26">IFERROR(INDEX(球員狀態!V$2:V$5000, MATCH(1, (球員狀態!$A$2:$A$5000=$EI$1)*(ISNUMBER(SEARCH($EI26, 球員狀態!$B$2:$B$5000))), 0)), "")</f>
        <v/>
      </c>
      <c r="FD26" s="4" t="str">
        <f t="array" ref="FD26">IFERROR(INDEX(球員狀態!W$2:W$5000, MATCH(1, (球員狀態!$A$2:$A$5000=$EI$1)*(ISNUMBER(SEARCH($EI26, 球員狀態!$B$2:$B$5000))), 0)), "")</f>
        <v/>
      </c>
      <c r="FE26" s="4" t="str">
        <f t="array" ref="FE26">IFERROR(INDEX(球員狀態!X$2:X$5000, MATCH(1, (球員狀態!$A$2:$A$5000=$EI$1)*(ISNUMBER(SEARCH($EI26, 球員狀態!$B$2:$B$5000))), 0)), "")</f>
        <v/>
      </c>
      <c r="FF26" s="4" t="str">
        <f t="array" ref="FF26">IFERROR(INDEX(球員狀態!Y$2:Y$5000, MATCH(1, (球員狀態!$A$2:$A$5000=$EI$1)*(ISNUMBER(SEARCH($EI26, 球員狀態!$B$2:$B$5000))), 0)), "")</f>
        <v/>
      </c>
      <c r="FG26" s="4" t="str">
        <f t="array" ref="FG26">IFERROR(INDEX(球員狀態!Z$2:Z$5000, MATCH(1, (球員狀態!$A$2:$A$5000=$EI$1)*(ISNUMBER(SEARCH($EI26, 球員狀態!$B$2:$B$5000))), 0)), "")</f>
        <v/>
      </c>
      <c r="FH26" s="4" t="str">
        <f t="array" ref="FH26">IFERROR(INDEX(球員狀態!AA$2:AA$5000, MATCH(1, (球員狀態!$A$2:$A$5000=$EI$1)*(ISNUMBER(SEARCH($EI26, 球員狀態!$B$2:$B$5000))), 0)), "")</f>
        <v/>
      </c>
      <c r="FI26" s="4" t="str">
        <f t="array" ref="FI26">IFERROR(INDEX(球員狀態!AB$2:AB$5000, MATCH(1, (球員狀態!$A$2:$A$5000=$EI$1)*(ISNUMBER(SEARCH($EI26, 球員狀態!$B$2:$B$5000))), 0)), "")</f>
        <v/>
      </c>
      <c r="FY26" s="20"/>
    </row>
    <row r="27" spans="1:181">
      <c r="V27" s="78"/>
      <c r="W27" t="e">
        <f>I15</f>
        <v>#N/A</v>
      </c>
      <c r="X27" s="17" t="e">
        <f t="array" aca="1" ref="X27" ca="1">_xlfn.LET(_xlpm.s,SUBSTITUTE(Y27,".",""),_xlpm.c,RIGHT(_xlpm.s,1),_xlpm.n,ROW(INDIRECT("1:"&amp;LEN(_xlpm.s))),_xlpm.cnt,MAX(IF(RIGHT(_xlpm.s,_xlpm.n)=REPT(_xlpm.c,_xlpm.n),_xlpm.n,0)),IF(_xlpm.cnt&gt;=2,_xlpm.cnt&amp;"連"&amp;_xlpm.c,"1"&amp;_xlpm.c))</f>
        <v>#N/A</v>
      </c>
      <c r="Y27" s="82" t="e">
        <f t="array" ref="Y27">INDEX(各隊正負!$F:$F, MATCH("*"&amp;$W27&amp;"*", 各隊正負!$A:$A, 0)+6)</f>
        <v>#N/A</v>
      </c>
      <c r="Z27" s="100"/>
      <c r="AA27" s="100"/>
      <c r="AB27" s="82" t="e">
        <f t="array" ref="AB27">INDEX(各隊正負!$F:$F, MATCH("*"&amp;$W27&amp;"*", 各隊正負!$A:$A, 0)+4)</f>
        <v>#N/A</v>
      </c>
      <c r="AC27" s="78"/>
      <c r="AD27" s="78"/>
      <c r="AE27" s="1" t="e">
        <f t="array" aca="1" ref="AE27" ca="1">_xlfn.LET(_xlpm.s,SUBSTITUTE(AB27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7" s="19" t="e">
        <f>I15</f>
        <v>#N/A</v>
      </c>
      <c r="AG27" s="1" t="str">
        <f t="array" ref="AG27">IFERROR(INDEX(各隊total!$B:$AB, MATCH($AF27, 各隊total!$A:$A, 0), COLUMN(A26)), "")</f>
        <v/>
      </c>
      <c r="AH27" s="32" t="e">
        <f>CB53</f>
        <v>#VALUE!</v>
      </c>
      <c r="AI27" s="61" t="e">
        <f t="shared" si="0"/>
        <v>#VALUE!</v>
      </c>
      <c r="AJ27" s="6" t="e">
        <f>CC53</f>
        <v>#VALUE!</v>
      </c>
      <c r="AK27" s="60" t="e">
        <f t="shared" si="1"/>
        <v>#VALUE!</v>
      </c>
      <c r="AL27" s="1" t="str">
        <f t="array" ref="AL27">IFERROR(INDEX(各隊total!$C:$AB, MATCH($AF27, 各隊total!$A:$A, 0), COLUMN(A26)), "")</f>
        <v/>
      </c>
      <c r="AM27" s="1" t="str">
        <f t="array" ref="AM27">IFERROR(INDEX(各隊total!$D:$AB, MATCH($AF27, 各隊total!$A:$A, 0), COLUMN(A26)), "")</f>
        <v/>
      </c>
      <c r="AN27" s="1" t="str">
        <f t="array" ref="AN27">IFERROR(INDEX(各隊total!$E:$AB, MATCH($AF27, 各隊total!$A:$A, 0), COLUMN(A26)), "")</f>
        <v/>
      </c>
      <c r="AO27" s="1" t="str">
        <f t="array" ref="AO27">IFERROR(INDEX(各隊total!$F:$AB, MATCH($AF27, 各隊total!$A:$A, 0), COLUMN(A26)), "")</f>
        <v/>
      </c>
      <c r="AP27" s="1" t="str">
        <f t="array" ref="AP27">IFERROR(INDEX(各隊total!$G:$AB, MATCH($AF27, 各隊total!$A:$A, 0), COLUMN(A26)), "")</f>
        <v/>
      </c>
      <c r="AQ27" s="1" t="str">
        <f t="array" ref="AQ27">IFERROR(INDEX(各隊total!$H:$AB, MATCH($AF27, 各隊total!$A:$A, 0), COLUMN(A26)), "")</f>
        <v/>
      </c>
      <c r="AR27" s="1" t="str">
        <f t="array" ref="AR27">IFERROR(INDEX(各隊total!$I:$AB, MATCH($AF27, 各隊total!$A:$A, 0), COLUMN(A26)), "")</f>
        <v/>
      </c>
      <c r="AS27" s="1" t="str">
        <f t="array" ref="AS27">IFERROR(INDEX(各隊total!$J:$AB, MATCH($AF27, 各隊total!$A:$A, 0), COLUMN(A26)), "")</f>
        <v/>
      </c>
      <c r="AT27" s="1" t="str">
        <f t="array" ref="AT27">IFERROR(INDEX(各隊total!$K:$AB, MATCH($AF27, 各隊total!$A:$A, 0), COLUMN(A26)), "")</f>
        <v/>
      </c>
      <c r="AU27" s="1" t="str">
        <f t="array" ref="AU27">IFERROR(INDEX(各隊total!$L:$AB, MATCH($AF27, 各隊total!$A:$A, 0), COLUMN(A26)), "")</f>
        <v/>
      </c>
      <c r="AV27" s="1" t="str">
        <f t="array" ref="AV27">IFERROR(INDEX(各隊total!$M:$AB, MATCH($AF27, 各隊total!$A:$A, 0), COLUMN(A26)), "")</f>
        <v/>
      </c>
      <c r="AW27" s="1" t="str">
        <f t="array" ref="AW27">IFERROR(INDEX(各隊total!$N:$AB, MATCH($AF27, 各隊total!$A:$A, 0), COLUMN(A26)), "")</f>
        <v/>
      </c>
      <c r="AX27" s="1" t="str">
        <f t="array" ref="AX27">IFERROR(INDEX(各隊total!$O:$AB, MATCH($AF27, 各隊total!$A:$A, 0), COLUMN(A26)), "")</f>
        <v/>
      </c>
      <c r="AY27" s="1" t="str">
        <f t="array" ref="AY27">IFERROR(INDEX(各隊total!$P:$AB, MATCH($AF27, 各隊total!$A:$A, 0), COLUMN(A26)), "")</f>
        <v/>
      </c>
      <c r="AZ27" s="1" t="str">
        <f t="array" ref="AZ27">IFERROR(INDEX(各隊total!$Q:$AB, MATCH($AF27, 各隊total!$A:$A, 0), COLUMN(A26)), "")</f>
        <v/>
      </c>
      <c r="BA27" s="1" t="str">
        <f t="array" ref="BA27">IFERROR(INDEX(各隊total!$R:$AB, MATCH($AF27, 各隊total!$A:$A, 0), COLUMN(A26)), "")</f>
        <v/>
      </c>
      <c r="BB27" s="1" t="str">
        <f t="array" ref="BB27">IFERROR(INDEX(各隊total!$S:$AB, MATCH($AF27, 各隊total!$A:$A, 0), COLUMN(A26)), "")</f>
        <v/>
      </c>
      <c r="BC27" s="1" t="str">
        <f t="array" ref="BC27">IFERROR(INDEX(各隊total!$T:$AB, MATCH($AF27, 各隊total!$A:$A, 0), COLUMN(A26)), "")</f>
        <v/>
      </c>
      <c r="BD27" s="1" t="str">
        <f t="array" ref="BD27">IFERROR(INDEX(各隊total!$U:$AB, MATCH($AF27, 各隊total!$A:$A, 0), COLUMN(A26)), "")</f>
        <v/>
      </c>
      <c r="BE27" s="1" t="str">
        <f t="array" ref="BE27">IFERROR(INDEX(各隊total!$V:$AB, MATCH($AF27, 各隊total!$A:$A, 0), COLUMN(A26)), "")</f>
        <v/>
      </c>
      <c r="BF27" s="1" t="str">
        <f t="array" ref="BF27">IFERROR(INDEX(各隊total!$W:$AB, MATCH($AF27, 各隊total!$A:$A, 0), COLUMN(A26)), "")</f>
        <v/>
      </c>
      <c r="BG27" s="1" t="str">
        <f t="array" ref="BG27">IFERROR(INDEX(各隊total!$X:$AB, MATCH($AF27, 各隊total!$A:$A, 0), COLUMN(A26)), "")</f>
        <v/>
      </c>
      <c r="BH27" s="1" t="str">
        <f t="array" ref="BH27">IFERROR(INDEX(各隊total!$Y:$AB, MATCH($AF27, 各隊total!$A:$A, 0), COLUMN(A26)), "")</f>
        <v/>
      </c>
      <c r="BI27" s="1" t="str">
        <f t="array" ref="BI27">IFERROR(INDEX(各隊total!$Z:$AB, MATCH($AF27, 各隊total!$A:$A, 0), COLUMN(A26)), "")</f>
        <v/>
      </c>
      <c r="BJ27" s="1" t="str">
        <f t="array" ref="BJ27">IFERROR(INDEX(各隊total!$AA:$AB, MATCH($AF27, 各隊total!$A:$A, 0), COLUMN(A26)), "")</f>
        <v/>
      </c>
      <c r="BK27" s="1" t="str">
        <f t="array" ref="BK27">IFERROR(INDEX(各隊total!$AB:$AB, MATCH($AF27, 各隊total!$A:$A, 0), COLUMN(A26)), "")</f>
        <v/>
      </c>
      <c r="BM27" s="105" t="s">
        <v>505</v>
      </c>
      <c r="BN27" s="103"/>
      <c r="BO27" s="21">
        <v>0.1</v>
      </c>
      <c r="BP27" s="105" t="s">
        <v>546</v>
      </c>
      <c r="BQ27" s="103"/>
      <c r="BR27" s="21">
        <v>0.35</v>
      </c>
      <c r="BS27" s="105" t="s">
        <v>547</v>
      </c>
      <c r="BT27" s="103"/>
      <c r="BU27" s="21">
        <v>0.2</v>
      </c>
      <c r="BV27" s="105" t="s">
        <v>548</v>
      </c>
      <c r="BW27" s="103"/>
      <c r="BX27" s="21">
        <v>0.15</v>
      </c>
      <c r="BY27" s="105" t="s">
        <v>511</v>
      </c>
      <c r="BZ27" s="103"/>
      <c r="CA27" s="21">
        <v>0.2</v>
      </c>
      <c r="CB27" s="28">
        <f>CF27+CJ27+CK27+CM27+CO27+CP27+CQ27+CR27</f>
        <v>6.15</v>
      </c>
      <c r="CC27" s="31">
        <f>CU27+CV27+CY27+CZ27+DA27</f>
        <v>6.4999999999999991</v>
      </c>
      <c r="CD27" s="58"/>
      <c r="CE27" s="1"/>
      <c r="CF27" s="27">
        <f>VLOOKUP(ROUND(CF26/CD26, 2), $BV$2:$BX$12, 3, TRUE)*BX$1</f>
        <v>1.05</v>
      </c>
      <c r="CG27" s="58"/>
      <c r="CH27" s="58"/>
      <c r="CI27" s="58"/>
      <c r="CJ27" s="27">
        <f>VLOOKUP(ROUND(CJ26/CD26, 2), $BM$15:$BO$25, 3, TRUE)*BO$14</f>
        <v>0.60000000000000009</v>
      </c>
      <c r="CK27" s="27">
        <f>VLOOKUP(ROUND(CK26/CD26, 2), $BY$2:$CA$12, 3, TRUE)*CA$1</f>
        <v>0.60000000000000009</v>
      </c>
      <c r="CL27" s="58"/>
      <c r="CM27" s="101">
        <f>VLOOKUP(ROUND(CM26/CN26, 2), $BP$15:$BR$25, 3, TRUE)*BR$14</f>
        <v>0.70000000000000007</v>
      </c>
      <c r="CN27" s="78"/>
      <c r="CO27" s="27">
        <f>VLOOKUP(ROUND(CO26/CD26, 2), $BS$15:$BU$25, 3, TRUE)*BU$14</f>
        <v>0.2</v>
      </c>
      <c r="CP27" s="27">
        <f>VLOOKUP(CP26*1, BM$2:BO$12, 3, TRUE)*BO$1</f>
        <v>0.60000000000000009</v>
      </c>
      <c r="CQ27" s="27">
        <f>VLOOKUP(CQ26*1, BP$2:BR$12, 3, TRUE)*BR$1</f>
        <v>1.4000000000000001</v>
      </c>
      <c r="CR27" s="27">
        <f>VLOOKUP(CR26*1, BS$2:BU$12, 3, TRUE)*BU$1</f>
        <v>1</v>
      </c>
      <c r="CS27" s="1"/>
      <c r="CT27" s="1"/>
      <c r="CU27" s="60">
        <f>VLOOKUP(CU26*1, BM$28:BO$38, 3, TRUE)*BO$27</f>
        <v>1</v>
      </c>
      <c r="CV27" s="60">
        <f>VLOOKUP(CV26*1, BP$28:BR$38, 3, TRUE)*BR$27</f>
        <v>2.8</v>
      </c>
      <c r="CW27" s="1"/>
      <c r="CX27" s="1"/>
      <c r="CY27" s="60">
        <f>VLOOKUP(CY26*1, BS$28:BU$38, 3, TRUE)*BU$27</f>
        <v>1</v>
      </c>
      <c r="CZ27" s="60">
        <f>VLOOKUP(CZ26*1, BV$28:BX$38, 3, TRUE)*BX$27</f>
        <v>0.89999999999999991</v>
      </c>
      <c r="DA27" s="60">
        <f>VLOOKUP(DA26*1, BY$28:CA$38, 3, TRUE)*CA$27</f>
        <v>0.8</v>
      </c>
      <c r="DH27" s="4"/>
      <c r="DI27" s="4"/>
      <c r="DJ27" s="58"/>
      <c r="DL27" s="58"/>
      <c r="DM27" s="58"/>
      <c r="DN27" s="58"/>
      <c r="DO27" s="58"/>
      <c r="DP27" s="58"/>
      <c r="DQ27" s="58"/>
      <c r="DR27" s="58"/>
      <c r="DU27" s="1"/>
      <c r="DX27" s="1"/>
      <c r="EA27" s="1"/>
      <c r="ED27" s="1"/>
      <c r="EE27" s="1"/>
      <c r="EF27" s="1"/>
      <c r="EG27" s="54"/>
      <c r="EK27" s="40" t="e">
        <f>EM27+EO27+EP27+EQ27+ER27-ES27-ET27+EU27</f>
        <v>#VALUE!</v>
      </c>
      <c r="EL27" s="42" t="e">
        <f>EX27+FA27+FD27+FG27+FH27+FI27</f>
        <v>#VALUE!</v>
      </c>
      <c r="EM27" s="38" t="e">
        <f>VLOOKUP(EM26*1, $FK$2:$FM$12, 3, TRUE)*$FM$1</f>
        <v>#VALUE!</v>
      </c>
      <c r="EO27" s="38" t="e">
        <f>VLOOKUP(EO26*1, $FN$2:$FP$12, 3, TRUE)*$FP$1</f>
        <v>#VALUE!</v>
      </c>
      <c r="EP27" s="38" t="e">
        <f>VLOOKUP(EP26*1, $FQ$2:$FS$12, 3, TRUE)*$FS$1</f>
        <v>#VALUE!</v>
      </c>
      <c r="EQ27" s="38" t="e">
        <f>VLOOKUP(EQ26*1, $FT$2:$FV$12, 3, TRUE)*$FV$1</f>
        <v>#VALUE!</v>
      </c>
      <c r="ER27" s="38" t="e">
        <f>VLOOKUP(ER26*1, $FW$2:$FY$12, 3, TRUE)*$FY$1</f>
        <v>#VALUE!</v>
      </c>
      <c r="ES27" s="39" t="e">
        <f>VLOOKUP(ES26*1, $FK$14:$FM$25, 3, TRUE)*$FM$14</f>
        <v>#VALUE!</v>
      </c>
      <c r="ET27" s="39" t="e">
        <f>VLOOKUP(ET26*1, $FN$14:$FP$25, 3, TRUE)*$FP$14</f>
        <v>#VALUE!</v>
      </c>
      <c r="EU27" s="38" t="e">
        <f>VLOOKUP(EU26*1, $FQ$14:$FS$25, 3, TRUE)*$FS$14</f>
        <v>#VALUE!</v>
      </c>
      <c r="EX27" s="41" t="e">
        <f>VLOOKUP(EX26*1, $FK$27:$FM$38, 3, TRUE)*$FM$27</f>
        <v>#VALUE!</v>
      </c>
      <c r="FA27" s="41" t="e">
        <f>VLOOKUP(FA26*1, $FN$27:$FP$38, 3, TRUE)*$FP$27</f>
        <v>#VALUE!</v>
      </c>
      <c r="FD27" s="41" t="e">
        <f>VLOOKUP(FD26*1, $FQ$27:$FS$38, 3, TRUE)*$FS$27</f>
        <v>#VALUE!</v>
      </c>
      <c r="FG27" s="41" t="e">
        <f>VLOOKUP(FG26*1, $FT$27:$FV$38, 3, TRUE)*$FV$27</f>
        <v>#VALUE!</v>
      </c>
      <c r="FH27" s="41" t="e">
        <f>VLOOKUP(FH26*1, $FW$27:$FY$38, 3, TRUE)*$FY$27</f>
        <v>#VALUE!</v>
      </c>
      <c r="FI27" s="41" t="e">
        <f>VLOOKUP(FI26*1, $FK$40:$FM$51, 3, TRUE)*$FM$40</f>
        <v>#VALUE!</v>
      </c>
      <c r="FK27" s="106" t="s">
        <v>549</v>
      </c>
      <c r="FL27" s="103"/>
      <c r="FM27" s="21">
        <v>0.1</v>
      </c>
      <c r="FN27" s="106" t="s">
        <v>550</v>
      </c>
      <c r="FO27" s="103"/>
      <c r="FP27" s="21">
        <v>0.2</v>
      </c>
      <c r="FQ27" s="106" t="s">
        <v>551</v>
      </c>
      <c r="FR27" s="103"/>
      <c r="FS27" s="21">
        <v>0.1</v>
      </c>
      <c r="FT27" s="106" t="s">
        <v>552</v>
      </c>
      <c r="FU27" s="103"/>
      <c r="FV27" s="21">
        <v>0.1</v>
      </c>
      <c r="FW27" s="106" t="s">
        <v>553</v>
      </c>
      <c r="FX27" s="103"/>
      <c r="FY27" s="21">
        <v>0.15</v>
      </c>
    </row>
    <row r="28" spans="1:181">
      <c r="V28" s="82" t="e">
        <f>C16</f>
        <v>#N/A</v>
      </c>
      <c r="W28" t="e">
        <f>E16</f>
        <v>#N/A</v>
      </c>
      <c r="X28" s="17" t="e">
        <f t="array" aca="1" ref="X28" ca="1">_xlfn.LET(_xlpm.s,SUBSTITUTE(Y28,".",""),_xlpm.c,RIGHT(_xlpm.s,1),_xlpm.n,ROW(INDIRECT("1:"&amp;LEN(_xlpm.s))),_xlpm.cnt,MAX(IF(RIGHT(_xlpm.s,_xlpm.n)=REPT(_xlpm.c,_xlpm.n),_xlpm.n,0)),IF(_xlpm.cnt&gt;=2,_xlpm.cnt&amp;"連"&amp;_xlpm.c,"1"&amp;_xlpm.c))</f>
        <v>#N/A</v>
      </c>
      <c r="Y28" s="82" t="e">
        <f t="array" ref="Y28">INDEX(各隊正負!$F:$F, MATCH("*"&amp;$W28&amp;"*", 各隊正負!$A:$A, 0)+6)</f>
        <v>#N/A</v>
      </c>
      <c r="Z28" s="100"/>
      <c r="AA28" s="100"/>
      <c r="AB28" s="82" t="e">
        <f t="array" ref="AB28">INDEX(各隊正負!$F:$F, MATCH("*"&amp;$W28&amp;"*", 各隊正負!$A:$A, 0)+4)</f>
        <v>#N/A</v>
      </c>
      <c r="AC28" s="78"/>
      <c r="AD28" s="78"/>
      <c r="AE28" s="1" t="e">
        <f t="array" aca="1" ref="AE28" ca="1">_xlfn.LET(_xlpm.s,SUBSTITUTE(AB28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8" s="19" t="e">
        <f>E16</f>
        <v>#N/A</v>
      </c>
      <c r="AG28" s="1" t="str">
        <f t="array" ref="AG28">IFERROR(INDEX(各隊total!$B:$AB, MATCH($AF28, 各隊total!$A:$A, 0), COLUMN(A27)), "")</f>
        <v/>
      </c>
      <c r="AH28" s="32" t="e">
        <f>CB55</f>
        <v>#VALUE!</v>
      </c>
      <c r="AI28" s="61" t="e">
        <f t="shared" si="0"/>
        <v>#VALUE!</v>
      </c>
      <c r="AJ28" s="6" t="e">
        <f>CC55</f>
        <v>#VALUE!</v>
      </c>
      <c r="AK28" s="60" t="e">
        <f t="shared" si="1"/>
        <v>#VALUE!</v>
      </c>
      <c r="AL28" s="1" t="str">
        <f t="array" ref="AL28">IFERROR(INDEX(各隊total!$C:$AB, MATCH($AF28, 各隊total!$A:$A, 0), COLUMN(A27)), "")</f>
        <v/>
      </c>
      <c r="AM28" s="1" t="str">
        <f t="array" ref="AM28">IFERROR(INDEX(各隊total!$D:$AB, MATCH($AF28, 各隊total!$A:$A, 0), COLUMN(A27)), "")</f>
        <v/>
      </c>
      <c r="AN28" s="1" t="str">
        <f t="array" ref="AN28">IFERROR(INDEX(各隊total!$E:$AB, MATCH($AF28, 各隊total!$A:$A, 0), COLUMN(A27)), "")</f>
        <v/>
      </c>
      <c r="AO28" s="1" t="str">
        <f t="array" ref="AO28">IFERROR(INDEX(各隊total!$F:$AB, MATCH($AF28, 各隊total!$A:$A, 0), COLUMN(A27)), "")</f>
        <v/>
      </c>
      <c r="AP28" s="1" t="str">
        <f t="array" ref="AP28">IFERROR(INDEX(各隊total!$G:$AB, MATCH($AF28, 各隊total!$A:$A, 0), COLUMN(A27)), "")</f>
        <v/>
      </c>
      <c r="AQ28" s="1" t="str">
        <f t="array" ref="AQ28">IFERROR(INDEX(各隊total!$H:$AB, MATCH($AF28, 各隊total!$A:$A, 0), COLUMN(A27)), "")</f>
        <v/>
      </c>
      <c r="AR28" s="1" t="str">
        <f t="array" ref="AR28">IFERROR(INDEX(各隊total!$I:$AB, MATCH($AF28, 各隊total!$A:$A, 0), COLUMN(A27)), "")</f>
        <v/>
      </c>
      <c r="AS28" s="1" t="str">
        <f t="array" ref="AS28">IFERROR(INDEX(各隊total!$J:$AB, MATCH($AF28, 各隊total!$A:$A, 0), COLUMN(A27)), "")</f>
        <v/>
      </c>
      <c r="AT28" s="1" t="str">
        <f t="array" ref="AT28">IFERROR(INDEX(各隊total!$K:$AB, MATCH($AF28, 各隊total!$A:$A, 0), COLUMN(A27)), "")</f>
        <v/>
      </c>
      <c r="AU28" s="1" t="str">
        <f t="array" ref="AU28">IFERROR(INDEX(各隊total!$L:$AB, MATCH($AF28, 各隊total!$A:$A, 0), COLUMN(A27)), "")</f>
        <v/>
      </c>
      <c r="AV28" s="1" t="str">
        <f t="array" ref="AV28">IFERROR(INDEX(各隊total!$M:$AB, MATCH($AF28, 各隊total!$A:$A, 0), COLUMN(A27)), "")</f>
        <v/>
      </c>
      <c r="AW28" s="1" t="str">
        <f t="array" ref="AW28">IFERROR(INDEX(各隊total!$N:$AB, MATCH($AF28, 各隊total!$A:$A, 0), COLUMN(A27)), "")</f>
        <v/>
      </c>
      <c r="AX28" s="1" t="str">
        <f t="array" ref="AX28">IFERROR(INDEX(各隊total!$O:$AB, MATCH($AF28, 各隊total!$A:$A, 0), COLUMN(A27)), "")</f>
        <v/>
      </c>
      <c r="AY28" s="1" t="str">
        <f t="array" ref="AY28">IFERROR(INDEX(各隊total!$P:$AB, MATCH($AF28, 各隊total!$A:$A, 0), COLUMN(A27)), "")</f>
        <v/>
      </c>
      <c r="AZ28" s="1" t="str">
        <f t="array" ref="AZ28">IFERROR(INDEX(各隊total!$Q:$AB, MATCH($AF28, 各隊total!$A:$A, 0), COLUMN(A27)), "")</f>
        <v/>
      </c>
      <c r="BA28" s="1" t="str">
        <f t="array" ref="BA28">IFERROR(INDEX(各隊total!$R:$AB, MATCH($AF28, 各隊total!$A:$A, 0), COLUMN(A27)), "")</f>
        <v/>
      </c>
      <c r="BB28" s="1" t="str">
        <f t="array" ref="BB28">IFERROR(INDEX(各隊total!$S:$AB, MATCH($AF28, 各隊total!$A:$A, 0), COLUMN(A27)), "")</f>
        <v/>
      </c>
      <c r="BC28" s="1" t="str">
        <f t="array" ref="BC28">IFERROR(INDEX(各隊total!$T:$AB, MATCH($AF28, 各隊total!$A:$A, 0), COLUMN(A27)), "")</f>
        <v/>
      </c>
      <c r="BD28" s="1" t="str">
        <f t="array" ref="BD28">IFERROR(INDEX(各隊total!$U:$AB, MATCH($AF28, 各隊total!$A:$A, 0), COLUMN(A27)), "")</f>
        <v/>
      </c>
      <c r="BE28" s="1" t="str">
        <f t="array" ref="BE28">IFERROR(INDEX(各隊total!$V:$AB, MATCH($AF28, 各隊total!$A:$A, 0), COLUMN(A27)), "")</f>
        <v/>
      </c>
      <c r="BF28" s="1" t="str">
        <f t="array" ref="BF28">IFERROR(INDEX(各隊total!$W:$AB, MATCH($AF28, 各隊total!$A:$A, 0), COLUMN(A27)), "")</f>
        <v/>
      </c>
      <c r="BG28" s="1" t="str">
        <f t="array" ref="BG28">IFERROR(INDEX(各隊total!$X:$AB, MATCH($AF28, 各隊total!$A:$A, 0), COLUMN(A27)), "")</f>
        <v/>
      </c>
      <c r="BH28" s="1" t="str">
        <f t="array" ref="BH28">IFERROR(INDEX(各隊total!$Y:$AB, MATCH($AF28, 各隊total!$A:$A, 0), COLUMN(A27)), "")</f>
        <v/>
      </c>
      <c r="BI28" s="1" t="str">
        <f t="array" ref="BI28">IFERROR(INDEX(各隊total!$Z:$AB, MATCH($AF28, 各隊total!$A:$A, 0), COLUMN(A27)), "")</f>
        <v/>
      </c>
      <c r="BJ28" s="1" t="str">
        <f t="array" ref="BJ28">IFERROR(INDEX(各隊total!$AA:$AB, MATCH($AF28, 各隊total!$A:$A, 0), COLUMN(A27)), "")</f>
        <v/>
      </c>
      <c r="BK28" s="1" t="str">
        <f t="array" ref="BK28">IFERROR(INDEX(各隊total!$AB:$AB, MATCH($AF28, 各隊total!$A:$A, 0), COLUMN(A27)), "")</f>
        <v/>
      </c>
      <c r="BM28" s="22">
        <v>0</v>
      </c>
      <c r="BN28" s="19">
        <v>70</v>
      </c>
      <c r="BO28" s="23">
        <v>0</v>
      </c>
      <c r="BP28" s="22">
        <v>0</v>
      </c>
      <c r="BQ28" s="19">
        <v>3</v>
      </c>
      <c r="BR28" s="23">
        <v>0</v>
      </c>
      <c r="BS28" s="22">
        <v>0</v>
      </c>
      <c r="BT28" s="19">
        <v>0.1</v>
      </c>
      <c r="BU28" s="23">
        <v>0</v>
      </c>
      <c r="BV28" s="22">
        <v>0</v>
      </c>
      <c r="BW28" s="19">
        <v>0.21</v>
      </c>
      <c r="BX28" s="23">
        <v>0</v>
      </c>
      <c r="BY28" s="22">
        <v>0</v>
      </c>
      <c r="BZ28" s="19">
        <v>3.7</v>
      </c>
      <c r="CA28" s="23">
        <v>0</v>
      </c>
      <c r="CB28" s="19" t="str">
        <f>AF15</f>
        <v>教士</v>
      </c>
      <c r="CC28" s="29"/>
      <c r="CD28" s="1" t="str">
        <f>AG15</f>
        <v>27</v>
      </c>
      <c r="CE28" s="1" t="str">
        <f t="shared" ref="CE28:DD28" si="15">AL15</f>
        <v>898</v>
      </c>
      <c r="CF28" s="1" t="str">
        <f t="shared" si="15"/>
        <v>123</v>
      </c>
      <c r="CG28" s="1" t="str">
        <f t="shared" si="15"/>
        <v>211</v>
      </c>
      <c r="CH28" s="1" t="str">
        <f t="shared" si="15"/>
        <v>51</v>
      </c>
      <c r="CI28" s="1" t="str">
        <f t="shared" si="15"/>
        <v>3</v>
      </c>
      <c r="CJ28" s="1" t="str">
        <f t="shared" si="15"/>
        <v>25</v>
      </c>
      <c r="CK28" s="1" t="str">
        <f t="shared" si="15"/>
        <v>118</v>
      </c>
      <c r="CL28" s="1" t="str">
        <f t="shared" si="15"/>
        <v>343</v>
      </c>
      <c r="CM28" s="1" t="str">
        <f t="shared" si="15"/>
        <v>94</v>
      </c>
      <c r="CN28" s="1" t="str">
        <f t="shared" si="15"/>
        <v>222</v>
      </c>
      <c r="CO28" s="1" t="str">
        <f t="shared" si="15"/>
        <v>23</v>
      </c>
      <c r="CP28" s="1" t="str">
        <f t="shared" si="15"/>
        <v>.235</v>
      </c>
      <c r="CQ28" s="1" t="str">
        <f t="shared" si="15"/>
        <v>.311</v>
      </c>
      <c r="CR28" s="1" t="str">
        <f t="shared" si="15"/>
        <v>.382</v>
      </c>
      <c r="CS28" s="1" t="str">
        <f t="shared" si="15"/>
        <v>.693</v>
      </c>
      <c r="CT28" s="1">
        <f t="shared" si="15"/>
        <v>0</v>
      </c>
      <c r="CU28" s="1" t="str">
        <f t="shared" si="15"/>
        <v>110.8</v>
      </c>
      <c r="CV28" s="1" t="str">
        <f t="shared" si="15"/>
        <v>4.1</v>
      </c>
      <c r="CW28" s="1" t="str">
        <f t="shared" si="15"/>
        <v>.093</v>
      </c>
      <c r="CX28" s="1" t="str">
        <f t="shared" si="15"/>
        <v>0.42</v>
      </c>
      <c r="CY28" s="1" t="str">
        <f t="shared" si="15"/>
        <v>.147</v>
      </c>
      <c r="CZ28" s="1" t="str">
        <f t="shared" si="15"/>
        <v>.271</v>
      </c>
      <c r="DA28" s="1" t="str">
        <f t="shared" si="15"/>
        <v>3.91</v>
      </c>
      <c r="DB28" s="1" t="str">
        <f t="shared" si="15"/>
        <v>79</v>
      </c>
      <c r="DC28" s="1" t="str">
        <f t="shared" si="15"/>
        <v>1014</v>
      </c>
      <c r="DD28" s="1" t="str">
        <f t="shared" si="15"/>
        <v>35.9</v>
      </c>
      <c r="DF28" s="82" t="str">
        <f>$DF1&amp;"整體"</f>
        <v>光芒整體</v>
      </c>
      <c r="DG28" t="s">
        <v>487</v>
      </c>
      <c r="DH28" t="s">
        <v>488</v>
      </c>
      <c r="DJ28" s="82" t="str">
        <f>$DF1&amp;"先發"</f>
        <v>光芒先發</v>
      </c>
      <c r="DK28" s="78"/>
      <c r="DL28" t="s">
        <v>487</v>
      </c>
      <c r="DM28" t="s">
        <v>488</v>
      </c>
      <c r="DO28" s="82" t="str">
        <f>$DF1&amp;"板凳"</f>
        <v>光芒板凳</v>
      </c>
      <c r="DP28" s="78"/>
      <c r="DQ28" t="s">
        <v>487</v>
      </c>
      <c r="DR28" t="s">
        <v>488</v>
      </c>
      <c r="EI28" s="82" t="str">
        <f>$EI1&amp;"整體"</f>
        <v>守護者整體</v>
      </c>
      <c r="EJ28" t="s">
        <v>487</v>
      </c>
      <c r="EK28" t="s">
        <v>488</v>
      </c>
      <c r="EM28" s="82" t="str">
        <f>$DF1&amp;"先發"</f>
        <v>光芒先發</v>
      </c>
      <c r="EN28" s="78"/>
      <c r="EO28" t="s">
        <v>487</v>
      </c>
      <c r="EP28" t="s">
        <v>488</v>
      </c>
      <c r="ER28" s="82" t="str">
        <f>$DF1&amp;"板凳"</f>
        <v>光芒板凳</v>
      </c>
      <c r="ES28" s="78"/>
      <c r="ET28" t="s">
        <v>487</v>
      </c>
      <c r="EU28" t="s">
        <v>488</v>
      </c>
      <c r="FK28" s="22">
        <v>0</v>
      </c>
      <c r="FL28" s="19">
        <v>38</v>
      </c>
      <c r="FM28" s="23">
        <v>0</v>
      </c>
      <c r="FN28" s="22">
        <v>0</v>
      </c>
      <c r="FO28" s="19">
        <v>25</v>
      </c>
      <c r="FP28" s="23">
        <v>0</v>
      </c>
      <c r="FQ28" s="22">
        <v>0</v>
      </c>
      <c r="FR28" s="19">
        <v>55</v>
      </c>
      <c r="FS28" s="23">
        <v>0</v>
      </c>
      <c r="FT28" s="22">
        <v>0</v>
      </c>
      <c r="FU28" s="19">
        <v>40</v>
      </c>
      <c r="FV28" s="23">
        <v>0</v>
      </c>
      <c r="FW28" s="22">
        <v>0</v>
      </c>
      <c r="FX28" s="19">
        <v>0.85</v>
      </c>
      <c r="FY28" s="23">
        <v>0</v>
      </c>
    </row>
    <row r="29" spans="1:181">
      <c r="V29" s="78"/>
      <c r="W29" t="e">
        <f>I16</f>
        <v>#N/A</v>
      </c>
      <c r="X29" s="17" t="e">
        <f t="array" aca="1" ref="X29" ca="1">_xlfn.LET(_xlpm.s,SUBSTITUTE(Y29,".",""),_xlpm.c,RIGHT(_xlpm.s,1),_xlpm.n,ROW(INDIRECT("1:"&amp;LEN(_xlpm.s))),_xlpm.cnt,MAX(IF(RIGHT(_xlpm.s,_xlpm.n)=REPT(_xlpm.c,_xlpm.n),_xlpm.n,0)),IF(_xlpm.cnt&gt;=2,_xlpm.cnt&amp;"連"&amp;_xlpm.c,"1"&amp;_xlpm.c))</f>
        <v>#N/A</v>
      </c>
      <c r="Y29" s="82" t="e">
        <f t="array" ref="Y29">INDEX(各隊正負!$F:$F, MATCH("*"&amp;$W29&amp;"*", 各隊正負!$A:$A, 0)+6)</f>
        <v>#N/A</v>
      </c>
      <c r="Z29" s="100"/>
      <c r="AA29" s="100"/>
      <c r="AB29" s="82" t="e">
        <f t="array" ref="AB29">INDEX(各隊正負!$F:$F, MATCH("*"&amp;$W29&amp;"*", 各隊正負!$A:$A, 0)+4)</f>
        <v>#N/A</v>
      </c>
      <c r="AC29" s="78"/>
      <c r="AD29" s="78"/>
      <c r="AE29" s="1" t="e">
        <f t="array" aca="1" ref="AE29" ca="1">_xlfn.LET(_xlpm.s,SUBSTITUTE(AB29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29" s="19" t="e">
        <f>I16</f>
        <v>#N/A</v>
      </c>
      <c r="AG29" s="1" t="str">
        <f t="array" ref="AG29">IFERROR(INDEX(各隊total!$B:$AB, MATCH($AF29, 各隊total!$A:$A, 0), COLUMN(A28)), "")</f>
        <v/>
      </c>
      <c r="AH29" s="32" t="e">
        <f>CB57</f>
        <v>#VALUE!</v>
      </c>
      <c r="AI29" s="61" t="e">
        <f t="shared" si="0"/>
        <v>#VALUE!</v>
      </c>
      <c r="AJ29" s="6" t="e">
        <f>CC57</f>
        <v>#VALUE!</v>
      </c>
      <c r="AK29" s="60" t="e">
        <f t="shared" si="1"/>
        <v>#VALUE!</v>
      </c>
      <c r="AL29" s="1" t="str">
        <f t="array" ref="AL29">IFERROR(INDEX(各隊total!$C:$AB, MATCH($AF29, 各隊total!$A:$A, 0), COLUMN(A28)), "")</f>
        <v/>
      </c>
      <c r="AM29" s="1" t="str">
        <f t="array" ref="AM29">IFERROR(INDEX(各隊total!$D:$AB, MATCH($AF29, 各隊total!$A:$A, 0), COLUMN(A28)), "")</f>
        <v/>
      </c>
      <c r="AN29" s="1" t="str">
        <f t="array" ref="AN29">IFERROR(INDEX(各隊total!$E:$AB, MATCH($AF29, 各隊total!$A:$A, 0), COLUMN(A28)), "")</f>
        <v/>
      </c>
      <c r="AO29" s="1" t="str">
        <f t="array" ref="AO29">IFERROR(INDEX(各隊total!$F:$AB, MATCH($AF29, 各隊total!$A:$A, 0), COLUMN(A28)), "")</f>
        <v/>
      </c>
      <c r="AP29" s="1" t="str">
        <f t="array" ref="AP29">IFERROR(INDEX(各隊total!$G:$AB, MATCH($AF29, 各隊total!$A:$A, 0), COLUMN(A28)), "")</f>
        <v/>
      </c>
      <c r="AQ29" s="1" t="str">
        <f t="array" ref="AQ29">IFERROR(INDEX(各隊total!$H:$AB, MATCH($AF29, 各隊total!$A:$A, 0), COLUMN(A28)), "")</f>
        <v/>
      </c>
      <c r="AR29" s="1" t="str">
        <f t="array" ref="AR29">IFERROR(INDEX(各隊total!$I:$AB, MATCH($AF29, 各隊total!$A:$A, 0), COLUMN(A28)), "")</f>
        <v/>
      </c>
      <c r="AS29" s="1" t="str">
        <f t="array" ref="AS29">IFERROR(INDEX(各隊total!$J:$AB, MATCH($AF29, 各隊total!$A:$A, 0), COLUMN(A28)), "")</f>
        <v/>
      </c>
      <c r="AT29" s="1" t="str">
        <f t="array" ref="AT29">IFERROR(INDEX(各隊total!$K:$AB, MATCH($AF29, 各隊total!$A:$A, 0), COLUMN(A28)), "")</f>
        <v/>
      </c>
      <c r="AU29" s="1" t="str">
        <f t="array" ref="AU29">IFERROR(INDEX(各隊total!$L:$AB, MATCH($AF29, 各隊total!$A:$A, 0), COLUMN(A28)), "")</f>
        <v/>
      </c>
      <c r="AV29" s="1" t="str">
        <f t="array" ref="AV29">IFERROR(INDEX(各隊total!$M:$AB, MATCH($AF29, 各隊total!$A:$A, 0), COLUMN(A28)), "")</f>
        <v/>
      </c>
      <c r="AW29" s="1" t="str">
        <f t="array" ref="AW29">IFERROR(INDEX(各隊total!$N:$AB, MATCH($AF29, 各隊total!$A:$A, 0), COLUMN(A28)), "")</f>
        <v/>
      </c>
      <c r="AX29" s="1" t="str">
        <f t="array" ref="AX29">IFERROR(INDEX(各隊total!$O:$AB, MATCH($AF29, 各隊total!$A:$A, 0), COLUMN(A28)), "")</f>
        <v/>
      </c>
      <c r="AY29" s="1" t="str">
        <f t="array" ref="AY29">IFERROR(INDEX(各隊total!$P:$AB, MATCH($AF29, 各隊total!$A:$A, 0), COLUMN(A28)), "")</f>
        <v/>
      </c>
      <c r="AZ29" s="1" t="str">
        <f t="array" ref="AZ29">IFERROR(INDEX(各隊total!$Q:$AB, MATCH($AF29, 各隊total!$A:$A, 0), COLUMN(A28)), "")</f>
        <v/>
      </c>
      <c r="BA29" s="1" t="str">
        <f t="array" ref="BA29">IFERROR(INDEX(各隊total!$R:$AB, MATCH($AF29, 各隊total!$A:$A, 0), COLUMN(A28)), "")</f>
        <v/>
      </c>
      <c r="BB29" s="1" t="str">
        <f t="array" ref="BB29">IFERROR(INDEX(各隊total!$S:$AB, MATCH($AF29, 各隊total!$A:$A, 0), COLUMN(A28)), "")</f>
        <v/>
      </c>
      <c r="BC29" s="1" t="str">
        <f t="array" ref="BC29">IFERROR(INDEX(各隊total!$T:$AB, MATCH($AF29, 各隊total!$A:$A, 0), COLUMN(A28)), "")</f>
        <v/>
      </c>
      <c r="BD29" s="1" t="str">
        <f t="array" ref="BD29">IFERROR(INDEX(各隊total!$U:$AB, MATCH($AF29, 各隊total!$A:$A, 0), COLUMN(A28)), "")</f>
        <v/>
      </c>
      <c r="BE29" s="1" t="str">
        <f t="array" ref="BE29">IFERROR(INDEX(各隊total!$V:$AB, MATCH($AF29, 各隊total!$A:$A, 0), COLUMN(A28)), "")</f>
        <v/>
      </c>
      <c r="BF29" s="1" t="str">
        <f t="array" ref="BF29">IFERROR(INDEX(各隊total!$W:$AB, MATCH($AF29, 各隊total!$A:$A, 0), COLUMN(A28)), "")</f>
        <v/>
      </c>
      <c r="BG29" s="1" t="str">
        <f t="array" ref="BG29">IFERROR(INDEX(各隊total!$X:$AB, MATCH($AF29, 各隊total!$A:$A, 0), COLUMN(A28)), "")</f>
        <v/>
      </c>
      <c r="BH29" s="1" t="str">
        <f t="array" ref="BH29">IFERROR(INDEX(各隊total!$Y:$AB, MATCH($AF29, 各隊total!$A:$A, 0), COLUMN(A28)), "")</f>
        <v/>
      </c>
      <c r="BI29" s="1" t="str">
        <f t="array" ref="BI29">IFERROR(INDEX(各隊total!$Z:$AB, MATCH($AF29, 各隊total!$A:$A, 0), COLUMN(A28)), "")</f>
        <v/>
      </c>
      <c r="BJ29" s="1" t="str">
        <f t="array" ref="BJ29">IFERROR(INDEX(各隊total!$AA:$AB, MATCH($AF29, 各隊total!$A:$A, 0), COLUMN(A28)), "")</f>
        <v/>
      </c>
      <c r="BK29" s="1" t="str">
        <f t="array" ref="BK29">IFERROR(INDEX(各隊total!$AB:$AB, MATCH($AF29, 各隊total!$A:$A, 0), COLUMN(A28)), "")</f>
        <v/>
      </c>
      <c r="BM29" s="22">
        <v>71</v>
      </c>
      <c r="BN29" s="19">
        <v>75</v>
      </c>
      <c r="BO29" s="23">
        <v>1</v>
      </c>
      <c r="BP29" s="22">
        <v>3.01</v>
      </c>
      <c r="BQ29" s="19">
        <v>3.4</v>
      </c>
      <c r="BR29" s="23">
        <v>1</v>
      </c>
      <c r="BS29" s="22">
        <v>0.10100000000000001</v>
      </c>
      <c r="BT29" s="19">
        <v>0.115</v>
      </c>
      <c r="BU29" s="23">
        <v>1</v>
      </c>
      <c r="BV29" s="22">
        <v>0.21099999999999999</v>
      </c>
      <c r="BW29" s="19">
        <v>0.23</v>
      </c>
      <c r="BX29" s="23">
        <v>1</v>
      </c>
      <c r="BY29" s="22">
        <v>3.71</v>
      </c>
      <c r="BZ29" s="19">
        <v>3.75</v>
      </c>
      <c r="CA29" s="23">
        <v>1</v>
      </c>
      <c r="CB29" s="28">
        <f>CF29+CJ29+CK29+CM29+CO29+CP29+CQ29+CR29</f>
        <v>3.9</v>
      </c>
      <c r="CC29" s="31">
        <f>CU29+CV29+CY29+CZ29+DA29</f>
        <v>4.1500000000000004</v>
      </c>
      <c r="CD29" s="58"/>
      <c r="CE29" s="1"/>
      <c r="CF29" s="27">
        <f>VLOOKUP(ROUND(CF28/CD28, 2), $BV$2:$BX$12, 3, TRUE)*BX$1</f>
        <v>0.6</v>
      </c>
      <c r="CG29" s="58"/>
      <c r="CH29" s="58"/>
      <c r="CI29" s="58"/>
      <c r="CJ29" s="27">
        <f>VLOOKUP(ROUND(CJ28/CD28, 2), $BM$15:$BO$25, 3, TRUE)*BO$14</f>
        <v>0.30000000000000004</v>
      </c>
      <c r="CK29" s="27">
        <f>VLOOKUP(ROUND(CK28/CD28, 2), $BY$2:$CA$12, 3, TRUE)*CA$1</f>
        <v>0.4</v>
      </c>
      <c r="CL29" s="58"/>
      <c r="CM29" s="101">
        <f>VLOOKUP(ROUND(CM28/CN28, 2), $BP$15:$BR$25, 3, TRUE)*BR$14</f>
        <v>0.5</v>
      </c>
      <c r="CN29" s="78"/>
      <c r="CO29" s="27">
        <f>VLOOKUP(ROUND(CO28/CD28, 2), $BS$15:$BU$25, 3, TRUE)*BU$14</f>
        <v>0.30000000000000004</v>
      </c>
      <c r="CP29" s="27">
        <f>VLOOKUP(CP28*1, BM$2:BO$12, 3, TRUE)*BO$1</f>
        <v>0.4</v>
      </c>
      <c r="CQ29" s="27">
        <f>VLOOKUP(CQ28*1, BP$2:BR$12, 3, TRUE)*BR$1</f>
        <v>0.8</v>
      </c>
      <c r="CR29" s="27">
        <f>VLOOKUP(CR28*1, BS$2:BU$12, 3, TRUE)*BU$1</f>
        <v>0.60000000000000009</v>
      </c>
      <c r="CS29" s="1"/>
      <c r="CT29" s="1"/>
      <c r="CU29" s="60">
        <f>VLOOKUP(CU28*1, BM$28:BO$38, 3, TRUE)*BO$27</f>
        <v>0.70000000000000007</v>
      </c>
      <c r="CV29" s="60">
        <f>VLOOKUP(CV28*1, BP$28:BR$38, 3, TRUE)*BR$27</f>
        <v>1.0499999999999998</v>
      </c>
      <c r="CW29" s="1"/>
      <c r="CX29" s="1"/>
      <c r="CY29" s="60">
        <f>VLOOKUP(CY28*1, BS$28:BU$38, 3, TRUE)*BU$27</f>
        <v>0.8</v>
      </c>
      <c r="CZ29" s="60">
        <f>VLOOKUP(CZ28*1, BV$28:BX$38, 3, TRUE)*BX$27</f>
        <v>0.6</v>
      </c>
      <c r="DA29" s="60">
        <f>VLOOKUP(DA28*1, BY$28:CA$38, 3, TRUE)*CA$27</f>
        <v>1</v>
      </c>
      <c r="DF29" s="78"/>
      <c r="DG29" s="43" t="e">
        <f>(DH3+DH5+DH7+DH9+DH11+DH13+DH15+DH17+DH19+DH21+DH23+DH25+DH27)/13</f>
        <v>#VALUE!</v>
      </c>
      <c r="DH29" s="43" t="e">
        <f>(DI3+DI5+DI7+DI9+DI11+DI13+DI15+DI17+DI19+DI21+DI23+DI25+DI27)/13</f>
        <v>#VALUE!</v>
      </c>
      <c r="DJ29" s="78"/>
      <c r="DK29" s="78"/>
      <c r="DL29" s="4" t="e">
        <f>(DH3+DH5+DH7+DH9+DH11)/5</f>
        <v>#VALUE!</v>
      </c>
      <c r="DM29" s="4" t="e">
        <f>(DI3+DI5+DI7+DI9+DI11)/5</f>
        <v>#VALUE!</v>
      </c>
      <c r="DO29" s="78"/>
      <c r="DP29" s="78"/>
      <c r="DQ29" s="43" t="e">
        <f>(DH13+DH15+DH17+DH19+DH21+DH23+DH25+DH25+DH27)/8</f>
        <v>#VALUE!</v>
      </c>
      <c r="DR29" s="43" t="e">
        <f>(DI13+DI15+DI17+DI19+DI21+DI23+DI25+DI27)/8</f>
        <v>#VALUE!</v>
      </c>
      <c r="EI29" s="78"/>
      <c r="EJ29" s="43" t="e">
        <f>(EK3+EK5+EK7+EK9+EK11+EK13+EK15+EK17+EK19+EK21+EK23+EK25+EK27)/13</f>
        <v>#VALUE!</v>
      </c>
      <c r="EK29" s="43" t="e">
        <f>(EL3+EL5+EL7+EL9+EL11+EL13+EL15+EL17+EL19+EL21+EL23+EL25+EL27)/13</f>
        <v>#VALUE!</v>
      </c>
      <c r="EM29" s="78"/>
      <c r="EN29" s="78"/>
      <c r="EO29" s="4" t="e">
        <f>(EK3+EK5+EK7+EK9+EK11)/5</f>
        <v>#VALUE!</v>
      </c>
      <c r="EP29" s="4" t="e">
        <f>(EL3+EL5+EL7+EL9+EL11)/5</f>
        <v>#VALUE!</v>
      </c>
      <c r="ER29" s="78"/>
      <c r="ES29" s="78"/>
      <c r="ET29" s="43" t="e">
        <f>(EK13+EK15+EK17+EK19+EK21+EK23+EK25+EK25+EK27)/8</f>
        <v>#VALUE!</v>
      </c>
      <c r="EU29" s="43" t="e">
        <f>(EL13+EL15+EL17+EL19+EL21+EL23+EL25+EL27)/8</f>
        <v>#VALUE!</v>
      </c>
      <c r="FK29" s="22">
        <v>38.1</v>
      </c>
      <c r="FL29" s="19">
        <v>40</v>
      </c>
      <c r="FM29" s="23">
        <v>1</v>
      </c>
      <c r="FN29" s="22">
        <v>25.1</v>
      </c>
      <c r="FO29" s="19">
        <v>28</v>
      </c>
      <c r="FP29" s="23">
        <v>1</v>
      </c>
      <c r="FQ29" s="22">
        <v>55.1</v>
      </c>
      <c r="FR29" s="19">
        <v>60</v>
      </c>
      <c r="FS29" s="23">
        <v>1</v>
      </c>
      <c r="FT29" s="22">
        <v>40.1</v>
      </c>
      <c r="FU29" s="19">
        <v>43</v>
      </c>
      <c r="FV29" s="23">
        <v>1</v>
      </c>
      <c r="FW29" s="22">
        <v>0.86</v>
      </c>
      <c r="FX29" s="19">
        <v>0.95</v>
      </c>
      <c r="FY29" s="23">
        <v>1</v>
      </c>
    </row>
    <row r="30" spans="1:181">
      <c r="V30" s="82" t="e">
        <f>C17</f>
        <v>#N/A</v>
      </c>
      <c r="W30" t="e">
        <f>E17</f>
        <v>#N/A</v>
      </c>
      <c r="X30" s="17" t="e">
        <f t="array" aca="1" ref="X30" ca="1">_xlfn.LET(_xlpm.s,SUBSTITUTE(Y30,".",""),_xlpm.c,RIGHT(_xlpm.s,1),_xlpm.n,ROW(INDIRECT("1:"&amp;LEN(_xlpm.s))),_xlpm.cnt,MAX(IF(RIGHT(_xlpm.s,_xlpm.n)=REPT(_xlpm.c,_xlpm.n),_xlpm.n,0)),IF(_xlpm.cnt&gt;=2,_xlpm.cnt&amp;"連"&amp;_xlpm.c,"1"&amp;_xlpm.c))</f>
        <v>#N/A</v>
      </c>
      <c r="Y30" s="82" t="e">
        <f t="array" ref="Y30">INDEX(各隊正負!$F:$F, MATCH("*"&amp;$W30&amp;"*", 各隊正負!$A:$A, 0)+6)</f>
        <v>#N/A</v>
      </c>
      <c r="Z30" s="100"/>
      <c r="AA30" s="100"/>
      <c r="AB30" s="82" t="e">
        <f t="array" ref="AB30">INDEX(各隊正負!$F:$F, MATCH("*"&amp;$W30&amp;"*", 各隊正負!$A:$A, 0)+4)</f>
        <v>#N/A</v>
      </c>
      <c r="AC30" s="78"/>
      <c r="AD30" s="78"/>
      <c r="AE30" s="1" t="e">
        <f t="array" aca="1" ref="AE30" ca="1">_xlfn.LET(_xlpm.s,SUBSTITUTE(AB30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0" s="19" t="e">
        <f>E17</f>
        <v>#N/A</v>
      </c>
      <c r="AG30" s="1" t="str">
        <f t="array" ref="AG30">IFERROR(INDEX(各隊total!$B:$AB, MATCH($AF30, 各隊total!$A:$A, 0), COLUMN(A29)), "")</f>
        <v/>
      </c>
      <c r="AH30" s="32" t="e">
        <f>CB59</f>
        <v>#VALUE!</v>
      </c>
      <c r="AI30" s="61" t="e">
        <f t="shared" si="0"/>
        <v>#VALUE!</v>
      </c>
      <c r="AJ30" s="6" t="e">
        <f>CC59</f>
        <v>#VALUE!</v>
      </c>
      <c r="AK30" s="60" t="e">
        <f t="shared" si="1"/>
        <v>#VALUE!</v>
      </c>
      <c r="AL30" s="1" t="str">
        <f t="array" ref="AL30">IFERROR(INDEX(各隊total!$C:$AB, MATCH($AF30, 各隊total!$A:$A, 0), COLUMN(A29)), "")</f>
        <v/>
      </c>
      <c r="AM30" s="1" t="str">
        <f t="array" ref="AM30">IFERROR(INDEX(各隊total!$D:$AB, MATCH($AF30, 各隊total!$A:$A, 0), COLUMN(A29)), "")</f>
        <v/>
      </c>
      <c r="AN30" s="1" t="str">
        <f t="array" ref="AN30">IFERROR(INDEX(各隊total!$E:$AB, MATCH($AF30, 各隊total!$A:$A, 0), COLUMN(A29)), "")</f>
        <v/>
      </c>
      <c r="AO30" s="1" t="str">
        <f t="array" ref="AO30">IFERROR(INDEX(各隊total!$F:$AB, MATCH($AF30, 各隊total!$A:$A, 0), COLUMN(A29)), "")</f>
        <v/>
      </c>
      <c r="AP30" s="1" t="str">
        <f t="array" ref="AP30">IFERROR(INDEX(各隊total!$G:$AB, MATCH($AF30, 各隊total!$A:$A, 0), COLUMN(A29)), "")</f>
        <v/>
      </c>
      <c r="AQ30" s="1" t="str">
        <f t="array" ref="AQ30">IFERROR(INDEX(各隊total!$H:$AB, MATCH($AF30, 各隊total!$A:$A, 0), COLUMN(A29)), "")</f>
        <v/>
      </c>
      <c r="AR30" s="1" t="str">
        <f t="array" ref="AR30">IFERROR(INDEX(各隊total!$I:$AB, MATCH($AF30, 各隊total!$A:$A, 0), COLUMN(A29)), "")</f>
        <v/>
      </c>
      <c r="AS30" s="1" t="str">
        <f t="array" ref="AS30">IFERROR(INDEX(各隊total!$J:$AB, MATCH($AF30, 各隊total!$A:$A, 0), COLUMN(A29)), "")</f>
        <v/>
      </c>
      <c r="AT30" s="1" t="str">
        <f t="array" ref="AT30">IFERROR(INDEX(各隊total!$K:$AB, MATCH($AF30, 各隊total!$A:$A, 0), COLUMN(A29)), "")</f>
        <v/>
      </c>
      <c r="AU30" s="1" t="str">
        <f t="array" ref="AU30">IFERROR(INDEX(各隊total!$L:$AB, MATCH($AF30, 各隊total!$A:$A, 0), COLUMN(A29)), "")</f>
        <v/>
      </c>
      <c r="AV30" s="1" t="str">
        <f t="array" ref="AV30">IFERROR(INDEX(各隊total!$M:$AB, MATCH($AF30, 各隊total!$A:$A, 0), COLUMN(A29)), "")</f>
        <v/>
      </c>
      <c r="AW30" s="1" t="str">
        <f t="array" ref="AW30">IFERROR(INDEX(各隊total!$N:$AB, MATCH($AF30, 各隊total!$A:$A, 0), COLUMN(A29)), "")</f>
        <v/>
      </c>
      <c r="AX30" s="1" t="str">
        <f t="array" ref="AX30">IFERROR(INDEX(各隊total!$O:$AB, MATCH($AF30, 各隊total!$A:$A, 0), COLUMN(A29)), "")</f>
        <v/>
      </c>
      <c r="AY30" s="1" t="str">
        <f t="array" ref="AY30">IFERROR(INDEX(各隊total!$P:$AB, MATCH($AF30, 各隊total!$A:$A, 0), COLUMN(A29)), "")</f>
        <v/>
      </c>
      <c r="AZ30" s="1" t="str">
        <f t="array" ref="AZ30">IFERROR(INDEX(各隊total!$Q:$AB, MATCH($AF30, 各隊total!$A:$A, 0), COLUMN(A29)), "")</f>
        <v/>
      </c>
      <c r="BA30" s="1" t="str">
        <f t="array" ref="BA30">IFERROR(INDEX(各隊total!$R:$AB, MATCH($AF30, 各隊total!$A:$A, 0), COLUMN(A29)), "")</f>
        <v/>
      </c>
      <c r="BB30" s="1" t="str">
        <f t="array" ref="BB30">IFERROR(INDEX(各隊total!$S:$AB, MATCH($AF30, 各隊total!$A:$A, 0), COLUMN(A29)), "")</f>
        <v/>
      </c>
      <c r="BC30" s="1" t="str">
        <f t="array" ref="BC30">IFERROR(INDEX(各隊total!$T:$AB, MATCH($AF30, 各隊total!$A:$A, 0), COLUMN(A29)), "")</f>
        <v/>
      </c>
      <c r="BD30" s="1" t="str">
        <f t="array" ref="BD30">IFERROR(INDEX(各隊total!$U:$AB, MATCH($AF30, 各隊total!$A:$A, 0), COLUMN(A29)), "")</f>
        <v/>
      </c>
      <c r="BE30" s="1" t="str">
        <f t="array" ref="BE30">IFERROR(INDEX(各隊total!$V:$AB, MATCH($AF30, 各隊total!$A:$A, 0), COLUMN(A29)), "")</f>
        <v/>
      </c>
      <c r="BF30" s="1" t="str">
        <f t="array" ref="BF30">IFERROR(INDEX(各隊total!$W:$AB, MATCH($AF30, 各隊total!$A:$A, 0), COLUMN(A29)), "")</f>
        <v/>
      </c>
      <c r="BG30" s="1" t="str">
        <f t="array" ref="BG30">IFERROR(INDEX(各隊total!$X:$AB, MATCH($AF30, 各隊total!$A:$A, 0), COLUMN(A29)), "")</f>
        <v/>
      </c>
      <c r="BH30" s="1" t="str">
        <f t="array" ref="BH30">IFERROR(INDEX(各隊total!$Y:$AB, MATCH($AF30, 各隊total!$A:$A, 0), COLUMN(A29)), "")</f>
        <v/>
      </c>
      <c r="BI30" s="1" t="str">
        <f t="array" ref="BI30">IFERROR(INDEX(各隊total!$Z:$AB, MATCH($AF30, 各隊total!$A:$A, 0), COLUMN(A29)), "")</f>
        <v/>
      </c>
      <c r="BJ30" s="1" t="str">
        <f t="array" ref="BJ30">IFERROR(INDEX(各隊total!$AA:$AB, MATCH($AF30, 各隊total!$A:$A, 0), COLUMN(A29)), "")</f>
        <v/>
      </c>
      <c r="BK30" s="1" t="str">
        <f t="array" ref="BK30">IFERROR(INDEX(各隊total!$AB:$AB, MATCH($AF30, 各隊total!$A:$A, 0), COLUMN(A29)), "")</f>
        <v/>
      </c>
      <c r="BM30" s="22">
        <v>76</v>
      </c>
      <c r="BN30" s="19">
        <v>80</v>
      </c>
      <c r="BO30" s="23">
        <v>2</v>
      </c>
      <c r="BP30" s="22">
        <v>3.5</v>
      </c>
      <c r="BQ30" s="19">
        <v>3.8</v>
      </c>
      <c r="BR30" s="23">
        <v>2</v>
      </c>
      <c r="BS30" s="22">
        <v>0.11600000000000001</v>
      </c>
      <c r="BT30" s="19">
        <v>0.13</v>
      </c>
      <c r="BU30" s="23">
        <v>2</v>
      </c>
      <c r="BV30" s="22">
        <v>0.23100000000000001</v>
      </c>
      <c r="BW30" s="19">
        <v>0.245</v>
      </c>
      <c r="BX30" s="23">
        <v>2</v>
      </c>
      <c r="BY30" s="22">
        <v>3.76</v>
      </c>
      <c r="BZ30" s="19">
        <v>3.8</v>
      </c>
      <c r="CA30" s="23">
        <v>2</v>
      </c>
      <c r="CB30" s="19" t="str">
        <f>AF16</f>
        <v>馬林魚</v>
      </c>
      <c r="CC30" s="29"/>
      <c r="CD30" s="1" t="str">
        <f>AG16</f>
        <v>28</v>
      </c>
      <c r="CE30" s="1" t="str">
        <f t="shared" ref="CE30:DD30" si="16">AL16</f>
        <v>930</v>
      </c>
      <c r="CF30" s="1" t="str">
        <f t="shared" si="16"/>
        <v>126</v>
      </c>
      <c r="CG30" s="1" t="str">
        <f t="shared" si="16"/>
        <v>237</v>
      </c>
      <c r="CH30" s="1" t="str">
        <f t="shared" si="16"/>
        <v>46</v>
      </c>
      <c r="CI30" s="1" t="str">
        <f t="shared" si="16"/>
        <v>8</v>
      </c>
      <c r="CJ30" s="1" t="str">
        <f t="shared" si="16"/>
        <v>20</v>
      </c>
      <c r="CK30" s="1" t="str">
        <f t="shared" si="16"/>
        <v>121</v>
      </c>
      <c r="CL30" s="1" t="str">
        <f t="shared" si="16"/>
        <v>359</v>
      </c>
      <c r="CM30" s="1" t="str">
        <f t="shared" si="16"/>
        <v>96</v>
      </c>
      <c r="CN30" s="1" t="str">
        <f t="shared" si="16"/>
        <v>214</v>
      </c>
      <c r="CO30" s="1" t="str">
        <f t="shared" si="16"/>
        <v>31</v>
      </c>
      <c r="CP30" s="1" t="str">
        <f t="shared" si="16"/>
        <v>.255</v>
      </c>
      <c r="CQ30" s="1" t="str">
        <f t="shared" si="16"/>
        <v>.332</v>
      </c>
      <c r="CR30" s="1" t="str">
        <f t="shared" si="16"/>
        <v>.386</v>
      </c>
      <c r="CS30" s="1" t="str">
        <f t="shared" si="16"/>
        <v>.718</v>
      </c>
      <c r="CT30" s="1">
        <f t="shared" si="16"/>
        <v>0</v>
      </c>
      <c r="CU30" s="1" t="str">
        <f t="shared" si="16"/>
        <v>126.4</v>
      </c>
      <c r="CV30" s="1" t="str">
        <f t="shared" si="16"/>
        <v>4.7</v>
      </c>
      <c r="CW30" s="1" t="str">
        <f t="shared" si="16"/>
        <v>.091</v>
      </c>
      <c r="CX30" s="1" t="str">
        <f t="shared" si="16"/>
        <v>0.45</v>
      </c>
      <c r="CY30" s="1" t="str">
        <f t="shared" si="16"/>
        <v>.131</v>
      </c>
      <c r="CZ30" s="1" t="str">
        <f t="shared" si="16"/>
        <v>.260</v>
      </c>
      <c r="DA30" s="1" t="str">
        <f t="shared" si="16"/>
        <v>3.87</v>
      </c>
      <c r="DB30" s="1" t="str">
        <f t="shared" si="16"/>
        <v>74</v>
      </c>
      <c r="DC30" s="1" t="str">
        <f t="shared" si="16"/>
        <v>1054</v>
      </c>
      <c r="DD30" s="1" t="str">
        <f t="shared" si="16"/>
        <v>46.5</v>
      </c>
      <c r="DF30" s="33"/>
      <c r="FK30" s="22">
        <v>40.1</v>
      </c>
      <c r="FL30" s="19">
        <v>42</v>
      </c>
      <c r="FM30" s="23">
        <v>2</v>
      </c>
      <c r="FN30" s="22">
        <v>28.1</v>
      </c>
      <c r="FO30" s="19">
        <v>31</v>
      </c>
      <c r="FP30" s="23">
        <v>2</v>
      </c>
      <c r="FQ30" s="22">
        <v>60.1</v>
      </c>
      <c r="FR30" s="19">
        <v>65</v>
      </c>
      <c r="FS30" s="23">
        <v>2</v>
      </c>
      <c r="FT30" s="22">
        <v>43.1</v>
      </c>
      <c r="FU30" s="19">
        <v>46</v>
      </c>
      <c r="FV30" s="23">
        <v>2</v>
      </c>
      <c r="FW30" s="22">
        <v>0.96</v>
      </c>
      <c r="FX30" s="19">
        <v>1.02</v>
      </c>
      <c r="FY30" s="23">
        <v>2</v>
      </c>
    </row>
    <row r="31" spans="1:181">
      <c r="V31" s="78"/>
      <c r="W31" t="e">
        <f>I17</f>
        <v>#N/A</v>
      </c>
      <c r="X31" s="17" t="e">
        <f t="array" aca="1" ref="X31" ca="1">_xlfn.LET(_xlpm.s,SUBSTITUTE(Y31,".",""),_xlpm.c,RIGHT(_xlpm.s,1),_xlpm.n,ROW(INDIRECT("1:"&amp;LEN(_xlpm.s))),_xlpm.cnt,MAX(IF(RIGHT(_xlpm.s,_xlpm.n)=REPT(_xlpm.c,_xlpm.n),_xlpm.n,0)),IF(_xlpm.cnt&gt;=2,_xlpm.cnt&amp;"連"&amp;_xlpm.c,"1"&amp;_xlpm.c))</f>
        <v>#N/A</v>
      </c>
      <c r="Y31" s="82" t="e">
        <f t="array" ref="Y31">INDEX(各隊正負!$F:$F, MATCH("*"&amp;$W31&amp;"*", 各隊正負!$A:$A, 0)+6)</f>
        <v>#N/A</v>
      </c>
      <c r="Z31" s="100"/>
      <c r="AA31" s="100"/>
      <c r="AB31" s="82" t="e">
        <f t="array" ref="AB31">INDEX(各隊正負!$F:$F, MATCH("*"&amp;$W31&amp;"*", 各隊正負!$A:$A, 0)+4)</f>
        <v>#N/A</v>
      </c>
      <c r="AC31" s="78"/>
      <c r="AD31" s="78"/>
      <c r="AE31" s="1" t="e">
        <f t="array" aca="1" ref="AE31" ca="1">_xlfn.LET(_xlpm.s,SUBSTITUTE(AB31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1" s="19" t="e">
        <f>I17</f>
        <v>#N/A</v>
      </c>
      <c r="AG31" s="1" t="str">
        <f t="array" ref="AG31">IFERROR(INDEX(各隊total!$B:$AB, MATCH($AF31, 各隊total!$A:$A, 0), COLUMN(A30)), "")</f>
        <v/>
      </c>
      <c r="AH31" s="32" t="e">
        <f>CB61</f>
        <v>#VALUE!</v>
      </c>
      <c r="AI31" s="61" t="e">
        <f t="shared" si="0"/>
        <v>#VALUE!</v>
      </c>
      <c r="AJ31" s="6" t="e">
        <f>CC61</f>
        <v>#VALUE!</v>
      </c>
      <c r="AK31" s="60" t="e">
        <f t="shared" si="1"/>
        <v>#VALUE!</v>
      </c>
      <c r="AL31" s="1" t="str">
        <f t="array" ref="AL31">IFERROR(INDEX(各隊total!$C:$AB, MATCH($AF31, 各隊total!$A:$A, 0), COLUMN(A30)), "")</f>
        <v/>
      </c>
      <c r="AM31" s="1" t="str">
        <f t="array" ref="AM31">IFERROR(INDEX(各隊total!$D:$AB, MATCH($AF31, 各隊total!$A:$A, 0), COLUMN(A30)), "")</f>
        <v/>
      </c>
      <c r="AN31" s="1" t="str">
        <f t="array" ref="AN31">IFERROR(INDEX(各隊total!$E:$AB, MATCH($AF31, 各隊total!$A:$A, 0), COLUMN(A30)), "")</f>
        <v/>
      </c>
      <c r="AO31" s="1" t="str">
        <f t="array" ref="AO31">IFERROR(INDEX(各隊total!$F:$AB, MATCH($AF31, 各隊total!$A:$A, 0), COLUMN(A30)), "")</f>
        <v/>
      </c>
      <c r="AP31" s="1" t="str">
        <f t="array" ref="AP31">IFERROR(INDEX(各隊total!$G:$AB, MATCH($AF31, 各隊total!$A:$A, 0), COLUMN(A30)), "")</f>
        <v/>
      </c>
      <c r="AQ31" s="1" t="str">
        <f t="array" ref="AQ31">IFERROR(INDEX(各隊total!$H:$AB, MATCH($AF31, 各隊total!$A:$A, 0), COLUMN(A30)), "")</f>
        <v/>
      </c>
      <c r="AR31" s="1" t="str">
        <f t="array" ref="AR31">IFERROR(INDEX(各隊total!$I:$AB, MATCH($AF31, 各隊total!$A:$A, 0), COLUMN(A30)), "")</f>
        <v/>
      </c>
      <c r="AS31" s="1" t="str">
        <f t="array" ref="AS31">IFERROR(INDEX(各隊total!$J:$AB, MATCH($AF31, 各隊total!$A:$A, 0), COLUMN(A30)), "")</f>
        <v/>
      </c>
      <c r="AT31" s="1" t="str">
        <f t="array" ref="AT31">IFERROR(INDEX(各隊total!$K:$AB, MATCH($AF31, 各隊total!$A:$A, 0), COLUMN(A30)), "")</f>
        <v/>
      </c>
      <c r="AU31" s="1" t="str">
        <f t="array" ref="AU31">IFERROR(INDEX(各隊total!$L:$AB, MATCH($AF31, 各隊total!$A:$A, 0), COLUMN(A30)), "")</f>
        <v/>
      </c>
      <c r="AV31" s="1" t="str">
        <f t="array" ref="AV31">IFERROR(INDEX(各隊total!$M:$AB, MATCH($AF31, 各隊total!$A:$A, 0), COLUMN(A30)), "")</f>
        <v/>
      </c>
      <c r="AW31" s="1" t="str">
        <f t="array" ref="AW31">IFERROR(INDEX(各隊total!$N:$AB, MATCH($AF31, 各隊total!$A:$A, 0), COLUMN(A30)), "")</f>
        <v/>
      </c>
      <c r="AX31" s="1" t="str">
        <f t="array" ref="AX31">IFERROR(INDEX(各隊total!$O:$AB, MATCH($AF31, 各隊total!$A:$A, 0), COLUMN(A30)), "")</f>
        <v/>
      </c>
      <c r="AY31" s="1" t="str">
        <f t="array" ref="AY31">IFERROR(INDEX(各隊total!$P:$AB, MATCH($AF31, 各隊total!$A:$A, 0), COLUMN(A30)), "")</f>
        <v/>
      </c>
      <c r="AZ31" s="1" t="str">
        <f t="array" ref="AZ31">IFERROR(INDEX(各隊total!$Q:$AB, MATCH($AF31, 各隊total!$A:$A, 0), COLUMN(A30)), "")</f>
        <v/>
      </c>
      <c r="BA31" s="1" t="str">
        <f t="array" ref="BA31">IFERROR(INDEX(各隊total!$R:$AB, MATCH($AF31, 各隊total!$A:$A, 0), COLUMN(A30)), "")</f>
        <v/>
      </c>
      <c r="BB31" s="1" t="str">
        <f t="array" ref="BB31">IFERROR(INDEX(各隊total!$S:$AB, MATCH($AF31, 各隊total!$A:$A, 0), COLUMN(A30)), "")</f>
        <v/>
      </c>
      <c r="BC31" s="1" t="str">
        <f t="array" ref="BC31">IFERROR(INDEX(各隊total!$T:$AB, MATCH($AF31, 各隊total!$A:$A, 0), COLUMN(A30)), "")</f>
        <v/>
      </c>
      <c r="BD31" s="1" t="str">
        <f t="array" ref="BD31">IFERROR(INDEX(各隊total!$U:$AB, MATCH($AF31, 各隊total!$A:$A, 0), COLUMN(A30)), "")</f>
        <v/>
      </c>
      <c r="BE31" s="1" t="str">
        <f t="array" ref="BE31">IFERROR(INDEX(各隊total!$V:$AB, MATCH($AF31, 各隊total!$A:$A, 0), COLUMN(A30)), "")</f>
        <v/>
      </c>
      <c r="BF31" s="1" t="str">
        <f t="array" ref="BF31">IFERROR(INDEX(各隊total!$W:$AB, MATCH($AF31, 各隊total!$A:$A, 0), COLUMN(A30)), "")</f>
        <v/>
      </c>
      <c r="BG31" s="1" t="str">
        <f t="array" ref="BG31">IFERROR(INDEX(各隊total!$X:$AB, MATCH($AF31, 各隊total!$A:$A, 0), COLUMN(A30)), "")</f>
        <v/>
      </c>
      <c r="BH31" s="1" t="str">
        <f t="array" ref="BH31">IFERROR(INDEX(各隊total!$Y:$AB, MATCH($AF31, 各隊total!$A:$A, 0), COLUMN(A30)), "")</f>
        <v/>
      </c>
      <c r="BI31" s="1" t="str">
        <f t="array" ref="BI31">IFERROR(INDEX(各隊total!$Z:$AB, MATCH($AF31, 各隊total!$A:$A, 0), COLUMN(A30)), "")</f>
        <v/>
      </c>
      <c r="BJ31" s="1" t="str">
        <f t="array" ref="BJ31">IFERROR(INDEX(各隊total!$AA:$AB, MATCH($AF31, 各隊total!$A:$A, 0), COLUMN(A30)), "")</f>
        <v/>
      </c>
      <c r="BK31" s="1" t="str">
        <f t="array" ref="BK31">IFERROR(INDEX(各隊total!$AB:$AB, MATCH($AF31, 各隊total!$A:$A, 0), COLUMN(A30)), "")</f>
        <v/>
      </c>
      <c r="BM31" s="22">
        <v>81</v>
      </c>
      <c r="BN31" s="19">
        <v>85</v>
      </c>
      <c r="BO31" s="23">
        <v>3</v>
      </c>
      <c r="BP31" s="22">
        <v>3.9</v>
      </c>
      <c r="BQ31" s="19">
        <v>4.0999999999999996</v>
      </c>
      <c r="BR31" s="23">
        <v>3</v>
      </c>
      <c r="BS31" s="22">
        <v>0.13100000000000001</v>
      </c>
      <c r="BT31" s="19">
        <v>0.14499999999999999</v>
      </c>
      <c r="BU31" s="23">
        <v>3</v>
      </c>
      <c r="BV31" s="22">
        <v>0.246</v>
      </c>
      <c r="BW31" s="19">
        <v>0.26</v>
      </c>
      <c r="BX31" s="23">
        <v>3</v>
      </c>
      <c r="BY31" s="22">
        <v>3.81</v>
      </c>
      <c r="BZ31" s="19">
        <v>3.85</v>
      </c>
      <c r="CA31" s="23">
        <v>3</v>
      </c>
      <c r="CB31" s="28">
        <f>CF31+CJ31+CK31+CM31+CO31+CP31+CQ31+CR31</f>
        <v>4.4000000000000004</v>
      </c>
      <c r="CC31" s="31">
        <f>CU31+CV31+CY31+CZ31+DA31</f>
        <v>4.5</v>
      </c>
      <c r="CD31" s="58"/>
      <c r="CE31" s="1"/>
      <c r="CF31" s="27">
        <f>VLOOKUP(ROUND(CF30/CD30, 2), $BV$2:$BX$12, 3, TRUE)*BX$1</f>
        <v>0.6</v>
      </c>
      <c r="CG31" s="58"/>
      <c r="CH31" s="58"/>
      <c r="CI31" s="58"/>
      <c r="CJ31" s="27">
        <f>VLOOKUP(ROUND(CJ30/CD30, 2), $BM$15:$BO$25, 3, TRUE)*BO$14</f>
        <v>0.2</v>
      </c>
      <c r="CK31" s="27">
        <f>VLOOKUP(ROUND(CK30/CD30, 2), $BY$2:$CA$12, 3, TRUE)*CA$1</f>
        <v>0.4</v>
      </c>
      <c r="CL31" s="58"/>
      <c r="CM31" s="101">
        <f>VLOOKUP(ROUND(CM30/CN30, 2), $BP$15:$BR$25, 3, TRUE)*BR$14</f>
        <v>0.5</v>
      </c>
      <c r="CN31" s="78"/>
      <c r="CO31" s="27">
        <f>VLOOKUP(ROUND(CO30/CD30, 2), $BS$15:$BU$25, 3, TRUE)*BU$14</f>
        <v>0.4</v>
      </c>
      <c r="CP31" s="27">
        <f>VLOOKUP(CP30*1, BM$2:BO$12, 3, TRUE)*BO$1</f>
        <v>0.5</v>
      </c>
      <c r="CQ31" s="27">
        <f>VLOOKUP(CQ30*1, BP$2:BR$12, 3, TRUE)*BR$1</f>
        <v>1.2000000000000002</v>
      </c>
      <c r="CR31" s="27">
        <f>VLOOKUP(CR30*1, BS$2:BU$12, 3, TRUE)*BU$1</f>
        <v>0.60000000000000009</v>
      </c>
      <c r="CS31" s="1"/>
      <c r="CT31" s="1"/>
      <c r="CU31" s="60">
        <f>VLOOKUP(CU30*1, BM$28:BO$38, 3, TRUE)*BO$27</f>
        <v>0.9</v>
      </c>
      <c r="CV31" s="60">
        <f>VLOOKUP(CV30*1, BP$28:BR$38, 3, TRUE)*BR$27</f>
        <v>1.75</v>
      </c>
      <c r="CW31" s="1"/>
      <c r="CX31" s="1"/>
      <c r="CY31" s="60">
        <f>VLOOKUP(CY30*1, BS$28:BU$38, 3, TRUE)*BU$27</f>
        <v>0.60000000000000009</v>
      </c>
      <c r="CZ31" s="60">
        <f>VLOOKUP(CZ30*1, BV$28:BX$38, 3, TRUE)*BX$27</f>
        <v>0.44999999999999996</v>
      </c>
      <c r="DA31" s="60">
        <f>VLOOKUP(DA30*1, BY$28:CA$38, 3, TRUE)*CA$27</f>
        <v>0.8</v>
      </c>
      <c r="DF31" s="34" t="str">
        <f>CB6</f>
        <v>紅雀</v>
      </c>
      <c r="DG31" t="s">
        <v>486</v>
      </c>
      <c r="DH31" s="1" t="s">
        <v>487</v>
      </c>
      <c r="DI31" s="1" t="s">
        <v>488</v>
      </c>
      <c r="DJ31" t="s">
        <v>517</v>
      </c>
      <c r="DK31" t="s">
        <v>554</v>
      </c>
      <c r="DL31" t="s">
        <v>518</v>
      </c>
      <c r="DM31" t="s">
        <v>519</v>
      </c>
      <c r="DN31" t="s">
        <v>520</v>
      </c>
      <c r="DO31" t="s">
        <v>521</v>
      </c>
      <c r="DP31" t="s">
        <v>532</v>
      </c>
      <c r="DQ31" t="s">
        <v>533</v>
      </c>
      <c r="DR31" t="s">
        <v>534</v>
      </c>
      <c r="DS31" t="s">
        <v>555</v>
      </c>
      <c r="DT31" t="s">
        <v>556</v>
      </c>
      <c r="DU31" t="s">
        <v>549</v>
      </c>
      <c r="DV31" t="s">
        <v>557</v>
      </c>
      <c r="DW31" t="s">
        <v>558</v>
      </c>
      <c r="DX31" t="s">
        <v>550</v>
      </c>
      <c r="DY31" t="s">
        <v>559</v>
      </c>
      <c r="DZ31" t="s">
        <v>560</v>
      </c>
      <c r="EA31" t="s">
        <v>551</v>
      </c>
      <c r="EB31" t="s">
        <v>561</v>
      </c>
      <c r="EC31" t="s">
        <v>562</v>
      </c>
      <c r="ED31" t="s">
        <v>552</v>
      </c>
      <c r="EE31" t="s">
        <v>553</v>
      </c>
      <c r="EF31" t="s">
        <v>563</v>
      </c>
      <c r="EH31" s="14"/>
      <c r="EI31" s="34" t="str">
        <f>CB8</f>
        <v>海盜</v>
      </c>
      <c r="EJ31" t="s">
        <v>486</v>
      </c>
      <c r="EK31" s="1" t="s">
        <v>487</v>
      </c>
      <c r="EL31" s="1" t="s">
        <v>488</v>
      </c>
      <c r="EM31" t="s">
        <v>517</v>
      </c>
      <c r="EN31" t="s">
        <v>554</v>
      </c>
      <c r="EO31" t="s">
        <v>518</v>
      </c>
      <c r="EP31" t="s">
        <v>519</v>
      </c>
      <c r="EQ31" t="s">
        <v>520</v>
      </c>
      <c r="ER31" t="s">
        <v>521</v>
      </c>
      <c r="ES31" t="s">
        <v>532</v>
      </c>
      <c r="ET31" t="s">
        <v>533</v>
      </c>
      <c r="EU31" t="s">
        <v>534</v>
      </c>
      <c r="EV31" t="s">
        <v>555</v>
      </c>
      <c r="EW31" t="s">
        <v>556</v>
      </c>
      <c r="EX31" t="s">
        <v>549</v>
      </c>
      <c r="EY31" t="s">
        <v>557</v>
      </c>
      <c r="EZ31" t="s">
        <v>558</v>
      </c>
      <c r="FA31" t="s">
        <v>550</v>
      </c>
      <c r="FB31" t="s">
        <v>559</v>
      </c>
      <c r="FC31" t="s">
        <v>560</v>
      </c>
      <c r="FD31" t="s">
        <v>551</v>
      </c>
      <c r="FE31" t="s">
        <v>561</v>
      </c>
      <c r="FF31" t="s">
        <v>562</v>
      </c>
      <c r="FG31" t="s">
        <v>552</v>
      </c>
      <c r="FH31" t="s">
        <v>553</v>
      </c>
      <c r="FI31" t="s">
        <v>563</v>
      </c>
      <c r="FK31" s="22">
        <v>42.1</v>
      </c>
      <c r="FL31" s="19">
        <v>44</v>
      </c>
      <c r="FM31" s="23">
        <v>3</v>
      </c>
      <c r="FN31" s="22">
        <v>31.1</v>
      </c>
      <c r="FO31" s="19">
        <v>33</v>
      </c>
      <c r="FP31" s="23">
        <v>3</v>
      </c>
      <c r="FQ31" s="22">
        <v>65.099999999999994</v>
      </c>
      <c r="FR31" s="19">
        <v>70</v>
      </c>
      <c r="FS31" s="23">
        <v>3</v>
      </c>
      <c r="FT31" s="22">
        <v>46.1</v>
      </c>
      <c r="FU31" s="19">
        <v>48</v>
      </c>
      <c r="FV31" s="23">
        <v>3</v>
      </c>
      <c r="FW31" s="22">
        <v>1.03</v>
      </c>
      <c r="FX31" s="19">
        <v>1.08</v>
      </c>
      <c r="FY31" s="23">
        <v>3</v>
      </c>
    </row>
    <row r="32" spans="1:181">
      <c r="V32" s="82">
        <f>C18</f>
        <v>0</v>
      </c>
      <c r="W32">
        <f>E18</f>
        <v>0</v>
      </c>
      <c r="X32" s="17" t="e">
        <f t="array" aca="1" ref="X32" ca="1">_xlfn.LET(_xlpm.s,SUBSTITUTE(Y32,".",""),_xlpm.c,RIGHT(_xlpm.s,1),_xlpm.n,ROW(INDIRECT("1:"&amp;LEN(_xlpm.s))),_xlpm.cnt,MAX(IF(RIGHT(_xlpm.s,_xlpm.n)=REPT(_xlpm.c,_xlpm.n),_xlpm.n,0)),IF(_xlpm.cnt&gt;=2,_xlpm.cnt&amp;"連"&amp;_xlpm.c,"1"&amp;_xlpm.c))</f>
        <v>#N/A</v>
      </c>
      <c r="Y32" s="82" t="e">
        <f t="array" ref="Y32">INDEX(各隊正負!$F:$F, MATCH("*"&amp;$W32&amp;"*", 各隊正負!$A:$A, 0)+6)</f>
        <v>#N/A</v>
      </c>
      <c r="Z32" s="100"/>
      <c r="AA32" s="100"/>
      <c r="AB32" s="82" t="e">
        <f t="array" ref="AB32">INDEX(各隊正負!$F:$F, MATCH("*"&amp;$W32&amp;"*", 各隊正負!$A:$A, 0)+4)</f>
        <v>#N/A</v>
      </c>
      <c r="AC32" s="78"/>
      <c r="AD32" s="78"/>
      <c r="AE32" s="1" t="e">
        <f t="array" aca="1" ref="AE32" ca="1">_xlfn.LET(_xlpm.s,SUBSTITUTE(AB32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2" s="19">
        <f>E18</f>
        <v>0</v>
      </c>
      <c r="AG32" s="1" t="str">
        <f t="array" ref="AG32">IFERROR(INDEX(各隊total!$B:$AB, MATCH($AF32, 各隊total!$A:$A, 0), COLUMN(A31)), "")</f>
        <v/>
      </c>
      <c r="AH32" s="32" t="e">
        <f>CB63</f>
        <v>#VALUE!</v>
      </c>
      <c r="AI32" s="61" t="e">
        <f t="shared" si="0"/>
        <v>#VALUE!</v>
      </c>
      <c r="AJ32" s="6" t="e">
        <f>CC63</f>
        <v>#VALUE!</v>
      </c>
      <c r="AK32" s="60" t="e">
        <f t="shared" si="1"/>
        <v>#VALUE!</v>
      </c>
      <c r="AL32" s="1" t="str">
        <f t="array" ref="AL32">IFERROR(INDEX(各隊total!$C:$AB, MATCH($AF32, 各隊total!$A:$A, 0), COLUMN(A31)), "")</f>
        <v/>
      </c>
      <c r="AM32" s="1" t="str">
        <f t="array" ref="AM32">IFERROR(INDEX(各隊total!$D:$AB, MATCH($AF32, 各隊total!$A:$A, 0), COLUMN(A31)), "")</f>
        <v/>
      </c>
      <c r="AN32" s="1" t="str">
        <f t="array" ref="AN32">IFERROR(INDEX(各隊total!$E:$AB, MATCH($AF32, 各隊total!$A:$A, 0), COLUMN(A31)), "")</f>
        <v/>
      </c>
      <c r="AO32" s="1" t="str">
        <f t="array" ref="AO32">IFERROR(INDEX(各隊total!$F:$AB, MATCH($AF32, 各隊total!$A:$A, 0), COLUMN(A31)), "")</f>
        <v/>
      </c>
      <c r="AP32" s="1" t="str">
        <f t="array" ref="AP32">IFERROR(INDEX(各隊total!$G:$AB, MATCH($AF32, 各隊total!$A:$A, 0), COLUMN(A31)), "")</f>
        <v/>
      </c>
      <c r="AQ32" s="1" t="str">
        <f t="array" ref="AQ32">IFERROR(INDEX(各隊total!$H:$AB, MATCH($AF32, 各隊total!$A:$A, 0), COLUMN(A31)), "")</f>
        <v/>
      </c>
      <c r="AR32" s="1" t="str">
        <f t="array" ref="AR32">IFERROR(INDEX(各隊total!$I:$AB, MATCH($AF32, 各隊total!$A:$A, 0), COLUMN(A31)), "")</f>
        <v/>
      </c>
      <c r="AS32" s="1" t="str">
        <f t="array" ref="AS32">IFERROR(INDEX(各隊total!$J:$AB, MATCH($AF32, 各隊total!$A:$A, 0), COLUMN(A31)), "")</f>
        <v/>
      </c>
      <c r="AT32" s="1" t="str">
        <f t="array" ref="AT32">IFERROR(INDEX(各隊total!$K:$AB, MATCH($AF32, 各隊total!$A:$A, 0), COLUMN(A31)), "")</f>
        <v/>
      </c>
      <c r="AU32" s="1" t="str">
        <f t="array" ref="AU32">IFERROR(INDEX(各隊total!$L:$AB, MATCH($AF32, 各隊total!$A:$A, 0), COLUMN(A31)), "")</f>
        <v/>
      </c>
      <c r="AV32" s="1" t="str">
        <f t="array" ref="AV32">IFERROR(INDEX(各隊total!$M:$AB, MATCH($AF32, 各隊total!$A:$A, 0), COLUMN(A31)), "")</f>
        <v/>
      </c>
      <c r="AW32" s="1" t="str">
        <f t="array" ref="AW32">IFERROR(INDEX(各隊total!$N:$AB, MATCH($AF32, 各隊total!$A:$A, 0), COLUMN(A31)), "")</f>
        <v/>
      </c>
      <c r="AX32" s="1" t="str">
        <f t="array" ref="AX32">IFERROR(INDEX(各隊total!$O:$AB, MATCH($AF32, 各隊total!$A:$A, 0), COLUMN(A31)), "")</f>
        <v/>
      </c>
      <c r="AY32" s="1" t="str">
        <f t="array" ref="AY32">IFERROR(INDEX(各隊total!$P:$AB, MATCH($AF32, 各隊total!$A:$A, 0), COLUMN(A31)), "")</f>
        <v/>
      </c>
      <c r="AZ32" s="1" t="str">
        <f t="array" ref="AZ32">IFERROR(INDEX(各隊total!$Q:$AB, MATCH($AF32, 各隊total!$A:$A, 0), COLUMN(A31)), "")</f>
        <v/>
      </c>
      <c r="BA32" s="1" t="str">
        <f t="array" ref="BA32">IFERROR(INDEX(各隊total!$R:$AB, MATCH($AF32, 各隊total!$A:$A, 0), COLUMN(A31)), "")</f>
        <v/>
      </c>
      <c r="BB32" s="1" t="str">
        <f t="array" ref="BB32">IFERROR(INDEX(各隊total!$S:$AB, MATCH($AF32, 各隊total!$A:$A, 0), COLUMN(A31)), "")</f>
        <v/>
      </c>
      <c r="BC32" s="1" t="str">
        <f t="array" ref="BC32">IFERROR(INDEX(各隊total!$T:$AB, MATCH($AF32, 各隊total!$A:$A, 0), COLUMN(A31)), "")</f>
        <v/>
      </c>
      <c r="BD32" s="1" t="str">
        <f t="array" ref="BD32">IFERROR(INDEX(各隊total!$U:$AB, MATCH($AF32, 各隊total!$A:$A, 0), COLUMN(A31)), "")</f>
        <v/>
      </c>
      <c r="BE32" s="1" t="str">
        <f t="array" ref="BE32">IFERROR(INDEX(各隊total!$V:$AB, MATCH($AF32, 各隊total!$A:$A, 0), COLUMN(A31)), "")</f>
        <v/>
      </c>
      <c r="BF32" s="1" t="str">
        <f t="array" ref="BF32">IFERROR(INDEX(各隊total!$W:$AB, MATCH($AF32, 各隊total!$A:$A, 0), COLUMN(A31)), "")</f>
        <v/>
      </c>
      <c r="BG32" s="1" t="str">
        <f t="array" ref="BG32">IFERROR(INDEX(各隊total!$X:$AB, MATCH($AF32, 各隊total!$A:$A, 0), COLUMN(A31)), "")</f>
        <v/>
      </c>
      <c r="BH32" s="1" t="str">
        <f t="array" ref="BH32">IFERROR(INDEX(各隊total!$Y:$AB, MATCH($AF32, 各隊total!$A:$A, 0), COLUMN(A31)), "")</f>
        <v/>
      </c>
      <c r="BI32" s="1" t="str">
        <f t="array" ref="BI32">IFERROR(INDEX(各隊total!$Z:$AB, MATCH($AF32, 各隊total!$A:$A, 0), COLUMN(A31)), "")</f>
        <v/>
      </c>
      <c r="BJ32" s="1" t="str">
        <f t="array" ref="BJ32">IFERROR(INDEX(各隊total!$AA:$AB, MATCH($AF32, 各隊total!$A:$A, 0), COLUMN(A31)), "")</f>
        <v/>
      </c>
      <c r="BK32" s="1" t="str">
        <f t="array" ref="BK32">IFERROR(INDEX(各隊total!$AB:$AB, MATCH($AF32, 各隊total!$A:$A, 0), COLUMN(A31)), "")</f>
        <v/>
      </c>
      <c r="BM32" s="22">
        <v>86</v>
      </c>
      <c r="BN32" s="19">
        <v>90</v>
      </c>
      <c r="BO32" s="23">
        <v>4</v>
      </c>
      <c r="BP32" s="22">
        <v>4.2</v>
      </c>
      <c r="BQ32" s="19">
        <v>4.4000000000000004</v>
      </c>
      <c r="BR32" s="23">
        <v>4</v>
      </c>
      <c r="BS32" s="22">
        <v>0.14599999999999999</v>
      </c>
      <c r="BT32" s="19">
        <v>0.16</v>
      </c>
      <c r="BU32" s="23">
        <v>4</v>
      </c>
      <c r="BV32" s="22">
        <v>0.26100000000000001</v>
      </c>
      <c r="BW32" s="19">
        <v>0.27500000000000002</v>
      </c>
      <c r="BX32" s="23">
        <v>4</v>
      </c>
      <c r="BY32" s="22">
        <v>3.86</v>
      </c>
      <c r="BZ32" s="19">
        <v>3.9</v>
      </c>
      <c r="CA32" s="23">
        <v>4</v>
      </c>
      <c r="CB32" s="19" t="str">
        <f>AF17</f>
        <v>道奇</v>
      </c>
      <c r="CC32" s="29"/>
      <c r="CD32" s="1" t="str">
        <f>AG17</f>
        <v>28</v>
      </c>
      <c r="CE32" s="1" t="str">
        <f t="shared" ref="CE32:DD32" si="17">AL17</f>
        <v>949</v>
      </c>
      <c r="CF32" s="1" t="str">
        <f t="shared" si="17"/>
        <v>159</v>
      </c>
      <c r="CG32" s="1" t="str">
        <f t="shared" si="17"/>
        <v>264</v>
      </c>
      <c r="CH32" s="1" t="str">
        <f t="shared" si="17"/>
        <v>48</v>
      </c>
      <c r="CI32" s="1" t="str">
        <f t="shared" si="17"/>
        <v>1</v>
      </c>
      <c r="CJ32" s="1" t="str">
        <f t="shared" si="17"/>
        <v>45</v>
      </c>
      <c r="CK32" s="1" t="str">
        <f t="shared" si="17"/>
        <v>151</v>
      </c>
      <c r="CL32" s="1" t="str">
        <f t="shared" si="17"/>
        <v>449</v>
      </c>
      <c r="CM32" s="1" t="str">
        <f t="shared" si="17"/>
        <v>109</v>
      </c>
      <c r="CN32" s="1" t="str">
        <f t="shared" si="17"/>
        <v>233</v>
      </c>
      <c r="CO32" s="1" t="str">
        <f t="shared" si="17"/>
        <v>16</v>
      </c>
      <c r="CP32" s="1" t="str">
        <f t="shared" si="17"/>
        <v>.278</v>
      </c>
      <c r="CQ32" s="1" t="str">
        <f t="shared" si="17"/>
        <v>.355</v>
      </c>
      <c r="CR32" s="1" t="str">
        <f t="shared" si="17"/>
        <v>.473</v>
      </c>
      <c r="CS32" s="1" t="str">
        <f t="shared" si="17"/>
        <v>.828</v>
      </c>
      <c r="CT32" s="1">
        <f t="shared" si="17"/>
        <v>0</v>
      </c>
      <c r="CU32" s="1" t="str">
        <f t="shared" si="17"/>
        <v>159.7</v>
      </c>
      <c r="CV32" s="1" t="str">
        <f t="shared" si="17"/>
        <v>6.0</v>
      </c>
      <c r="CW32" s="1" t="str">
        <f t="shared" si="17"/>
        <v>.101</v>
      </c>
      <c r="CX32" s="1" t="str">
        <f t="shared" si="17"/>
        <v>0.47</v>
      </c>
      <c r="CY32" s="1" t="str">
        <f t="shared" si="17"/>
        <v>.195</v>
      </c>
      <c r="CZ32" s="1" t="str">
        <f t="shared" si="17"/>
        <v>.322</v>
      </c>
      <c r="DA32" s="1" t="str">
        <f t="shared" si="17"/>
        <v>3.95</v>
      </c>
      <c r="DB32" s="1" t="str">
        <f t="shared" si="17"/>
        <v>94</v>
      </c>
      <c r="DC32" s="1" t="str">
        <f t="shared" si="17"/>
        <v>1082</v>
      </c>
      <c r="DD32" s="1" t="str">
        <f t="shared" si="17"/>
        <v>21.1</v>
      </c>
      <c r="DF32" s="35" t="str">
        <f>先發名單!E$3</f>
        <v>Dustin May</v>
      </c>
      <c r="DG32" s="4" t="str">
        <f t="array" ref="DG32">IFERROR(INDEX(球員狀態!$C$2:$C$5000, MATCH(1, (球員狀態!$A$2:$A$5000=$DF$31)*(ISNUMBER(SEARCH($DF32, 球員狀態!$B$2:$B$5000))), 0)), "")</f>
        <v/>
      </c>
      <c r="DJ32" s="4" t="str">
        <f t="array" ref="DJ32">IFERROR(INDEX(球員狀態!$F$2:$F$5000, MATCH(1, (球員狀態!$A$2:$A$5000=$DF$31)*(ISNUMBER(SEARCH($DF32, 球員狀態!$B$2:$B$5000))), 0)), "")</f>
        <v/>
      </c>
      <c r="DK32" s="4" t="str">
        <f t="array" ref="DK32">IFERROR(INDEX(球員狀態!G$2:G$5000, MATCH(1, (球員狀態!$A$2:$A$5000=$DF$1)*(ISNUMBER(SEARCH($DF32, 球員狀態!$B$2:$B$5000))), 0)), "")</f>
        <v/>
      </c>
      <c r="DL32" s="4" t="str">
        <f t="array" ref="DL32">IFERROR(INDEX(球員狀態!H$2:H$5000, MATCH(1, (球員狀態!$A$2:$A$5000=$DF31)*(ISNUMBER(SEARCH($DF32, 球員狀態!$B$2:$B$5000))), 0)), "")</f>
        <v/>
      </c>
      <c r="DM32" s="4" t="str">
        <f t="array" ref="DM32">IFERROR(INDEX(球員狀態!I$2:I$5000, MATCH(1, (球員狀態!$A$2:$A$5000=$DF$31)*(ISNUMBER(SEARCH($DF32, 球員狀態!$B$2:$B$5000))), 0)), "")</f>
        <v/>
      </c>
      <c r="DN32" s="4" t="str">
        <f t="array" ref="DN32">IFERROR(INDEX(球員狀態!J$2:J$5000, MATCH(1, (球員狀態!$A$2:$A$5000=$DF$31)*(ISNUMBER(SEARCH($DF32, 球員狀態!$B$2:$B$5000))), 0)), "")</f>
        <v/>
      </c>
      <c r="DO32" s="4" t="str">
        <f t="array" ref="DO32">IFERROR(INDEX(球員狀態!K$2:K$5000, MATCH(1, (球員狀態!$A$2:$A$5000=$DF$31)*(ISNUMBER(SEARCH($DF32, 球員狀態!$B$2:$B$5000))), 0)), "")</f>
        <v/>
      </c>
      <c r="DP32" s="4" t="str">
        <f t="array" ref="DP32">IFERROR(INDEX(球員狀態!L$2:L$5000, MATCH(1, (球員狀態!$A$2:$A$5000=$DF$31)*(ISNUMBER(SEARCH($DF32, 球員狀態!$B$2:$B$5000))), 0)), "")</f>
        <v/>
      </c>
      <c r="DQ32" s="4" t="str">
        <f t="array" ref="DQ32">IFERROR(INDEX(球員狀態!M$2:M$5000, MATCH(1, (球員狀態!$A$2:$A$5000=$DF$31)*(ISNUMBER(SEARCH($DF32, 球員狀態!$B$2:$B$5000))), 0)), "")</f>
        <v/>
      </c>
      <c r="DR32" s="4" t="str">
        <f t="array" ref="DR32">IFERROR(INDEX(球員狀態!N$2:N$5000, MATCH(1, (球員狀態!$A$2:$A$5000=$DF$31)*(ISNUMBER(SEARCH($DF32, 球員狀態!$B$2:$B$5000))), 0)), "")</f>
        <v/>
      </c>
      <c r="DS32" s="4" t="str">
        <f t="array" ref="DS32">IFERROR(INDEX(球員狀態!O$2:O$5000, MATCH(1, (球員狀態!$A$2:$A$5000=$DF$1)*(ISNUMBER(SEARCH($DF32, 球員狀態!$B$2:$B$5000))), 0)), "")</f>
        <v/>
      </c>
      <c r="DT32" s="4" t="str">
        <f t="array" ref="DT32">IFERROR(INDEX(球員狀態!P$2:P$5000, MATCH(1, (球員狀態!$A$2:$A$5000=$DF$1)*(ISNUMBER(SEARCH($DF32, 球員狀態!$B$2:$B$5000))), 0)), "")</f>
        <v/>
      </c>
      <c r="DU32" s="4" t="str">
        <f t="array" ref="DU32">IFERROR(INDEX(球員狀態!Q$2:Q$5000, MATCH(1, (球員狀態!$A$2:$A$5000=$DF$31)*(ISNUMBER(SEARCH($DF32, 球員狀態!$B$2:$B$5000))), 0)), "")</f>
        <v/>
      </c>
      <c r="DV32" s="4" t="str">
        <f t="array" ref="DV32">IFERROR(INDEX(球員狀態!R$2:R$5000, MATCH(1, (球員狀態!$A$2:$A$5000=$DF$1)*(ISNUMBER(SEARCH($DF32, 球員狀態!$B$2:$B$5000))), 0)), "")</f>
        <v/>
      </c>
      <c r="DW32" s="4" t="str">
        <f t="array" ref="DW32">IFERROR(INDEX(球員狀態!S$2:S$5000, MATCH(1, (球員狀態!$A$2:$A$5000=$DF$1)*(ISNUMBER(SEARCH($DF32, 球員狀態!$B$2:$B$5000))), 0)), "")</f>
        <v/>
      </c>
      <c r="DX32" s="4" t="str">
        <f t="array" ref="DX32">IFERROR(INDEX(球員狀態!T$2:T$5000, MATCH(1, (球員狀態!$A$2:$A$5000=$DF$31)*(ISNUMBER(SEARCH($DF32, 球員狀態!$B$2:$B$5000))), 0)), "")</f>
        <v/>
      </c>
      <c r="DY32" s="4" t="str">
        <f t="array" ref="DY32">IFERROR(INDEX(球員狀態!U$2:U$5000, MATCH(1, (球員狀態!$A$2:$A$5000=$DF$1)*(ISNUMBER(SEARCH($DF32, 球員狀態!$B$2:$B$5000))), 0)), "")</f>
        <v/>
      </c>
      <c r="DZ32" s="4" t="str">
        <f t="array" ref="DZ32">IFERROR(INDEX(球員狀態!V$2:V$5000, MATCH(1, (球員狀態!$A$2:$A$5000=$DF$1)*(ISNUMBER(SEARCH($DF32, 球員狀態!$B$2:$B$5000))), 0)), "")</f>
        <v/>
      </c>
      <c r="EA32" s="4" t="str">
        <f t="array" ref="EA32">IFERROR(INDEX(球員狀態!W$2:W$5000, MATCH(1, (球員狀態!$A$2:$A$5000=$DF$31)*(ISNUMBER(SEARCH($DF32, 球員狀態!$B$2:$B$5000))), 0)), "")</f>
        <v/>
      </c>
      <c r="EB32" s="4" t="str">
        <f t="array" ref="EB32">IFERROR(INDEX(球員狀態!X$2:X$5000, MATCH(1, (球員狀態!$A$2:$A$5000=$DF$1)*(ISNUMBER(SEARCH($DF32, 球員狀態!$B$2:$B$5000))), 0)), "")</f>
        <v/>
      </c>
      <c r="EC32" s="4" t="str">
        <f t="array" ref="EC32">IFERROR(INDEX(球員狀態!Y$2:Y$5000, MATCH(1, (球員狀態!$A$2:$A$5000=$DF$1)*(ISNUMBER(SEARCH($DF32, 球員狀態!$B$2:$B$5000))), 0)), "")</f>
        <v/>
      </c>
      <c r="ED32" s="4" t="str">
        <f t="array" ref="ED32">IFERROR(INDEX(球員狀態!Z$2:Z$5000, MATCH(1, (球員狀態!$A$2:$A$5000=$DF$31)*(ISNUMBER(SEARCH($DF32, 球員狀態!$B$2:$B$5000))), 0)), "")</f>
        <v/>
      </c>
      <c r="EE32" s="4" t="str">
        <f t="array" ref="EE32">IFERROR(INDEX(球員狀態!AA$2:AA$5000, MATCH(1, (球員狀態!$A$2:$A$5000=$DF$31)*(ISNUMBER(SEARCH($DF32, 球員狀態!$B$2:$B$5000))), 0)), "")</f>
        <v/>
      </c>
      <c r="EF32" s="4" t="str">
        <f t="array" ref="EF32">IFERROR(INDEX(球員狀態!AB$2:AB$5000, MATCH(1, (球員狀態!$A$2:$A$5000=$DF$31)*(ISNUMBER(SEARCH($DF32, 球員狀態!$B$2:$B$5000))), 0)), "")</f>
        <v/>
      </c>
      <c r="EG32" s="56"/>
      <c r="EI32" s="35" t="str">
        <f>先發名單!O$3</f>
        <v>Victor Scott</v>
      </c>
      <c r="EJ32" s="4" t="str">
        <f t="array" ref="EJ32">IFERROR(INDEX(球員狀態!$C$2:$C$5000, MATCH(1, (球員狀態!$A$2:$A$5000=$EI$31)*(ISNUMBER(SEARCH($EI32, 球員狀態!$B$2:$B$5000))), 0)), "")</f>
        <v/>
      </c>
      <c r="EM32" s="4" t="str">
        <f t="array" ref="EM32">IFERROR(INDEX(球員狀態!F$2:F$5000, MATCH(1, (球員狀態!$A$2:$A$5000=$EI$31)*(ISNUMBER(SEARCH($EI32, 球員狀態!$B$2:$B$5000))), 0)), "")</f>
        <v/>
      </c>
      <c r="EN32" s="4" t="str">
        <f t="array" ref="EN32">IFERROR(INDEX(球員狀態!G$2:G$5000, MATCH(1, (球員狀態!$A$2:$A$5000=$EI$1)*(ISNUMBER(SEARCH($EI32, 球員狀態!$B$2:$B$5000))), 0)), "")</f>
        <v/>
      </c>
      <c r="EO32" s="4" t="str">
        <f t="array" ref="EO32">IFERROR(INDEX(球員狀態!H$2:H$5000, MATCH(1, (球員狀態!$A$2:$A$5000=$EI$31)*(ISNUMBER(SEARCH($EI32, 球員狀態!$B$2:$B$5000))), 0)), "")</f>
        <v/>
      </c>
      <c r="EP32" s="4" t="str">
        <f t="array" ref="EP32">IFERROR(INDEX(球員狀態!I$2:I$5000, MATCH(1, (球員狀態!$A$2:$A$5000=$EI$31)*(ISNUMBER(SEARCH($EI32, 球員狀態!$B$2:$B$5000))), 0)), "")</f>
        <v/>
      </c>
      <c r="EQ32" s="4" t="str">
        <f t="array" ref="EQ32">IFERROR(INDEX(球員狀態!J$2:J$5000, MATCH(1, (球員狀態!$A$2:$A$5000=$EI$31)*(ISNUMBER(SEARCH($EI32, 球員狀態!$B$2:$B$5000))), 0)), "")</f>
        <v/>
      </c>
      <c r="ER32" s="4" t="str">
        <f t="array" ref="ER32">IFERROR(INDEX(球員狀態!K$2:K$5000, MATCH(1, (球員狀態!$A$2:$A$5000=$EI$31)*(ISNUMBER(SEARCH($EI32, 球員狀態!$B$2:$B$5000))), 0)), "")</f>
        <v/>
      </c>
      <c r="ES32" s="4" t="str">
        <f t="array" ref="ES32">IFERROR(INDEX(球員狀態!L$2:L$5000, MATCH(1, (球員狀態!$A$2:$A$5000=$EI$31)*(ISNUMBER(SEARCH($EI32, 球員狀態!$B$2:$B$5000))), 0)), "")</f>
        <v/>
      </c>
      <c r="ET32" s="4" t="str">
        <f t="array" ref="ET32">IFERROR(INDEX(球員狀態!M$2:M$5000, MATCH(1, (球員狀態!$A$2:$A$5000=$EI$31)*(ISNUMBER(SEARCH($EI32, 球員狀態!$B$2:$B$5000))), 0)), "")</f>
        <v/>
      </c>
      <c r="EU32" s="4" t="str">
        <f t="array" ref="EU32">IFERROR(INDEX(球員狀態!N$2:N$5000, MATCH(1, (球員狀態!$A$2:$A$5000=$EI$31)*(ISNUMBER(SEARCH($EI32, 球員狀態!$B$2:$B$5000))), 0)), "")</f>
        <v/>
      </c>
      <c r="EV32" s="4" t="str">
        <f t="array" ref="EV32">IFERROR(INDEX(球員狀態!O$2:O$5000, MATCH(1, (球員狀態!$A$2:$A$5000=$EI$1)*(ISNUMBER(SEARCH($EI32, 球員狀態!$B$2:$B$5000))), 0)), "")</f>
        <v/>
      </c>
      <c r="EW32" s="4" t="str">
        <f t="array" ref="EW32">IFERROR(INDEX(球員狀態!P$2:P$5000, MATCH(1, (球員狀態!$A$2:$A$5000=$EI$1)*(ISNUMBER(SEARCH($EI32, 球員狀態!$B$2:$B$5000))), 0)), "")</f>
        <v/>
      </c>
      <c r="EX32" s="4" t="str">
        <f t="array" ref="EX32">IFERROR(INDEX(球員狀態!Q$2:Q$5000, MATCH(1, (球員狀態!$A$2:$A$5000=$EI$31)*(ISNUMBER(SEARCH($EI32, 球員狀態!$B$2:$B$5000))), 0)), "")</f>
        <v/>
      </c>
      <c r="EY32" s="4" t="str">
        <f t="array" ref="EY32">IFERROR(INDEX(球員狀態!R$2:R$5000, MATCH(1, (球員狀態!$A$2:$A$5000=$EI$1)*(ISNUMBER(SEARCH($EI32, 球員狀態!$B$2:$B$5000))), 0)), "")</f>
        <v/>
      </c>
      <c r="EZ32" s="4" t="str">
        <f t="array" ref="EZ32">IFERROR(INDEX(球員狀態!S$2:S$5000, MATCH(1, (球員狀態!$A$2:$A$5000=$EI$1)*(ISNUMBER(SEARCH($EI32, 球員狀態!$B$2:$B$5000))), 0)), "")</f>
        <v/>
      </c>
      <c r="FA32" s="4" t="str">
        <f t="array" ref="FA32">IFERROR(INDEX(球員狀態!T$2:T$5000, MATCH(1, (球員狀態!$A$2:$A$5000=$EI$31)*(ISNUMBER(SEARCH($EI32, 球員狀態!$B$2:$B$5000))), 0)), "")</f>
        <v/>
      </c>
      <c r="FB32" s="4" t="str">
        <f t="array" ref="FB32">IFERROR(INDEX(球員狀態!U$2:U$5000, MATCH(1, (球員狀態!$A$2:$A$5000=$EI$1)*(ISNUMBER(SEARCH($EI32, 球員狀態!$B$2:$B$5000))), 0)), "")</f>
        <v/>
      </c>
      <c r="FC32" s="4" t="str">
        <f t="array" ref="FC32">IFERROR(INDEX(球員狀態!V$2:V$5000, MATCH(1, (球員狀態!$A$2:$A$5000=$EI$1)*(ISNUMBER(SEARCH($EI32, 球員狀態!$B$2:$B$5000))), 0)), "")</f>
        <v/>
      </c>
      <c r="FD32" s="4" t="str">
        <f t="array" ref="FD32">IFERROR(INDEX(球員狀態!W$2:W$5000, MATCH(1, (球員狀態!$A$2:$A$5000=$EI$31)*(ISNUMBER(SEARCH($EI32, 球員狀態!$B$2:$B$5000))), 0)), "")</f>
        <v/>
      </c>
      <c r="FE32" s="4" t="str">
        <f t="array" ref="FE32">IFERROR(INDEX(球員狀態!X$2:X$5000, MATCH(1, (球員狀態!$A$2:$A$5000=$EI$1)*(ISNUMBER(SEARCH($EI32, 球員狀態!$B$2:$B$5000))), 0)), "")</f>
        <v/>
      </c>
      <c r="FF32" s="4" t="str">
        <f t="array" ref="FF32">IFERROR(INDEX(球員狀態!Y$2:Y$5000, MATCH(1, (球員狀態!$A$2:$A$5000=$EI$1)*(ISNUMBER(SEARCH($EI32, 球員狀態!$B$2:$B$5000))), 0)), "")</f>
        <v/>
      </c>
      <c r="FG32" s="4" t="str">
        <f t="array" ref="FG32">IFERROR(INDEX(球員狀態!Z$2:Z$5000, MATCH(1, (球員狀態!$A$2:$A$5000=$EI$31)*(ISNUMBER(SEARCH($EI32, 球員狀態!$B$2:$B$5000))), 0)), "")</f>
        <v/>
      </c>
      <c r="FH32" s="4" t="str">
        <f t="array" ref="FH32">IFERROR(INDEX(球員狀態!AA$2:AA$5000, MATCH(1, (球員狀態!$A$2:$A$5000=$EI$31)*(ISNUMBER(SEARCH($EI32, 球員狀態!$B$2:$B$5000))), 0)), "")</f>
        <v/>
      </c>
      <c r="FI32" s="4" t="str">
        <f t="array" ref="FI32">IFERROR(INDEX(球員狀態!AB$2:AB$5000, MATCH(1, (球員狀態!$A$2:$A$5000=$EI$31)*(ISNUMBER(SEARCH($EI32, 球員狀態!$B$2:$B$5000))), 0)), "")</f>
        <v/>
      </c>
      <c r="FK32" s="22">
        <v>44.1</v>
      </c>
      <c r="FL32" s="19">
        <v>46</v>
      </c>
      <c r="FM32" s="23">
        <v>4</v>
      </c>
      <c r="FN32" s="22">
        <v>33.1</v>
      </c>
      <c r="FO32" s="19">
        <v>35</v>
      </c>
      <c r="FP32" s="23">
        <v>4</v>
      </c>
      <c r="FQ32" s="22">
        <v>70.099999999999994</v>
      </c>
      <c r="FR32" s="19">
        <v>74</v>
      </c>
      <c r="FS32" s="23">
        <v>4</v>
      </c>
      <c r="FT32" s="22">
        <v>48.1</v>
      </c>
      <c r="FU32" s="19">
        <v>50</v>
      </c>
      <c r="FV32" s="23">
        <v>4</v>
      </c>
      <c r="FW32" s="22">
        <v>1.0900000000000001</v>
      </c>
      <c r="FX32" s="19">
        <v>1.1399999999999999</v>
      </c>
      <c r="FY32" s="23">
        <v>4</v>
      </c>
    </row>
    <row r="33" spans="22:181">
      <c r="V33" s="78"/>
      <c r="W33">
        <f>I18</f>
        <v>0</v>
      </c>
      <c r="X33" s="17" t="e">
        <f t="array" aca="1" ref="X33" ca="1">_xlfn.LET(_xlpm.s,SUBSTITUTE(Y33,".",""),_xlpm.c,RIGHT(_xlpm.s,1),_xlpm.n,ROW(INDIRECT("1:"&amp;LEN(_xlpm.s))),_xlpm.cnt,MAX(IF(RIGHT(_xlpm.s,_xlpm.n)=REPT(_xlpm.c,_xlpm.n),_xlpm.n,0)),IF(_xlpm.cnt&gt;=2,_xlpm.cnt&amp;"連"&amp;_xlpm.c,"1"&amp;_xlpm.c))</f>
        <v>#N/A</v>
      </c>
      <c r="Y33" s="82" t="e">
        <f t="array" ref="Y33">INDEX(各隊正負!$F:$F, MATCH("*"&amp;$W33&amp;"*", 各隊正負!$A:$A, 0)+6)</f>
        <v>#N/A</v>
      </c>
      <c r="Z33" s="100"/>
      <c r="AA33" s="100"/>
      <c r="AB33" s="82" t="e">
        <f t="array" ref="AB33">INDEX(各隊正負!$F:$F, MATCH("*"&amp;$W33&amp;"*", 各隊正負!$A:$A, 0)+4)</f>
        <v>#N/A</v>
      </c>
      <c r="AC33" s="78"/>
      <c r="AD33" s="78"/>
      <c r="AE33" s="1" t="e">
        <f t="array" aca="1" ref="AE33" ca="1">_xlfn.LET(_xlpm.s,SUBSTITUTE(AB33,".",""),_xlpm.c,RIGHT(_xlpm.s,1),_xlpm.n,ROW(INDIRECT("1:"&amp;LEN(_xlpm.s))),_xlpm.cnt,MAX(IF(RIGHT(_xlpm.s,_xlpm.n)=REPT(_xlpm.c,_xlpm.n),_xlpm.n,0)),_xlpm.suffix,IF(_xlpm.c="W","勝","敗"),IF(_xlpm.cnt&gt;=2,_xlpm.cnt&amp;"連"&amp;_xlpm.suffix,"1"&amp;_xlpm.suffix))</f>
        <v>#N/A</v>
      </c>
      <c r="AF33" s="19">
        <f>I18</f>
        <v>0</v>
      </c>
      <c r="AG33" s="1" t="str">
        <f t="array" ref="AG33">IFERROR(INDEX(各隊total!$B:$AB, MATCH($AF33, 各隊total!$A:$A, 0), COLUMN(A32)), "")</f>
        <v/>
      </c>
      <c r="AH33" s="32" t="e">
        <f>CB65</f>
        <v>#VALUE!</v>
      </c>
      <c r="AI33" s="61" t="e">
        <f t="shared" si="0"/>
        <v>#VALUE!</v>
      </c>
      <c r="AJ33" s="6" t="e">
        <f>CC65</f>
        <v>#VALUE!</v>
      </c>
      <c r="AK33" s="60" t="e">
        <f t="shared" si="1"/>
        <v>#VALUE!</v>
      </c>
      <c r="AL33" s="1" t="str">
        <f t="array" ref="AL33">IFERROR(INDEX(各隊total!$C:$AB, MATCH($AF33, 各隊total!$A:$A, 0), COLUMN(A32)), "")</f>
        <v/>
      </c>
      <c r="AM33" s="1" t="str">
        <f t="array" ref="AM33">IFERROR(INDEX(各隊total!$C:$AB, MATCH($AF33, 各隊total!$A:$A, 0), COLUMN(E32)), "")</f>
        <v/>
      </c>
      <c r="AN33" s="1" t="str">
        <f t="array" ref="AN33">IFERROR(INDEX(各隊total!$E:$AB, MATCH($AF33, 各隊total!$A:$A, 0), COLUMN(A32)), "")</f>
        <v/>
      </c>
      <c r="AO33" s="1" t="str">
        <f t="array" ref="AO33">IFERROR(INDEX(各隊total!$F:$AB, MATCH($AF33, 各隊total!$A:$A, 0), COLUMN(A32)), "")</f>
        <v/>
      </c>
      <c r="AP33" s="1" t="str">
        <f t="array" ref="AP33">IFERROR(INDEX(各隊total!$G:$AB, MATCH($AF33, 各隊total!$A:$A, 0), COLUMN(A32)), "")</f>
        <v/>
      </c>
      <c r="AQ33" s="1" t="str">
        <f t="array" ref="AQ33">IFERROR(INDEX(各隊total!$H:$AB, MATCH($AF33, 各隊total!$A:$A, 0), COLUMN(A32)), "")</f>
        <v/>
      </c>
      <c r="AR33" s="1" t="str">
        <f t="array" ref="AR33">IFERROR(INDEX(各隊total!$I:$AB, MATCH($AF33, 各隊total!$A:$A, 0), COLUMN(A32)), "")</f>
        <v/>
      </c>
      <c r="AS33" s="1" t="str">
        <f t="array" ref="AS33">IFERROR(INDEX(各隊total!$J:$AB, MATCH($AF33, 各隊total!$A:$A, 0), COLUMN(A32)), "")</f>
        <v/>
      </c>
      <c r="AT33" s="1" t="str">
        <f t="array" ref="AT33">IFERROR(INDEX(各隊total!$K:$AB, MATCH($AF33, 各隊total!$A:$A, 0), COLUMN(A32)), "")</f>
        <v/>
      </c>
      <c r="AU33" s="1" t="str">
        <f t="array" ref="AU33">IFERROR(INDEX(各隊total!$L:$AB, MATCH($AF33, 各隊total!$A:$A, 0), COLUMN(A32)), "")</f>
        <v/>
      </c>
      <c r="AV33" s="1" t="str">
        <f t="array" ref="AV33">IFERROR(INDEX(各隊total!$M:$AB, MATCH($AF33, 各隊total!$A:$A, 0), COLUMN(A32)), "")</f>
        <v/>
      </c>
      <c r="AW33" s="1" t="str">
        <f t="array" ref="AW33">IFERROR(INDEX(各隊total!$N:$AB, MATCH($AF33, 各隊total!$A:$A, 0), COLUMN(A32)), "")</f>
        <v/>
      </c>
      <c r="AX33" s="1" t="str">
        <f t="array" ref="AX33">IFERROR(INDEX(各隊total!$O:$AB, MATCH($AF33, 各隊total!$A:$A, 0), COLUMN(A32)), "")</f>
        <v/>
      </c>
      <c r="AY33" s="1" t="str">
        <f t="array" ref="AY33">IFERROR(INDEX(各隊total!$P:$AB, MATCH($AF33, 各隊total!$A:$A, 0), COLUMN(A32)), "")</f>
        <v/>
      </c>
      <c r="AZ33" s="1" t="str">
        <f t="array" ref="AZ33">IFERROR(INDEX(各隊total!$Q:$AB, MATCH($AF33, 各隊total!$A:$A, 0), COLUMN(A32)), "")</f>
        <v/>
      </c>
      <c r="BA33" s="1" t="str">
        <f t="array" ref="BA33">IFERROR(INDEX(各隊total!$R:$AB, MATCH($AF33, 各隊total!$A:$A, 0), COLUMN(A32)), "")</f>
        <v/>
      </c>
      <c r="BB33" s="1" t="str">
        <f t="array" ref="BB33">IFERROR(INDEX(各隊total!$S:$AB, MATCH($AF33, 各隊total!$A:$A, 0), COLUMN(A32)), "")</f>
        <v/>
      </c>
      <c r="BC33" s="1" t="str">
        <f t="array" ref="BC33">IFERROR(INDEX(各隊total!$T:$AB, MATCH($AF33, 各隊total!$A:$A, 0), COLUMN(A32)), "")</f>
        <v/>
      </c>
      <c r="BD33" s="1" t="str">
        <f t="array" ref="BD33">IFERROR(INDEX(各隊total!$U:$AB, MATCH($AF33, 各隊total!$A:$A, 0), COLUMN(A32)), "")</f>
        <v/>
      </c>
      <c r="BE33" s="1" t="str">
        <f t="array" ref="BE33">IFERROR(INDEX(各隊total!$V:$AB, MATCH($AF33, 各隊total!$A:$A, 0), COLUMN(A32)), "")</f>
        <v/>
      </c>
      <c r="BF33" s="1" t="str">
        <f t="array" ref="BF33">IFERROR(INDEX(各隊total!$W:$AB, MATCH($AF33, 各隊total!$A:$A, 0), COLUMN(A32)), "")</f>
        <v/>
      </c>
      <c r="BG33" s="1" t="str">
        <f t="array" ref="BG33">IFERROR(INDEX(各隊total!$X:$AB, MATCH($AF33, 各隊total!$A:$A, 0), COLUMN(A32)), "")</f>
        <v/>
      </c>
      <c r="BH33" s="1" t="str">
        <f t="array" ref="BH33">IFERROR(INDEX(各隊total!$Y:$AB, MATCH($AF33, 各隊total!$A:$A, 0), COLUMN(A32)), "")</f>
        <v/>
      </c>
      <c r="BI33" s="1" t="str">
        <f t="array" ref="BI33">IFERROR(INDEX(各隊total!$Z:$AB, MATCH($AF33, 各隊total!$A:$A, 0), COLUMN(A32)), "")</f>
        <v/>
      </c>
      <c r="BJ33" s="1" t="str">
        <f t="array" ref="BJ33">IFERROR(INDEX(各隊total!$AA:$AB, MATCH($AF33, 各隊total!$A:$A, 0), COLUMN(A32)), "")</f>
        <v/>
      </c>
      <c r="BK33" s="1" t="str">
        <f t="array" ref="BK33">IFERROR(INDEX(各隊total!$AB:$AB, MATCH($AF33, 各隊total!$A:$A, 0), COLUMN(A32)), "")</f>
        <v/>
      </c>
      <c r="BM33" s="22">
        <v>91</v>
      </c>
      <c r="BN33" s="19">
        <v>95</v>
      </c>
      <c r="BO33" s="23">
        <v>5</v>
      </c>
      <c r="BP33" s="22">
        <v>4.5</v>
      </c>
      <c r="BQ33" s="19">
        <v>4.7</v>
      </c>
      <c r="BR33" s="23">
        <v>5</v>
      </c>
      <c r="BS33" s="22">
        <v>0.161</v>
      </c>
      <c r="BT33" s="19">
        <v>0.17499999999999999</v>
      </c>
      <c r="BU33" s="23">
        <v>5</v>
      </c>
      <c r="BV33" s="22">
        <v>0.27600000000000002</v>
      </c>
      <c r="BW33" s="19">
        <v>0.28999999999999998</v>
      </c>
      <c r="BX33" s="23">
        <v>5</v>
      </c>
      <c r="BY33" s="22">
        <v>3.91</v>
      </c>
      <c r="BZ33" s="19">
        <v>3.95</v>
      </c>
      <c r="CA33" s="23">
        <v>5</v>
      </c>
      <c r="CB33" s="28">
        <f>CF33+CJ33+CK33+CM33+CO33+CP33+CQ33+CR33</f>
        <v>6.5500000000000007</v>
      </c>
      <c r="CC33" s="31">
        <f>CU33+CV33+CY33+CZ33+DA33</f>
        <v>7.6000000000000005</v>
      </c>
      <c r="CD33" s="58"/>
      <c r="CE33" s="1"/>
      <c r="CF33" s="27">
        <f>VLOOKUP(ROUND(CF32/CD32, 2), $BV$2:$BX$12, 3, TRUE)*BX$1</f>
        <v>1.05</v>
      </c>
      <c r="CG33" s="58"/>
      <c r="CH33" s="58"/>
      <c r="CI33" s="58"/>
      <c r="CJ33" s="27">
        <f>VLOOKUP(ROUND(CJ32/CD32, 2), $BM$15:$BO$25, 3, TRUE)*BO$14</f>
        <v>0.70000000000000007</v>
      </c>
      <c r="CK33" s="27">
        <f>VLOOKUP(ROUND(CK32/CD32, 2), $BY$2:$CA$12, 3, TRUE)*CA$1</f>
        <v>0.70000000000000007</v>
      </c>
      <c r="CL33" s="58"/>
      <c r="CM33" s="101">
        <f>VLOOKUP(ROUND(CM32/CN32, 2), $BP$15:$BR$25, 3, TRUE)*BR$14</f>
        <v>0.60000000000000009</v>
      </c>
      <c r="CN33" s="78"/>
      <c r="CO33" s="27">
        <f>VLOOKUP(ROUND(CO32/CD32, 2), $BS$15:$BU$25, 3, TRUE)*BU$14</f>
        <v>0.2</v>
      </c>
      <c r="CP33" s="27">
        <f>VLOOKUP(CP32*1, BM$2:BO$12, 3, TRUE)*BO$1</f>
        <v>0.70000000000000007</v>
      </c>
      <c r="CQ33" s="27">
        <f>VLOOKUP(CQ32*1, BP$2:BR$12, 3, TRUE)*BR$1</f>
        <v>1.4000000000000001</v>
      </c>
      <c r="CR33" s="27">
        <f>VLOOKUP(CR32*1, BS$2:BU$12, 3, TRUE)*BU$1</f>
        <v>1.2000000000000002</v>
      </c>
      <c r="CS33" s="1"/>
      <c r="CT33" s="1"/>
      <c r="CU33" s="60">
        <f>VLOOKUP(CU32*1, BM$28:BO$38, 3, TRUE)*BO$27</f>
        <v>1</v>
      </c>
      <c r="CV33" s="60">
        <f>VLOOKUP(CV32*1, BP$28:BR$38, 3, TRUE)*BR$27</f>
        <v>3.15</v>
      </c>
      <c r="CW33" s="1"/>
      <c r="CX33" s="1"/>
      <c r="CY33" s="60">
        <f>VLOOKUP(CY32*1, BS$28:BU$38, 3, TRUE)*BU$27</f>
        <v>1.4000000000000001</v>
      </c>
      <c r="CZ33" s="60">
        <f>VLOOKUP(CZ32*1, BV$28:BX$38, 3, TRUE)*BX$27</f>
        <v>1.05</v>
      </c>
      <c r="DA33" s="60">
        <f>VLOOKUP(DA32*1, BY$28:CA$38, 3, TRUE)*CA$27</f>
        <v>1</v>
      </c>
      <c r="DF33" s="36"/>
      <c r="DG33" s="4"/>
      <c r="DH33" s="40" t="e">
        <f>DJ33+DL33+DM33+DN33+DO33-DP33-DQ33+DR33</f>
        <v>#VALUE!</v>
      </c>
      <c r="DI33" s="42" t="e">
        <f>DU33+DX33+EA33+ED33+EE33+EF33</f>
        <v>#VALUE!</v>
      </c>
      <c r="DJ33" s="38" t="e">
        <f>VLOOKUP(DJ32*1, $FK$2:$FM$12, 3, TRUE)*$FM$1</f>
        <v>#VALUE!</v>
      </c>
      <c r="DL33" s="38" t="e">
        <f>VLOOKUP(DL32*1, $FN$2:$FP$12, 3, TRUE)*$FP$1</f>
        <v>#VALUE!</v>
      </c>
      <c r="DM33" s="38" t="e">
        <f>VLOOKUP(DM32*1, $FQ$2:$FS$12, 3, TRUE)*$FS$1</f>
        <v>#VALUE!</v>
      </c>
      <c r="DN33" s="38" t="e">
        <f>VLOOKUP(DN32*1, $FT$2:$FV$12, 3, TRUE)*$FV$1</f>
        <v>#VALUE!</v>
      </c>
      <c r="DO33" s="38" t="e">
        <f>VLOOKUP(DO32*1, $FW$2:$FY$12, 3, TRUE)*$FY$1</f>
        <v>#VALUE!</v>
      </c>
      <c r="DP33" s="39" t="e">
        <f>VLOOKUP(DP32*1, $FK$14:$FM$25, 3, TRUE)*$FM$14</f>
        <v>#VALUE!</v>
      </c>
      <c r="DQ33" s="39" t="e">
        <f>VLOOKUP(DQ32*1, $FN$14:$FP$25, 3, TRUE)*$FP$14</f>
        <v>#VALUE!</v>
      </c>
      <c r="DR33" s="38" t="e">
        <f>VLOOKUP(DR32*1, $FQ$14:$FS$25, 3, TRUE)*$FS$14</f>
        <v>#VALUE!</v>
      </c>
      <c r="DU33" s="41" t="e">
        <f>VLOOKUP(DU32*1, $FK$27:$FM$38, 3, TRUE)*$FM$27</f>
        <v>#VALUE!</v>
      </c>
      <c r="DX33" s="41" t="e">
        <f>VLOOKUP(DX32*1, $FN$27:$FP$38, 3, TRUE)*$FP$27</f>
        <v>#VALUE!</v>
      </c>
      <c r="EA33" s="41" t="e">
        <f>VLOOKUP(EA32*1, $FQ$27:$FS$38, 3, TRUE)*$FS$27</f>
        <v>#VALUE!</v>
      </c>
      <c r="ED33" s="41" t="e">
        <f>VLOOKUP(ED32*1, $FT$27:$FV$38, 3, TRUE)*$FV$27</f>
        <v>#VALUE!</v>
      </c>
      <c r="EE33" s="41" t="e">
        <f>VLOOKUP(EE32*1, $FW$27:$FY$38, 3, TRUE)*$FY$27</f>
        <v>#VALUE!</v>
      </c>
      <c r="EF33" s="41" t="e">
        <f>VLOOKUP(EF32*1, $FK$40:$FM$51, 3, TRUE)*$FM$40</f>
        <v>#VALUE!</v>
      </c>
      <c r="EG33" s="57"/>
      <c r="EI33" s="36"/>
      <c r="EJ33" s="4"/>
      <c r="EK33" s="40" t="e">
        <f>EM33+EO33+EP33+EQ33+ER33-ES33-ET33+EU33</f>
        <v>#VALUE!</v>
      </c>
      <c r="EL33" s="42" t="e">
        <f>EX33+FA33+FD33+FG33+FH33+FI33</f>
        <v>#VALUE!</v>
      </c>
      <c r="EM33" s="38" t="e">
        <f>VLOOKUP(EM32*1, $FK$2:$FM$12, 3, TRUE)*$FM$1</f>
        <v>#VALUE!</v>
      </c>
      <c r="EO33" s="38" t="e">
        <f>VLOOKUP(EO32*1, $FN$2:$FP$12, 3, TRUE)*$FP$1</f>
        <v>#VALUE!</v>
      </c>
      <c r="EP33" s="38" t="e">
        <f>VLOOKUP(EP32*1, $FQ$2:$FS$12, 3, TRUE)*$FS$1</f>
        <v>#VALUE!</v>
      </c>
      <c r="EQ33" s="38" t="e">
        <f>VLOOKUP(EQ32*1, $FT$2:$FV$12, 3, TRUE)*$FV$1</f>
        <v>#VALUE!</v>
      </c>
      <c r="ER33" s="38" t="e">
        <f>VLOOKUP(ER32*1, $FW$2:$FY$12, 3, TRUE)*$FY$1</f>
        <v>#VALUE!</v>
      </c>
      <c r="ES33" s="39" t="e">
        <f>VLOOKUP(ES32*1, $FK$14:$FM$25, 3, TRUE)*$FM$14</f>
        <v>#VALUE!</v>
      </c>
      <c r="ET33" s="39" t="e">
        <f>VLOOKUP(ET32*1, $FN$14:$FP$25, 3, TRUE)*$FP$14</f>
        <v>#VALUE!</v>
      </c>
      <c r="EU33" s="38" t="e">
        <f>VLOOKUP(EU32*1, $FQ$14:$FS$25, 3, TRUE)*$FS$14</f>
        <v>#VALUE!</v>
      </c>
      <c r="EX33" s="41" t="e">
        <f>VLOOKUP(EX32*1, $FK$27:$FM$38, 3, TRUE)*$FM$27</f>
        <v>#VALUE!</v>
      </c>
      <c r="FA33" s="41" t="e">
        <f>VLOOKUP(FA32*1, $FN$27:$FP$38, 3, TRUE)*$FP$27</f>
        <v>#VALUE!</v>
      </c>
      <c r="FD33" s="41" t="e">
        <f>VLOOKUP(FD32*1, $FQ$27:$FS$38, 3, TRUE)*$FS$27</f>
        <v>#VALUE!</v>
      </c>
      <c r="FG33" s="41" t="e">
        <f>VLOOKUP(FG32*1, $FT$27:$FV$38, 3, TRUE)*$FV$27</f>
        <v>#VALUE!</v>
      </c>
      <c r="FH33" s="41" t="e">
        <f>VLOOKUP(FH32*1, $FW$27:$FY$38, 3, TRUE)*$FY$27</f>
        <v>#VALUE!</v>
      </c>
      <c r="FI33" s="41" t="e">
        <f>VLOOKUP(FI32*1, $FK$40:$FM$51, 3, TRUE)*$FM$40</f>
        <v>#VALUE!</v>
      </c>
      <c r="FK33" s="22">
        <v>46.1</v>
      </c>
      <c r="FL33" s="19">
        <v>48</v>
      </c>
      <c r="FM33" s="23">
        <v>5</v>
      </c>
      <c r="FN33" s="22">
        <v>35.1</v>
      </c>
      <c r="FO33" s="19">
        <v>36.5</v>
      </c>
      <c r="FP33" s="23">
        <v>5</v>
      </c>
      <c r="FQ33" s="22">
        <v>74.099999999999994</v>
      </c>
      <c r="FR33" s="19">
        <v>78</v>
      </c>
      <c r="FS33" s="23">
        <v>5</v>
      </c>
      <c r="FT33" s="22">
        <v>50.1</v>
      </c>
      <c r="FU33" s="19">
        <v>52</v>
      </c>
      <c r="FV33" s="23">
        <v>5</v>
      </c>
      <c r="FW33" s="22">
        <v>1.1499999999999999</v>
      </c>
      <c r="FX33" s="19">
        <v>1.2</v>
      </c>
      <c r="FY33" s="23">
        <v>5</v>
      </c>
    </row>
    <row r="34" spans="22:181">
      <c r="BM34" s="22">
        <v>96</v>
      </c>
      <c r="BN34" s="19">
        <v>100</v>
      </c>
      <c r="BO34" s="23">
        <v>6</v>
      </c>
      <c r="BP34" s="22">
        <v>4.8</v>
      </c>
      <c r="BQ34" s="19">
        <v>5</v>
      </c>
      <c r="BR34" s="23">
        <v>6</v>
      </c>
      <c r="BS34" s="22">
        <v>0.17599999999999999</v>
      </c>
      <c r="BT34" s="19">
        <v>0.19</v>
      </c>
      <c r="BU34" s="23">
        <v>6</v>
      </c>
      <c r="BV34" s="22">
        <v>0.29099999999999998</v>
      </c>
      <c r="BW34" s="19">
        <v>0.31</v>
      </c>
      <c r="BX34" s="23">
        <v>6</v>
      </c>
      <c r="BY34" s="22">
        <v>3.96</v>
      </c>
      <c r="BZ34" s="19">
        <v>4</v>
      </c>
      <c r="CA34" s="23">
        <v>6</v>
      </c>
      <c r="CB34" s="19" t="e">
        <f>AF18</f>
        <v>#N/A</v>
      </c>
      <c r="CD34" s="1" t="str">
        <f>AG18</f>
        <v/>
      </c>
      <c r="CE34" s="1" t="str">
        <f t="shared" ref="CE34:DD34" si="18">AL18</f>
        <v/>
      </c>
      <c r="CF34" s="1" t="str">
        <f t="shared" si="18"/>
        <v/>
      </c>
      <c r="CG34" s="1" t="str">
        <f t="shared" si="18"/>
        <v/>
      </c>
      <c r="CH34" s="1" t="str">
        <f t="shared" si="18"/>
        <v/>
      </c>
      <c r="CI34" s="1" t="str">
        <f t="shared" si="18"/>
        <v/>
      </c>
      <c r="CJ34" s="1" t="str">
        <f t="shared" si="18"/>
        <v/>
      </c>
      <c r="CK34" s="1" t="str">
        <f t="shared" si="18"/>
        <v/>
      </c>
      <c r="CL34" s="1" t="str">
        <f t="shared" si="18"/>
        <v/>
      </c>
      <c r="CM34" s="1" t="str">
        <f t="shared" si="18"/>
        <v/>
      </c>
      <c r="CN34" s="1" t="str">
        <f t="shared" si="18"/>
        <v/>
      </c>
      <c r="CO34" s="1" t="str">
        <f t="shared" si="18"/>
        <v/>
      </c>
      <c r="CP34" s="1" t="str">
        <f t="shared" si="18"/>
        <v/>
      </c>
      <c r="CQ34" s="1" t="str">
        <f t="shared" si="18"/>
        <v/>
      </c>
      <c r="CR34" s="1" t="str">
        <f t="shared" si="18"/>
        <v/>
      </c>
      <c r="CS34" s="1" t="str">
        <f t="shared" si="18"/>
        <v/>
      </c>
      <c r="CT34" s="1" t="str">
        <f t="shared" si="18"/>
        <v/>
      </c>
      <c r="CU34" s="1" t="str">
        <f t="shared" si="18"/>
        <v/>
      </c>
      <c r="CV34" s="1" t="str">
        <f t="shared" si="18"/>
        <v/>
      </c>
      <c r="CW34" s="1" t="str">
        <f t="shared" si="18"/>
        <v/>
      </c>
      <c r="CX34" s="1" t="str">
        <f t="shared" si="18"/>
        <v/>
      </c>
      <c r="CY34" s="1" t="str">
        <f t="shared" si="18"/>
        <v/>
      </c>
      <c r="CZ34" s="1" t="str">
        <f t="shared" si="18"/>
        <v/>
      </c>
      <c r="DA34" s="1" t="str">
        <f t="shared" si="18"/>
        <v/>
      </c>
      <c r="DB34" s="1" t="str">
        <f t="shared" si="18"/>
        <v/>
      </c>
      <c r="DC34" s="1" t="str">
        <f t="shared" si="18"/>
        <v/>
      </c>
      <c r="DD34" s="1" t="str">
        <f t="shared" si="18"/>
        <v/>
      </c>
      <c r="DF34" s="35" t="str">
        <f>先發名單!F3</f>
        <v>Wilber Dotel</v>
      </c>
      <c r="DG34" s="4" t="str">
        <f t="array" ref="DG34">IFERROR(INDEX(球員狀態!$C$2:$C$5000, MATCH(1, (球員狀態!$A$2:$A$5000=$DF$31)*(ISNUMBER(SEARCH($DF34, 球員狀態!$B$2:$B$5000))), 0)), "")</f>
        <v/>
      </c>
      <c r="DJ34" s="4" t="str">
        <f t="array" ref="DJ34">IFERROR(INDEX(球員狀態!$F$2:$F$5000, MATCH(1, (球員狀態!$A$2:$A$5000=$DF$31)*(ISNUMBER(SEARCH($DF34, 球員狀態!$B$2:$B$5000))), 0)), "")</f>
        <v/>
      </c>
      <c r="DK34" s="4" t="str">
        <f t="array" ref="DK34">IFERROR(INDEX(球員狀態!$G$2:$G$5000, MATCH(1, (球員狀態!$A$2:$A$5000=$DF$1)*(ISNUMBER(SEARCH($DF34, 球員狀態!$B$2:$B$5000))), 0)), "")</f>
        <v/>
      </c>
      <c r="DL34" s="4" t="str">
        <f t="array" ref="DL34">IFERROR(INDEX(球員狀態!H$2:H$5000, MATCH(1, (球員狀態!$A$2:$A$5000=$DF$31)*(ISNUMBER(SEARCH($DF34, 球員狀態!$B$2:$B$5000))), 0)), "")</f>
        <v/>
      </c>
      <c r="DM34" s="4" t="str">
        <f t="array" ref="DM34">IFERROR(INDEX(球員狀態!I$2:I$5000, MATCH(1, (球員狀態!$A$2:$A$5000=$DF$31)*(ISNUMBER(SEARCH($DF34, 球員狀態!$B$2:$B$5000))), 0)), "")</f>
        <v/>
      </c>
      <c r="DN34" s="4" t="str">
        <f t="array" ref="DN34">IFERROR(INDEX(球員狀態!J$2:J$5000, MATCH(1, (球員狀態!$A$2:$A$5000=$DF$31)*(ISNUMBER(SEARCH($DF34, 球員狀態!$B$2:$B$5000))), 0)), "")</f>
        <v/>
      </c>
      <c r="DO34" s="4" t="str">
        <f t="array" ref="DO34">IFERROR(INDEX(球員狀態!K$2:K$5000, MATCH(1, (球員狀態!$A$2:$A$5000=$DF$31)*(ISNUMBER(SEARCH($DF34, 球員狀態!$B$2:$B$5000))), 0)), "")</f>
        <v/>
      </c>
      <c r="DP34" s="4" t="str">
        <f t="array" ref="DP34">IFERROR(INDEX(球員狀態!L$2:L$5000, MATCH(1, (球員狀態!$A$2:$A$5000=$DF$31)*(ISNUMBER(SEARCH($DF34, 球員狀態!$B$2:$B$5000))), 0)), "")</f>
        <v/>
      </c>
      <c r="DQ34" s="4" t="str">
        <f t="array" ref="DQ34">IFERROR(INDEX(球員狀態!M$2:M$5000, MATCH(1, (球員狀態!$A$2:$A$5000=$DF$31)*(ISNUMBER(SEARCH($DF34, 球員狀態!$B$2:$B$5000))), 0)), "")</f>
        <v/>
      </c>
      <c r="DR34" s="4" t="str">
        <f t="array" ref="DR34">IFERROR(INDEX(球員狀態!N$2:N$5000, MATCH(1, (球員狀態!$A$2:$A$5000=$DF$31)*(ISNUMBER(SEARCH($DF34, 球員狀態!$B$2:$B$5000))), 0)), "")</f>
        <v/>
      </c>
      <c r="DS34" s="4" t="str">
        <f t="array" ref="DS34">IFERROR(INDEX(球員狀態!O$2:O$5000, MATCH(1, (球員狀態!$A$2:$A$5000=$DF$1)*(ISNUMBER(SEARCH($DF34, 球員狀態!$B$2:$B$5000))), 0)), "")</f>
        <v/>
      </c>
      <c r="DT34" s="4" t="str">
        <f t="array" ref="DT34">IFERROR(INDEX(球員狀態!P$2:P$5000, MATCH(1, (球員狀態!$A$2:$A$5000=$DF$1)*(ISNUMBER(SEARCH($DF34, 球員狀態!$B$2:$B$5000))), 0)), "")</f>
        <v/>
      </c>
      <c r="DU34" s="4" t="str">
        <f t="array" ref="DU34">IFERROR(INDEX(球員狀態!Q$2:Q$5000, MATCH(1, (球員狀態!$A$2:$A$5000=$DF$31)*(ISNUMBER(SEARCH($DF34, 球員狀態!$B$2:$B$5000))), 0)), "")</f>
        <v/>
      </c>
      <c r="DV34" s="4" t="str">
        <f t="array" ref="DV34">IFERROR(INDEX(球員狀態!R$2:R$5000, MATCH(1, (球員狀態!$A$2:$A$5000=$DF$1)*(ISNUMBER(SEARCH($DF34, 球員狀態!$B$2:$B$5000))), 0)), "")</f>
        <v/>
      </c>
      <c r="DW34" s="4" t="str">
        <f t="array" ref="DW34">IFERROR(INDEX(球員狀態!S$2:S$5000, MATCH(1, (球員狀態!$A$2:$A$5000=$DF$1)*(ISNUMBER(SEARCH($DF34, 球員狀態!$B$2:$B$5000))), 0)), "")</f>
        <v/>
      </c>
      <c r="DX34" s="4" t="str">
        <f t="array" ref="DX34">IFERROR(INDEX(球員狀態!T$2:T$5000, MATCH(1, (球員狀態!$A$2:$A$5000=$DF$31)*(ISNUMBER(SEARCH($DF34, 球員狀態!$B$2:$B$5000))), 0)), "")</f>
        <v/>
      </c>
      <c r="DY34" s="4" t="str">
        <f t="array" ref="DY34">IFERROR(INDEX(球員狀態!U$2:U$5000, MATCH(1, (球員狀態!$A$2:$A$5000=$DF$1)*(ISNUMBER(SEARCH($DF34, 球員狀態!$B$2:$B$5000))), 0)), "")</f>
        <v/>
      </c>
      <c r="DZ34" s="4" t="str">
        <f t="array" ref="DZ34">IFERROR(INDEX(球員狀態!V$2:V$5000, MATCH(1, (球員狀態!$A$2:$A$5000=$DF$1)*(ISNUMBER(SEARCH($DF34, 球員狀態!$B$2:$B$5000))), 0)), "")</f>
        <v/>
      </c>
      <c r="EA34" s="4" t="str">
        <f t="array" ref="EA34">IFERROR(INDEX(球員狀態!W$2:W$5000, MATCH(1, (球員狀態!$A$2:$A$5000=$DF$31)*(ISNUMBER(SEARCH($DF34, 球員狀態!$B$2:$B$5000))), 0)), "")</f>
        <v/>
      </c>
      <c r="EB34" s="4" t="str">
        <f t="array" ref="EB34">IFERROR(INDEX(球員狀態!X$2:X$5000, MATCH(1, (球員狀態!$A$2:$A$5000=$DF$1)*(ISNUMBER(SEARCH($DF34, 球員狀態!$B$2:$B$5000))), 0)), "")</f>
        <v/>
      </c>
      <c r="EC34" s="4" t="str">
        <f t="array" ref="EC34">IFERROR(INDEX(球員狀態!Y$2:Y$5000, MATCH(1, (球員狀態!$A$2:$A$5000=$DF$1)*(ISNUMBER(SEARCH($DF34, 球員狀態!$B$2:$B$5000))), 0)), "")</f>
        <v/>
      </c>
      <c r="ED34" s="4" t="str">
        <f t="array" ref="ED34">IFERROR(INDEX(球員狀態!Z$2:Z$5000, MATCH(1, (球員狀態!$A$2:$A$5000=$DF$31)*(ISNUMBER(SEARCH($DF34, 球員狀態!$B$2:$B$5000))), 0)), "")</f>
        <v/>
      </c>
      <c r="EE34" s="4" t="str">
        <f t="array" ref="EE34">IFERROR(INDEX(球員狀態!AA$2:AA$5000, MATCH(1, (球員狀態!$A$2:$A$5000=$DF$31)*(ISNUMBER(SEARCH($DF34, 球員狀態!$B$2:$B$5000))), 0)), "")</f>
        <v/>
      </c>
      <c r="EF34" s="4" t="str">
        <f t="array" ref="EF34">IFERROR(INDEX(球員狀態!AB$2:AB$5000, MATCH(1, (球員狀態!$A$2:$A$5000=$DF$31)*(ISNUMBER(SEARCH($DF34, 球員狀態!$B$2:$B$5000))), 0)), "")</f>
        <v/>
      </c>
      <c r="EG34" s="56"/>
      <c r="EI34" s="35" t="str">
        <f>先發名單!P$3</f>
        <v>Oneil Cruz</v>
      </c>
      <c r="EJ34" s="4" t="str">
        <f t="array" ref="EJ34">IFERROR(INDEX(球員狀態!$C$2:$C$5000, MATCH(1, (球員狀態!$A$2:$A$5000=$EI$31)*(ISNUMBER(SEARCH($EI34, 球員狀態!$B$2:$B$5000))), 0)), "")</f>
        <v>CF</v>
      </c>
      <c r="EM34" s="4" t="str">
        <f t="array" ref="EM34">IFERROR(INDEX(球員狀態!F$2:F$5000, MATCH(1, (球員狀態!$A$2:$A$5000=$EI$31)*(ISNUMBER(SEARCH($EI34, 球員狀態!$B$2:$B$5000))), 0)), "")</f>
        <v>19</v>
      </c>
      <c r="EN34" s="4" t="str">
        <f t="array" ref="EN34">IFERROR(INDEX(球員狀態!G$2:G$5000, MATCH(1, (球員狀態!$A$2:$A$5000=$EI$1)*(ISNUMBER(SEARCH($EI34, 球員狀態!$B$2:$B$5000))), 0)), "")</f>
        <v/>
      </c>
      <c r="EO34" s="4" t="str">
        <f t="array" ref="EO34">IFERROR(INDEX(球員狀態!H$2:H$5000, MATCH(1, (球員狀態!$A$2:$A$5000=$EI$31)*(ISNUMBER(SEARCH($EI34, 球員狀態!$B$2:$B$5000))), 0)), "")</f>
        <v>5</v>
      </c>
      <c r="EP34" s="4" t="str">
        <f t="array" ref="EP34">IFERROR(INDEX(球員狀態!I$2:I$5000, MATCH(1, (球員狀態!$A$2:$A$5000=$EI$31)*(ISNUMBER(SEARCH($EI34, 球員狀態!$B$2:$B$5000))), 0)), "")</f>
        <v>0</v>
      </c>
      <c r="EQ34" s="4" t="str">
        <f t="array" ref="EQ34">IFERROR(INDEX(球員狀態!J$2:J$5000, MATCH(1, (球員狀態!$A$2:$A$5000=$EI$31)*(ISNUMBER(SEARCH($EI34, 球員狀態!$B$2:$B$5000))), 0)), "")</f>
        <v>8</v>
      </c>
      <c r="ER34" s="4" t="str">
        <f t="array" ref="ER34">IFERROR(INDEX(球員狀態!K$2:K$5000, MATCH(1, (球員狀態!$A$2:$A$5000=$EI$31)*(ISNUMBER(SEARCH($EI34, 球員狀態!$B$2:$B$5000))), 0)), "")</f>
        <v>24</v>
      </c>
      <c r="ES34" s="4" t="str">
        <f t="array" ref="ES34">IFERROR(INDEX(球員狀態!L$2:L$5000, MATCH(1, (球員狀態!$A$2:$A$5000=$EI$31)*(ISNUMBER(SEARCH($EI34, 球員狀態!$B$2:$B$5000))), 0)), "")</f>
        <v>58</v>
      </c>
      <c r="ET34" s="4" t="str">
        <f t="array" ref="ET34">IFERROR(INDEX(球員狀態!M$2:M$5000, MATCH(1, (球員狀態!$A$2:$A$5000=$EI$31)*(ISNUMBER(SEARCH($EI34, 球員狀態!$B$2:$B$5000))), 0)), "")</f>
        <v>9</v>
      </c>
      <c r="EU34" s="4" t="str">
        <f t="array" ref="EU34">IFERROR(INDEX(球員狀態!N$2:N$5000, MATCH(1, (球員狀態!$A$2:$A$5000=$EI$31)*(ISNUMBER(SEARCH($EI34, 球員狀態!$B$2:$B$5000))), 0)), "")</f>
        <v>43</v>
      </c>
      <c r="EV34" s="4" t="str">
        <f t="array" ref="EV34">IFERROR(INDEX(球員狀態!O$2:O$5000, MATCH(1, (球員狀態!$A$2:$A$5000=$EI$1)*(ISNUMBER(SEARCH($EI34, 球員狀態!$B$2:$B$5000))), 0)), "")</f>
        <v/>
      </c>
      <c r="EW34" s="4" t="str">
        <f t="array" ref="EW34">IFERROR(INDEX(球員狀態!P$2:P$5000, MATCH(1, (球員狀態!$A$2:$A$5000=$EI$1)*(ISNUMBER(SEARCH($EI34, 球員狀態!$B$2:$B$5000))), 0)), "")</f>
        <v/>
      </c>
      <c r="EX34" s="4" t="str">
        <f t="array" ref="EX34">IFERROR(INDEX(球員狀態!Q$2:Q$5000, MATCH(1, (球員狀態!$A$2:$A$5000=$EI$31)*(ISNUMBER(SEARCH($EI34, 球員狀態!$B$2:$B$5000))), 0)), "")</f>
        <v>.320</v>
      </c>
      <c r="EY34" s="4" t="str">
        <f t="array" ref="EY34">IFERROR(INDEX(球員狀態!R$2:R$5000, MATCH(1, (球員狀態!$A$2:$A$5000=$EI$1)*(ISNUMBER(SEARCH($EI34, 球員狀態!$B$2:$B$5000))), 0)), "")</f>
        <v/>
      </c>
      <c r="EZ34" s="4" t="str">
        <f t="array" ref="EZ34">IFERROR(INDEX(球員狀態!S$2:S$5000, MATCH(1, (球員狀態!$A$2:$A$5000=$EI$1)*(ISNUMBER(SEARCH($EI34, 球員狀態!$B$2:$B$5000))), 0)), "")</f>
        <v/>
      </c>
      <c r="FA34" s="4" t="str">
        <f t="array" ref="FA34">IFERROR(INDEX(球員狀態!T$2:T$5000, MATCH(1, (球員狀態!$A$2:$A$5000=$EI$31)*(ISNUMBER(SEARCH($EI34, 球員狀態!$B$2:$B$5000))), 0)), "")</f>
        <v>0.5</v>
      </c>
      <c r="FB34" s="4" t="str">
        <f t="array" ref="FB34">IFERROR(INDEX(球員狀態!U$2:U$5000, MATCH(1, (球員狀態!$A$2:$A$5000=$EI$1)*(ISNUMBER(SEARCH($EI34, 球員狀態!$B$2:$B$5000))), 0)), "")</f>
        <v/>
      </c>
      <c r="FC34" s="4" t="str">
        <f t="array" ref="FC34">IFERROR(INDEX(球員狀態!V$2:V$5000, MATCH(1, (球員狀態!$A$2:$A$5000=$EI$1)*(ISNUMBER(SEARCH($EI34, 球員狀態!$B$2:$B$5000))), 0)), "")</f>
        <v/>
      </c>
      <c r="FD34" s="4" t="str">
        <f t="array" ref="FD34">IFERROR(INDEX(球員狀態!W$2:W$5000, MATCH(1, (球員狀態!$A$2:$A$5000=$EI$31)*(ISNUMBER(SEARCH($EI34, 球員狀態!$B$2:$B$5000))), 0)), "")</f>
        <v>.074</v>
      </c>
      <c r="FE34" s="4" t="str">
        <f t="array" ref="FE34">IFERROR(INDEX(球員狀態!X$2:X$5000, MATCH(1, (球員狀態!$A$2:$A$5000=$EI$1)*(ISNUMBER(SEARCH($EI34, 球員狀態!$B$2:$B$5000))), 0)), "")</f>
        <v/>
      </c>
      <c r="FF34" s="4" t="str">
        <f t="array" ref="FF34">IFERROR(INDEX(球員狀態!Y$2:Y$5000, MATCH(1, (球員狀態!$A$2:$A$5000=$EI$1)*(ISNUMBER(SEARCH($EI34, 球員狀態!$B$2:$B$5000))), 0)), "")</f>
        <v/>
      </c>
      <c r="FG34" s="4" t="str">
        <f t="array" ref="FG34">IFERROR(INDEX(球員狀態!Z$2:Z$5000, MATCH(1, (球員狀態!$A$2:$A$5000=$EI$31)*(ISNUMBER(SEARCH($EI34, 球員狀態!$B$2:$B$5000))), 0)), "")</f>
        <v>.411</v>
      </c>
      <c r="FH34" s="4" t="str">
        <f t="array" ref="FH34">IFERROR(INDEX(球員狀態!AA$2:AA$5000, MATCH(1, (球員狀態!$A$2:$A$5000=$EI$31)*(ISNUMBER(SEARCH($EI34, 球員狀態!$B$2:$B$5000))), 0)), "")</f>
        <v>4.01</v>
      </c>
      <c r="FI34" s="4" t="str">
        <f t="array" ref="FI34">IFERROR(INDEX(球員狀態!AB$2:AB$5000, MATCH(1, (球員狀態!$A$2:$A$5000=$EI$31)*(ISNUMBER(SEARCH($EI34, 球員狀態!$B$2:$B$5000))), 0)), "")</f>
        <v>13</v>
      </c>
      <c r="FK34" s="22">
        <v>48.1</v>
      </c>
      <c r="FL34" s="19">
        <v>50</v>
      </c>
      <c r="FM34" s="23">
        <v>6</v>
      </c>
      <c r="FN34" s="22">
        <v>36.51</v>
      </c>
      <c r="FO34" s="19">
        <v>38</v>
      </c>
      <c r="FP34" s="23">
        <v>6</v>
      </c>
      <c r="FQ34" s="22">
        <v>78.099999999999994</v>
      </c>
      <c r="FR34" s="19">
        <v>82</v>
      </c>
      <c r="FS34" s="23">
        <v>6</v>
      </c>
      <c r="FT34" s="22">
        <v>52.1</v>
      </c>
      <c r="FU34" s="19">
        <v>54</v>
      </c>
      <c r="FV34" s="23">
        <v>6</v>
      </c>
      <c r="FW34" s="22">
        <v>1.21</v>
      </c>
      <c r="FX34" s="19">
        <v>1.26</v>
      </c>
      <c r="FY34" s="23">
        <v>6</v>
      </c>
    </row>
    <row r="35" spans="22:181">
      <c r="BM35" s="22">
        <v>101</v>
      </c>
      <c r="BN35" s="19">
        <v>110</v>
      </c>
      <c r="BO35" s="23">
        <v>7</v>
      </c>
      <c r="BP35" s="22">
        <v>5.0999999999999996</v>
      </c>
      <c r="BQ35" s="19">
        <v>5.4</v>
      </c>
      <c r="BR35" s="23">
        <v>7</v>
      </c>
      <c r="BS35" s="22">
        <v>0.191</v>
      </c>
      <c r="BT35" s="19">
        <v>0.21</v>
      </c>
      <c r="BU35" s="23">
        <v>7</v>
      </c>
      <c r="BV35" s="22">
        <v>0.311</v>
      </c>
      <c r="BW35" s="19">
        <v>0.33</v>
      </c>
      <c r="BX35" s="23">
        <v>7</v>
      </c>
      <c r="BY35" s="22">
        <v>4.01</v>
      </c>
      <c r="BZ35" s="19">
        <v>4.0599999999999996</v>
      </c>
      <c r="CA35" s="23">
        <v>7</v>
      </c>
      <c r="CB35" s="28" t="e">
        <f>CF35+CJ35+CK35+CM35+CO35+CP35+CQ35+CR35</f>
        <v>#VALUE!</v>
      </c>
      <c r="CC35" s="31" t="e">
        <f>CU35+CV35+CY35+CZ35+DA35</f>
        <v>#VALUE!</v>
      </c>
      <c r="CF35" s="27" t="e">
        <f>VLOOKUP(ROUND(CF34/CD34, 2), $BV$2:$BX$12, 3, TRUE)*BX$1</f>
        <v>#VALUE!</v>
      </c>
      <c r="CJ35" s="27" t="e">
        <f>VLOOKUP(ROUND(CJ34/CD34, 2), $BM$15:$BO$25, 3, TRUE)*BO$14</f>
        <v>#VALUE!</v>
      </c>
      <c r="CK35" s="27" t="e">
        <f>VLOOKUP(ROUND(CK34/CD34, 2), $BY$2:$CA$12, 3, TRUE)*CA$1</f>
        <v>#VALUE!</v>
      </c>
      <c r="CM35" s="101" t="e">
        <f>VLOOKUP(ROUND(CM34/CN34, 2), $BP$15:$BR$25, 3, TRUE)*BR$14</f>
        <v>#VALUE!</v>
      </c>
      <c r="CN35" s="78"/>
      <c r="CO35" s="27" t="e">
        <f>VLOOKUP(ROUND(CO34/CD34, 2), $BS$15:$BU$25, 3, TRUE)*BU$14</f>
        <v>#VALUE!</v>
      </c>
      <c r="CP35" s="27" t="e">
        <f>VLOOKUP(CP34*1, BM$2:BO$12, 3, TRUE)*BO$1</f>
        <v>#VALUE!</v>
      </c>
      <c r="CQ35" s="27" t="e">
        <f>VLOOKUP(CQ34*1, BP$2:BR$12, 3, TRUE)*BR$1</f>
        <v>#VALUE!</v>
      </c>
      <c r="CR35" s="27" t="e">
        <f>VLOOKUP(CR34*1, BS$2:BU$12, 3, TRUE)*BU$1</f>
        <v>#VALUE!</v>
      </c>
      <c r="CU35" s="60" t="e">
        <f>VLOOKUP(CU34*1, BM$28:BO$38, 3, TRUE)*BO$27</f>
        <v>#VALUE!</v>
      </c>
      <c r="CV35" s="60" t="e">
        <f>VLOOKUP(CV34*1, BP$28:BR$38, 3, TRUE)*BR$27</f>
        <v>#VALUE!</v>
      </c>
      <c r="CY35" s="60" t="e">
        <f>VLOOKUP(CY34*1, BS$28:BU$38, 3, TRUE)*BU$27</f>
        <v>#VALUE!</v>
      </c>
      <c r="CZ35" s="60" t="e">
        <f>VLOOKUP(CZ34*1, BV$28:BX$38, 3, TRUE)*BX$27</f>
        <v>#VALUE!</v>
      </c>
      <c r="DA35" s="60" t="e">
        <f>VLOOKUP(DA34*1, BY$28:CA$38, 3, TRUE)*CA$27</f>
        <v>#VALUE!</v>
      </c>
      <c r="DF35" s="36"/>
      <c r="DG35" s="4"/>
      <c r="DH35" s="40" t="e">
        <f>DJ35+DL35+DM35+DN35+DO35-DP35-DQ35+DR35</f>
        <v>#VALUE!</v>
      </c>
      <c r="DI35" s="42" t="e">
        <f>DU35+DX35+EA35+ED35+EE35+EF35</f>
        <v>#VALUE!</v>
      </c>
      <c r="DJ35" s="38" t="e">
        <f>VLOOKUP(DJ34*1, FK$2:FM$12, 3, TRUE)*FM$1</f>
        <v>#VALUE!</v>
      </c>
      <c r="DL35" s="38" t="e">
        <f>VLOOKUP(DL34*1, FN$2:FP$12, 3, TRUE)*FP$1</f>
        <v>#VALUE!</v>
      </c>
      <c r="DM35" s="38" t="e">
        <f>VLOOKUP(DM34*1, FQ$2:FS$12, 3, TRUE)*FS$1</f>
        <v>#VALUE!</v>
      </c>
      <c r="DN35" s="38" t="e">
        <f>VLOOKUP(DN34*1, FT$2:FV$12, 3, TRUE)*FV$1</f>
        <v>#VALUE!</v>
      </c>
      <c r="DO35" s="38" t="e">
        <f>VLOOKUP(DO34*1, FW$2:FY$12, 3, TRUE)*FY$1</f>
        <v>#VALUE!</v>
      </c>
      <c r="DP35" s="39" t="e">
        <f>VLOOKUP(DP34*1, FK$14:FM$25, 3, TRUE)*FM$14</f>
        <v>#VALUE!</v>
      </c>
      <c r="DQ35" s="39" t="e">
        <f>VLOOKUP(DQ34*1, FN$14:FP$25, 3, TRUE)*FP$14</f>
        <v>#VALUE!</v>
      </c>
      <c r="DR35" s="38" t="e">
        <f>VLOOKUP(DR34*1, FQ$14:FS$25, 3, TRUE)*FS$14</f>
        <v>#VALUE!</v>
      </c>
      <c r="DU35" s="41" t="e">
        <f>VLOOKUP(DU34*1, FK$27:FM$38, 3, TRUE)*FM$27</f>
        <v>#VALUE!</v>
      </c>
      <c r="DX35" s="41" t="e">
        <f>VLOOKUP(DX34*1, FN$27:FP$38, 3, TRUE)*FP$27</f>
        <v>#VALUE!</v>
      </c>
      <c r="EA35" s="41" t="e">
        <f>VLOOKUP(EA34*1, FQ$27:FS$38, 3, TRUE)*FS$27</f>
        <v>#VALUE!</v>
      </c>
      <c r="ED35" s="41" t="e">
        <f>VLOOKUP(ED34*1, FT$27:FV$38, 3, TRUE)*FV$27</f>
        <v>#VALUE!</v>
      </c>
      <c r="EE35" s="41" t="e">
        <f>VLOOKUP(EE34*1, FW$27:FY$38, 3, TRUE)*FY$27</f>
        <v>#VALUE!</v>
      </c>
      <c r="EF35" s="41" t="e">
        <f>VLOOKUP(EF34*1, FK$40:FM$51, 3, TRUE)*FM$40</f>
        <v>#VALUE!</v>
      </c>
      <c r="EG35" s="57"/>
      <c r="EI35" s="36"/>
      <c r="EJ35" s="4"/>
      <c r="EK35" s="40">
        <f>EM35+EO35+EP35+EQ35+ER35-ES35-ET35+EU35</f>
        <v>3.35</v>
      </c>
      <c r="EL35" s="42">
        <f>EX35+FA35+FD35+FG35+FH35+FI35</f>
        <v>5</v>
      </c>
      <c r="EM35" s="38">
        <f>VLOOKUP(EM34*1, $FK$2:$FM$12, 3, TRUE)*$FM$1</f>
        <v>1.75</v>
      </c>
      <c r="EO35" s="38">
        <f>VLOOKUP(EO34*1, $FN$2:$FP$12, 3, TRUE)*$FP$1</f>
        <v>0.6</v>
      </c>
      <c r="EP35" s="38">
        <f>VLOOKUP(EP34*1, $FQ$2:$FS$12, 3, TRUE)*$FS$1</f>
        <v>0</v>
      </c>
      <c r="EQ35" s="38">
        <f>VLOOKUP(EQ34*1, $FT$2:$FV$12, 3, TRUE)*$FV$1</f>
        <v>1</v>
      </c>
      <c r="ER35" s="38">
        <f>VLOOKUP(ER34*1, $FW$2:$FY$12, 3, TRUE)*$FY$1</f>
        <v>0.5</v>
      </c>
      <c r="ES35" s="39">
        <f>VLOOKUP(ES34*1, $FK$14:$FM$25, 3, TRUE)*$FM$14</f>
        <v>1</v>
      </c>
      <c r="ET35" s="39">
        <f>VLOOKUP(ET34*1, $FN$14:$FP$25, 3, TRUE)*$FP$14</f>
        <v>1</v>
      </c>
      <c r="EU35" s="38">
        <f>VLOOKUP(EU34*1, $FQ$14:$FS$25, 3, TRUE)*$FS$14</f>
        <v>1.5</v>
      </c>
      <c r="EX35" s="41">
        <f>VLOOKUP(EX34*1, $FK$27:$FM$38, 3, TRUE)*$FM$27</f>
        <v>0</v>
      </c>
      <c r="FA35" s="41">
        <f>VLOOKUP(FA34*1, $FN$27:$FP$38, 3, TRUE)*$FP$27</f>
        <v>0</v>
      </c>
      <c r="FD35" s="41">
        <f>VLOOKUP(FD34*1, $FQ$27:$FS$38, 3, TRUE)*$FS$27</f>
        <v>0</v>
      </c>
      <c r="FG35" s="41">
        <f>VLOOKUP(FG34*1, $FT$27:$FV$38, 3, TRUE)*$FV$27</f>
        <v>0</v>
      </c>
      <c r="FH35" s="41">
        <f>VLOOKUP(FH34*1, $FW$27:$FY$38, 3, TRUE)*$FY$27</f>
        <v>1.5</v>
      </c>
      <c r="FI35" s="41">
        <f>VLOOKUP(FI34*1, $FK$40:$FM$51, 3, TRUE)*$FM$40</f>
        <v>3.5</v>
      </c>
      <c r="FK35" s="22">
        <v>50.1</v>
      </c>
      <c r="FL35" s="19">
        <v>52</v>
      </c>
      <c r="FM35" s="23">
        <v>7</v>
      </c>
      <c r="FN35" s="22">
        <v>38.1</v>
      </c>
      <c r="FO35" s="19">
        <v>40</v>
      </c>
      <c r="FP35" s="23">
        <v>7</v>
      </c>
      <c r="FQ35" s="22">
        <v>82.1</v>
      </c>
      <c r="FR35" s="19">
        <v>85</v>
      </c>
      <c r="FS35" s="23">
        <v>7</v>
      </c>
      <c r="FT35" s="22">
        <v>54.1</v>
      </c>
      <c r="FU35" s="19">
        <v>56</v>
      </c>
      <c r="FV35" s="23">
        <v>7</v>
      </c>
      <c r="FW35" s="22">
        <v>1.27</v>
      </c>
      <c r="FX35" s="19">
        <v>1.33</v>
      </c>
      <c r="FY35" s="23">
        <v>7</v>
      </c>
    </row>
    <row r="36" spans="22:181">
      <c r="BM36" s="22">
        <v>111</v>
      </c>
      <c r="BN36" s="19">
        <v>120</v>
      </c>
      <c r="BO36" s="23">
        <v>8</v>
      </c>
      <c r="BP36" s="22">
        <v>5.5</v>
      </c>
      <c r="BQ36" s="19">
        <v>5.8</v>
      </c>
      <c r="BR36" s="23">
        <v>8</v>
      </c>
      <c r="BS36" s="22">
        <v>0.21099999999999999</v>
      </c>
      <c r="BT36" s="19">
        <v>0.23</v>
      </c>
      <c r="BU36" s="23">
        <v>8</v>
      </c>
      <c r="BV36" s="22">
        <v>0.33100000000000002</v>
      </c>
      <c r="BW36" s="19">
        <v>0.36</v>
      </c>
      <c r="BX36" s="23">
        <v>8</v>
      </c>
      <c r="BY36" s="22">
        <v>4.07</v>
      </c>
      <c r="BZ36" s="19">
        <v>4.12</v>
      </c>
      <c r="CA36" s="23">
        <v>8</v>
      </c>
      <c r="CB36" s="19" t="e">
        <f>AF19</f>
        <v>#N/A</v>
      </c>
      <c r="CD36" s="1" t="str">
        <f>AG19</f>
        <v/>
      </c>
      <c r="CE36" s="1" t="str">
        <f t="shared" ref="CE36:DD36" si="19">AL19</f>
        <v/>
      </c>
      <c r="CF36" s="1" t="str">
        <f t="shared" si="19"/>
        <v/>
      </c>
      <c r="CG36" s="1" t="str">
        <f t="shared" si="19"/>
        <v/>
      </c>
      <c r="CH36" s="1" t="str">
        <f t="shared" si="19"/>
        <v/>
      </c>
      <c r="CI36" s="1" t="str">
        <f t="shared" si="19"/>
        <v/>
      </c>
      <c r="CJ36" s="1" t="str">
        <f t="shared" si="19"/>
        <v/>
      </c>
      <c r="CK36" s="1" t="str">
        <f t="shared" si="19"/>
        <v/>
      </c>
      <c r="CL36" s="1" t="str">
        <f t="shared" si="19"/>
        <v/>
      </c>
      <c r="CM36" s="1" t="str">
        <f t="shared" si="19"/>
        <v/>
      </c>
      <c r="CN36" s="1" t="str">
        <f t="shared" si="19"/>
        <v/>
      </c>
      <c r="CO36" s="1" t="str">
        <f t="shared" si="19"/>
        <v/>
      </c>
      <c r="CP36" s="1" t="str">
        <f t="shared" si="19"/>
        <v/>
      </c>
      <c r="CQ36" s="1" t="str">
        <f t="shared" si="19"/>
        <v/>
      </c>
      <c r="CR36" s="1" t="str">
        <f t="shared" si="19"/>
        <v/>
      </c>
      <c r="CS36" s="1" t="str">
        <f t="shared" si="19"/>
        <v/>
      </c>
      <c r="CT36" s="1" t="str">
        <f t="shared" si="19"/>
        <v/>
      </c>
      <c r="CU36" s="1" t="str">
        <f t="shared" si="19"/>
        <v/>
      </c>
      <c r="CV36" s="1" t="str">
        <f t="shared" si="19"/>
        <v/>
      </c>
      <c r="CW36" s="1" t="str">
        <f t="shared" si="19"/>
        <v/>
      </c>
      <c r="CX36" s="1" t="str">
        <f t="shared" si="19"/>
        <v/>
      </c>
      <c r="CY36" s="1" t="str">
        <f t="shared" si="19"/>
        <v/>
      </c>
      <c r="CZ36" s="1" t="str">
        <f t="shared" si="19"/>
        <v/>
      </c>
      <c r="DA36" s="1" t="str">
        <f t="shared" si="19"/>
        <v/>
      </c>
      <c r="DB36" s="1" t="str">
        <f t="shared" si="19"/>
        <v/>
      </c>
      <c r="DC36" s="1" t="str">
        <f t="shared" si="19"/>
        <v/>
      </c>
      <c r="DD36" s="1" t="str">
        <f t="shared" si="19"/>
        <v/>
      </c>
      <c r="DF36" s="35" t="str">
        <f>先發名單!G$3</f>
        <v>J. Wetherholt</v>
      </c>
      <c r="DG36" s="4" t="str">
        <f t="array" ref="DG36">IFERROR(INDEX(球員狀態!$C$2:$C$5000, MATCH(1, (球員狀態!$A$2:$A$5000=$DF$31)*(ISNUMBER(SEARCH($DF36, 球員狀態!$B$2:$B$5000))), 0)), "")</f>
        <v/>
      </c>
      <c r="DJ36" s="4" t="str">
        <f t="array" ref="DJ36">IFERROR(INDEX(球員狀態!$F$2:$F$5000, MATCH(1, (球員狀態!$A$2:$A$5000=$DF$31)*(ISNUMBER(SEARCH($DF36, 球員狀態!$B$2:$B$5000))), 0)), "")</f>
        <v/>
      </c>
      <c r="DK36" s="4" t="str">
        <f t="array" ref="DK36">IFERROR(INDEX(球員狀態!$G$2:$G$5000, MATCH(1, (球員狀態!$A$2:$A$5000=$DF$1)*(ISNUMBER(SEARCH($DF36, 球員狀態!$B$2:$B$5000))), 0)), "")</f>
        <v/>
      </c>
      <c r="DL36" s="4" t="str">
        <f t="array" ref="DL36">IFERROR(INDEX(球員狀態!H$2:H$5000, MATCH(1, (球員狀態!$A$2:$A$5000=$DF$31)*(ISNUMBER(SEARCH($DF36, 球員狀態!$B$2:$B$5000))), 0)), "")</f>
        <v/>
      </c>
      <c r="DM36" s="4" t="str">
        <f t="array" ref="DM36">IFERROR(INDEX(球員狀態!I$2:I$5000, MATCH(1, (球員狀態!$A$2:$A$5000=$DF$31)*(ISNUMBER(SEARCH($DF36, 球員狀態!$B$2:$B$5000))), 0)), "")</f>
        <v/>
      </c>
      <c r="DN36" s="4" t="str">
        <f t="array" ref="DN36">IFERROR(INDEX(球員狀態!J$2:J$5000, MATCH(1, (球員狀態!$A$2:$A$5000=$DF$31)*(ISNUMBER(SEARCH($DF36, 球員狀態!$B$2:$B$5000))), 0)), "")</f>
        <v/>
      </c>
      <c r="DO36" s="4" t="str">
        <f t="array" ref="DO36">IFERROR(INDEX(球員狀態!K$2:K$5000, MATCH(1, (球員狀態!$A$2:$A$5000=$DF$31)*(ISNUMBER(SEARCH($DF36, 球員狀態!$B$2:$B$5000))), 0)), "")</f>
        <v/>
      </c>
      <c r="DP36" s="4" t="str">
        <f t="array" ref="DP36">IFERROR(INDEX(球員狀態!L$2:L$5000, MATCH(1, (球員狀態!$A$2:$A$5000=$DF$31)*(ISNUMBER(SEARCH($DF36, 球員狀態!$B$2:$B$5000))), 0)), "")</f>
        <v/>
      </c>
      <c r="DQ36" s="4" t="str">
        <f t="array" ref="DQ36">IFERROR(INDEX(球員狀態!M$2:M$5000, MATCH(1, (球員狀態!$A$2:$A$5000=$DF$31)*(ISNUMBER(SEARCH($DF36, 球員狀態!$B$2:$B$5000))), 0)), "")</f>
        <v/>
      </c>
      <c r="DR36" s="4" t="str">
        <f t="array" ref="DR36">IFERROR(INDEX(球員狀態!N$2:N$5000, MATCH(1, (球員狀態!$A$2:$A$5000=$DF$31)*(ISNUMBER(SEARCH($DF36, 球員狀態!$B$2:$B$5000))), 0)), "")</f>
        <v/>
      </c>
      <c r="DS36" s="4" t="str">
        <f t="array" ref="DS36">IFERROR(INDEX(球員狀態!O$2:O$5000, MATCH(1, (球員狀態!$A$2:$A$5000=$DF$1)*(ISNUMBER(SEARCH($DF36, 球員狀態!$B$2:$B$5000))), 0)), "")</f>
        <v/>
      </c>
      <c r="DT36" s="4" t="str">
        <f t="array" ref="DT36">IFERROR(INDEX(球員狀態!P$2:P$5000, MATCH(1, (球員狀態!$A$2:$A$5000=$DF$1)*(ISNUMBER(SEARCH($DF36, 球員狀態!$B$2:$B$5000))), 0)), "")</f>
        <v/>
      </c>
      <c r="DU36" s="4" t="str">
        <f t="array" ref="DU36">IFERROR(INDEX(球員狀態!Q$2:Q$5000, MATCH(1, (球員狀態!$A$2:$A$5000=$DF$31)*(ISNUMBER(SEARCH($DF36, 球員狀態!$B$2:$B$5000))), 0)), "")</f>
        <v/>
      </c>
      <c r="DV36" s="4" t="str">
        <f t="array" ref="DV36">IFERROR(INDEX(球員狀態!R$2:R$5000, MATCH(1, (球員狀態!$A$2:$A$5000=$DF$1)*(ISNUMBER(SEARCH($DF36, 球員狀態!$B$2:$B$5000))), 0)), "")</f>
        <v/>
      </c>
      <c r="DW36" s="4" t="str">
        <f t="array" ref="DW36">IFERROR(INDEX(球員狀態!S$2:S$5000, MATCH(1, (球員狀態!$A$2:$A$5000=$DF$1)*(ISNUMBER(SEARCH($DF36, 球員狀態!$B$2:$B$5000))), 0)), "")</f>
        <v/>
      </c>
      <c r="DX36" s="4" t="str">
        <f t="array" ref="DX36">IFERROR(INDEX(球員狀態!T$2:T$5000, MATCH(1, (球員狀態!$A$2:$A$5000=$DF$31)*(ISNUMBER(SEARCH($DF36, 球員狀態!$B$2:$B$5000))), 0)), "")</f>
        <v/>
      </c>
      <c r="DY36" s="4" t="str">
        <f t="array" ref="DY36">IFERROR(INDEX(球員狀態!U$2:U$5000, MATCH(1, (球員狀態!$A$2:$A$5000=$DF$1)*(ISNUMBER(SEARCH($DF36, 球員狀態!$B$2:$B$5000))), 0)), "")</f>
        <v/>
      </c>
      <c r="DZ36" s="4" t="str">
        <f t="array" ref="DZ36">IFERROR(INDEX(球員狀態!V$2:V$5000, MATCH(1, (球員狀態!$A$2:$A$5000=$DF$1)*(ISNUMBER(SEARCH($DF36, 球員狀態!$B$2:$B$5000))), 0)), "")</f>
        <v/>
      </c>
      <c r="EA36" s="4" t="str">
        <f t="array" ref="EA36">IFERROR(INDEX(球員狀態!W$2:W$5000, MATCH(1, (球員狀態!$A$2:$A$5000=$DF$31)*(ISNUMBER(SEARCH($DF36, 球員狀態!$B$2:$B$5000))), 0)), "")</f>
        <v/>
      </c>
      <c r="EB36" s="4" t="str">
        <f t="array" ref="EB36">IFERROR(INDEX(球員狀態!X$2:X$5000, MATCH(1, (球員狀態!$A$2:$A$5000=$DF$1)*(ISNUMBER(SEARCH($DF36, 球員狀態!$B$2:$B$5000))), 0)), "")</f>
        <v/>
      </c>
      <c r="EC36" s="4" t="str">
        <f t="array" ref="EC36">IFERROR(INDEX(球員狀態!Y$2:Y$5000, MATCH(1, (球員狀態!$A$2:$A$5000=$DF$1)*(ISNUMBER(SEARCH($DF36, 球員狀態!$B$2:$B$5000))), 0)), "")</f>
        <v/>
      </c>
      <c r="ED36" s="4" t="str">
        <f t="array" ref="ED36">IFERROR(INDEX(球員狀態!Z$2:Z$5000, MATCH(1, (球員狀態!$A$2:$A$5000=$DF$31)*(ISNUMBER(SEARCH($DF36, 球員狀態!$B$2:$B$5000))), 0)), "")</f>
        <v/>
      </c>
      <c r="EE36" s="4" t="str">
        <f t="array" ref="EE36">IFERROR(INDEX(球員狀態!AA$2:AA$5000, MATCH(1, (球員狀態!$A$2:$A$5000=$DF$31)*(ISNUMBER(SEARCH($DF36, 球員狀態!$B$2:$B$5000))), 0)), "")</f>
        <v/>
      </c>
      <c r="EF36" s="4" t="str">
        <f t="array" ref="EF36">IFERROR(INDEX(球員狀態!AB$2:AB$5000, MATCH(1, (球員狀態!$A$2:$A$5000=$DF$31)*(ISNUMBER(SEARCH($DF36, 球員狀態!$B$2:$B$5000))), 0)), "")</f>
        <v/>
      </c>
      <c r="EG36" s="56"/>
      <c r="EI36" s="35" t="str">
        <f>先發名單!Q$3</f>
        <v>Brandon Lowe</v>
      </c>
      <c r="EJ36" s="4" t="str">
        <f t="array" ref="EJ36">IFERROR(INDEX(球員狀態!$C$2:$C$5000, MATCH(1, (球員狀態!$A$2:$A$5000=$EI$31)*(ISNUMBER(SEARCH($EI36, 球員狀態!$B$2:$B$5000))), 0)), "")</f>
        <v>2B</v>
      </c>
      <c r="EM36" s="4" t="str">
        <f t="array" ref="EM36">IFERROR(INDEX(球員狀態!F$2:F$5000, MATCH(1, (球員狀態!$A$2:$A$5000=$EI$31)*(ISNUMBER(SEARCH($EI36, 球員狀態!$B$2:$B$5000))), 0)), "")</f>
        <v>14</v>
      </c>
      <c r="EN36" s="4" t="str">
        <f t="array" ref="EN36">IFERROR(INDEX(球員狀態!G$2:G$5000, MATCH(1, (球員狀態!$A$2:$A$5000=$EI$1)*(ISNUMBER(SEARCH($EI36, 球員狀態!$B$2:$B$5000))), 0)), "")</f>
        <v/>
      </c>
      <c r="EO36" s="4" t="str">
        <f t="array" ref="EO36">IFERROR(INDEX(球員狀態!H$2:H$5000, MATCH(1, (球員狀態!$A$2:$A$5000=$EI$31)*(ISNUMBER(SEARCH($EI36, 球員狀態!$B$2:$B$5000))), 0)), "")</f>
        <v>5</v>
      </c>
      <c r="EP36" s="4" t="str">
        <f t="array" ref="EP36">IFERROR(INDEX(球員狀態!I$2:I$5000, MATCH(1, (球員狀態!$A$2:$A$5000=$EI$31)*(ISNUMBER(SEARCH($EI36, 球員狀態!$B$2:$B$5000))), 0)), "")</f>
        <v>0</v>
      </c>
      <c r="EQ36" s="4" t="str">
        <f t="array" ref="EQ36">IFERROR(INDEX(球員狀態!J$2:J$5000, MATCH(1, (球員狀態!$A$2:$A$5000=$EI$31)*(ISNUMBER(SEARCH($EI36, 球員狀態!$B$2:$B$5000))), 0)), "")</f>
        <v>7</v>
      </c>
      <c r="ER36" s="4" t="str">
        <f t="array" ref="ER36">IFERROR(INDEX(球員狀態!K$2:K$5000, MATCH(1, (球員狀態!$A$2:$A$5000=$EI$31)*(ISNUMBER(SEARCH($EI36, 球員狀態!$B$2:$B$5000))), 0)), "")</f>
        <v>19</v>
      </c>
      <c r="ES36" s="4" t="str">
        <f t="array" ref="ES36">IFERROR(INDEX(球員狀態!L$2:L$5000, MATCH(1, (球員狀態!$A$2:$A$5000=$EI$31)*(ISNUMBER(SEARCH($EI36, 球員狀態!$B$2:$B$5000))), 0)), "")</f>
        <v>49</v>
      </c>
      <c r="ET36" s="4" t="str">
        <f t="array" ref="ET36">IFERROR(INDEX(球員狀態!M$2:M$5000, MATCH(1, (球員狀態!$A$2:$A$5000=$EI$31)*(ISNUMBER(SEARCH($EI36, 球員狀態!$B$2:$B$5000))), 0)), "")</f>
        <v>12</v>
      </c>
      <c r="EU36" s="4" t="str">
        <f t="array" ref="EU36">IFERROR(INDEX(球員狀態!N$2:N$5000, MATCH(1, (球員狀態!$A$2:$A$5000=$EI$31)*(ISNUMBER(SEARCH($EI36, 球員狀態!$B$2:$B$5000))), 0)), "")</f>
        <v>26</v>
      </c>
      <c r="EV36" s="4" t="str">
        <f t="array" ref="EV36">IFERROR(INDEX(球員狀態!O$2:O$5000, MATCH(1, (球員狀態!$A$2:$A$5000=$EI$1)*(ISNUMBER(SEARCH($EI36, 球員狀態!$B$2:$B$5000))), 0)), "")</f>
        <v/>
      </c>
      <c r="EW36" s="4" t="str">
        <f t="array" ref="EW36">IFERROR(INDEX(球員狀態!P$2:P$5000, MATCH(1, (球員狀態!$A$2:$A$5000=$EI$1)*(ISNUMBER(SEARCH($EI36, 球員狀態!$B$2:$B$5000))), 0)), "")</f>
        <v/>
      </c>
      <c r="EX36" s="4" t="str">
        <f t="array" ref="EX36">IFERROR(INDEX(球員狀態!Q$2:Q$5000, MATCH(1, (球員狀態!$A$2:$A$5000=$EI$31)*(ISNUMBER(SEARCH($EI36, 球員狀態!$B$2:$B$5000))), 0)), "")</f>
        <v>.340</v>
      </c>
      <c r="EY36" s="4" t="str">
        <f t="array" ref="EY36">IFERROR(INDEX(球員狀態!R$2:R$5000, MATCH(1, (球員狀態!$A$2:$A$5000=$EI$1)*(ISNUMBER(SEARCH($EI36, 球員狀態!$B$2:$B$5000))), 0)), "")</f>
        <v/>
      </c>
      <c r="EZ36" s="4" t="str">
        <f t="array" ref="EZ36">IFERROR(INDEX(球員狀態!S$2:S$5000, MATCH(1, (球員狀態!$A$2:$A$5000=$EI$1)*(ISNUMBER(SEARCH($EI36, 球員狀態!$B$2:$B$5000))), 0)), "")</f>
        <v/>
      </c>
      <c r="FA36" s="4" t="str">
        <f t="array" ref="FA36">IFERROR(INDEX(球員狀態!T$2:T$5000, MATCH(1, (球員狀態!$A$2:$A$5000=$EI$31)*(ISNUMBER(SEARCH($EI36, 球員狀態!$B$2:$B$5000))), 0)), "")</f>
        <v>1.0</v>
      </c>
      <c r="FB36" s="4" t="str">
        <f t="array" ref="FB36">IFERROR(INDEX(球員狀態!U$2:U$5000, MATCH(1, (球員狀態!$A$2:$A$5000=$EI$1)*(ISNUMBER(SEARCH($EI36, 球員狀態!$B$2:$B$5000))), 0)), "")</f>
        <v/>
      </c>
      <c r="FC36" s="4" t="str">
        <f t="array" ref="FC36">IFERROR(INDEX(球員狀態!V$2:V$5000, MATCH(1, (球員狀態!$A$2:$A$5000=$EI$1)*(ISNUMBER(SEARCH($EI36, 球員狀態!$B$2:$B$5000))), 0)), "")</f>
        <v/>
      </c>
      <c r="FD36" s="4" t="str">
        <f t="array" ref="FD36">IFERROR(INDEX(球員狀態!W$2:W$5000, MATCH(1, (球員狀態!$A$2:$A$5000=$EI$31)*(ISNUMBER(SEARCH($EI36, 球員狀態!$B$2:$B$5000))), 0)), "")</f>
        <v>.113</v>
      </c>
      <c r="FE36" s="4" t="str">
        <f t="array" ref="FE36">IFERROR(INDEX(球員狀態!X$2:X$5000, MATCH(1, (球員狀態!$A$2:$A$5000=$EI$1)*(ISNUMBER(SEARCH($EI36, 球員狀態!$B$2:$B$5000))), 0)), "")</f>
        <v/>
      </c>
      <c r="FF36" s="4" t="str">
        <f t="array" ref="FF36">IFERROR(INDEX(球員狀態!Y$2:Y$5000, MATCH(1, (球員狀態!$A$2:$A$5000=$EI$1)*(ISNUMBER(SEARCH($EI36, 球員狀態!$B$2:$B$5000))), 0)), "")</f>
        <v/>
      </c>
      <c r="FG36" s="4" t="str">
        <f t="array" ref="FG36">IFERROR(INDEX(球員狀態!Z$2:Z$5000, MATCH(1, (球員狀態!$A$2:$A$5000=$EI$31)*(ISNUMBER(SEARCH($EI36, 球員狀態!$B$2:$B$5000))), 0)), "")</f>
        <v>.409</v>
      </c>
      <c r="FH36" s="4" t="str">
        <f t="array" ref="FH36">IFERROR(INDEX(球員狀態!AA$2:AA$5000, MATCH(1, (球員狀態!$A$2:$A$5000=$EI$31)*(ISNUMBER(SEARCH($EI36, 球員狀態!$B$2:$B$5000))), 0)), "")</f>
        <v>4.11</v>
      </c>
      <c r="FI36" s="4" t="str">
        <f t="array" ref="FI36">IFERROR(INDEX(球員狀態!AB$2:AB$5000, MATCH(1, (球員狀態!$A$2:$A$5000=$EI$31)*(ISNUMBER(SEARCH($EI36, 球員狀態!$B$2:$B$5000))), 0)), "")</f>
        <v>12</v>
      </c>
      <c r="FK36" s="22">
        <v>52.1</v>
      </c>
      <c r="FL36" s="19">
        <v>55</v>
      </c>
      <c r="FM36" s="23">
        <v>8</v>
      </c>
      <c r="FN36" s="22">
        <v>40.1</v>
      </c>
      <c r="FO36" s="19">
        <v>42</v>
      </c>
      <c r="FP36" s="23">
        <v>8</v>
      </c>
      <c r="FQ36" s="22">
        <v>85.1</v>
      </c>
      <c r="FR36" s="19">
        <v>88</v>
      </c>
      <c r="FS36" s="23">
        <v>8</v>
      </c>
      <c r="FT36" s="22">
        <v>56.1</v>
      </c>
      <c r="FU36" s="19">
        <v>59</v>
      </c>
      <c r="FV36" s="23">
        <v>8</v>
      </c>
      <c r="FW36" s="22">
        <v>1.34</v>
      </c>
      <c r="FX36" s="19">
        <v>1.41</v>
      </c>
      <c r="FY36" s="23">
        <v>8</v>
      </c>
    </row>
    <row r="37" spans="22:181">
      <c r="BM37" s="22">
        <v>121</v>
      </c>
      <c r="BN37" s="19">
        <v>135</v>
      </c>
      <c r="BO37" s="23">
        <v>9</v>
      </c>
      <c r="BP37" s="22">
        <v>5.9</v>
      </c>
      <c r="BQ37" s="19">
        <v>6.3</v>
      </c>
      <c r="BR37" s="23">
        <v>9</v>
      </c>
      <c r="BS37" s="22">
        <v>0.23100000000000001</v>
      </c>
      <c r="BT37" s="19">
        <v>0.26</v>
      </c>
      <c r="BU37" s="23">
        <v>9</v>
      </c>
      <c r="BV37" s="22">
        <v>0.36099999999999999</v>
      </c>
      <c r="BW37" s="19">
        <v>0.4</v>
      </c>
      <c r="BX37" s="23">
        <v>9</v>
      </c>
      <c r="BY37" s="22">
        <v>4.13</v>
      </c>
      <c r="BZ37" s="19">
        <v>4.2</v>
      </c>
      <c r="CA37" s="23">
        <v>9</v>
      </c>
      <c r="CB37" s="28" t="e">
        <f>CF37+CJ37+CK37+CM37+CO37+CP37+CQ37+CR37</f>
        <v>#VALUE!</v>
      </c>
      <c r="CC37" s="31" t="e">
        <f>CU37+CV37+CY37+CZ37+DA37</f>
        <v>#VALUE!</v>
      </c>
      <c r="CF37" s="27" t="e">
        <f>VLOOKUP(ROUND(CF36/CD36, 2), $BV$2:$BX$12, 3, TRUE)*BX$1</f>
        <v>#VALUE!</v>
      </c>
      <c r="CJ37" s="27" t="e">
        <f>VLOOKUP(ROUND(CJ36/CD36, 2), $BM$15:$BO$25, 3, TRUE)*BO$14</f>
        <v>#VALUE!</v>
      </c>
      <c r="CK37" s="27" t="e">
        <f>VLOOKUP(ROUND(CK36/CD36, 2), $BY$2:$CA$12, 3, TRUE)*CA$1</f>
        <v>#VALUE!</v>
      </c>
      <c r="CM37" s="101" t="e">
        <f>VLOOKUP(ROUND(CM36/CN36, 2), $BP$15:$BR$25, 3, TRUE)*BR$14</f>
        <v>#VALUE!</v>
      </c>
      <c r="CN37" s="78"/>
      <c r="CO37" s="27" t="e">
        <f>VLOOKUP(ROUND(CO36/CD36, 2), $BS$15:$BU$25, 3, TRUE)*BU$14</f>
        <v>#VALUE!</v>
      </c>
      <c r="CP37" s="27" t="e">
        <f>VLOOKUP(CP36*1, BM$2:BO$12, 3, TRUE)*BO$1</f>
        <v>#VALUE!</v>
      </c>
      <c r="CQ37" s="27" t="e">
        <f>VLOOKUP(CQ36*1, BP$2:BR$12, 3, TRUE)*BR$1</f>
        <v>#VALUE!</v>
      </c>
      <c r="CR37" s="27" t="e">
        <f>VLOOKUP(CR36*1, BS$2:BU$12, 3, TRUE)*BU$1</f>
        <v>#VALUE!</v>
      </c>
      <c r="CU37" s="60" t="e">
        <f>VLOOKUP(CU36*1, BM$28:BO$38, 3, TRUE)*BO$27</f>
        <v>#VALUE!</v>
      </c>
      <c r="CV37" s="60" t="e">
        <f>VLOOKUP(CV36*1, BP$28:BR$38, 3, TRUE)*BR$27</f>
        <v>#VALUE!</v>
      </c>
      <c r="CY37" s="60" t="e">
        <f>VLOOKUP(CY36*1, BS$28:BU$38, 3, TRUE)*BU$27</f>
        <v>#VALUE!</v>
      </c>
      <c r="CZ37" s="60" t="e">
        <f>VLOOKUP(CZ36*1, BV$28:BX$38, 3, TRUE)*BX$27</f>
        <v>#VALUE!</v>
      </c>
      <c r="DA37" s="60" t="e">
        <f>VLOOKUP(DA36*1, BY$28:CA$38, 3, TRUE)*CA$27</f>
        <v>#VALUE!</v>
      </c>
      <c r="DF37" s="33"/>
      <c r="DG37" s="4"/>
      <c r="DH37" s="40" t="e">
        <f>DJ37+DL37+DM37+DN37+DO37-DP37-DQ37+DR37</f>
        <v>#VALUE!</v>
      </c>
      <c r="DI37" s="42" t="e">
        <f>DU37+DX37+EA37+ED37+EE37+EF37</f>
        <v>#VALUE!</v>
      </c>
      <c r="DJ37" s="38" t="e">
        <f>VLOOKUP(DJ36*1, FK$2:FM$12, 3, TRUE)*FM$1</f>
        <v>#VALUE!</v>
      </c>
      <c r="DL37" s="38" t="e">
        <f>VLOOKUP(DL36*1, FN$2:FP$12, 3, TRUE)*FP$1</f>
        <v>#VALUE!</v>
      </c>
      <c r="DM37" s="38" t="e">
        <f>VLOOKUP(DM36*1, FQ$2:FS$12, 3, TRUE)*FS$1</f>
        <v>#VALUE!</v>
      </c>
      <c r="DN37" s="38" t="e">
        <f>VLOOKUP(DN36*1, FT$2:FV$12, 3, TRUE)*FV$1</f>
        <v>#VALUE!</v>
      </c>
      <c r="DO37" s="38" t="e">
        <f>VLOOKUP(DO36*1, FW$2:FY$12, 3, TRUE)*FY$1</f>
        <v>#VALUE!</v>
      </c>
      <c r="DP37" s="39" t="e">
        <f>VLOOKUP(DP36*1, FK$14:FM$25, 3, TRUE)*FM$14</f>
        <v>#VALUE!</v>
      </c>
      <c r="DQ37" s="39" t="e">
        <f>VLOOKUP(DQ36*1, FN$14:FP$25, 3, TRUE)*FP$14</f>
        <v>#VALUE!</v>
      </c>
      <c r="DR37" s="38" t="e">
        <f>VLOOKUP(DR36*1, FQ$14:FS$25, 3, TRUE)*FS$14</f>
        <v>#VALUE!</v>
      </c>
      <c r="DU37" s="41" t="e">
        <f>VLOOKUP(DU36*1, FK$27:FM$38, 3, TRUE)*FM$27</f>
        <v>#VALUE!</v>
      </c>
      <c r="DX37" s="41" t="e">
        <f>VLOOKUP(DX36*1, FN$27:FP$38, 3, TRUE)*FP$27</f>
        <v>#VALUE!</v>
      </c>
      <c r="EA37" s="41" t="e">
        <f>VLOOKUP(EA36*1, FQ$27:FS$38, 3, TRUE)*FS$27</f>
        <v>#VALUE!</v>
      </c>
      <c r="ED37" s="41" t="e">
        <f>VLOOKUP(ED36*1, FT$27:FV$38, 3, TRUE)*FV$27</f>
        <v>#VALUE!</v>
      </c>
      <c r="EE37" s="41" t="e">
        <f>VLOOKUP(EE36*1, FW$27:FY$38, 3, TRUE)*FY$27</f>
        <v>#VALUE!</v>
      </c>
      <c r="EF37" s="41" t="e">
        <f>VLOOKUP(EF36*1, FK$40:FM$51, 3, TRUE)*FM$40</f>
        <v>#VALUE!</v>
      </c>
      <c r="EG37" s="57"/>
      <c r="EI37" s="33"/>
      <c r="EJ37" s="4"/>
      <c r="EK37" s="40">
        <f>EM37+EO37+EP37+EQ37+ER37-ES37-ET37+EU37</f>
        <v>2.85</v>
      </c>
      <c r="EL37" s="42">
        <f>EX37+FA37+FD37+FG37+FH37+FI37</f>
        <v>5</v>
      </c>
      <c r="EM37" s="38">
        <f>VLOOKUP(EM36*1, $FK$2:$FM$12, 3, TRUE)*$FM$1</f>
        <v>1.25</v>
      </c>
      <c r="EO37" s="38">
        <f>VLOOKUP(EO36*1, $FN$2:$FP$12, 3, TRUE)*$FP$1</f>
        <v>0.6</v>
      </c>
      <c r="EP37" s="38">
        <f>VLOOKUP(EP36*1, $FQ$2:$FS$12, 3, TRUE)*$FS$1</f>
        <v>0</v>
      </c>
      <c r="EQ37" s="38">
        <f>VLOOKUP(EQ36*1, $FT$2:$FV$12, 3, TRUE)*$FV$1</f>
        <v>1</v>
      </c>
      <c r="ER37" s="38">
        <f>VLOOKUP(ER36*1, $FW$2:$FY$12, 3, TRUE)*$FY$1</f>
        <v>0.5</v>
      </c>
      <c r="ES37" s="39">
        <f>VLOOKUP(ES36*1, $FK$14:$FM$25, 3, TRUE)*$FM$14</f>
        <v>1</v>
      </c>
      <c r="ET37" s="39">
        <f>VLOOKUP(ET36*1, $FN$14:$FP$25, 3, TRUE)*$FP$14</f>
        <v>1</v>
      </c>
      <c r="EU37" s="38">
        <f>VLOOKUP(EU36*1, $FQ$14:$FS$25, 3, TRUE)*$FS$14</f>
        <v>1.5</v>
      </c>
      <c r="EX37" s="41">
        <f>VLOOKUP(EX36*1, $FK$27:$FM$38, 3, TRUE)*$FM$27</f>
        <v>0</v>
      </c>
      <c r="FA37" s="41">
        <f>VLOOKUP(FA36*1, $FN$27:$FP$38, 3, TRUE)*$FP$27</f>
        <v>0</v>
      </c>
      <c r="FD37" s="41">
        <f>VLOOKUP(FD36*1, $FQ$27:$FS$38, 3, TRUE)*$FS$27</f>
        <v>0</v>
      </c>
      <c r="FG37" s="41">
        <f>VLOOKUP(FG36*1, $FT$27:$FV$38, 3, TRUE)*$FV$27</f>
        <v>0</v>
      </c>
      <c r="FH37" s="41">
        <f>VLOOKUP(FH36*1, $FW$27:$FY$38, 3, TRUE)*$FY$27</f>
        <v>1.5</v>
      </c>
      <c r="FI37" s="41">
        <f>VLOOKUP(FI36*1, $FK$40:$FM$51, 3, TRUE)*$FM$40</f>
        <v>3.5</v>
      </c>
      <c r="FK37" s="22">
        <v>55.1</v>
      </c>
      <c r="FL37" s="19">
        <v>60</v>
      </c>
      <c r="FM37" s="23">
        <v>9</v>
      </c>
      <c r="FN37" s="22">
        <v>42.1</v>
      </c>
      <c r="FO37" s="19">
        <v>45</v>
      </c>
      <c r="FP37" s="23">
        <v>9</v>
      </c>
      <c r="FQ37" s="22">
        <v>88.1</v>
      </c>
      <c r="FR37" s="19">
        <v>92</v>
      </c>
      <c r="FS37" s="23">
        <v>9</v>
      </c>
      <c r="FT37" s="22">
        <v>59.1</v>
      </c>
      <c r="FU37" s="19">
        <v>63</v>
      </c>
      <c r="FV37" s="23">
        <v>9</v>
      </c>
      <c r="FW37" s="22">
        <v>1.42</v>
      </c>
      <c r="FX37" s="19">
        <v>1.52</v>
      </c>
      <c r="FY37" s="23">
        <v>9</v>
      </c>
    </row>
    <row r="38" spans="22:181" ht="15.6" customHeight="1" thickBot="1">
      <c r="BM38" s="24">
        <v>136</v>
      </c>
      <c r="BN38" s="25">
        <v>200</v>
      </c>
      <c r="BO38" s="26">
        <v>10</v>
      </c>
      <c r="BP38" s="24">
        <v>6.4</v>
      </c>
      <c r="BQ38" s="25">
        <v>200</v>
      </c>
      <c r="BR38" s="26">
        <v>10</v>
      </c>
      <c r="BS38" s="24">
        <v>0.26100000000000001</v>
      </c>
      <c r="BT38" s="25">
        <v>200</v>
      </c>
      <c r="BU38" s="26">
        <v>10</v>
      </c>
      <c r="BV38" s="24">
        <v>0.40100000000000002</v>
      </c>
      <c r="BW38" s="25">
        <v>200</v>
      </c>
      <c r="BX38" s="26">
        <v>10</v>
      </c>
      <c r="BY38" s="24">
        <v>4.21</v>
      </c>
      <c r="BZ38" s="25">
        <v>200</v>
      </c>
      <c r="CA38" s="26">
        <v>10</v>
      </c>
      <c r="CB38" s="19" t="e">
        <f>AF20</f>
        <v>#N/A</v>
      </c>
      <c r="CD38" s="1" t="str">
        <f>AG20</f>
        <v/>
      </c>
      <c r="CE38" s="1" t="str">
        <f t="shared" ref="CE38:DD38" si="20">AL20</f>
        <v/>
      </c>
      <c r="CF38" s="1" t="str">
        <f t="shared" si="20"/>
        <v/>
      </c>
      <c r="CG38" s="1" t="str">
        <f t="shared" si="20"/>
        <v/>
      </c>
      <c r="CH38" s="1" t="str">
        <f t="shared" si="20"/>
        <v/>
      </c>
      <c r="CI38" s="1" t="str">
        <f t="shared" si="20"/>
        <v/>
      </c>
      <c r="CJ38" s="1" t="str">
        <f t="shared" si="20"/>
        <v/>
      </c>
      <c r="CK38" s="1" t="str">
        <f t="shared" si="20"/>
        <v/>
      </c>
      <c r="CL38" s="1" t="str">
        <f t="shared" si="20"/>
        <v/>
      </c>
      <c r="CM38" s="1" t="str">
        <f t="shared" si="20"/>
        <v/>
      </c>
      <c r="CN38" s="1" t="str">
        <f t="shared" si="20"/>
        <v/>
      </c>
      <c r="CO38" s="1" t="str">
        <f t="shared" si="20"/>
        <v/>
      </c>
      <c r="CP38" s="1" t="str">
        <f t="shared" si="20"/>
        <v/>
      </c>
      <c r="CQ38" s="1" t="str">
        <f t="shared" si="20"/>
        <v/>
      </c>
      <c r="CR38" s="1" t="str">
        <f t="shared" si="20"/>
        <v/>
      </c>
      <c r="CS38" s="1" t="str">
        <f t="shared" si="20"/>
        <v/>
      </c>
      <c r="CT38" s="1" t="str">
        <f t="shared" si="20"/>
        <v/>
      </c>
      <c r="CU38" s="1" t="str">
        <f t="shared" si="20"/>
        <v/>
      </c>
      <c r="CV38" s="1" t="str">
        <f t="shared" si="20"/>
        <v/>
      </c>
      <c r="CW38" s="1" t="str">
        <f t="shared" si="20"/>
        <v/>
      </c>
      <c r="CX38" s="1" t="str">
        <f t="shared" si="20"/>
        <v/>
      </c>
      <c r="CY38" s="1" t="str">
        <f t="shared" si="20"/>
        <v/>
      </c>
      <c r="CZ38" s="1" t="str">
        <f t="shared" si="20"/>
        <v/>
      </c>
      <c r="DA38" s="1" t="str">
        <f t="shared" si="20"/>
        <v/>
      </c>
      <c r="DB38" s="1" t="str">
        <f t="shared" si="20"/>
        <v/>
      </c>
      <c r="DC38" s="1" t="str">
        <f t="shared" si="20"/>
        <v/>
      </c>
      <c r="DD38" s="1" t="str">
        <f t="shared" si="20"/>
        <v/>
      </c>
      <c r="DF38" s="35" t="str">
        <f>先發名單!H$3</f>
        <v>Ivan Herrera</v>
      </c>
      <c r="DG38" s="4" t="str">
        <f t="array" ref="DG38">IFERROR(INDEX(球員狀態!$C$2:$C$5000, MATCH(1, (球員狀態!$A$2:$A$5000=$DF$31)*(ISNUMBER(SEARCH($DF38, 球員狀態!$B$2:$B$5000))), 0)), "")</f>
        <v>C</v>
      </c>
      <c r="DJ38" s="4" t="str">
        <f t="array" ref="DJ38">IFERROR(INDEX(球員狀態!$F$2:$F$5000, MATCH(1, (球員狀態!$A$2:$A$5000=$DF$31)*(ISNUMBER(SEARCH($DF38, 球員狀態!$B$2:$B$5000))), 0)), "")</f>
        <v>11</v>
      </c>
      <c r="DK38" s="4" t="str">
        <f t="array" ref="DK38">IFERROR(INDEX(球員狀態!$G$2:$G$5000, MATCH(1, (球員狀態!$A$2:$A$5000=$DF$1)*(ISNUMBER(SEARCH($DF38, 球員狀態!$B$2:$B$5000))), 0)), "")</f>
        <v/>
      </c>
      <c r="DL38" s="4" t="str">
        <f t="array" ref="DL38">IFERROR(INDEX(球員狀態!H$2:H$5000, MATCH(1, (球員狀態!$A$2:$A$5000=$DF$31)*(ISNUMBER(SEARCH($DF38, 球員狀態!$B$2:$B$5000))), 0)), "")</f>
        <v>5</v>
      </c>
      <c r="DM38" s="4" t="str">
        <f t="array" ref="DM38">IFERROR(INDEX(球員狀態!I$2:I$5000, MATCH(1, (球員狀態!$A$2:$A$5000=$DF$31)*(ISNUMBER(SEARCH($DF38, 球員狀態!$B$2:$B$5000))), 0)), "")</f>
        <v>0</v>
      </c>
      <c r="DN38" s="4" t="str">
        <f t="array" ref="DN38">IFERROR(INDEX(球員狀態!J$2:J$5000, MATCH(1, (球員狀態!$A$2:$A$5000=$DF$31)*(ISNUMBER(SEARCH($DF38, 球員狀態!$B$2:$B$5000))), 0)), "")</f>
        <v>4</v>
      </c>
      <c r="DO38" s="4" t="str">
        <f t="array" ref="DO38">IFERROR(INDEX(球員狀態!K$2:K$5000, MATCH(1, (球員狀態!$A$2:$A$5000=$DF$31)*(ISNUMBER(SEARCH($DF38, 球員狀態!$B$2:$B$5000))), 0)), "")</f>
        <v>13</v>
      </c>
      <c r="DP38" s="4" t="str">
        <f t="array" ref="DP38">IFERROR(INDEX(球員狀態!L$2:L$5000, MATCH(1, (球員狀態!$A$2:$A$5000=$DF$31)*(ISNUMBER(SEARCH($DF38, 球員狀態!$B$2:$B$5000))), 0)), "")</f>
        <v>40</v>
      </c>
      <c r="DQ38" s="4" t="str">
        <f t="array" ref="DQ38">IFERROR(INDEX(球員狀態!M$2:M$5000, MATCH(1, (球員狀態!$A$2:$A$5000=$DF$31)*(ISNUMBER(SEARCH($DF38, 球員狀態!$B$2:$B$5000))), 0)), "")</f>
        <v>19</v>
      </c>
      <c r="DR38" s="4" t="str">
        <f t="array" ref="DR38">IFERROR(INDEX(球員狀態!N$2:N$5000, MATCH(1, (球員狀態!$A$2:$A$5000=$DF$31)*(ISNUMBER(SEARCH($DF38, 球員狀態!$B$2:$B$5000))), 0)), "")</f>
        <v>18</v>
      </c>
      <c r="DS38" s="4" t="str">
        <f t="array" ref="DS38">IFERROR(INDEX(球員狀態!O$2:O$5000, MATCH(1, (球員狀態!$A$2:$A$5000=$DF$1)*(ISNUMBER(SEARCH($DF38, 球員狀態!$B$2:$B$5000))), 0)), "")</f>
        <v/>
      </c>
      <c r="DT38" s="4" t="str">
        <f t="array" ref="DT38">IFERROR(INDEX(球員狀態!P$2:P$5000, MATCH(1, (球員狀態!$A$2:$A$5000=$DF$1)*(ISNUMBER(SEARCH($DF38, 球員狀態!$B$2:$B$5000))), 0)), "")</f>
        <v/>
      </c>
      <c r="DU38" s="4" t="str">
        <f t="array" ref="DU38">IFERROR(INDEX(球員狀態!Q$2:Q$5000, MATCH(1, (球員狀態!$A$2:$A$5000=$DF$31)*(ISNUMBER(SEARCH($DF38, 球員狀態!$B$2:$B$5000))), 0)), "")</f>
        <v>.403</v>
      </c>
      <c r="DV38" s="4" t="str">
        <f t="array" ref="DV38">IFERROR(INDEX(球員狀態!R$2:R$5000, MATCH(1, (球員狀態!$A$2:$A$5000=$DF$1)*(ISNUMBER(SEARCH($DF38, 球員狀態!$B$2:$B$5000))), 0)), "")</f>
        <v/>
      </c>
      <c r="DW38" s="4" t="str">
        <f t="array" ref="DW38">IFERROR(INDEX(球員狀態!S$2:S$5000, MATCH(1, (球員狀態!$A$2:$A$5000=$DF$1)*(ISNUMBER(SEARCH($DF38, 球員狀態!$B$2:$B$5000))), 0)), "")</f>
        <v/>
      </c>
      <c r="DX38" s="4" t="str">
        <f t="array" ref="DX38">IFERROR(INDEX(球員狀態!T$2:T$5000, MATCH(1, (球員狀態!$A$2:$A$5000=$DF$31)*(ISNUMBER(SEARCH($DF38, 球員狀態!$B$2:$B$5000))), 0)), "")</f>
        <v>0.7</v>
      </c>
      <c r="DY38" s="4" t="str">
        <f t="array" ref="DY38">IFERROR(INDEX(球員狀態!U$2:U$5000, MATCH(1, (球員狀態!$A$2:$A$5000=$DF$1)*(ISNUMBER(SEARCH($DF38, 球員狀態!$B$2:$B$5000))), 0)), "")</f>
        <v/>
      </c>
      <c r="DZ38" s="4" t="str">
        <f t="array" ref="DZ38">IFERROR(INDEX(球員狀態!V$2:V$5000, MATCH(1, (球員狀態!$A$2:$A$5000=$DF$1)*(ISNUMBER(SEARCH($DF38, 球員狀態!$B$2:$B$5000))), 0)), "")</f>
        <v/>
      </c>
      <c r="EA38" s="4" t="str">
        <f t="array" ref="EA38">IFERROR(INDEX(球員狀態!W$2:W$5000, MATCH(1, (球員狀態!$A$2:$A$5000=$DF$31)*(ISNUMBER(SEARCH($DF38, 球員狀態!$B$2:$B$5000))), 0)), "")</f>
        <v>.153</v>
      </c>
      <c r="EB38" s="4" t="str">
        <f t="array" ref="EB38">IFERROR(INDEX(球員狀態!X$2:X$5000, MATCH(1, (球員狀態!$A$2:$A$5000=$DF$1)*(ISNUMBER(SEARCH($DF38, 球員狀態!$B$2:$B$5000))), 0)), "")</f>
        <v/>
      </c>
      <c r="EC38" s="4" t="str">
        <f t="array" ref="EC38">IFERROR(INDEX(球員狀態!Y$2:Y$5000, MATCH(1, (球員狀態!$A$2:$A$5000=$DF$1)*(ISNUMBER(SEARCH($DF38, 球員狀態!$B$2:$B$5000))), 0)), "")</f>
        <v/>
      </c>
      <c r="ED38" s="4" t="str">
        <f t="array" ref="ED38">IFERROR(INDEX(球員狀態!Z$2:Z$5000, MATCH(1, (球員狀態!$A$2:$A$5000=$DF$31)*(ISNUMBER(SEARCH($DF38, 球員狀態!$B$2:$B$5000))), 0)), "")</f>
        <v>.375</v>
      </c>
      <c r="EE38" s="4" t="str">
        <f t="array" ref="EE38">IFERROR(INDEX(球員狀態!AA$2:AA$5000, MATCH(1, (球員狀態!$A$2:$A$5000=$DF$31)*(ISNUMBER(SEARCH($DF38, 球員狀態!$B$2:$B$5000))), 0)), "")</f>
        <v>3.92</v>
      </c>
      <c r="EF38" s="4" t="str">
        <f t="array" ref="EF38">IFERROR(INDEX(球員狀態!AB$2:AB$5000, MATCH(1, (球員狀態!$A$2:$A$5000=$DF$31)*(ISNUMBER(SEARCH($DF38, 球員狀態!$B$2:$B$5000))), 0)), "")</f>
        <v>9</v>
      </c>
      <c r="EG38" s="56"/>
      <c r="EI38" s="35" t="str">
        <f>先發名單!R$3</f>
        <v>B. Reynolds</v>
      </c>
      <c r="EJ38" s="4" t="str">
        <f t="array" ref="EJ38">IFERROR(INDEX(球員狀態!$C$2:$C$5000, MATCH(1, (球員狀態!$A$2:$A$5000=$EI$31)*(ISNUMBER(SEARCH($EI38, 球員狀態!$B$2:$B$5000))), 0)), "")</f>
        <v/>
      </c>
      <c r="EM38" s="4" t="str">
        <f t="array" ref="EM38">IFERROR(INDEX(球員狀態!F$2:F$5000, MATCH(1, (球員狀態!$A$2:$A$5000=$EI$31)*(ISNUMBER(SEARCH($EI38, 球員狀態!$B$2:$B$5000))), 0)), "")</f>
        <v/>
      </c>
      <c r="EN38" s="4" t="str">
        <f t="array" ref="EN38">IFERROR(INDEX(球員狀態!G$2:G$5000, MATCH(1, (球員狀態!$A$2:$A$5000=$EI$1)*(ISNUMBER(SEARCH($EI38, 球員狀態!$B$2:$B$5000))), 0)), "")</f>
        <v/>
      </c>
      <c r="EO38" s="4" t="str">
        <f t="array" ref="EO38">IFERROR(INDEX(球員狀態!H$2:H$5000, MATCH(1, (球員狀態!$A$2:$A$5000=$EI$31)*(ISNUMBER(SEARCH($EI38, 球員狀態!$B$2:$B$5000))), 0)), "")</f>
        <v/>
      </c>
      <c r="EP38" s="4" t="str">
        <f t="array" ref="EP38">IFERROR(INDEX(球員狀態!I$2:I$5000, MATCH(1, (球員狀態!$A$2:$A$5000=$EI$31)*(ISNUMBER(SEARCH($EI38, 球員狀態!$B$2:$B$5000))), 0)), "")</f>
        <v/>
      </c>
      <c r="EQ38" s="4" t="str">
        <f t="array" ref="EQ38">IFERROR(INDEX(球員狀態!J$2:J$5000, MATCH(1, (球員狀態!$A$2:$A$5000=$EI$31)*(ISNUMBER(SEARCH($EI38, 球員狀態!$B$2:$B$5000))), 0)), "")</f>
        <v/>
      </c>
      <c r="ER38" s="4" t="str">
        <f t="array" ref="ER38">IFERROR(INDEX(球員狀態!K$2:K$5000, MATCH(1, (球員狀態!$A$2:$A$5000=$EI$31)*(ISNUMBER(SEARCH($EI38, 球員狀態!$B$2:$B$5000))), 0)), "")</f>
        <v/>
      </c>
      <c r="ES38" s="4" t="str">
        <f t="array" ref="ES38">IFERROR(INDEX(球員狀態!L$2:L$5000, MATCH(1, (球員狀態!$A$2:$A$5000=$EI$31)*(ISNUMBER(SEARCH($EI38, 球員狀態!$B$2:$B$5000))), 0)), "")</f>
        <v/>
      </c>
      <c r="ET38" s="4" t="str">
        <f t="array" ref="ET38">IFERROR(INDEX(球員狀態!M$2:M$5000, MATCH(1, (球員狀態!$A$2:$A$5000=$EI$31)*(ISNUMBER(SEARCH($EI38, 球員狀態!$B$2:$B$5000))), 0)), "")</f>
        <v/>
      </c>
      <c r="EU38" s="4" t="str">
        <f t="array" ref="EU38">IFERROR(INDEX(球員狀態!N$2:N$5000, MATCH(1, (球員狀態!$A$2:$A$5000=$EI$31)*(ISNUMBER(SEARCH($EI38, 球員狀態!$B$2:$B$5000))), 0)), "")</f>
        <v/>
      </c>
      <c r="EV38" s="4" t="str">
        <f t="array" ref="EV38">IFERROR(INDEX(球員狀態!O$2:O$5000, MATCH(1, (球員狀態!$A$2:$A$5000=$EI$1)*(ISNUMBER(SEARCH($EI38, 球員狀態!$B$2:$B$5000))), 0)), "")</f>
        <v/>
      </c>
      <c r="EW38" s="4" t="str">
        <f t="array" ref="EW38">IFERROR(INDEX(球員狀態!P$2:P$5000, MATCH(1, (球員狀態!$A$2:$A$5000=$EI$1)*(ISNUMBER(SEARCH($EI38, 球員狀態!$B$2:$B$5000))), 0)), "")</f>
        <v/>
      </c>
      <c r="EX38" s="4" t="str">
        <f t="array" ref="EX38">IFERROR(INDEX(球員狀態!Q$2:Q$5000, MATCH(1, (球員狀態!$A$2:$A$5000=$EI$31)*(ISNUMBER(SEARCH($EI38, 球員狀態!$B$2:$B$5000))), 0)), "")</f>
        <v/>
      </c>
      <c r="EY38" s="4" t="str">
        <f t="array" ref="EY38">IFERROR(INDEX(球員狀態!R$2:R$5000, MATCH(1, (球員狀態!$A$2:$A$5000=$EI$1)*(ISNUMBER(SEARCH($EI38, 球員狀態!$B$2:$B$5000))), 0)), "")</f>
        <v/>
      </c>
      <c r="EZ38" s="4" t="str">
        <f t="array" ref="EZ38">IFERROR(INDEX(球員狀態!S$2:S$5000, MATCH(1, (球員狀態!$A$2:$A$5000=$EI$1)*(ISNUMBER(SEARCH($EI38, 球員狀態!$B$2:$B$5000))), 0)), "")</f>
        <v/>
      </c>
      <c r="FA38" s="4" t="str">
        <f t="array" ref="FA38">IFERROR(INDEX(球員狀態!T$2:T$5000, MATCH(1, (球員狀態!$A$2:$A$5000=$EI$31)*(ISNUMBER(SEARCH($EI38, 球員狀態!$B$2:$B$5000))), 0)), "")</f>
        <v/>
      </c>
      <c r="FB38" s="4" t="str">
        <f t="array" ref="FB38">IFERROR(INDEX(球員狀態!U$2:U$5000, MATCH(1, (球員狀態!$A$2:$A$5000=$EI$1)*(ISNUMBER(SEARCH($EI38, 球員狀態!$B$2:$B$5000))), 0)), "")</f>
        <v/>
      </c>
      <c r="FC38" s="4" t="str">
        <f t="array" ref="FC38">IFERROR(INDEX(球員狀態!V$2:V$5000, MATCH(1, (球員狀態!$A$2:$A$5000=$EI$1)*(ISNUMBER(SEARCH($EI38, 球員狀態!$B$2:$B$5000))), 0)), "")</f>
        <v/>
      </c>
      <c r="FD38" s="4" t="str">
        <f t="array" ref="FD38">IFERROR(INDEX(球員狀態!W$2:W$5000, MATCH(1, (球員狀態!$A$2:$A$5000=$EI$31)*(ISNUMBER(SEARCH($EI38, 球員狀態!$B$2:$B$5000))), 0)), "")</f>
        <v/>
      </c>
      <c r="FE38" s="4" t="str">
        <f t="array" ref="FE38">IFERROR(INDEX(球員狀態!X$2:X$5000, MATCH(1, (球員狀態!$A$2:$A$5000=$EI$1)*(ISNUMBER(SEARCH($EI38, 球員狀態!$B$2:$B$5000))), 0)), "")</f>
        <v/>
      </c>
      <c r="FF38" s="4" t="str">
        <f t="array" ref="FF38">IFERROR(INDEX(球員狀態!Y$2:Y$5000, MATCH(1, (球員狀態!$A$2:$A$5000=$EI$1)*(ISNUMBER(SEARCH($EI38, 球員狀態!$B$2:$B$5000))), 0)), "")</f>
        <v/>
      </c>
      <c r="FG38" s="4" t="str">
        <f t="array" ref="FG38">IFERROR(INDEX(球員狀態!Z$2:Z$5000, MATCH(1, (球員狀態!$A$2:$A$5000=$EI$31)*(ISNUMBER(SEARCH($EI38, 球員狀態!$B$2:$B$5000))), 0)), "")</f>
        <v/>
      </c>
      <c r="FH38" s="4" t="str">
        <f t="array" ref="FH38">IFERROR(INDEX(球員狀態!AA$2:AA$5000, MATCH(1, (球員狀態!$A$2:$A$5000=$EI$31)*(ISNUMBER(SEARCH($EI38, 球員狀態!$B$2:$B$5000))), 0)), "")</f>
        <v/>
      </c>
      <c r="FI38" s="4" t="str">
        <f t="array" ref="FI38">IFERROR(INDEX(球員狀態!AB$2:AB$5000, MATCH(1, (球員狀態!$A$2:$A$5000=$EI$31)*(ISNUMBER(SEARCH($EI38, 球員狀態!$B$2:$B$5000))), 0)), "")</f>
        <v/>
      </c>
      <c r="FK38" s="24">
        <v>60.1</v>
      </c>
      <c r="FL38" s="25">
        <v>100</v>
      </c>
      <c r="FM38" s="26">
        <v>10</v>
      </c>
      <c r="FN38" s="24">
        <v>45.1</v>
      </c>
      <c r="FO38" s="25">
        <v>100</v>
      </c>
      <c r="FP38" s="26">
        <v>10</v>
      </c>
      <c r="FQ38" s="24">
        <v>92.1</v>
      </c>
      <c r="FR38" s="25">
        <v>100</v>
      </c>
      <c r="FS38" s="26">
        <v>10</v>
      </c>
      <c r="FT38" s="24">
        <v>63.1</v>
      </c>
      <c r="FU38" s="25">
        <v>100</v>
      </c>
      <c r="FV38" s="26">
        <v>10</v>
      </c>
      <c r="FW38" s="24">
        <v>1.53</v>
      </c>
      <c r="FX38" s="25">
        <v>200</v>
      </c>
      <c r="FY38" s="26">
        <v>10</v>
      </c>
    </row>
    <row r="39" spans="22:181" ht="15.6" customHeight="1" thickBot="1">
      <c r="CB39" s="28" t="e">
        <f>CF39+CJ39+CK39+CM39+CO39+CP39+CQ39+CR39</f>
        <v>#VALUE!</v>
      </c>
      <c r="CC39" s="31" t="e">
        <f>CU39+CV39+CY39+CZ39+DA39</f>
        <v>#VALUE!</v>
      </c>
      <c r="CF39" s="27" t="e">
        <f>VLOOKUP(ROUND(CF38/CD38, 2), $BV$2:$BX$12, 3, TRUE)*BX$1</f>
        <v>#VALUE!</v>
      </c>
      <c r="CJ39" s="27" t="e">
        <f>VLOOKUP(ROUND(CJ38/CD38, 2), $BM$15:$BO$25, 3, TRUE)*BO$14</f>
        <v>#VALUE!</v>
      </c>
      <c r="CK39" s="27" t="e">
        <f>VLOOKUP(ROUND(CK38/CD38, 2), $BY$2:$CA$12, 3, TRUE)*CA$1</f>
        <v>#VALUE!</v>
      </c>
      <c r="CM39" s="101" t="e">
        <f>VLOOKUP(ROUND(CM38/CN38, 2), $BP$15:$BR$25, 3, TRUE)*BR$14</f>
        <v>#VALUE!</v>
      </c>
      <c r="CN39" s="78"/>
      <c r="CO39" s="27" t="e">
        <f>VLOOKUP(ROUND(CO38/CD38, 2), $BS$15:$BU$25, 3, TRUE)*BU$14</f>
        <v>#VALUE!</v>
      </c>
      <c r="CP39" s="27" t="e">
        <f>VLOOKUP(CP38*1, BM$2:BO$12, 3, TRUE)*BO$1</f>
        <v>#VALUE!</v>
      </c>
      <c r="CQ39" s="27" t="e">
        <f>VLOOKUP(CQ38*1, BP$2:BR$12, 3, TRUE)*BR$1</f>
        <v>#VALUE!</v>
      </c>
      <c r="CR39" s="27" t="e">
        <f>VLOOKUP(CR38*1, BS$2:BU$12, 3, TRUE)*BU$1</f>
        <v>#VALUE!</v>
      </c>
      <c r="CU39" s="60" t="e">
        <f>VLOOKUP(CU38*1, BM$28:BO$38, 3, TRUE)*BO$27</f>
        <v>#VALUE!</v>
      </c>
      <c r="CV39" s="60" t="e">
        <f>VLOOKUP(CV38*1, BP$28:BR$38, 3, TRUE)*BR$27</f>
        <v>#VALUE!</v>
      </c>
      <c r="CY39" s="60" t="e">
        <f>VLOOKUP(CY38*1, BS$28:BU$38, 3, TRUE)*BU$27</f>
        <v>#VALUE!</v>
      </c>
      <c r="CZ39" s="60" t="e">
        <f>VLOOKUP(CZ38*1, BV$28:BX$38, 3, TRUE)*BX$27</f>
        <v>#VALUE!</v>
      </c>
      <c r="DA39" s="60" t="e">
        <f>VLOOKUP(DA38*1, BY$28:CA$38, 3, TRUE)*CA$27</f>
        <v>#VALUE!</v>
      </c>
      <c r="DF39" s="33"/>
      <c r="DG39" s="4"/>
      <c r="DH39" s="40">
        <f>DJ39+DL39+DM39+DN39+DO39-DP39-DQ39+DR39</f>
        <v>2.6</v>
      </c>
      <c r="DI39" s="42">
        <f>DU39+DX39+EA39+ED39+EE39+EF39</f>
        <v>5</v>
      </c>
      <c r="DJ39" s="38">
        <f>VLOOKUP(DJ38*1, FK$2:FM$12, 3, TRUE)*FM$1</f>
        <v>1</v>
      </c>
      <c r="DL39" s="38">
        <f>VLOOKUP(DL38*1, FN$2:FP$12, 3, TRUE)*FP$1</f>
        <v>0.6</v>
      </c>
      <c r="DM39" s="38">
        <f>VLOOKUP(DM38*1, FQ$2:FS$12, 3, TRUE)*FS$1</f>
        <v>0</v>
      </c>
      <c r="DN39" s="38">
        <f>VLOOKUP(DN38*1, FT$2:FV$12, 3, TRUE)*FV$1</f>
        <v>1</v>
      </c>
      <c r="DO39" s="38">
        <f>VLOOKUP(DO38*1, FW$2:FY$12, 3, TRUE)*FY$1</f>
        <v>0.5</v>
      </c>
      <c r="DP39" s="39">
        <f>VLOOKUP(DP38*1, FK$14:FM$25, 3, TRUE)*FM$14</f>
        <v>1</v>
      </c>
      <c r="DQ39" s="39">
        <f>VLOOKUP(DQ38*1, FN$14:FP$25, 3, TRUE)*FP$14</f>
        <v>1</v>
      </c>
      <c r="DR39" s="38">
        <f>VLOOKUP(DR38*1, FQ$14:FS$25, 3, TRUE)*FS$14</f>
        <v>1.5</v>
      </c>
      <c r="DU39" s="41">
        <f>VLOOKUP(DU38*1, FK$27:FM$38, 3, TRUE)*FM$27</f>
        <v>0</v>
      </c>
      <c r="DX39" s="41">
        <f>VLOOKUP(DX38*1, FN$27:FP$38, 3, TRUE)*FP$27</f>
        <v>0</v>
      </c>
      <c r="EA39" s="41">
        <f>VLOOKUP(EA38*1, FQ$27:FS$38, 3, TRUE)*FS$27</f>
        <v>0</v>
      </c>
      <c r="ED39" s="41">
        <f>VLOOKUP(ED38*1, FT$27:FV$38, 3, TRUE)*FV$27</f>
        <v>0</v>
      </c>
      <c r="EE39" s="41">
        <f>VLOOKUP(EE38*1, FW$27:FY$38, 3, TRUE)*FY$27</f>
        <v>1.5</v>
      </c>
      <c r="EF39" s="41">
        <f>VLOOKUP(EF38*1, FK$40:FM$51, 3, TRUE)*FM$40</f>
        <v>3.5</v>
      </c>
      <c r="EG39" s="57"/>
      <c r="EI39" s="33"/>
      <c r="EJ39" s="4"/>
      <c r="EK39" s="40" t="e">
        <f>EM39+EO39+EP39+EQ39+ER39-ES39-ET39+EU39</f>
        <v>#VALUE!</v>
      </c>
      <c r="EL39" s="42" t="e">
        <f>EX39+FA39+FD39+FG39+FH39+FI39</f>
        <v>#VALUE!</v>
      </c>
      <c r="EM39" s="38" t="e">
        <f>VLOOKUP(EM38*1, $FK$2:$FM$12, 3, TRUE)*$FM$1</f>
        <v>#VALUE!</v>
      </c>
      <c r="EO39" s="38" t="e">
        <f>VLOOKUP(EO38*1, $FN$2:$FP$12, 3, TRUE)*$FP$1</f>
        <v>#VALUE!</v>
      </c>
      <c r="EP39" s="38" t="e">
        <f>VLOOKUP(EP38*1, $FQ$2:$FS$12, 3, TRUE)*$FS$1</f>
        <v>#VALUE!</v>
      </c>
      <c r="EQ39" s="38" t="e">
        <f>VLOOKUP(EQ38*1, $FT$2:$FV$12, 3, TRUE)*$FV$1</f>
        <v>#VALUE!</v>
      </c>
      <c r="ER39" s="38" t="e">
        <f>VLOOKUP(ER38*1, $FW$2:$FY$12, 3, TRUE)*$FY$1</f>
        <v>#VALUE!</v>
      </c>
      <c r="ES39" s="39" t="e">
        <f>VLOOKUP(ES38*1, $FK$14:$FM$25, 3, TRUE)*$FM$14</f>
        <v>#VALUE!</v>
      </c>
      <c r="ET39" s="39" t="e">
        <f>VLOOKUP(ET38*1, $FN$14:$FP$25, 3, TRUE)*$FP$14</f>
        <v>#VALUE!</v>
      </c>
      <c r="EU39" s="38" t="e">
        <f>VLOOKUP(EU38*1, $FQ$14:$FS$25, 3, TRUE)*$FS$14</f>
        <v>#VALUE!</v>
      </c>
      <c r="EX39" s="41" t="e">
        <f>VLOOKUP(EX38*1, $FK$27:$FM$38, 3, TRUE)*$FM$27</f>
        <v>#VALUE!</v>
      </c>
      <c r="FA39" s="41" t="e">
        <f>VLOOKUP(FA38*1, $FN$27:$FP$38, 3, TRUE)*$FP$27</f>
        <v>#VALUE!</v>
      </c>
      <c r="FD39" s="41" t="e">
        <f>VLOOKUP(FD38*1, $FQ$27:$FS$38, 3, TRUE)*$FS$27</f>
        <v>#VALUE!</v>
      </c>
      <c r="FG39" s="41" t="e">
        <f>VLOOKUP(FG38*1, $FT$27:$FV$38, 3, TRUE)*$FV$27</f>
        <v>#VALUE!</v>
      </c>
      <c r="FH39" s="41" t="e">
        <f>VLOOKUP(FH38*1, $FW$27:$FY$38, 3, TRUE)*$FY$27</f>
        <v>#VALUE!</v>
      </c>
      <c r="FI39" s="41" t="e">
        <f>VLOOKUP(FI38*1, $FK$40:$FM$51, 3, TRUE)*$FM$40</f>
        <v>#VALUE!</v>
      </c>
    </row>
    <row r="40" spans="22:181">
      <c r="BM40" s="55"/>
      <c r="BN40" s="55"/>
      <c r="BO40" s="59"/>
      <c r="CB40" s="19" t="e">
        <f>AF21</f>
        <v>#N/A</v>
      </c>
      <c r="CD40" s="1" t="str">
        <f>AG21</f>
        <v/>
      </c>
      <c r="CE40" s="1" t="str">
        <f t="shared" ref="CE40:DD40" si="21">AL21</f>
        <v/>
      </c>
      <c r="CF40" s="1" t="str">
        <f t="shared" si="21"/>
        <v/>
      </c>
      <c r="CG40" s="1" t="str">
        <f t="shared" si="21"/>
        <v/>
      </c>
      <c r="CH40" s="1" t="str">
        <f t="shared" si="21"/>
        <v/>
      </c>
      <c r="CI40" s="1" t="str">
        <f t="shared" si="21"/>
        <v/>
      </c>
      <c r="CJ40" s="1" t="str">
        <f t="shared" si="21"/>
        <v/>
      </c>
      <c r="CK40" s="1" t="str">
        <f t="shared" si="21"/>
        <v/>
      </c>
      <c r="CL40" s="1" t="str">
        <f t="shared" si="21"/>
        <v/>
      </c>
      <c r="CM40" s="1" t="str">
        <f t="shared" si="21"/>
        <v/>
      </c>
      <c r="CN40" s="1" t="str">
        <f t="shared" si="21"/>
        <v/>
      </c>
      <c r="CO40" s="1" t="str">
        <f t="shared" si="21"/>
        <v/>
      </c>
      <c r="CP40" s="1" t="str">
        <f t="shared" si="21"/>
        <v/>
      </c>
      <c r="CQ40" s="1" t="str">
        <f t="shared" si="21"/>
        <v/>
      </c>
      <c r="CR40" s="1" t="str">
        <f t="shared" si="21"/>
        <v/>
      </c>
      <c r="CS40" s="1" t="str">
        <f t="shared" si="21"/>
        <v/>
      </c>
      <c r="CT40" s="1" t="str">
        <f t="shared" si="21"/>
        <v/>
      </c>
      <c r="CU40" s="1" t="str">
        <f t="shared" si="21"/>
        <v/>
      </c>
      <c r="CV40" s="1" t="str">
        <f t="shared" si="21"/>
        <v/>
      </c>
      <c r="CW40" s="1" t="str">
        <f t="shared" si="21"/>
        <v/>
      </c>
      <c r="CX40" s="1" t="str">
        <f t="shared" si="21"/>
        <v/>
      </c>
      <c r="CY40" s="1" t="str">
        <f t="shared" si="21"/>
        <v/>
      </c>
      <c r="CZ40" s="1" t="str">
        <f t="shared" si="21"/>
        <v/>
      </c>
      <c r="DA40" s="1" t="str">
        <f t="shared" si="21"/>
        <v/>
      </c>
      <c r="DB40" s="1" t="str">
        <f t="shared" si="21"/>
        <v/>
      </c>
      <c r="DC40" s="1" t="str">
        <f t="shared" si="21"/>
        <v/>
      </c>
      <c r="DD40" s="1" t="str">
        <f t="shared" si="21"/>
        <v/>
      </c>
      <c r="DF40" s="35" t="str">
        <f>先發名單!I$3</f>
        <v>A. Burleson</v>
      </c>
      <c r="DG40" s="4" t="str">
        <f t="array" ref="DG40">IFERROR(INDEX(球員狀態!$C$2:$C$5000, MATCH(1, (球員狀態!$A$2:$A$5000=$DF$31)*(ISNUMBER(SEARCH($DF40, 球員狀態!$B$2:$B$5000))), 0)), "")</f>
        <v/>
      </c>
      <c r="DJ40" s="4" t="str">
        <f t="array" ref="DJ40">IFERROR(INDEX(球員狀態!$F$2:$F$5000, MATCH(1, (球員狀態!$A$2:$A$5000=$DF$31)*(ISNUMBER(SEARCH($DF40, 球員狀態!$B$2:$B$5000))), 0)), "")</f>
        <v/>
      </c>
      <c r="DK40" s="4" t="str">
        <f t="array" ref="DK40">IFERROR(INDEX(球員狀態!$G$2:$G$5000, MATCH(1, (球員狀態!$A$2:$A$5000=$DF$1)*(ISNUMBER(SEARCH($DF40, 球員狀態!$B$2:$B$5000))), 0)), "")</f>
        <v/>
      </c>
      <c r="DL40" s="4" t="str">
        <f t="array" ref="DL40">IFERROR(INDEX(球員狀態!H$2:H$5000, MATCH(1, (球員狀態!$A$2:$A$5000=$DF$31)*(ISNUMBER(SEARCH($DF40, 球員狀態!$B$2:$B$5000))), 0)), "")</f>
        <v/>
      </c>
      <c r="DM40" s="4" t="str">
        <f t="array" ref="DM40">IFERROR(INDEX(球員狀態!I$2:I$5000, MATCH(1, (球員狀態!$A$2:$A$5000=$DF$31)*(ISNUMBER(SEARCH($DF40, 球員狀態!$B$2:$B$5000))), 0)), "")</f>
        <v/>
      </c>
      <c r="DN40" s="4" t="str">
        <f t="array" ref="DN40">IFERROR(INDEX(球員狀態!J$2:J$5000, MATCH(1, (球員狀態!$A$2:$A$5000=$DF$31)*(ISNUMBER(SEARCH($DF40, 球員狀態!$B$2:$B$5000))), 0)), "")</f>
        <v/>
      </c>
      <c r="DO40" s="4" t="str">
        <f t="array" ref="DO40">IFERROR(INDEX(球員狀態!K$2:K$5000, MATCH(1, (球員狀態!$A$2:$A$5000=$DF$31)*(ISNUMBER(SEARCH($DF40, 球員狀態!$B$2:$B$5000))), 0)), "")</f>
        <v/>
      </c>
      <c r="DP40" s="4" t="str">
        <f t="array" ref="DP40">IFERROR(INDEX(球員狀態!L$2:L$5000, MATCH(1, (球員狀態!$A$2:$A$5000=$DF$31)*(ISNUMBER(SEARCH($DF40, 球員狀態!$B$2:$B$5000))), 0)), "")</f>
        <v/>
      </c>
      <c r="DQ40" s="4" t="str">
        <f t="array" ref="DQ40">IFERROR(INDEX(球員狀態!M$2:M$5000, MATCH(1, (球員狀態!$A$2:$A$5000=$DF$31)*(ISNUMBER(SEARCH($DF40, 球員狀態!$B$2:$B$5000))), 0)), "")</f>
        <v/>
      </c>
      <c r="DR40" s="4" t="str">
        <f t="array" ref="DR40">IFERROR(INDEX(球員狀態!N$2:N$5000, MATCH(1, (球員狀態!$A$2:$A$5000=$DF$31)*(ISNUMBER(SEARCH($DF40, 球員狀態!$B$2:$B$5000))), 0)), "")</f>
        <v/>
      </c>
      <c r="DS40" s="4" t="str">
        <f t="array" ref="DS40">IFERROR(INDEX(球員狀態!O$2:O$5000, MATCH(1, (球員狀態!$A$2:$A$5000=$DF$1)*(ISNUMBER(SEARCH($DF40, 球員狀態!$B$2:$B$5000))), 0)), "")</f>
        <v/>
      </c>
      <c r="DT40" s="4" t="str">
        <f t="array" ref="DT40">IFERROR(INDEX(球員狀態!P$2:P$5000, MATCH(1, (球員狀態!$A$2:$A$5000=$DF$1)*(ISNUMBER(SEARCH($DF40, 球員狀態!$B$2:$B$5000))), 0)), "")</f>
        <v/>
      </c>
      <c r="DU40" s="4" t="str">
        <f t="array" ref="DU40">IFERROR(INDEX(球員狀態!Q$2:Q$5000, MATCH(1, (球員狀態!$A$2:$A$5000=$DF$31)*(ISNUMBER(SEARCH($DF40, 球員狀態!$B$2:$B$5000))), 0)), "")</f>
        <v/>
      </c>
      <c r="DV40" s="4" t="str">
        <f t="array" ref="DV40">IFERROR(INDEX(球員狀態!R$2:R$5000, MATCH(1, (球員狀態!$A$2:$A$5000=$DF$1)*(ISNUMBER(SEARCH($DF40, 球員狀態!$B$2:$B$5000))), 0)), "")</f>
        <v/>
      </c>
      <c r="DW40" s="4" t="str">
        <f t="array" ref="DW40">IFERROR(INDEX(球員狀態!S$2:S$5000, MATCH(1, (球員狀態!$A$2:$A$5000=$DF$1)*(ISNUMBER(SEARCH($DF40, 球員狀態!$B$2:$B$5000))), 0)), "")</f>
        <v/>
      </c>
      <c r="DX40" s="4" t="str">
        <f t="array" ref="DX40">IFERROR(INDEX(球員狀態!T$2:T$5000, MATCH(1, (球員狀態!$A$2:$A$5000=$DF$31)*(ISNUMBER(SEARCH($DF40, 球員狀態!$B$2:$B$5000))), 0)), "")</f>
        <v/>
      </c>
      <c r="DY40" s="4" t="str">
        <f t="array" ref="DY40">IFERROR(INDEX(球員狀態!U$2:U$5000, MATCH(1, (球員狀態!$A$2:$A$5000=$DF$1)*(ISNUMBER(SEARCH($DF40, 球員狀態!$B$2:$B$5000))), 0)), "")</f>
        <v/>
      </c>
      <c r="DZ40" s="4" t="str">
        <f t="array" ref="DZ40">IFERROR(INDEX(球員狀態!V$2:V$5000, MATCH(1, (球員狀態!$A$2:$A$5000=$DF$1)*(ISNUMBER(SEARCH($DF40, 球員狀態!$B$2:$B$5000))), 0)), "")</f>
        <v/>
      </c>
      <c r="EA40" s="4" t="str">
        <f t="array" ref="EA40">IFERROR(INDEX(球員狀態!W$2:W$5000, MATCH(1, (球員狀態!$A$2:$A$5000=$DF$31)*(ISNUMBER(SEARCH($DF40, 球員狀態!$B$2:$B$5000))), 0)), "")</f>
        <v/>
      </c>
      <c r="EB40" s="4" t="str">
        <f t="array" ref="EB40">IFERROR(INDEX(球員狀態!X$2:X$5000, MATCH(1, (球員狀態!$A$2:$A$5000=$DF$1)*(ISNUMBER(SEARCH($DF40, 球員狀態!$B$2:$B$5000))), 0)), "")</f>
        <v/>
      </c>
      <c r="EC40" s="4" t="str">
        <f t="array" ref="EC40">IFERROR(INDEX(球員狀態!Y$2:Y$5000, MATCH(1, (球員狀態!$A$2:$A$5000=$DF$1)*(ISNUMBER(SEARCH($DF40, 球員狀態!$B$2:$B$5000))), 0)), "")</f>
        <v/>
      </c>
      <c r="ED40" s="4" t="str">
        <f t="array" ref="ED40">IFERROR(INDEX(球員狀態!Z$2:Z$5000, MATCH(1, (球員狀態!$A$2:$A$5000=$DF$31)*(ISNUMBER(SEARCH($DF40, 球員狀態!$B$2:$B$5000))), 0)), "")</f>
        <v/>
      </c>
      <c r="EE40" s="4" t="str">
        <f t="array" ref="EE40">IFERROR(INDEX(球員狀態!AA$2:AA$5000, MATCH(1, (球員狀態!$A$2:$A$5000=$DF$31)*(ISNUMBER(SEARCH($DF40, 球員狀態!$B$2:$B$5000))), 0)), "")</f>
        <v/>
      </c>
      <c r="EF40" s="4" t="str">
        <f t="array" ref="EF40">IFERROR(INDEX(球員狀態!AB$2:AB$5000, MATCH(1, (球員狀態!$A$2:$A$5000=$DF$31)*(ISNUMBER(SEARCH($DF40, 球員狀態!$B$2:$B$5000))), 0)), "")</f>
        <v/>
      </c>
      <c r="EG40" s="56"/>
      <c r="EI40" s="35" t="str">
        <f>先發名單!S$3</f>
        <v>Ryan O'Hearn</v>
      </c>
      <c r="EJ40" s="4" t="str">
        <f t="array" ref="EJ40">IFERROR(INDEX(球員狀態!$C$2:$C$5000, MATCH(1, (球員狀態!$A$2:$A$5000=$EI$31)*(ISNUMBER(SEARCH($EI40, 球員狀態!$B$2:$B$5000))), 0)), "")</f>
        <v>1B</v>
      </c>
      <c r="EM40" s="4" t="str">
        <f t="array" ref="EM40">IFERROR(INDEX(球員狀態!F$2:F$5000, MATCH(1, (球員狀態!$A$2:$A$5000=$EI$31)*(ISNUMBER(SEARCH($EI40, 球員狀態!$B$2:$B$5000))), 0)), "")</f>
        <v>14</v>
      </c>
      <c r="EN40" s="4" t="str">
        <f t="array" ref="EN40">IFERROR(INDEX(球員狀態!G$2:G$5000, MATCH(1, (球員狀態!$A$2:$A$5000=$EI$1)*(ISNUMBER(SEARCH($EI40, 球員狀態!$B$2:$B$5000))), 0)), "")</f>
        <v/>
      </c>
      <c r="EO40" s="4" t="str">
        <f t="array" ref="EO40">IFERROR(INDEX(球員狀態!H$2:H$5000, MATCH(1, (球員狀態!$A$2:$A$5000=$EI$31)*(ISNUMBER(SEARCH($EI40, 球員狀態!$B$2:$B$5000))), 0)), "")</f>
        <v>4</v>
      </c>
      <c r="EP40" s="4" t="str">
        <f t="array" ref="EP40">IFERROR(INDEX(球員狀態!I$2:I$5000, MATCH(1, (球員狀態!$A$2:$A$5000=$EI$31)*(ISNUMBER(SEARCH($EI40, 球員狀態!$B$2:$B$5000))), 0)), "")</f>
        <v>0</v>
      </c>
      <c r="EQ40" s="4" t="str">
        <f t="array" ref="EQ40">IFERROR(INDEX(球員狀態!J$2:J$5000, MATCH(1, (球員狀態!$A$2:$A$5000=$EI$31)*(ISNUMBER(SEARCH($EI40, 球員狀態!$B$2:$B$5000))), 0)), "")</f>
        <v>4</v>
      </c>
      <c r="ER40" s="4" t="str">
        <f t="array" ref="ER40">IFERROR(INDEX(球員狀態!K$2:K$5000, MATCH(1, (球員狀態!$A$2:$A$5000=$EI$31)*(ISNUMBER(SEARCH($EI40, 球員狀態!$B$2:$B$5000))), 0)), "")</f>
        <v>16</v>
      </c>
      <c r="ES40" s="4" t="str">
        <f t="array" ref="ES40">IFERROR(INDEX(球員狀態!L$2:L$5000, MATCH(1, (球員狀態!$A$2:$A$5000=$EI$31)*(ISNUMBER(SEARCH($EI40, 球員狀態!$B$2:$B$5000))), 0)), "")</f>
        <v>45</v>
      </c>
      <c r="ET40" s="4" t="str">
        <f t="array" ref="ET40">IFERROR(INDEX(球員狀態!M$2:M$5000, MATCH(1, (球員狀態!$A$2:$A$5000=$EI$31)*(ISNUMBER(SEARCH($EI40, 球員狀態!$B$2:$B$5000))), 0)), "")</f>
        <v>13</v>
      </c>
      <c r="EU40" s="4" t="str">
        <f t="array" ref="EU40">IFERROR(INDEX(球員狀態!N$2:N$5000, MATCH(1, (球員狀態!$A$2:$A$5000=$EI$31)*(ISNUMBER(SEARCH($EI40, 球員狀態!$B$2:$B$5000))), 0)), "")</f>
        <v>19</v>
      </c>
      <c r="EV40" s="4" t="str">
        <f t="array" ref="EV40">IFERROR(INDEX(球員狀態!O$2:O$5000, MATCH(1, (球員狀態!$A$2:$A$5000=$EI$1)*(ISNUMBER(SEARCH($EI40, 球員狀態!$B$2:$B$5000))), 0)), "")</f>
        <v/>
      </c>
      <c r="EW40" s="4" t="str">
        <f t="array" ref="EW40">IFERROR(INDEX(球員狀態!P$2:P$5000, MATCH(1, (球員狀態!$A$2:$A$5000=$EI$1)*(ISNUMBER(SEARCH($EI40, 球員狀態!$B$2:$B$5000))), 0)), "")</f>
        <v/>
      </c>
      <c r="EX40" s="4" t="str">
        <f t="array" ref="EX40">IFERROR(INDEX(球員狀態!Q$2:Q$5000, MATCH(1, (球員狀態!$A$2:$A$5000=$EI$31)*(ISNUMBER(SEARCH($EI40, 球員狀態!$B$2:$B$5000))), 0)), "")</f>
        <v>.404</v>
      </c>
      <c r="EY40" s="4" t="str">
        <f t="array" ref="EY40">IFERROR(INDEX(球員狀態!R$2:R$5000, MATCH(1, (球員狀態!$A$2:$A$5000=$EI$1)*(ISNUMBER(SEARCH($EI40, 球員狀態!$B$2:$B$5000))), 0)), "")</f>
        <v/>
      </c>
      <c r="EZ40" s="4" t="str">
        <f t="array" ref="EZ40">IFERROR(INDEX(球員狀態!S$2:S$5000, MATCH(1, (球員狀態!$A$2:$A$5000=$EI$1)*(ISNUMBER(SEARCH($EI40, 球員狀態!$B$2:$B$5000))), 0)), "")</f>
        <v/>
      </c>
      <c r="FA40" s="4" t="str">
        <f t="array" ref="FA40">IFERROR(INDEX(球員狀態!T$2:T$5000, MATCH(1, (球員狀態!$A$2:$A$5000=$EI$31)*(ISNUMBER(SEARCH($EI40, 球員狀態!$B$2:$B$5000))), 0)), "")</f>
        <v>0.5</v>
      </c>
      <c r="FB40" s="4" t="str">
        <f t="array" ref="FB40">IFERROR(INDEX(球員狀態!U$2:U$5000, MATCH(1, (球員狀態!$A$2:$A$5000=$EI$1)*(ISNUMBER(SEARCH($EI40, 球員狀態!$B$2:$B$5000))), 0)), "")</f>
        <v/>
      </c>
      <c r="FC40" s="4" t="str">
        <f t="array" ref="FC40">IFERROR(INDEX(球員狀態!V$2:V$5000, MATCH(1, (球員狀態!$A$2:$A$5000=$EI$1)*(ISNUMBER(SEARCH($EI40, 球員狀態!$B$2:$B$5000))), 0)), "")</f>
        <v/>
      </c>
      <c r="FD40" s="4" t="str">
        <f t="array" ref="FD40">IFERROR(INDEX(球員狀態!W$2:W$5000, MATCH(1, (球員狀態!$A$2:$A$5000=$EI$31)*(ISNUMBER(SEARCH($EI40, 球員狀態!$B$2:$B$5000))), 0)), "")</f>
        <v>.119</v>
      </c>
      <c r="FE40" s="4" t="str">
        <f t="array" ref="FE40">IFERROR(INDEX(球員狀態!X$2:X$5000, MATCH(1, (球員狀態!$A$2:$A$5000=$EI$1)*(ISNUMBER(SEARCH($EI40, 球員狀態!$B$2:$B$5000))), 0)), "")</f>
        <v/>
      </c>
      <c r="FF40" s="4" t="str">
        <f t="array" ref="FF40">IFERROR(INDEX(球員狀態!Y$2:Y$5000, MATCH(1, (球員狀態!$A$2:$A$5000=$EI$1)*(ISNUMBER(SEARCH($EI40, 球員狀態!$B$2:$B$5000))), 0)), "")</f>
        <v/>
      </c>
      <c r="FG40" s="4" t="str">
        <f t="array" ref="FG40">IFERROR(INDEX(球員狀態!Z$2:Z$5000, MATCH(1, (球員狀態!$A$2:$A$5000=$EI$31)*(ISNUMBER(SEARCH($EI40, 球員狀態!$B$2:$B$5000))), 0)), "")</f>
        <v>.326</v>
      </c>
      <c r="FH40" s="4" t="str">
        <f t="array" ref="FH40">IFERROR(INDEX(球員狀態!AA$2:AA$5000, MATCH(1, (球員狀態!$A$2:$A$5000=$EI$31)*(ISNUMBER(SEARCH($EI40, 球員狀態!$B$2:$B$5000))), 0)), "")</f>
        <v>4.22</v>
      </c>
      <c r="FI40" s="4" t="str">
        <f t="array" ref="FI40">IFERROR(INDEX(球員狀態!AB$2:AB$5000, MATCH(1, (球員狀態!$A$2:$A$5000=$EI$31)*(ISNUMBER(SEARCH($EI40, 球員狀態!$B$2:$B$5000))), 0)), "")</f>
        <v>8</v>
      </c>
      <c r="FK40" s="106" t="s">
        <v>563</v>
      </c>
      <c r="FL40" s="103"/>
      <c r="FM40" s="21">
        <v>0.35</v>
      </c>
    </row>
    <row r="41" spans="22:181">
      <c r="BM41" s="54"/>
      <c r="BN41" s="54"/>
      <c r="BO41" s="54"/>
      <c r="CB41" s="28" t="e">
        <f>CF41+CJ41+CK41+CM41+CO41+CP41+CQ41+CR41</f>
        <v>#VALUE!</v>
      </c>
      <c r="CC41" s="31" t="e">
        <f>CU41+CV41+CY41+CZ41+DA41</f>
        <v>#VALUE!</v>
      </c>
      <c r="CF41" s="27" t="e">
        <f>VLOOKUP(ROUND(CF40/CD40, 2), $BV$2:$BX$12, 3, TRUE)*BX$1</f>
        <v>#VALUE!</v>
      </c>
      <c r="CJ41" s="27" t="e">
        <f>VLOOKUP(ROUND(CJ40/CD40, 2), $BM$15:$BO$25, 3, TRUE)*BO$14</f>
        <v>#VALUE!</v>
      </c>
      <c r="CK41" s="27" t="e">
        <f>VLOOKUP(ROUND(CK40/CD40, 2), $BY$2:$CA$12, 3, TRUE)*CA$1</f>
        <v>#VALUE!</v>
      </c>
      <c r="CM41" s="101" t="e">
        <f>VLOOKUP(ROUND(CM40/CN40, 2), $BP$15:$BR$25, 3, TRUE)*BR$14</f>
        <v>#VALUE!</v>
      </c>
      <c r="CN41" s="78"/>
      <c r="CO41" s="27" t="e">
        <f>VLOOKUP(ROUND(CO40/CD40, 2), $BS$15:$BU$25, 3, TRUE)*BU$14</f>
        <v>#VALUE!</v>
      </c>
      <c r="CP41" s="27" t="e">
        <f>VLOOKUP(CP40*1, BM$2:BO$12, 3, TRUE)*BO$1</f>
        <v>#VALUE!</v>
      </c>
      <c r="CQ41" s="27" t="e">
        <f>VLOOKUP(CQ40*1, BP$2:BR$12, 3, TRUE)*BR$1</f>
        <v>#VALUE!</v>
      </c>
      <c r="CR41" s="27" t="e">
        <f>VLOOKUP(CR40*1, BS$2:BU$12, 3, TRUE)*BU$1</f>
        <v>#VALUE!</v>
      </c>
      <c r="CU41" s="60" t="e">
        <f>VLOOKUP(CU40*1, BM$28:BO$38, 3, TRUE)*BO$27</f>
        <v>#VALUE!</v>
      </c>
      <c r="CV41" s="60" t="e">
        <f>VLOOKUP(CV40*1, BP$28:BR$38, 3, TRUE)*BR$27</f>
        <v>#VALUE!</v>
      </c>
      <c r="CY41" s="60" t="e">
        <f>VLOOKUP(CY40*1, BS$28:BU$38, 3, TRUE)*BU$27</f>
        <v>#VALUE!</v>
      </c>
      <c r="CZ41" s="60" t="e">
        <f>VLOOKUP(CZ40*1, BV$28:BX$38, 3, TRUE)*BX$27</f>
        <v>#VALUE!</v>
      </c>
      <c r="DA41" s="60" t="e">
        <f>VLOOKUP(DA40*1, BY$28:CA$38, 3, TRUE)*CA$27</f>
        <v>#VALUE!</v>
      </c>
      <c r="DF41" s="33"/>
      <c r="DH41" s="40" t="e">
        <f>DJ41+DL41+DM41+DN41+DO41-DP41-DQ41+DR41</f>
        <v>#VALUE!</v>
      </c>
      <c r="DI41" s="42" t="e">
        <f>DU41+DX41+EA41+ED41+EE41+EF41</f>
        <v>#VALUE!</v>
      </c>
      <c r="DJ41" s="38" t="e">
        <f>VLOOKUP(DJ40*1, FK$2:FM$12, 3, TRUE)*FM$1</f>
        <v>#VALUE!</v>
      </c>
      <c r="DL41" s="38" t="e">
        <f>VLOOKUP(DL40*1, FN$2:FP$12, 3, TRUE)*FP$1</f>
        <v>#VALUE!</v>
      </c>
      <c r="DM41" s="38" t="e">
        <f>VLOOKUP(DM40*1, FQ$2:FS$12, 3, TRUE)*FS$1</f>
        <v>#VALUE!</v>
      </c>
      <c r="DN41" s="38" t="e">
        <f>VLOOKUP(DN40*1, FT$2:FV$12, 3, TRUE)*FV$1</f>
        <v>#VALUE!</v>
      </c>
      <c r="DO41" s="38" t="e">
        <f>VLOOKUP(DO40*1, FW$2:FY$12, 3, TRUE)*FY$1</f>
        <v>#VALUE!</v>
      </c>
      <c r="DP41" s="39" t="e">
        <f>VLOOKUP(DP40*1, FK$14:FM$25, 3, TRUE)*FM$14</f>
        <v>#VALUE!</v>
      </c>
      <c r="DQ41" s="39" t="e">
        <f>VLOOKUP(DQ40*1, FN$14:FP$25, 3, TRUE)*FP$14</f>
        <v>#VALUE!</v>
      </c>
      <c r="DR41" s="38" t="e">
        <f>VLOOKUP(DR40*1, FQ$14:FS$25, 3, TRUE)*FS$14</f>
        <v>#VALUE!</v>
      </c>
      <c r="DU41" s="41" t="e">
        <f>VLOOKUP(DU40*1, FK$27:FM$38, 3, TRUE)*FM$27</f>
        <v>#VALUE!</v>
      </c>
      <c r="DX41" s="41" t="e">
        <f>VLOOKUP(DX40*1, FN$27:FP$38, 3, TRUE)*FP$27</f>
        <v>#VALUE!</v>
      </c>
      <c r="EA41" s="41" t="e">
        <f>VLOOKUP(EA40*1, FQ$27:FS$38, 3, TRUE)*FS$27</f>
        <v>#VALUE!</v>
      </c>
      <c r="ED41" s="41" t="e">
        <f>VLOOKUP(ED40*1, FT$27:FV$38, 3, TRUE)*FV$27</f>
        <v>#VALUE!</v>
      </c>
      <c r="EE41" s="41" t="e">
        <f>VLOOKUP(EE40*1, FW$27:FY$38, 3, TRUE)*FY$27</f>
        <v>#VALUE!</v>
      </c>
      <c r="EF41" s="41" t="e">
        <f>VLOOKUP(EF40*1, FK$40:FM$51, 3, TRUE)*FM$40</f>
        <v>#VALUE!</v>
      </c>
      <c r="EG41" s="57"/>
      <c r="EI41" s="33"/>
      <c r="EK41" s="40">
        <f>EM41+EO41+EP41+EQ41+ER41-ES41-ET41+EU41</f>
        <v>2.7</v>
      </c>
      <c r="EL41" s="42">
        <f>EX41+FA41+FD41+FG41+FH41+FI41</f>
        <v>5</v>
      </c>
      <c r="EM41" s="38">
        <f>VLOOKUP(EM40*1, $FK$2:$FM$12, 3, TRUE)*$FM$1</f>
        <v>1.25</v>
      </c>
      <c r="EO41" s="38">
        <f>VLOOKUP(EO40*1, $FN$2:$FP$12, 3, TRUE)*$FP$1</f>
        <v>0.44999999999999996</v>
      </c>
      <c r="EP41" s="38">
        <f>VLOOKUP(EP40*1, $FQ$2:$FS$12, 3, TRUE)*$FS$1</f>
        <v>0</v>
      </c>
      <c r="EQ41" s="38">
        <f>VLOOKUP(EQ40*1, $FT$2:$FV$12, 3, TRUE)*$FV$1</f>
        <v>1</v>
      </c>
      <c r="ER41" s="38">
        <f>VLOOKUP(ER40*1, $FW$2:$FY$12, 3, TRUE)*$FY$1</f>
        <v>0.5</v>
      </c>
      <c r="ES41" s="39">
        <f>VLOOKUP(ES40*1, $FK$14:$FM$25, 3, TRUE)*$FM$14</f>
        <v>1</v>
      </c>
      <c r="ET41" s="39">
        <f>VLOOKUP(ET40*1, $FN$14:$FP$25, 3, TRUE)*$FP$14</f>
        <v>1</v>
      </c>
      <c r="EU41" s="38">
        <f>VLOOKUP(EU40*1, $FQ$14:$FS$25, 3, TRUE)*$FS$14</f>
        <v>1.5</v>
      </c>
      <c r="EX41" s="41">
        <f>VLOOKUP(EX40*1, $FK$27:$FM$38, 3, TRUE)*$FM$27</f>
        <v>0</v>
      </c>
      <c r="FA41" s="41">
        <f>VLOOKUP(FA40*1, $FN$27:$FP$38, 3, TRUE)*$FP$27</f>
        <v>0</v>
      </c>
      <c r="FD41" s="41">
        <f>VLOOKUP(FD40*1, $FQ$27:$FS$38, 3, TRUE)*$FS$27</f>
        <v>0</v>
      </c>
      <c r="FG41" s="41">
        <f>VLOOKUP(FG40*1, $FT$27:$FV$38, 3, TRUE)*$FV$27</f>
        <v>0</v>
      </c>
      <c r="FH41" s="41">
        <f>VLOOKUP(FH40*1, $FW$27:$FY$38, 3, TRUE)*$FY$27</f>
        <v>1.5</v>
      </c>
      <c r="FI41" s="41">
        <f>VLOOKUP(FI40*1, $FK$40:$FM$51, 3, TRUE)*$FM$40</f>
        <v>3.5</v>
      </c>
      <c r="FK41" s="22">
        <v>0</v>
      </c>
      <c r="FL41" s="19">
        <v>0.2</v>
      </c>
      <c r="FM41" s="23">
        <v>0</v>
      </c>
    </row>
    <row r="42" spans="22:181">
      <c r="BM42" s="54"/>
      <c r="BN42" s="54"/>
      <c r="BO42" s="54"/>
      <c r="CB42" s="19" t="e">
        <f>AF22</f>
        <v>#N/A</v>
      </c>
      <c r="CD42" s="1" t="str">
        <f>AG22</f>
        <v/>
      </c>
      <c r="CE42" s="1" t="str">
        <f t="shared" ref="CE42:DD42" si="22">AL22</f>
        <v/>
      </c>
      <c r="CF42" s="1" t="str">
        <f t="shared" si="22"/>
        <v/>
      </c>
      <c r="CG42" s="1" t="str">
        <f t="shared" si="22"/>
        <v/>
      </c>
      <c r="CH42" s="1" t="str">
        <f t="shared" si="22"/>
        <v/>
      </c>
      <c r="CI42" s="1" t="str">
        <f t="shared" si="22"/>
        <v/>
      </c>
      <c r="CJ42" s="1" t="str">
        <f t="shared" si="22"/>
        <v/>
      </c>
      <c r="CK42" s="1" t="str">
        <f t="shared" si="22"/>
        <v/>
      </c>
      <c r="CL42" s="1" t="str">
        <f t="shared" si="22"/>
        <v/>
      </c>
      <c r="CM42" s="1" t="str">
        <f t="shared" si="22"/>
        <v/>
      </c>
      <c r="CN42" s="1" t="str">
        <f t="shared" si="22"/>
        <v/>
      </c>
      <c r="CO42" s="1" t="str">
        <f t="shared" si="22"/>
        <v/>
      </c>
      <c r="CP42" s="1" t="str">
        <f t="shared" si="22"/>
        <v/>
      </c>
      <c r="CQ42" s="1" t="str">
        <f t="shared" si="22"/>
        <v/>
      </c>
      <c r="CR42" s="1" t="str">
        <f t="shared" si="22"/>
        <v/>
      </c>
      <c r="CS42" s="1" t="str">
        <f t="shared" si="22"/>
        <v/>
      </c>
      <c r="CT42" s="1" t="str">
        <f t="shared" si="22"/>
        <v/>
      </c>
      <c r="CU42" s="1" t="str">
        <f t="shared" si="22"/>
        <v/>
      </c>
      <c r="CV42" s="1" t="str">
        <f t="shared" si="22"/>
        <v/>
      </c>
      <c r="CW42" s="1" t="str">
        <f t="shared" si="22"/>
        <v/>
      </c>
      <c r="CX42" s="1" t="str">
        <f t="shared" si="22"/>
        <v/>
      </c>
      <c r="CY42" s="1" t="str">
        <f t="shared" si="22"/>
        <v/>
      </c>
      <c r="CZ42" s="1" t="str">
        <f t="shared" si="22"/>
        <v/>
      </c>
      <c r="DA42" s="1" t="str">
        <f t="shared" si="22"/>
        <v/>
      </c>
      <c r="DB42" s="1" t="str">
        <f t="shared" si="22"/>
        <v/>
      </c>
      <c r="DC42" s="1" t="str">
        <f t="shared" si="22"/>
        <v/>
      </c>
      <c r="DD42" s="1" t="str">
        <f t="shared" si="22"/>
        <v/>
      </c>
      <c r="DF42" s="37" t="str">
        <f>先發名單!J$3</f>
        <v>J. Walker</v>
      </c>
      <c r="DG42" s="4" t="str">
        <f t="array" ref="DG42">IFERROR(INDEX(球員狀態!$C$2:$C$5000, MATCH(1, (球員狀態!$A$2:$A$5000=$DF$31)*(ISNUMBER(SEARCH($DF42, 球員狀態!$B$2:$B$5000))), 0)), "")</f>
        <v/>
      </c>
      <c r="DJ42" s="4" t="str">
        <f t="array" ref="DJ42">IFERROR(INDEX(球員狀態!$F$2:$F$5000, MATCH(1, (球員狀態!$A$2:$A$5000=$DF$31)*(ISNUMBER(SEARCH($DF42, 球員狀態!$B$2:$B$5000))), 0)), "")</f>
        <v/>
      </c>
      <c r="DK42" s="4" t="str">
        <f t="array" ref="DK42">IFERROR(INDEX(球員狀態!$G$2:$G$5000, MATCH(1, (球員狀態!$A$2:$A$5000=$DF$1)*(ISNUMBER(SEARCH($DF42, 球員狀態!$B$2:$B$5000))), 0)), "")</f>
        <v/>
      </c>
      <c r="DL42" s="4" t="str">
        <f t="array" ref="DL42">IFERROR(INDEX(球員狀態!H$2:H$5000, MATCH(1, (球員狀態!$A$2:$A$5000=$DF$31)*(ISNUMBER(SEARCH($DF42, 球員狀態!$B$2:$B$5000))), 0)), "")</f>
        <v/>
      </c>
      <c r="DM42" s="4" t="str">
        <f t="array" ref="DM42">IFERROR(INDEX(球員狀態!I$2:I$5000, MATCH(1, (球員狀態!$A$2:$A$5000=$DF$31)*(ISNUMBER(SEARCH($DF42, 球員狀態!$B$2:$B$5000))), 0)), "")</f>
        <v/>
      </c>
      <c r="DN42" s="4" t="str">
        <f t="array" ref="DN42">IFERROR(INDEX(球員狀態!J$2:J$5000, MATCH(1, (球員狀態!$A$2:$A$5000=$DF$31)*(ISNUMBER(SEARCH($DF42, 球員狀態!$B$2:$B$5000))), 0)), "")</f>
        <v/>
      </c>
      <c r="DO42" s="4" t="str">
        <f t="array" ref="DO42">IFERROR(INDEX(球員狀態!K$2:K$5000, MATCH(1, (球員狀態!$A$2:$A$5000=$DF$31)*(ISNUMBER(SEARCH($DF42, 球員狀態!$B$2:$B$5000))), 0)), "")</f>
        <v/>
      </c>
      <c r="DP42" s="4" t="str">
        <f t="array" ref="DP42">IFERROR(INDEX(球員狀態!L$2:L$5000, MATCH(1, (球員狀態!$A$2:$A$5000=$DF$31)*(ISNUMBER(SEARCH($DF42, 球員狀態!$B$2:$B$5000))), 0)), "")</f>
        <v/>
      </c>
      <c r="DQ42" s="4" t="str">
        <f t="array" ref="DQ42">IFERROR(INDEX(球員狀態!M$2:M$5000, MATCH(1, (球員狀態!$A$2:$A$5000=$DF$31)*(ISNUMBER(SEARCH($DF42, 球員狀態!$B$2:$B$5000))), 0)), "")</f>
        <v/>
      </c>
      <c r="DR42" s="4" t="str">
        <f t="array" ref="DR42">IFERROR(INDEX(球員狀態!N$2:N$5000, MATCH(1, (球員狀態!$A$2:$A$5000=$DF$31)*(ISNUMBER(SEARCH($DF42, 球員狀態!$B$2:$B$5000))), 0)), "")</f>
        <v/>
      </c>
      <c r="DS42" s="4" t="str">
        <f t="array" ref="DS42">IFERROR(INDEX(球員狀態!O$2:O$5000, MATCH(1, (球員狀態!$A$2:$A$5000=$DF$1)*(ISNUMBER(SEARCH($DF42, 球員狀態!$B$2:$B$5000))), 0)), "")</f>
        <v/>
      </c>
      <c r="DT42" s="4" t="str">
        <f t="array" ref="DT42">IFERROR(INDEX(球員狀態!P$2:P$5000, MATCH(1, (球員狀態!$A$2:$A$5000=$DF$1)*(ISNUMBER(SEARCH($DF42, 球員狀態!$B$2:$B$5000))), 0)), "")</f>
        <v/>
      </c>
      <c r="DU42" s="4" t="str">
        <f t="array" ref="DU42">IFERROR(INDEX(球員狀態!Q$2:Q$5000, MATCH(1, (球員狀態!$A$2:$A$5000=$DF$31)*(ISNUMBER(SEARCH($DF42, 球員狀態!$B$2:$B$5000))), 0)), "")</f>
        <v/>
      </c>
      <c r="DV42" s="4" t="str">
        <f t="array" ref="DV42">IFERROR(INDEX(球員狀態!R$2:R$5000, MATCH(1, (球員狀態!$A$2:$A$5000=$DF$1)*(ISNUMBER(SEARCH($DF42, 球員狀態!$B$2:$B$5000))), 0)), "")</f>
        <v/>
      </c>
      <c r="DW42" s="4" t="str">
        <f t="array" ref="DW42">IFERROR(INDEX(球員狀態!S$2:S$5000, MATCH(1, (球員狀態!$A$2:$A$5000=$DF$1)*(ISNUMBER(SEARCH($DF42, 球員狀態!$B$2:$B$5000))), 0)), "")</f>
        <v/>
      </c>
      <c r="DX42" s="4" t="str">
        <f t="array" ref="DX42">IFERROR(INDEX(球員狀態!T$2:T$5000, MATCH(1, (球員狀態!$A$2:$A$5000=$DF$31)*(ISNUMBER(SEARCH($DF42, 球員狀態!$B$2:$B$5000))), 0)), "")</f>
        <v/>
      </c>
      <c r="DY42" s="4" t="str">
        <f t="array" ref="DY42">IFERROR(INDEX(球員狀態!U$2:U$5000, MATCH(1, (球員狀態!$A$2:$A$5000=$DF$1)*(ISNUMBER(SEARCH($DF42, 球員狀態!$B$2:$B$5000))), 0)), "")</f>
        <v/>
      </c>
      <c r="DZ42" s="4" t="str">
        <f t="array" ref="DZ42">IFERROR(INDEX(球員狀態!V$2:V$5000, MATCH(1, (球員狀態!$A$2:$A$5000=$DF$1)*(ISNUMBER(SEARCH($DF42, 球員狀態!$B$2:$B$5000))), 0)), "")</f>
        <v/>
      </c>
      <c r="EA42" s="4" t="str">
        <f t="array" ref="EA42">IFERROR(INDEX(球員狀態!W$2:W$5000, MATCH(1, (球員狀態!$A$2:$A$5000=$DF$31)*(ISNUMBER(SEARCH($DF42, 球員狀態!$B$2:$B$5000))), 0)), "")</f>
        <v/>
      </c>
      <c r="EB42" s="4" t="str">
        <f t="array" ref="EB42">IFERROR(INDEX(球員狀態!X$2:X$5000, MATCH(1, (球員狀態!$A$2:$A$5000=$DF$1)*(ISNUMBER(SEARCH($DF42, 球員狀態!$B$2:$B$5000))), 0)), "")</f>
        <v/>
      </c>
      <c r="EC42" s="4" t="str">
        <f t="array" ref="EC42">IFERROR(INDEX(球員狀態!Y$2:Y$5000, MATCH(1, (球員狀態!$A$2:$A$5000=$DF$1)*(ISNUMBER(SEARCH($DF42, 球員狀態!$B$2:$B$5000))), 0)), "")</f>
        <v/>
      </c>
      <c r="ED42" s="4" t="str">
        <f t="array" ref="ED42">IFERROR(INDEX(球員狀態!Z$2:Z$5000, MATCH(1, (球員狀態!$A$2:$A$5000=$DF$31)*(ISNUMBER(SEARCH($DF42, 球員狀態!$B$2:$B$5000))), 0)), "")</f>
        <v/>
      </c>
      <c r="EE42" s="4" t="str">
        <f t="array" ref="EE42">IFERROR(INDEX(球員狀態!AA$2:AA$5000, MATCH(1, (球員狀態!$A$2:$A$5000=$DF$31)*(ISNUMBER(SEARCH($DF42, 球員狀態!$B$2:$B$5000))), 0)), "")</f>
        <v/>
      </c>
      <c r="EF42" s="4" t="str">
        <f t="array" ref="EF42">IFERROR(INDEX(球員狀態!AB$2:AB$5000, MATCH(1, (球員狀態!$A$2:$A$5000=$DF$31)*(ISNUMBER(SEARCH($DF42, 球員狀態!$B$2:$B$5000))), 0)), "")</f>
        <v/>
      </c>
      <c r="EG42" s="56"/>
      <c r="EI42" s="37" t="str">
        <f>先發名單!T$3</f>
        <v>Nick Yorke</v>
      </c>
      <c r="EJ42" s="4" t="str">
        <f t="array" ref="EJ42">IFERROR(INDEX(球員狀態!$C$2:$C$5000, MATCH(1, (球員狀態!$A$2:$A$5000=$EI$31)*(ISNUMBER(SEARCH($EI42, 球員狀態!$B$2:$B$5000))), 0)), "")</f>
        <v>2B</v>
      </c>
      <c r="EM42" s="4" t="str">
        <f t="array" ref="EM42">IFERROR(INDEX(球員狀態!F$2:F$5000, MATCH(1, (球員狀態!$A$2:$A$5000=$EI$31)*(ISNUMBER(SEARCH($EI42, 球員狀態!$B$2:$B$5000))), 0)), "")</f>
        <v>6</v>
      </c>
      <c r="EN42" s="4" t="str">
        <f t="array" ref="EN42">IFERROR(INDEX(球員狀態!G$2:G$5000, MATCH(1, (球員狀態!$A$2:$A$5000=$EI$1)*(ISNUMBER(SEARCH($EI42, 球員狀態!$B$2:$B$5000))), 0)), "")</f>
        <v/>
      </c>
      <c r="EO42" s="4" t="str">
        <f t="array" ref="EO42">IFERROR(INDEX(球員狀態!H$2:H$5000, MATCH(1, (球員狀態!$A$2:$A$5000=$EI$31)*(ISNUMBER(SEARCH($EI42, 球員狀態!$B$2:$B$5000))), 0)), "")</f>
        <v>3</v>
      </c>
      <c r="EP42" s="4" t="str">
        <f t="array" ref="EP42">IFERROR(INDEX(球員狀態!I$2:I$5000, MATCH(1, (球員狀態!$A$2:$A$5000=$EI$31)*(ISNUMBER(SEARCH($EI42, 球員狀態!$B$2:$B$5000))), 0)), "")</f>
        <v>0</v>
      </c>
      <c r="EQ42" s="4" t="str">
        <f t="array" ref="EQ42">IFERROR(INDEX(球員狀態!J$2:J$5000, MATCH(1, (球員狀態!$A$2:$A$5000=$EI$31)*(ISNUMBER(SEARCH($EI42, 球員狀態!$B$2:$B$5000))), 0)), "")</f>
        <v>1</v>
      </c>
      <c r="ER42" s="4" t="str">
        <f t="array" ref="ER42">IFERROR(INDEX(球員狀態!K$2:K$5000, MATCH(1, (球員狀態!$A$2:$A$5000=$EI$31)*(ISNUMBER(SEARCH($EI42, 球員狀態!$B$2:$B$5000))), 0)), "")</f>
        <v>4</v>
      </c>
      <c r="ES42" s="4" t="str">
        <f t="array" ref="ES42">IFERROR(INDEX(球員狀態!L$2:L$5000, MATCH(1, (球員狀態!$A$2:$A$5000=$EI$31)*(ISNUMBER(SEARCH($EI42, 球員狀態!$B$2:$B$5000))), 0)), "")</f>
        <v>20</v>
      </c>
      <c r="ET42" s="4" t="str">
        <f t="array" ref="ET42">IFERROR(INDEX(球員狀態!M$2:M$5000, MATCH(1, (球員狀態!$A$2:$A$5000=$EI$31)*(ISNUMBER(SEARCH($EI42, 球員狀態!$B$2:$B$5000))), 0)), "")</f>
        <v>7</v>
      </c>
      <c r="EU42" s="4" t="str">
        <f t="array" ref="EU42">IFERROR(INDEX(球員狀態!N$2:N$5000, MATCH(1, (球員狀態!$A$2:$A$5000=$EI$31)*(ISNUMBER(SEARCH($EI42, 球員狀態!$B$2:$B$5000))), 0)), "")</f>
        <v>14</v>
      </c>
      <c r="EV42" s="4" t="str">
        <f t="array" ref="EV42">IFERROR(INDEX(球員狀態!O$2:O$5000, MATCH(1, (球員狀態!$A$2:$A$5000=$EI$1)*(ISNUMBER(SEARCH($EI42, 球員狀態!$B$2:$B$5000))), 0)), "")</f>
        <v/>
      </c>
      <c r="EW42" s="4" t="str">
        <f t="array" ref="EW42">IFERROR(INDEX(球員狀態!P$2:P$5000, MATCH(1, (球員狀態!$A$2:$A$5000=$EI$1)*(ISNUMBER(SEARCH($EI42, 球員狀態!$B$2:$B$5000))), 0)), "")</f>
        <v/>
      </c>
      <c r="EX42" s="4" t="str">
        <f t="array" ref="EX42">IFERROR(INDEX(球員狀態!Q$2:Q$5000, MATCH(1, (球員狀態!$A$2:$A$5000=$EI$31)*(ISNUMBER(SEARCH($EI42, 球員狀態!$B$2:$B$5000))), 0)), "")</f>
        <v>.311</v>
      </c>
      <c r="EY42" s="4" t="str">
        <f t="array" ref="EY42">IFERROR(INDEX(球員狀態!R$2:R$5000, MATCH(1, (球員狀態!$A$2:$A$5000=$EI$1)*(ISNUMBER(SEARCH($EI42, 球員狀態!$B$2:$B$5000))), 0)), "")</f>
        <v/>
      </c>
      <c r="EZ42" s="4" t="str">
        <f t="array" ref="EZ42">IFERROR(INDEX(球員狀態!S$2:S$5000, MATCH(1, (球員狀態!$A$2:$A$5000=$EI$1)*(ISNUMBER(SEARCH($EI42, 球員狀態!$B$2:$B$5000))), 0)), "")</f>
        <v/>
      </c>
      <c r="FA42" s="4" t="str">
        <f t="array" ref="FA42">IFERROR(INDEX(球員狀態!T$2:T$5000, MATCH(1, (球員狀態!$A$2:$A$5000=$EI$31)*(ISNUMBER(SEARCH($EI42, 球員狀態!$B$2:$B$5000))), 0)), "")</f>
        <v>-0.1</v>
      </c>
      <c r="FB42" s="4" t="str">
        <f t="array" ref="FB42">IFERROR(INDEX(球員狀態!U$2:U$5000, MATCH(1, (球員狀態!$A$2:$A$5000=$EI$1)*(ISNUMBER(SEARCH($EI42, 球員狀態!$B$2:$B$5000))), 0)), "")</f>
        <v/>
      </c>
      <c r="FC42" s="4" t="str">
        <f t="array" ref="FC42">IFERROR(INDEX(球員狀態!V$2:V$5000, MATCH(1, (球員狀態!$A$2:$A$5000=$EI$1)*(ISNUMBER(SEARCH($EI42, 球員狀態!$B$2:$B$5000))), 0)), "")</f>
        <v/>
      </c>
      <c r="FD42" s="4" t="str">
        <f t="array" ref="FD42">IFERROR(INDEX(球員狀態!W$2:W$5000, MATCH(1, (球員狀態!$A$2:$A$5000=$EI$31)*(ISNUMBER(SEARCH($EI42, 球員狀態!$B$2:$B$5000))), 0)), "")</f>
        <v>.095</v>
      </c>
      <c r="FE42" s="4" t="str">
        <f t="array" ref="FE42">IFERROR(INDEX(球員狀態!X$2:X$5000, MATCH(1, (球員狀態!$A$2:$A$5000=$EI$1)*(ISNUMBER(SEARCH($EI42, 球員狀態!$B$2:$B$5000))), 0)), "")</f>
        <v/>
      </c>
      <c r="FF42" s="4" t="str">
        <f t="array" ref="FF42">IFERROR(INDEX(球員狀態!Y$2:Y$5000, MATCH(1, (球員狀態!$A$2:$A$5000=$EI$1)*(ISNUMBER(SEARCH($EI42, 球員狀態!$B$2:$B$5000))), 0)), "")</f>
        <v/>
      </c>
      <c r="FG42" s="4" t="str">
        <f t="array" ref="FG42">IFERROR(INDEX(球員狀態!Z$2:Z$5000, MATCH(1, (球員狀態!$A$2:$A$5000=$EI$31)*(ISNUMBER(SEARCH($EI42, 球員狀態!$B$2:$B$5000))), 0)), "")</f>
        <v>.203</v>
      </c>
      <c r="FH42" s="4" t="str">
        <f t="array" ref="FH42">IFERROR(INDEX(球員狀態!AA$2:AA$5000, MATCH(1, (球員狀態!$A$2:$A$5000=$EI$31)*(ISNUMBER(SEARCH($EI42, 球員狀態!$B$2:$B$5000))), 0)), "")</f>
        <v>3.86</v>
      </c>
      <c r="FI42" s="4" t="str">
        <f t="array" ref="FI42">IFERROR(INDEX(球員狀態!AB$2:AB$5000, MATCH(1, (球員狀態!$A$2:$A$5000=$EI$31)*(ISNUMBER(SEARCH($EI42, 球員狀態!$B$2:$B$5000))), 0)), "")</f>
        <v>4</v>
      </c>
      <c r="FK42" s="22">
        <v>0.21</v>
      </c>
      <c r="FL42" s="19">
        <v>0.33</v>
      </c>
      <c r="FM42" s="23">
        <v>1</v>
      </c>
    </row>
    <row r="43" spans="22:181">
      <c r="BM43" s="54"/>
      <c r="BN43" s="54"/>
      <c r="BO43" s="54"/>
      <c r="CB43" s="28" t="e">
        <f>CF43+CJ43+CK43+CM43+CO43+CP43+CQ43+CR43</f>
        <v>#VALUE!</v>
      </c>
      <c r="CC43" s="31" t="e">
        <f>CU43+CV43+CY43+CZ43+DA43</f>
        <v>#VALUE!</v>
      </c>
      <c r="CF43" s="27" t="e">
        <f>VLOOKUP(ROUND(CF42/CD42, 2), $BV$2:$BX$12, 3, TRUE)*BX$1</f>
        <v>#VALUE!</v>
      </c>
      <c r="CJ43" s="27" t="e">
        <f>VLOOKUP(ROUND(CJ42/CD42, 2), $BM$15:$BO$25, 3, TRUE)*BO$14</f>
        <v>#VALUE!</v>
      </c>
      <c r="CK43" s="27" t="e">
        <f>VLOOKUP(ROUND(CK42/CD42, 2), $BY$2:$CA$12, 3, TRUE)*CA$1</f>
        <v>#VALUE!</v>
      </c>
      <c r="CM43" s="101" t="e">
        <f>VLOOKUP(ROUND(CM42/CN42, 2), $BP$15:$BR$25, 3, TRUE)*BR$14</f>
        <v>#VALUE!</v>
      </c>
      <c r="CN43" s="78"/>
      <c r="CO43" s="27" t="e">
        <f>VLOOKUP(ROUND(CO42/CD42, 2), $BS$15:$BU$25, 3, TRUE)*BU$14</f>
        <v>#VALUE!</v>
      </c>
      <c r="CP43" s="27" t="e">
        <f>VLOOKUP(CP42*1, BM$2:BO$12, 3, TRUE)*BO$1</f>
        <v>#VALUE!</v>
      </c>
      <c r="CQ43" s="27" t="e">
        <f>VLOOKUP(CQ42*1, BP$2:BR$12, 3, TRUE)*BR$1</f>
        <v>#VALUE!</v>
      </c>
      <c r="CR43" s="27" t="e">
        <f>VLOOKUP(CR42*1, BS$2:BU$12, 3, TRUE)*BU$1</f>
        <v>#VALUE!</v>
      </c>
      <c r="CU43" s="60" t="e">
        <f>VLOOKUP(CU42*1, BM$28:BO$38, 3, TRUE)*BO$27</f>
        <v>#VALUE!</v>
      </c>
      <c r="CV43" s="60" t="e">
        <f>VLOOKUP(CV42*1, BP$28:BR$38, 3, TRUE)*BR$27</f>
        <v>#VALUE!</v>
      </c>
      <c r="CY43" s="60" t="e">
        <f>VLOOKUP(CY42*1, BS$28:BU$38, 3, TRUE)*BU$27</f>
        <v>#VALUE!</v>
      </c>
      <c r="CZ43" s="60" t="e">
        <f>VLOOKUP(CZ42*1, BV$28:BX$38, 3, TRUE)*BX$27</f>
        <v>#VALUE!</v>
      </c>
      <c r="DA43" s="60" t="e">
        <f>VLOOKUP(DA42*1, BY$28:CA$38, 3, TRUE)*CA$27</f>
        <v>#VALUE!</v>
      </c>
      <c r="DF43" s="33"/>
      <c r="DH43" s="40" t="e">
        <f>DJ43+DL43+DM43+DN43+DO43-DP43-DQ43+DR43</f>
        <v>#VALUE!</v>
      </c>
      <c r="DI43" s="42" t="e">
        <f>DU43+DX43+EA43+ED43+EE43+EF43</f>
        <v>#VALUE!</v>
      </c>
      <c r="DJ43" s="38" t="e">
        <f>VLOOKUP(DJ42*1, FK$2:FM$12, 3, TRUE)*FM$1</f>
        <v>#VALUE!</v>
      </c>
      <c r="DL43" s="38" t="e">
        <f>VLOOKUP(DL42*1, FN$2:FP$12, 3, TRUE)*FP$1</f>
        <v>#VALUE!</v>
      </c>
      <c r="DM43" s="38" t="e">
        <f>VLOOKUP(DM42*1, FQ$2:FS$12, 3, TRUE)*FS$1</f>
        <v>#VALUE!</v>
      </c>
      <c r="DN43" s="38" t="e">
        <f>VLOOKUP(DN42*1, FT$2:FV$12, 3, TRUE)*FV$1</f>
        <v>#VALUE!</v>
      </c>
      <c r="DO43" s="38" t="e">
        <f>VLOOKUP(DO42*1, FW$2:FY$12, 3, TRUE)*FY$1</f>
        <v>#VALUE!</v>
      </c>
      <c r="DP43" s="39" t="e">
        <f>VLOOKUP(DP42*1, FK$14:FM$25, 3, TRUE)*FM$14</f>
        <v>#VALUE!</v>
      </c>
      <c r="DQ43" s="39" t="e">
        <f>VLOOKUP(DQ42*1, FN$14:FP$25, 3, TRUE)*FP$14</f>
        <v>#VALUE!</v>
      </c>
      <c r="DR43" s="38" t="e">
        <f>VLOOKUP(DR42*1, FQ$14:FS$25, 3, TRUE)*FS$14</f>
        <v>#VALUE!</v>
      </c>
      <c r="DU43" s="41" t="e">
        <f>VLOOKUP(DU42*1, FK$27:FM$38, 3, TRUE)*FM$27</f>
        <v>#VALUE!</v>
      </c>
      <c r="DX43" s="41" t="e">
        <f>VLOOKUP(DX42*1, FN$27:FP$38, 3, TRUE)*FP$27</f>
        <v>#VALUE!</v>
      </c>
      <c r="EA43" s="41" t="e">
        <f>VLOOKUP(EA42*1, FQ$27:FS$38, 3, TRUE)*FS$27</f>
        <v>#VALUE!</v>
      </c>
      <c r="ED43" s="41" t="e">
        <f>VLOOKUP(ED42*1, FT$27:FV$38, 3, TRUE)*FV$27</f>
        <v>#VALUE!</v>
      </c>
      <c r="EE43" s="41" t="e">
        <f>VLOOKUP(EE42*1, FW$27:FY$38, 3, TRUE)*FY$27</f>
        <v>#VALUE!</v>
      </c>
      <c r="EF43" s="41" t="e">
        <f>VLOOKUP(EF42*1, FK$40:FM$51, 3, TRUE)*FM$40</f>
        <v>#VALUE!</v>
      </c>
      <c r="EG43" s="57"/>
      <c r="EI43" s="33"/>
      <c r="EK43" s="40">
        <f>EM43+EO43+EP43+EQ43+ER43-ES43-ET43+EU43</f>
        <v>1.2000000000000002</v>
      </c>
      <c r="EL43" s="42" t="e">
        <f>EX43+FA43+FD43+FG43+FH43+FI43</f>
        <v>#N/A</v>
      </c>
      <c r="EM43" s="38">
        <f>VLOOKUP(EM42*1, $FK$2:$FM$12, 3, TRUE)*$FM$1</f>
        <v>0.5</v>
      </c>
      <c r="EO43" s="38">
        <f>VLOOKUP(EO42*1, $FN$2:$FP$12, 3, TRUE)*$FP$1</f>
        <v>0.3</v>
      </c>
      <c r="EP43" s="38">
        <f>VLOOKUP(EP42*1, $FQ$2:$FS$12, 3, TRUE)*$FS$1</f>
        <v>0</v>
      </c>
      <c r="EQ43" s="38">
        <f>VLOOKUP(EQ42*1, $FT$2:$FV$12, 3, TRUE)*$FV$1</f>
        <v>0.4</v>
      </c>
      <c r="ER43" s="38">
        <f>VLOOKUP(ER42*1, $FW$2:$FY$12, 3, TRUE)*$FY$1</f>
        <v>0.5</v>
      </c>
      <c r="ES43" s="39">
        <f>VLOOKUP(ES42*1, $FK$14:$FM$25, 3, TRUE)*$FM$14</f>
        <v>1</v>
      </c>
      <c r="ET43" s="39">
        <f>VLOOKUP(ET42*1, $FN$14:$FP$25, 3, TRUE)*$FP$14</f>
        <v>1</v>
      </c>
      <c r="EU43" s="38">
        <f>VLOOKUP(EU42*1, $FQ$14:$FS$25, 3, TRUE)*$FS$14</f>
        <v>1.5</v>
      </c>
      <c r="EX43" s="41">
        <f>VLOOKUP(EX42*1, $FK$27:$FM$38, 3, TRUE)*$FM$27</f>
        <v>0</v>
      </c>
      <c r="FA43" s="41" t="e">
        <f>VLOOKUP(FA42*1, $FN$27:$FP$38, 3, TRUE)*$FP$27</f>
        <v>#N/A</v>
      </c>
      <c r="FD43" s="41">
        <f>VLOOKUP(FD42*1, $FQ$27:$FS$38, 3, TRUE)*$FS$27</f>
        <v>0</v>
      </c>
      <c r="FG43" s="41">
        <f>VLOOKUP(FG42*1, $FT$27:$FV$38, 3, TRUE)*$FV$27</f>
        <v>0</v>
      </c>
      <c r="FH43" s="41">
        <f>VLOOKUP(FH42*1, $FW$27:$FY$38, 3, TRUE)*$FY$27</f>
        <v>1.5</v>
      </c>
      <c r="FI43" s="41">
        <f>VLOOKUP(FI42*1, $FK$40:$FM$51, 3, TRUE)*$FM$40</f>
        <v>3.5</v>
      </c>
      <c r="FK43" s="22">
        <v>0.34</v>
      </c>
      <c r="FL43" s="19">
        <v>0.4</v>
      </c>
      <c r="FM43" s="23">
        <v>2</v>
      </c>
    </row>
    <row r="44" spans="22:181">
      <c r="BM44" s="54"/>
      <c r="BN44" s="54"/>
      <c r="BO44" s="54"/>
      <c r="CB44" s="19" t="e">
        <f>AF23</f>
        <v>#N/A</v>
      </c>
      <c r="CD44" s="1" t="str">
        <f>AG23</f>
        <v/>
      </c>
      <c r="CE44" s="1" t="str">
        <f t="shared" ref="CE44:DD44" si="23">AL23</f>
        <v/>
      </c>
      <c r="CF44" s="1" t="str">
        <f t="shared" si="23"/>
        <v/>
      </c>
      <c r="CG44" s="1" t="str">
        <f t="shared" si="23"/>
        <v/>
      </c>
      <c r="CH44" s="1" t="str">
        <f t="shared" si="23"/>
        <v/>
      </c>
      <c r="CI44" s="1" t="str">
        <f t="shared" si="23"/>
        <v/>
      </c>
      <c r="CJ44" s="1" t="str">
        <f t="shared" si="23"/>
        <v/>
      </c>
      <c r="CK44" s="1" t="str">
        <f t="shared" si="23"/>
        <v/>
      </c>
      <c r="CL44" s="1" t="str">
        <f t="shared" si="23"/>
        <v/>
      </c>
      <c r="CM44" s="1" t="str">
        <f t="shared" si="23"/>
        <v/>
      </c>
      <c r="CN44" s="1" t="str">
        <f t="shared" si="23"/>
        <v/>
      </c>
      <c r="CO44" s="1" t="str">
        <f t="shared" si="23"/>
        <v/>
      </c>
      <c r="CP44" s="1" t="str">
        <f t="shared" si="23"/>
        <v/>
      </c>
      <c r="CQ44" s="1" t="str">
        <f t="shared" si="23"/>
        <v/>
      </c>
      <c r="CR44" s="1" t="str">
        <f t="shared" si="23"/>
        <v/>
      </c>
      <c r="CS44" s="1" t="str">
        <f t="shared" si="23"/>
        <v/>
      </c>
      <c r="CT44" s="1" t="str">
        <f t="shared" si="23"/>
        <v/>
      </c>
      <c r="CU44" s="1" t="str">
        <f t="shared" si="23"/>
        <v/>
      </c>
      <c r="CV44" s="1" t="str">
        <f t="shared" si="23"/>
        <v/>
      </c>
      <c r="CW44" s="1" t="str">
        <f t="shared" si="23"/>
        <v/>
      </c>
      <c r="CX44" s="1" t="str">
        <f t="shared" si="23"/>
        <v/>
      </c>
      <c r="CY44" s="1" t="str">
        <f t="shared" si="23"/>
        <v/>
      </c>
      <c r="CZ44" s="1" t="str">
        <f t="shared" si="23"/>
        <v/>
      </c>
      <c r="DA44" s="1" t="str">
        <f t="shared" si="23"/>
        <v/>
      </c>
      <c r="DB44" s="1" t="str">
        <f t="shared" si="23"/>
        <v/>
      </c>
      <c r="DC44" s="1" t="str">
        <f t="shared" si="23"/>
        <v/>
      </c>
      <c r="DD44" s="1" t="str">
        <f t="shared" si="23"/>
        <v/>
      </c>
      <c r="DF44" s="37" t="str">
        <f>先發名單!K$3</f>
        <v>Nolan Gorman</v>
      </c>
      <c r="DG44" s="4" t="str">
        <f t="array" ref="DG44">IFERROR(INDEX(球員狀態!$C$2:$C$5000, MATCH(1, (球員狀態!$A$2:$A$5000=$DF$31)*(ISNUMBER(SEARCH($DF44, 球員狀態!$B$2:$B$5000))), 0)), "")</f>
        <v>2B</v>
      </c>
      <c r="DJ44" s="4" t="str">
        <f t="array" ref="DJ44">IFERROR(INDEX(球員狀態!$F$2:$F$5000, MATCH(1, (球員狀態!$A$2:$A$5000=$DF$31)*(ISNUMBER(SEARCH($DF44, 球員狀態!$B$2:$B$5000))), 0)), "")</f>
        <v>10</v>
      </c>
      <c r="DK44" s="4" t="str">
        <f t="array" ref="DK44">IFERROR(INDEX(球員狀態!$G$2:$G$5000, MATCH(1, (球員狀態!$A$2:$A$5000=$DF$1)*(ISNUMBER(SEARCH($DF44, 球員狀態!$B$2:$B$5000))), 0)), "")</f>
        <v/>
      </c>
      <c r="DL44" s="4" t="str">
        <f t="array" ref="DL44">IFERROR(INDEX(球員狀態!H$2:H$5000, MATCH(1, (球員狀態!$A$2:$A$5000=$DF$31)*(ISNUMBER(SEARCH($DF44, 球員狀態!$B$2:$B$5000))), 0)), "")</f>
        <v>2</v>
      </c>
      <c r="DM44" s="4" t="str">
        <f t="array" ref="DM44">IFERROR(INDEX(球員狀態!I$2:I$5000, MATCH(1, (球員狀態!$A$2:$A$5000=$DF$31)*(ISNUMBER(SEARCH($DF44, 球員狀態!$B$2:$B$5000))), 0)), "")</f>
        <v>0</v>
      </c>
      <c r="DN44" s="4" t="str">
        <f t="array" ref="DN44">IFERROR(INDEX(球員狀態!J$2:J$5000, MATCH(1, (球員狀態!$A$2:$A$5000=$DF$31)*(ISNUMBER(SEARCH($DF44, 球員狀態!$B$2:$B$5000))), 0)), "")</f>
        <v>3</v>
      </c>
      <c r="DO44" s="4" t="str">
        <f t="array" ref="DO44">IFERROR(INDEX(球員狀態!K$2:K$5000, MATCH(1, (球員狀態!$A$2:$A$5000=$DF$31)*(ISNUMBER(SEARCH($DF44, 球員狀態!$B$2:$B$5000))), 0)), "")</f>
        <v>15</v>
      </c>
      <c r="DP44" s="4" t="str">
        <f t="array" ref="DP44">IFERROR(INDEX(球員狀態!L$2:L$5000, MATCH(1, (球員狀態!$A$2:$A$5000=$DF$31)*(ISNUMBER(SEARCH($DF44, 球員狀態!$B$2:$B$5000))), 0)), "")</f>
        <v>31</v>
      </c>
      <c r="DQ44" s="4" t="str">
        <f t="array" ref="DQ44">IFERROR(INDEX(球員狀態!M$2:M$5000, MATCH(1, (球員狀態!$A$2:$A$5000=$DF$31)*(ISNUMBER(SEARCH($DF44, 球員狀態!$B$2:$B$5000))), 0)), "")</f>
        <v>10</v>
      </c>
      <c r="DR44" s="4" t="str">
        <f t="array" ref="DR44">IFERROR(INDEX(球員狀態!N$2:N$5000, MATCH(1, (球員狀態!$A$2:$A$5000=$DF$31)*(ISNUMBER(SEARCH($DF44, 球員狀態!$B$2:$B$5000))), 0)), "")</f>
        <v>29</v>
      </c>
      <c r="DS44" s="4" t="str">
        <f t="array" ref="DS44">IFERROR(INDEX(球員狀態!O$2:O$5000, MATCH(1, (球員狀態!$A$2:$A$5000=$DF$1)*(ISNUMBER(SEARCH($DF44, 球員狀態!$B$2:$B$5000))), 0)), "")</f>
        <v/>
      </c>
      <c r="DT44" s="4" t="str">
        <f t="array" ref="DT44">IFERROR(INDEX(球員狀態!P$2:P$5000, MATCH(1, (球員狀態!$A$2:$A$5000=$DF$1)*(ISNUMBER(SEARCH($DF44, 球員狀態!$B$2:$B$5000))), 0)), "")</f>
        <v/>
      </c>
      <c r="DU44" s="4" t="str">
        <f t="array" ref="DU44">IFERROR(INDEX(球員狀態!Q$2:Q$5000, MATCH(1, (球員狀態!$A$2:$A$5000=$DF$31)*(ISNUMBER(SEARCH($DF44, 球員狀態!$B$2:$B$5000))), 0)), "")</f>
        <v>.297</v>
      </c>
      <c r="DV44" s="4" t="str">
        <f t="array" ref="DV44">IFERROR(INDEX(球員狀態!R$2:R$5000, MATCH(1, (球員狀態!$A$2:$A$5000=$DF$1)*(ISNUMBER(SEARCH($DF44, 球員狀態!$B$2:$B$5000))), 0)), "")</f>
        <v/>
      </c>
      <c r="DW44" s="4" t="str">
        <f t="array" ref="DW44">IFERROR(INDEX(球員狀態!S$2:S$5000, MATCH(1, (球員狀態!$A$2:$A$5000=$DF$1)*(ISNUMBER(SEARCH($DF44, 球員狀態!$B$2:$B$5000))), 0)), "")</f>
        <v/>
      </c>
      <c r="DX44" s="4" t="str">
        <f t="array" ref="DX44">IFERROR(INDEX(球員狀態!T$2:T$5000, MATCH(1, (球員狀態!$A$2:$A$5000=$DF$31)*(ISNUMBER(SEARCH($DF44, 球員狀態!$B$2:$B$5000))), 0)), "")</f>
        <v>0.2</v>
      </c>
      <c r="DY44" s="4" t="str">
        <f t="array" ref="DY44">IFERROR(INDEX(球員狀態!U$2:U$5000, MATCH(1, (球員狀態!$A$2:$A$5000=$DF$1)*(ISNUMBER(SEARCH($DF44, 球員狀態!$B$2:$B$5000))), 0)), "")</f>
        <v/>
      </c>
      <c r="DZ44" s="4" t="str">
        <f t="array" ref="DZ44">IFERROR(INDEX(球員狀態!V$2:V$5000, MATCH(1, (球員狀態!$A$2:$A$5000=$DF$1)*(ISNUMBER(SEARCH($DF44, 球員狀態!$B$2:$B$5000))), 0)), "")</f>
        <v/>
      </c>
      <c r="EA44" s="4" t="str">
        <f t="array" ref="EA44">IFERROR(INDEX(球員狀態!W$2:W$5000, MATCH(1, (球員狀態!$A$2:$A$5000=$DF$31)*(ISNUMBER(SEARCH($DF44, 球員狀態!$B$2:$B$5000))), 0)), "")</f>
        <v>.099</v>
      </c>
      <c r="EB44" s="4" t="str">
        <f t="array" ref="EB44">IFERROR(INDEX(球員狀態!X$2:X$5000, MATCH(1, (球員狀態!$A$2:$A$5000=$DF$1)*(ISNUMBER(SEARCH($DF44, 球員狀態!$B$2:$B$5000))), 0)), "")</f>
        <v/>
      </c>
      <c r="EC44" s="4" t="str">
        <f t="array" ref="EC44">IFERROR(INDEX(球員狀態!Y$2:Y$5000, MATCH(1, (球員狀態!$A$2:$A$5000=$DF$1)*(ISNUMBER(SEARCH($DF44, 球員狀態!$B$2:$B$5000))), 0)), "")</f>
        <v/>
      </c>
      <c r="ED44" s="4" t="str">
        <f t="array" ref="ED44">IFERROR(INDEX(球員狀態!Z$2:Z$5000, MATCH(1, (球員狀態!$A$2:$A$5000=$DF$31)*(ISNUMBER(SEARCH($DF44, 球員狀態!$B$2:$B$5000))), 0)), "")</f>
        <v>.236</v>
      </c>
      <c r="EE44" s="4" t="str">
        <f t="array" ref="EE44">IFERROR(INDEX(球員狀態!AA$2:AA$5000, MATCH(1, (球員狀態!$A$2:$A$5000=$DF$31)*(ISNUMBER(SEARCH($DF44, 球員狀態!$B$2:$B$5000))), 0)), "")</f>
        <v>4.18</v>
      </c>
      <c r="EF44" s="4" t="str">
        <f t="array" ref="EF44">IFERROR(INDEX(球員狀態!AB$2:AB$5000, MATCH(1, (球員狀態!$A$2:$A$5000=$DF$31)*(ISNUMBER(SEARCH($DF44, 球員狀態!$B$2:$B$5000))), 0)), "")</f>
        <v>5</v>
      </c>
      <c r="EG44" s="56"/>
      <c r="EI44" s="37" t="str">
        <f>先發名單!U$3</f>
        <v>M. Ozuna</v>
      </c>
      <c r="EJ44" s="4" t="str">
        <f t="array" ref="EJ44">IFERROR(INDEX(球員狀態!$C$2:$C$5000, MATCH(1, (球員狀態!$A$2:$A$5000=$EI$31)*(ISNUMBER(SEARCH($EI44, 球員狀態!$B$2:$B$5000))), 0)), "")</f>
        <v/>
      </c>
      <c r="EM44" s="4" t="str">
        <f t="array" ref="EM44">IFERROR(INDEX(球員狀態!F$2:F$5000, MATCH(1, (球員狀態!$A$2:$A$5000=$EI$31)*(ISNUMBER(SEARCH($EI44, 球員狀態!$B$2:$B$5000))), 0)), "")</f>
        <v/>
      </c>
      <c r="EN44" s="4" t="str">
        <f t="array" ref="EN44">IFERROR(INDEX(球員狀態!G$2:G$5000, MATCH(1, (球員狀態!$A$2:$A$5000=$EI$1)*(ISNUMBER(SEARCH($EI44, 球員狀態!$B$2:$B$5000))), 0)), "")</f>
        <v/>
      </c>
      <c r="EO44" s="4" t="str">
        <f t="array" ref="EO44">IFERROR(INDEX(球員狀態!H$2:H$5000, MATCH(1, (球員狀態!$A$2:$A$5000=$EI$31)*(ISNUMBER(SEARCH($EI44, 球員狀態!$B$2:$B$5000))), 0)), "")</f>
        <v/>
      </c>
      <c r="EP44" s="4" t="str">
        <f t="array" ref="EP44">IFERROR(INDEX(球員狀態!I$2:I$5000, MATCH(1, (球員狀態!$A$2:$A$5000=$EI$31)*(ISNUMBER(SEARCH($EI44, 球員狀態!$B$2:$B$5000))), 0)), "")</f>
        <v/>
      </c>
      <c r="EQ44" s="4" t="str">
        <f t="array" ref="EQ44">IFERROR(INDEX(球員狀態!J$2:J$5000, MATCH(1, (球員狀態!$A$2:$A$5000=$EI$31)*(ISNUMBER(SEARCH($EI44, 球員狀態!$B$2:$B$5000))), 0)), "")</f>
        <v/>
      </c>
      <c r="ER44" s="4" t="str">
        <f t="array" ref="ER44">IFERROR(INDEX(球員狀態!K$2:K$5000, MATCH(1, (球員狀態!$A$2:$A$5000=$EI$31)*(ISNUMBER(SEARCH($EI44, 球員狀態!$B$2:$B$5000))), 0)), "")</f>
        <v/>
      </c>
      <c r="ES44" s="4" t="str">
        <f t="array" ref="ES44">IFERROR(INDEX(球員狀態!L$2:L$5000, MATCH(1, (球員狀態!$A$2:$A$5000=$EI$31)*(ISNUMBER(SEARCH($EI44, 球員狀態!$B$2:$B$5000))), 0)), "")</f>
        <v/>
      </c>
      <c r="ET44" s="4" t="str">
        <f t="array" ref="ET44">IFERROR(INDEX(球員狀態!M$2:M$5000, MATCH(1, (球員狀態!$A$2:$A$5000=$EI$31)*(ISNUMBER(SEARCH($EI44, 球員狀態!$B$2:$B$5000))), 0)), "")</f>
        <v/>
      </c>
      <c r="EU44" s="4" t="str">
        <f t="array" ref="EU44">IFERROR(INDEX(球員狀態!N$2:N$5000, MATCH(1, (球員狀態!$A$2:$A$5000=$EI$31)*(ISNUMBER(SEARCH($EI44, 球員狀態!$B$2:$B$5000))), 0)), "")</f>
        <v/>
      </c>
      <c r="EV44" s="4" t="str">
        <f t="array" ref="EV44">IFERROR(INDEX(球員狀態!O$2:O$5000, MATCH(1, (球員狀態!$A$2:$A$5000=$EI$1)*(ISNUMBER(SEARCH($EI44, 球員狀態!$B$2:$B$5000))), 0)), "")</f>
        <v/>
      </c>
      <c r="EW44" s="4" t="str">
        <f t="array" ref="EW44">IFERROR(INDEX(球員狀態!P$2:P$5000, MATCH(1, (球員狀態!$A$2:$A$5000=$EI$1)*(ISNUMBER(SEARCH($EI44, 球員狀態!$B$2:$B$5000))), 0)), "")</f>
        <v/>
      </c>
      <c r="EX44" s="4" t="str">
        <f t="array" ref="EX44">IFERROR(INDEX(球員狀態!Q$2:Q$5000, MATCH(1, (球員狀態!$A$2:$A$5000=$EI$31)*(ISNUMBER(SEARCH($EI44, 球員狀態!$B$2:$B$5000))), 0)), "")</f>
        <v/>
      </c>
      <c r="EY44" s="4" t="str">
        <f t="array" ref="EY44">IFERROR(INDEX(球員狀態!R$2:R$5000, MATCH(1, (球員狀態!$A$2:$A$5000=$EI$1)*(ISNUMBER(SEARCH($EI44, 球員狀態!$B$2:$B$5000))), 0)), "")</f>
        <v/>
      </c>
      <c r="EZ44" s="4" t="str">
        <f t="array" ref="EZ44">IFERROR(INDEX(球員狀態!S$2:S$5000, MATCH(1, (球員狀態!$A$2:$A$5000=$EI$1)*(ISNUMBER(SEARCH($EI44, 球員狀態!$B$2:$B$5000))), 0)), "")</f>
        <v/>
      </c>
      <c r="FA44" s="4" t="str">
        <f t="array" ref="FA44">IFERROR(INDEX(球員狀態!T$2:T$5000, MATCH(1, (球員狀態!$A$2:$A$5000=$EI$31)*(ISNUMBER(SEARCH($EI44, 球員狀態!$B$2:$B$5000))), 0)), "")</f>
        <v/>
      </c>
      <c r="FB44" s="4" t="str">
        <f t="array" ref="FB44">IFERROR(INDEX(球員狀態!U$2:U$5000, MATCH(1, (球員狀態!$A$2:$A$5000=$EI$1)*(ISNUMBER(SEARCH($EI44, 球員狀態!$B$2:$B$5000))), 0)), "")</f>
        <v/>
      </c>
      <c r="FC44" s="4" t="str">
        <f t="array" ref="FC44">IFERROR(INDEX(球員狀態!V$2:V$5000, MATCH(1, (球員狀態!$A$2:$A$5000=$EI$1)*(ISNUMBER(SEARCH($EI44, 球員狀態!$B$2:$B$5000))), 0)), "")</f>
        <v/>
      </c>
      <c r="FD44" s="4" t="str">
        <f t="array" ref="FD44">IFERROR(INDEX(球員狀態!W$2:W$5000, MATCH(1, (球員狀態!$A$2:$A$5000=$EI$31)*(ISNUMBER(SEARCH($EI44, 球員狀態!$B$2:$B$5000))), 0)), "")</f>
        <v/>
      </c>
      <c r="FE44" s="4" t="str">
        <f t="array" ref="FE44">IFERROR(INDEX(球員狀態!X$2:X$5000, MATCH(1, (球員狀態!$A$2:$A$5000=$EI$1)*(ISNUMBER(SEARCH($EI44, 球員狀態!$B$2:$B$5000))), 0)), "")</f>
        <v/>
      </c>
      <c r="FF44" s="4" t="str">
        <f t="array" ref="FF44">IFERROR(INDEX(球員狀態!Y$2:Y$5000, MATCH(1, (球員狀態!$A$2:$A$5000=$EI$1)*(ISNUMBER(SEARCH($EI44, 球員狀態!$B$2:$B$5000))), 0)), "")</f>
        <v/>
      </c>
      <c r="FG44" s="4" t="str">
        <f t="array" ref="FG44">IFERROR(INDEX(球員狀態!Z$2:Z$5000, MATCH(1, (球員狀態!$A$2:$A$5000=$EI$31)*(ISNUMBER(SEARCH($EI44, 球員狀態!$B$2:$B$5000))), 0)), "")</f>
        <v/>
      </c>
      <c r="FH44" s="4" t="str">
        <f t="array" ref="FH44">IFERROR(INDEX(球員狀態!AA$2:AA$5000, MATCH(1, (球員狀態!$A$2:$A$5000=$EI$31)*(ISNUMBER(SEARCH($EI44, 球員狀態!$B$2:$B$5000))), 0)), "")</f>
        <v/>
      </c>
      <c r="FI44" s="4" t="str">
        <f t="array" ref="FI44">IFERROR(INDEX(球員狀態!AB$2:AB$5000, MATCH(1, (球員狀態!$A$2:$A$5000=$EI$31)*(ISNUMBER(SEARCH($EI44, 球員狀態!$B$2:$B$5000))), 0)), "")</f>
        <v/>
      </c>
      <c r="FK44" s="22">
        <v>0.41</v>
      </c>
      <c r="FL44" s="19">
        <v>0.46</v>
      </c>
      <c r="FM44" s="23">
        <v>3</v>
      </c>
    </row>
    <row r="45" spans="22:181">
      <c r="BM45" s="54"/>
      <c r="BN45" s="54"/>
      <c r="BO45" s="54"/>
      <c r="CB45" s="28" t="e">
        <f>CF45+CJ45+CK45+CM45+CO45+CP45+CQ45+CR45</f>
        <v>#VALUE!</v>
      </c>
      <c r="CC45" s="31" t="e">
        <f>CU45+CV45+CY45+CZ45+DA45</f>
        <v>#VALUE!</v>
      </c>
      <c r="CF45" s="27" t="e">
        <f>VLOOKUP(ROUND(CF44/CD44, 2), $BV$2:$BX$12, 3, TRUE)*BX$1</f>
        <v>#VALUE!</v>
      </c>
      <c r="CJ45" s="27" t="e">
        <f>VLOOKUP(ROUND(CJ44/CD44, 2), $BM$15:$BO$25, 3, TRUE)*BO$14</f>
        <v>#VALUE!</v>
      </c>
      <c r="CK45" s="27" t="e">
        <f>VLOOKUP(ROUND(CK44/CD44, 2), $BY$2:$CA$12, 3, TRUE)*CA$1</f>
        <v>#VALUE!</v>
      </c>
      <c r="CM45" s="101" t="e">
        <f>VLOOKUP(ROUND(CM44/CN44, 2), $BP$15:$BR$25, 3, TRUE)*BR$14</f>
        <v>#VALUE!</v>
      </c>
      <c r="CN45" s="78"/>
      <c r="CO45" s="27" t="e">
        <f>VLOOKUP(ROUND(CO44/CD44, 2), $BS$15:$BU$25, 3, TRUE)*BU$14</f>
        <v>#VALUE!</v>
      </c>
      <c r="CP45" s="27" t="e">
        <f>VLOOKUP(CP44*1, BM$2:BO$12, 3, TRUE)*BO$1</f>
        <v>#VALUE!</v>
      </c>
      <c r="CQ45" s="27" t="e">
        <f>VLOOKUP(CQ44*1, BP$2:BR$12, 3, TRUE)*BR$1</f>
        <v>#VALUE!</v>
      </c>
      <c r="CR45" s="27" t="e">
        <f>VLOOKUP(CR44*1, BS$2:BU$12, 3, TRUE)*BU$1</f>
        <v>#VALUE!</v>
      </c>
      <c r="CU45" s="60" t="e">
        <f>VLOOKUP(CU44*1, BM$28:BO$38, 3, TRUE)*BO$27</f>
        <v>#VALUE!</v>
      </c>
      <c r="CV45" s="60" t="e">
        <f>VLOOKUP(CV44*1, BP$28:BR$38, 3, TRUE)*BR$27</f>
        <v>#VALUE!</v>
      </c>
      <c r="CY45" s="60" t="e">
        <f>VLOOKUP(CY44*1, BS$28:BU$38, 3, TRUE)*BU$27</f>
        <v>#VALUE!</v>
      </c>
      <c r="CZ45" s="60" t="e">
        <f>VLOOKUP(CZ44*1, BV$28:BX$38, 3, TRUE)*BX$27</f>
        <v>#VALUE!</v>
      </c>
      <c r="DA45" s="60" t="e">
        <f>VLOOKUP(DA44*1, BY$28:CA$38, 3, TRUE)*CA$27</f>
        <v>#VALUE!</v>
      </c>
      <c r="DH45" s="40">
        <f>DJ45+DL45+DM45+DN45+DO45-DP45-DQ45+DR45</f>
        <v>1.9</v>
      </c>
      <c r="DI45" s="42">
        <f>DU45+DX45+EA45+ED45+EE45+EF45</f>
        <v>5</v>
      </c>
      <c r="DJ45" s="38">
        <f>VLOOKUP(DJ44*1, FK$2:FM$12, 3, TRUE)*FM$1</f>
        <v>0.75</v>
      </c>
      <c r="DL45" s="38">
        <f>VLOOKUP(DL44*1, FN$2:FP$12, 3, TRUE)*FP$1</f>
        <v>0.15</v>
      </c>
      <c r="DM45" s="38">
        <f>VLOOKUP(DM44*1, FQ$2:FS$12, 3, TRUE)*FS$1</f>
        <v>0</v>
      </c>
      <c r="DN45" s="38">
        <f>VLOOKUP(DN44*1, FT$2:FV$12, 3, TRUE)*FV$1</f>
        <v>1</v>
      </c>
      <c r="DO45" s="38">
        <f>VLOOKUP(DO44*1, FW$2:FY$12, 3, TRUE)*FY$1</f>
        <v>0.5</v>
      </c>
      <c r="DP45" s="39">
        <f>VLOOKUP(DP44*1, FK$14:FM$25, 3, TRUE)*FM$14</f>
        <v>1</v>
      </c>
      <c r="DQ45" s="39">
        <f>VLOOKUP(DQ44*1, FN$14:FP$25, 3, TRUE)*FP$14</f>
        <v>1</v>
      </c>
      <c r="DR45" s="38">
        <f>VLOOKUP(DR44*1, FQ$14:FS$25, 3, TRUE)*FS$14</f>
        <v>1.5</v>
      </c>
      <c r="DU45" s="41">
        <f>VLOOKUP(DU44*1, FK$27:FM$38, 3, TRUE)*FM$27</f>
        <v>0</v>
      </c>
      <c r="DX45" s="41">
        <f>VLOOKUP(DX44*1, FN$27:FP$38, 3, TRUE)*FP$27</f>
        <v>0</v>
      </c>
      <c r="EA45" s="41">
        <f>VLOOKUP(EA44*1, FQ$27:FS$38, 3, TRUE)*FS$27</f>
        <v>0</v>
      </c>
      <c r="ED45" s="41">
        <f>VLOOKUP(ED44*1, FT$27:FV$38, 3, TRUE)*FV$27</f>
        <v>0</v>
      </c>
      <c r="EE45" s="41">
        <f>VLOOKUP(EE44*1, FW$27:FY$38, 3, TRUE)*FY$27</f>
        <v>1.5</v>
      </c>
      <c r="EF45" s="41">
        <f>VLOOKUP(EF44*1, FK$40:FM$51, 3, TRUE)*FM$40</f>
        <v>3.5</v>
      </c>
      <c r="EG45" s="57"/>
      <c r="EK45" s="40" t="e">
        <f>EM45+EO45+EP45+EQ45+ER45-ES45-ET45+EU45</f>
        <v>#VALUE!</v>
      </c>
      <c r="EL45" s="42" t="e">
        <f>EX45+FA45+FD45+FG45+FH45+FI45</f>
        <v>#VALUE!</v>
      </c>
      <c r="EM45" s="38" t="e">
        <f>VLOOKUP(EM44*1, $FK$2:$FM$12, 3, TRUE)*$FM$1</f>
        <v>#VALUE!</v>
      </c>
      <c r="EO45" s="38" t="e">
        <f>VLOOKUP(EO44*1, $FN$2:$FP$12, 3, TRUE)*$FP$1</f>
        <v>#VALUE!</v>
      </c>
      <c r="EP45" s="38" t="e">
        <f>VLOOKUP(EP44*1, $FQ$2:$FS$12, 3, TRUE)*$FS$1</f>
        <v>#VALUE!</v>
      </c>
      <c r="EQ45" s="38" t="e">
        <f>VLOOKUP(EQ44*1, $FT$2:$FV$12, 3, TRUE)*$FV$1</f>
        <v>#VALUE!</v>
      </c>
      <c r="ER45" s="38" t="e">
        <f>VLOOKUP(ER44*1, $FW$2:$FY$12, 3, TRUE)*$FY$1</f>
        <v>#VALUE!</v>
      </c>
      <c r="ES45" s="39" t="e">
        <f>VLOOKUP(ES44*1, $FK$14:$FM$25, 3, TRUE)*$FM$14</f>
        <v>#VALUE!</v>
      </c>
      <c r="ET45" s="39" t="e">
        <f>VLOOKUP(ET44*1, $FN$14:$FP$25, 3, TRUE)*$FP$14</f>
        <v>#VALUE!</v>
      </c>
      <c r="EU45" s="38" t="e">
        <f>VLOOKUP(EU44*1, $FQ$14:$FS$25, 3, TRUE)*$FS$14</f>
        <v>#VALUE!</v>
      </c>
      <c r="EX45" s="41" t="e">
        <f>VLOOKUP(EX44*1, $FK$27:$FM$38, 3, TRUE)*$FM$27</f>
        <v>#VALUE!</v>
      </c>
      <c r="FA45" s="41" t="e">
        <f>VLOOKUP(FA44*1, $FN$27:$FP$38, 3, TRUE)*$FP$27</f>
        <v>#VALUE!</v>
      </c>
      <c r="FD45" s="41" t="e">
        <f>VLOOKUP(FD44*1, $FQ$27:$FS$38, 3, TRUE)*$FS$27</f>
        <v>#VALUE!</v>
      </c>
      <c r="FG45" s="41" t="e">
        <f>VLOOKUP(FG44*1, $FT$27:$FV$38, 3, TRUE)*$FV$27</f>
        <v>#VALUE!</v>
      </c>
      <c r="FH45" s="41" t="e">
        <f>VLOOKUP(FH44*1, $FW$27:$FY$38, 3, TRUE)*$FY$27</f>
        <v>#VALUE!</v>
      </c>
      <c r="FI45" s="41" t="e">
        <f>VLOOKUP(FI44*1, $FK$40:$FM$51, 3, TRUE)*$FM$40</f>
        <v>#VALUE!</v>
      </c>
      <c r="FK45" s="22">
        <v>0.47</v>
      </c>
      <c r="FL45" s="19">
        <v>0.5</v>
      </c>
      <c r="FM45" s="23">
        <v>4</v>
      </c>
    </row>
    <row r="46" spans="22:181">
      <c r="BM46" s="54"/>
      <c r="BN46" s="54"/>
      <c r="BO46" s="54"/>
      <c r="CB46" s="19" t="e">
        <f>AF24</f>
        <v>#N/A</v>
      </c>
      <c r="CD46" s="1" t="str">
        <f>AG24</f>
        <v/>
      </c>
      <c r="CE46" s="1" t="str">
        <f t="shared" ref="CE46:DD46" si="24">AL24</f>
        <v/>
      </c>
      <c r="CF46" s="1" t="str">
        <f t="shared" si="24"/>
        <v/>
      </c>
      <c r="CG46" s="1" t="str">
        <f t="shared" si="24"/>
        <v/>
      </c>
      <c r="CH46" s="1" t="str">
        <f t="shared" si="24"/>
        <v/>
      </c>
      <c r="CI46" s="1" t="str">
        <f t="shared" si="24"/>
        <v/>
      </c>
      <c r="CJ46" s="1" t="str">
        <f t="shared" si="24"/>
        <v/>
      </c>
      <c r="CK46" s="1" t="str">
        <f t="shared" si="24"/>
        <v/>
      </c>
      <c r="CL46" s="1" t="str">
        <f t="shared" si="24"/>
        <v/>
      </c>
      <c r="CM46" s="1" t="str">
        <f t="shared" si="24"/>
        <v/>
      </c>
      <c r="CN46" s="1" t="str">
        <f t="shared" si="24"/>
        <v/>
      </c>
      <c r="CO46" s="1" t="str">
        <f t="shared" si="24"/>
        <v/>
      </c>
      <c r="CP46" s="1" t="str">
        <f t="shared" si="24"/>
        <v/>
      </c>
      <c r="CQ46" s="1" t="str">
        <f t="shared" si="24"/>
        <v/>
      </c>
      <c r="CR46" s="1" t="str">
        <f t="shared" si="24"/>
        <v/>
      </c>
      <c r="CS46" s="1" t="str">
        <f t="shared" si="24"/>
        <v/>
      </c>
      <c r="CT46" s="1" t="str">
        <f t="shared" si="24"/>
        <v/>
      </c>
      <c r="CU46" s="1" t="str">
        <f t="shared" si="24"/>
        <v/>
      </c>
      <c r="CV46" s="1" t="str">
        <f t="shared" si="24"/>
        <v/>
      </c>
      <c r="CW46" s="1" t="str">
        <f t="shared" si="24"/>
        <v/>
      </c>
      <c r="CX46" s="1" t="str">
        <f t="shared" si="24"/>
        <v/>
      </c>
      <c r="CY46" s="1" t="str">
        <f t="shared" si="24"/>
        <v/>
      </c>
      <c r="CZ46" s="1" t="str">
        <f t="shared" si="24"/>
        <v/>
      </c>
      <c r="DA46" s="1" t="str">
        <f t="shared" si="24"/>
        <v/>
      </c>
      <c r="DB46" s="1" t="str">
        <f t="shared" si="24"/>
        <v/>
      </c>
      <c r="DC46" s="1" t="str">
        <f t="shared" si="24"/>
        <v/>
      </c>
      <c r="DD46" s="1" t="str">
        <f t="shared" si="24"/>
        <v/>
      </c>
      <c r="DF46" s="37" t="str">
        <f>先發名單!L$3</f>
        <v>Masyn Winn</v>
      </c>
      <c r="DG46" s="4" t="str">
        <f t="array" ref="DG46">IFERROR(INDEX(球員狀態!$C$2:$C$5000, MATCH(1, (球員狀態!$A$2:$A$5000=$DF$31)*(ISNUMBER(SEARCH($DF46, 球員狀態!$B$2:$B$5000))), 0)), "")</f>
        <v>SS</v>
      </c>
      <c r="DJ46" s="4" t="str">
        <f t="array" ref="DJ46">IFERROR(INDEX(球員狀態!$F$2:$F$5000, MATCH(1, (球員狀態!$A$2:$A$5000=$DF$31)*(ISNUMBER(SEARCH($DF46, 球員狀態!$B$2:$B$5000))), 0)), "")</f>
        <v>13</v>
      </c>
      <c r="DK46" s="4" t="str">
        <f t="array" ref="DK46">IFERROR(INDEX(球員狀態!$G$2:$G$5000, MATCH(1, (球員狀態!$A$2:$A$5000=$DF$1)*(ISNUMBER(SEARCH($DF46, 球員狀態!$B$2:$B$5000))), 0)), "")</f>
        <v/>
      </c>
      <c r="DL46" s="4" t="str">
        <f t="array" ref="DL46">IFERROR(INDEX(球員狀態!H$2:H$5000, MATCH(1, (球員狀態!$A$2:$A$5000=$DF$31)*(ISNUMBER(SEARCH($DF46, 球員狀態!$B$2:$B$5000))), 0)), "")</f>
        <v>5</v>
      </c>
      <c r="DM46" s="4" t="str">
        <f t="array" ref="DM46">IFERROR(INDEX(球員狀態!I$2:I$5000, MATCH(1, (球員狀態!$A$2:$A$5000=$DF$31)*(ISNUMBER(SEARCH($DF46, 球員狀態!$B$2:$B$5000))), 0)), "")</f>
        <v>1</v>
      </c>
      <c r="DN46" s="4" t="str">
        <f t="array" ref="DN46">IFERROR(INDEX(球員狀態!J$2:J$5000, MATCH(1, (球員狀態!$A$2:$A$5000=$DF$31)*(ISNUMBER(SEARCH($DF46, 球員狀態!$B$2:$B$5000))), 0)), "")</f>
        <v>1</v>
      </c>
      <c r="DO46" s="4" t="str">
        <f t="array" ref="DO46">IFERROR(INDEX(球員狀態!K$2:K$5000, MATCH(1, (球員狀態!$A$2:$A$5000=$DF$31)*(ISNUMBER(SEARCH($DF46, 球員狀態!$B$2:$B$5000))), 0)), "")</f>
        <v>12</v>
      </c>
      <c r="DP46" s="4" t="str">
        <f t="array" ref="DP46">IFERROR(INDEX(球員狀態!L$2:L$5000, MATCH(1, (球員狀態!$A$2:$A$5000=$DF$31)*(ISNUMBER(SEARCH($DF46, 球員狀態!$B$2:$B$5000))), 0)), "")</f>
        <v>32</v>
      </c>
      <c r="DQ46" s="4" t="str">
        <f t="array" ref="DQ46">IFERROR(INDEX(球員狀態!M$2:M$5000, MATCH(1, (球員狀態!$A$2:$A$5000=$DF$31)*(ISNUMBER(SEARCH($DF46, 球員狀態!$B$2:$B$5000))), 0)), "")</f>
        <v>9</v>
      </c>
      <c r="DR46" s="4" t="str">
        <f t="array" ref="DR46">IFERROR(INDEX(球員狀態!N$2:N$5000, MATCH(1, (球員狀態!$A$2:$A$5000=$DF$31)*(ISNUMBER(SEARCH($DF46, 球員狀態!$B$2:$B$5000))), 0)), "")</f>
        <v>21</v>
      </c>
      <c r="DS46" s="4" t="str">
        <f t="array" ref="DS46">IFERROR(INDEX(球員狀態!O$2:O$5000, MATCH(1, (球員狀態!$A$2:$A$5000=$DF$1)*(ISNUMBER(SEARCH($DF46, 球員狀態!$B$2:$B$5000))), 0)), "")</f>
        <v/>
      </c>
      <c r="DT46" s="4" t="str">
        <f t="array" ref="DT46">IFERROR(INDEX(球員狀態!P$2:P$5000, MATCH(1, (球員狀態!$A$2:$A$5000=$DF$1)*(ISNUMBER(SEARCH($DF46, 球員狀態!$B$2:$B$5000))), 0)), "")</f>
        <v/>
      </c>
      <c r="DU46" s="4" t="str">
        <f t="array" ref="DU46">IFERROR(INDEX(球員狀態!Q$2:Q$5000, MATCH(1, (球員狀態!$A$2:$A$5000=$DF$31)*(ISNUMBER(SEARCH($DF46, 球員狀態!$B$2:$B$5000))), 0)), "")</f>
        <v>.347</v>
      </c>
      <c r="DV46" s="4" t="str">
        <f t="array" ref="DV46">IFERROR(INDEX(球員狀態!R$2:R$5000, MATCH(1, (球員狀態!$A$2:$A$5000=$DF$1)*(ISNUMBER(SEARCH($DF46, 球員狀態!$B$2:$B$5000))), 0)), "")</f>
        <v/>
      </c>
      <c r="DW46" s="4" t="str">
        <f t="array" ref="DW46">IFERROR(INDEX(球員狀態!S$2:S$5000, MATCH(1, (球員狀態!$A$2:$A$5000=$DF$1)*(ISNUMBER(SEARCH($DF46, 球員狀態!$B$2:$B$5000))), 0)), "")</f>
        <v/>
      </c>
      <c r="DX46" s="4" t="str">
        <f t="array" ref="DX46">IFERROR(INDEX(球員狀態!T$2:T$5000, MATCH(1, (球員狀態!$A$2:$A$5000=$DF$31)*(ISNUMBER(SEARCH($DF46, 球員狀態!$B$2:$B$5000))), 0)), "")</f>
        <v>1.0</v>
      </c>
      <c r="DY46" s="4" t="str">
        <f t="array" ref="DY46">IFERROR(INDEX(球員狀態!U$2:U$5000, MATCH(1, (球員狀態!$A$2:$A$5000=$DF$1)*(ISNUMBER(SEARCH($DF46, 球員狀態!$B$2:$B$5000))), 0)), "")</f>
        <v/>
      </c>
      <c r="DZ46" s="4" t="str">
        <f t="array" ref="DZ46">IFERROR(INDEX(球員狀態!V$2:V$5000, MATCH(1, (球員狀態!$A$2:$A$5000=$DF$1)*(ISNUMBER(SEARCH($DF46, 球員狀態!$B$2:$B$5000))), 0)), "")</f>
        <v/>
      </c>
      <c r="EA46" s="4" t="str">
        <f t="array" ref="EA46">IFERROR(INDEX(球員狀態!W$2:W$5000, MATCH(1, (球員狀態!$A$2:$A$5000=$DF$31)*(ISNUMBER(SEARCH($DF46, 球員狀態!$B$2:$B$5000))), 0)), "")</f>
        <v>.095</v>
      </c>
      <c r="EB46" s="4" t="str">
        <f t="array" ref="EB46">IFERROR(INDEX(球員狀態!X$2:X$5000, MATCH(1, (球員狀態!$A$2:$A$5000=$DF$1)*(ISNUMBER(SEARCH($DF46, 球員狀態!$B$2:$B$5000))), 0)), "")</f>
        <v/>
      </c>
      <c r="EC46" s="4" t="str">
        <f t="array" ref="EC46">IFERROR(INDEX(球員狀態!Y$2:Y$5000, MATCH(1, (球員狀態!$A$2:$A$5000=$DF$1)*(ISNUMBER(SEARCH($DF46, 球員狀態!$B$2:$B$5000))), 0)), "")</f>
        <v/>
      </c>
      <c r="ED46" s="4" t="str">
        <f t="array" ref="ED46">IFERROR(INDEX(球員狀態!Z$2:Z$5000, MATCH(1, (球員狀態!$A$2:$A$5000=$DF$31)*(ISNUMBER(SEARCH($DF46, 球員狀態!$B$2:$B$5000))), 0)), "")</f>
        <v>.265</v>
      </c>
      <c r="EE46" s="4" t="str">
        <f t="array" ref="EE46">IFERROR(INDEX(球員狀態!AA$2:AA$5000, MATCH(1, (球員狀態!$A$2:$A$5000=$DF$31)*(ISNUMBER(SEARCH($DF46, 球員狀態!$B$2:$B$5000))), 0)), "")</f>
        <v>4.26</v>
      </c>
      <c r="EF46" s="4" t="str">
        <f t="array" ref="EF46">IFERROR(INDEX(球員狀態!AB$2:AB$5000, MATCH(1, (球員狀態!$A$2:$A$5000=$DF$31)*(ISNUMBER(SEARCH($DF46, 球員狀態!$B$2:$B$5000))), 0)), "")</f>
        <v>7</v>
      </c>
      <c r="EG46" s="56"/>
      <c r="EI46" s="37" t="str">
        <f>先發名單!V$3</f>
        <v>S. Horwitz</v>
      </c>
      <c r="EJ46" s="4" t="str">
        <f t="array" ref="EJ46">IFERROR(INDEX(球員狀態!$C$2:$C$5000, MATCH(1, (球員狀態!$A$2:$A$5000=$EI$31)*(ISNUMBER(SEARCH($EI46, 球員狀態!$B$2:$B$5000))), 0)), "")</f>
        <v/>
      </c>
      <c r="EM46" s="4" t="str">
        <f t="array" ref="EM46">IFERROR(INDEX(球員狀態!F$2:F$5000, MATCH(1, (球員狀態!$A$2:$A$5000=$EI$31)*(ISNUMBER(SEARCH($EI46, 球員狀態!$B$2:$B$5000))), 0)), "")</f>
        <v/>
      </c>
      <c r="EN46" s="4" t="str">
        <f t="array" ref="EN46">IFERROR(INDEX(球員狀態!G$2:G$5000, MATCH(1, (球員狀態!$A$2:$A$5000=$EI$1)*(ISNUMBER(SEARCH($EI46, 球員狀態!$B$2:$B$5000))), 0)), "")</f>
        <v/>
      </c>
      <c r="EO46" s="4" t="str">
        <f t="array" ref="EO46">IFERROR(INDEX(球員狀態!H$2:H$5000, MATCH(1, (球員狀態!$A$2:$A$5000=$EI$31)*(ISNUMBER(SEARCH($EI46, 球員狀態!$B$2:$B$5000))), 0)), "")</f>
        <v/>
      </c>
      <c r="EP46" s="4" t="str">
        <f t="array" ref="EP46">IFERROR(INDEX(球員狀態!I$2:I$5000, MATCH(1, (球員狀態!$A$2:$A$5000=$EI$31)*(ISNUMBER(SEARCH($EI46, 球員狀態!$B$2:$B$5000))), 0)), "")</f>
        <v/>
      </c>
      <c r="EQ46" s="4" t="str">
        <f t="array" ref="EQ46">IFERROR(INDEX(球員狀態!J$2:J$5000, MATCH(1, (球員狀態!$A$2:$A$5000=$EI$31)*(ISNUMBER(SEARCH($EI46, 球員狀態!$B$2:$B$5000))), 0)), "")</f>
        <v/>
      </c>
      <c r="ER46" s="4" t="str">
        <f t="array" ref="ER46">IFERROR(INDEX(球員狀態!K$2:K$5000, MATCH(1, (球員狀態!$A$2:$A$5000=$EI$31)*(ISNUMBER(SEARCH($EI46, 球員狀態!$B$2:$B$5000))), 0)), "")</f>
        <v/>
      </c>
      <c r="ES46" s="4" t="str">
        <f t="array" ref="ES46">IFERROR(INDEX(球員狀態!L$2:L$5000, MATCH(1, (球員狀態!$A$2:$A$5000=$EI$31)*(ISNUMBER(SEARCH($EI46, 球員狀態!$B$2:$B$5000))), 0)), "")</f>
        <v/>
      </c>
      <c r="ET46" s="4" t="str">
        <f t="array" ref="ET46">IFERROR(INDEX(球員狀態!M$2:M$5000, MATCH(1, (球員狀態!$A$2:$A$5000=$EI$31)*(ISNUMBER(SEARCH($EI46, 球員狀態!$B$2:$B$5000))), 0)), "")</f>
        <v/>
      </c>
      <c r="EU46" s="4" t="str">
        <f t="array" ref="EU46">IFERROR(INDEX(球員狀態!N$2:N$5000, MATCH(1, (球員狀態!$A$2:$A$5000=$EI$31)*(ISNUMBER(SEARCH($EI46, 球員狀態!$B$2:$B$5000))), 0)), "")</f>
        <v/>
      </c>
      <c r="EV46" s="4" t="str">
        <f t="array" ref="EV46">IFERROR(INDEX(球員狀態!O$2:O$5000, MATCH(1, (球員狀態!$A$2:$A$5000=$EI$1)*(ISNUMBER(SEARCH($EI46, 球員狀態!$B$2:$B$5000))), 0)), "")</f>
        <v/>
      </c>
      <c r="EW46" s="4" t="str">
        <f t="array" ref="EW46">IFERROR(INDEX(球員狀態!P$2:P$5000, MATCH(1, (球員狀態!$A$2:$A$5000=$EI$1)*(ISNUMBER(SEARCH($EI46, 球員狀態!$B$2:$B$5000))), 0)), "")</f>
        <v/>
      </c>
      <c r="EX46" s="4" t="str">
        <f t="array" ref="EX46">IFERROR(INDEX(球員狀態!Q$2:Q$5000, MATCH(1, (球員狀態!$A$2:$A$5000=$EI$31)*(ISNUMBER(SEARCH($EI46, 球員狀態!$B$2:$B$5000))), 0)), "")</f>
        <v/>
      </c>
      <c r="EY46" s="4" t="str">
        <f t="array" ref="EY46">IFERROR(INDEX(球員狀態!R$2:R$5000, MATCH(1, (球員狀態!$A$2:$A$5000=$EI$1)*(ISNUMBER(SEARCH($EI46, 球員狀態!$B$2:$B$5000))), 0)), "")</f>
        <v/>
      </c>
      <c r="EZ46" s="4" t="str">
        <f t="array" ref="EZ46">IFERROR(INDEX(球員狀態!S$2:S$5000, MATCH(1, (球員狀態!$A$2:$A$5000=$EI$1)*(ISNUMBER(SEARCH($EI46, 球員狀態!$B$2:$B$5000))), 0)), "")</f>
        <v/>
      </c>
      <c r="FA46" s="4" t="str">
        <f t="array" ref="FA46">IFERROR(INDEX(球員狀態!T$2:T$5000, MATCH(1, (球員狀態!$A$2:$A$5000=$EI$31)*(ISNUMBER(SEARCH($EI46, 球員狀態!$B$2:$B$5000))), 0)), "")</f>
        <v/>
      </c>
      <c r="FB46" s="4" t="str">
        <f t="array" ref="FB46">IFERROR(INDEX(球員狀態!U$2:U$5000, MATCH(1, (球員狀態!$A$2:$A$5000=$EI$1)*(ISNUMBER(SEARCH($EI46, 球員狀態!$B$2:$B$5000))), 0)), "")</f>
        <v/>
      </c>
      <c r="FC46" s="4" t="str">
        <f t="array" ref="FC46">IFERROR(INDEX(球員狀態!V$2:V$5000, MATCH(1, (球員狀態!$A$2:$A$5000=$EI$1)*(ISNUMBER(SEARCH($EI46, 球員狀態!$B$2:$B$5000))), 0)), "")</f>
        <v/>
      </c>
      <c r="FD46" s="4" t="str">
        <f t="array" ref="FD46">IFERROR(INDEX(球員狀態!W$2:W$5000, MATCH(1, (球員狀態!$A$2:$A$5000=$EI$31)*(ISNUMBER(SEARCH($EI46, 球員狀態!$B$2:$B$5000))), 0)), "")</f>
        <v/>
      </c>
      <c r="FE46" s="4" t="str">
        <f t="array" ref="FE46">IFERROR(INDEX(球員狀態!X$2:X$5000, MATCH(1, (球員狀態!$A$2:$A$5000=$EI$1)*(ISNUMBER(SEARCH($EI46, 球員狀態!$B$2:$B$5000))), 0)), "")</f>
        <v/>
      </c>
      <c r="FF46" s="4" t="str">
        <f t="array" ref="FF46">IFERROR(INDEX(球員狀態!Y$2:Y$5000, MATCH(1, (球員狀態!$A$2:$A$5000=$EI$1)*(ISNUMBER(SEARCH($EI46, 球員狀態!$B$2:$B$5000))), 0)), "")</f>
        <v/>
      </c>
      <c r="FG46" s="4" t="str">
        <f t="array" ref="FG46">IFERROR(INDEX(球員狀態!Z$2:Z$5000, MATCH(1, (球員狀態!$A$2:$A$5000=$EI$31)*(ISNUMBER(SEARCH($EI46, 球員狀態!$B$2:$B$5000))), 0)), "")</f>
        <v/>
      </c>
      <c r="FH46" s="4" t="str">
        <f t="array" ref="FH46">IFERROR(INDEX(球員狀態!AA$2:AA$5000, MATCH(1, (球員狀態!$A$2:$A$5000=$EI$31)*(ISNUMBER(SEARCH($EI46, 球員狀態!$B$2:$B$5000))), 0)), "")</f>
        <v/>
      </c>
      <c r="FI46" s="4" t="str">
        <f t="array" ref="FI46">IFERROR(INDEX(球員狀態!AB$2:AB$5000, MATCH(1, (球員狀態!$A$2:$A$5000=$EI$31)*(ISNUMBER(SEARCH($EI46, 球員狀態!$B$2:$B$5000))), 0)), "")</f>
        <v/>
      </c>
      <c r="FK46" s="22">
        <v>0.51</v>
      </c>
      <c r="FL46" s="19">
        <v>0.53</v>
      </c>
      <c r="FM46" s="23">
        <v>5</v>
      </c>
    </row>
    <row r="47" spans="22:181">
      <c r="BM47" s="54"/>
      <c r="BN47" s="54"/>
      <c r="BO47" s="54"/>
      <c r="CB47" s="28" t="e">
        <f>CF47+CJ47+CK47+CM47+CO47+CP47+CQ47+CR47</f>
        <v>#VALUE!</v>
      </c>
      <c r="CC47" s="31" t="e">
        <f>CU47+CV47+CY47+CZ47+DA47</f>
        <v>#VALUE!</v>
      </c>
      <c r="CF47" s="27" t="e">
        <f>VLOOKUP(ROUND(CF46/CD46, 2), $BV$2:$BX$12, 3, TRUE)*BX$1</f>
        <v>#VALUE!</v>
      </c>
      <c r="CJ47" s="27" t="e">
        <f>VLOOKUP(ROUND(CJ46/CD46, 2), $BM$15:$BO$25, 3, TRUE)*BO$14</f>
        <v>#VALUE!</v>
      </c>
      <c r="CK47" s="27" t="e">
        <f>VLOOKUP(ROUND(CK46/CD46, 2), $BY$2:$CA$12, 3, TRUE)*CA$1</f>
        <v>#VALUE!</v>
      </c>
      <c r="CM47" s="101" t="e">
        <f>VLOOKUP(ROUND(CM46/CN46, 2), $BP$15:$BR$25, 3, TRUE)*BR$14</f>
        <v>#VALUE!</v>
      </c>
      <c r="CN47" s="78"/>
      <c r="CO47" s="27" t="e">
        <f>VLOOKUP(ROUND(CO46/CD46, 2), $BS$15:$BU$25, 3, TRUE)*BU$14</f>
        <v>#VALUE!</v>
      </c>
      <c r="CP47" s="27" t="e">
        <f>VLOOKUP(CP46*1, BM$2:BO$12, 3, TRUE)*BO$1</f>
        <v>#VALUE!</v>
      </c>
      <c r="CQ47" s="27" t="e">
        <f>VLOOKUP(CQ46*1, BP$2:BR$12, 3, TRUE)*BR$1</f>
        <v>#VALUE!</v>
      </c>
      <c r="CR47" s="27" t="e">
        <f>VLOOKUP(CR46*1, BS$2:BU$12, 3, TRUE)*BU$1</f>
        <v>#VALUE!</v>
      </c>
      <c r="CU47" s="60" t="e">
        <f>VLOOKUP(CU46*1, BM$28:BO$38, 3, TRUE)*BO$27</f>
        <v>#VALUE!</v>
      </c>
      <c r="CV47" s="60" t="e">
        <f>VLOOKUP(CV46*1, BP$28:BR$38, 3, TRUE)*BR$27</f>
        <v>#VALUE!</v>
      </c>
      <c r="CY47" s="60" t="e">
        <f>VLOOKUP(CY46*1, BS$28:BU$38, 3, TRUE)*BU$27</f>
        <v>#VALUE!</v>
      </c>
      <c r="CZ47" s="60" t="e">
        <f>VLOOKUP(CZ46*1, BV$28:BX$38, 3, TRUE)*BX$27</f>
        <v>#VALUE!</v>
      </c>
      <c r="DA47" s="60" t="e">
        <f>VLOOKUP(DA46*1, BY$28:CA$38, 3, TRUE)*CA$27</f>
        <v>#VALUE!</v>
      </c>
      <c r="DH47" s="40">
        <f>DJ47+DL47+DM47+DN47+DO47-DP47-DQ47+DR47</f>
        <v>2.25</v>
      </c>
      <c r="DI47" s="42">
        <f>DU47+DX47+EA47+ED47+EE47+EF47</f>
        <v>5</v>
      </c>
      <c r="DJ47" s="38">
        <f>VLOOKUP(DJ46*1, FK$2:FM$12, 3, TRUE)*FM$1</f>
        <v>1.25</v>
      </c>
      <c r="DL47" s="38">
        <f>VLOOKUP(DL46*1, FN$2:FP$12, 3, TRUE)*FP$1</f>
        <v>0.6</v>
      </c>
      <c r="DM47" s="38">
        <f>VLOOKUP(DM46*1, FQ$2:FS$12, 3, TRUE)*FS$1</f>
        <v>0</v>
      </c>
      <c r="DN47" s="38">
        <f>VLOOKUP(DN46*1, FT$2:FV$12, 3, TRUE)*FV$1</f>
        <v>0.4</v>
      </c>
      <c r="DO47" s="38">
        <f>VLOOKUP(DO46*1, FW$2:FY$12, 3, TRUE)*FY$1</f>
        <v>0.5</v>
      </c>
      <c r="DP47" s="39">
        <f>VLOOKUP(DP46*1, FK$14:FM$25, 3, TRUE)*FM$14</f>
        <v>1</v>
      </c>
      <c r="DQ47" s="39">
        <f>VLOOKUP(DQ46*1, FN$14:FP$25, 3, TRUE)*FP$14</f>
        <v>1</v>
      </c>
      <c r="DR47" s="38">
        <f>VLOOKUP(DR46*1, FQ$14:FS$25, 3, TRUE)*FS$14</f>
        <v>1.5</v>
      </c>
      <c r="DU47" s="41">
        <f>VLOOKUP(DU46*1, FK$27:FM$38, 3, TRUE)*FM$27</f>
        <v>0</v>
      </c>
      <c r="DX47" s="41">
        <f>VLOOKUP(DX46*1, FN$27:FP$38, 3, TRUE)*FP$27</f>
        <v>0</v>
      </c>
      <c r="EA47" s="41">
        <f>VLOOKUP(EA46*1, FQ$27:FS$38, 3, TRUE)*FS$27</f>
        <v>0</v>
      </c>
      <c r="ED47" s="41">
        <f>VLOOKUP(ED46*1, FT$27:FV$38, 3, TRUE)*FV$27</f>
        <v>0</v>
      </c>
      <c r="EE47" s="41">
        <f>VLOOKUP(EE46*1, FW$27:FY$38, 3, TRUE)*FY$27</f>
        <v>1.5</v>
      </c>
      <c r="EF47" s="41">
        <f>VLOOKUP(EF46*1, FK$40:FM$51, 3, TRUE)*FM$40</f>
        <v>3.5</v>
      </c>
      <c r="EG47" s="57"/>
      <c r="EK47" s="40" t="e">
        <f>EM47+EO47+EP47+EQ47+ER47-ES47-ET47+EU47</f>
        <v>#VALUE!</v>
      </c>
      <c r="EL47" s="42" t="e">
        <f>EX47+FA47+FD47+FG47+FH47+FI47</f>
        <v>#VALUE!</v>
      </c>
      <c r="EM47" s="38" t="e">
        <f>VLOOKUP(EM46*1, $FK$2:$FM$12, 3, TRUE)*$FM$1</f>
        <v>#VALUE!</v>
      </c>
      <c r="EO47" s="38" t="e">
        <f>VLOOKUP(EO46*1, $FN$2:$FP$12, 3, TRUE)*$FP$1</f>
        <v>#VALUE!</v>
      </c>
      <c r="EP47" s="38" t="e">
        <f>VLOOKUP(EP46*1, $FQ$2:$FS$12, 3, TRUE)*$FS$1</f>
        <v>#VALUE!</v>
      </c>
      <c r="EQ47" s="38" t="e">
        <f>VLOOKUP(EQ46*1, $FT$2:$FV$12, 3, TRUE)*$FV$1</f>
        <v>#VALUE!</v>
      </c>
      <c r="ER47" s="38" t="e">
        <f>VLOOKUP(ER46*1, $FW$2:$FY$12, 3, TRUE)*$FY$1</f>
        <v>#VALUE!</v>
      </c>
      <c r="ES47" s="39" t="e">
        <f>VLOOKUP(ES46*1, $FK$14:$FM$25, 3, TRUE)*$FM$14</f>
        <v>#VALUE!</v>
      </c>
      <c r="ET47" s="39" t="e">
        <f>VLOOKUP(ET46*1, $FN$14:$FP$25, 3, TRUE)*$FP$14</f>
        <v>#VALUE!</v>
      </c>
      <c r="EU47" s="38" t="e">
        <f>VLOOKUP(EU46*1, $FQ$14:$FS$25, 3, TRUE)*$FS$14</f>
        <v>#VALUE!</v>
      </c>
      <c r="EX47" s="41" t="e">
        <f>VLOOKUP(EX46*1, $FK$27:$FM$38, 3, TRUE)*$FM$27</f>
        <v>#VALUE!</v>
      </c>
      <c r="FA47" s="41" t="e">
        <f>VLOOKUP(FA46*1, $FN$27:$FP$38, 3, TRUE)*$FP$27</f>
        <v>#VALUE!</v>
      </c>
      <c r="FD47" s="41" t="e">
        <f>VLOOKUP(FD46*1, $FQ$27:$FS$38, 3, TRUE)*$FS$27</f>
        <v>#VALUE!</v>
      </c>
      <c r="FG47" s="41" t="e">
        <f>VLOOKUP(FG46*1, $FT$27:$FV$38, 3, TRUE)*$FV$27</f>
        <v>#VALUE!</v>
      </c>
      <c r="FH47" s="41" t="e">
        <f>VLOOKUP(FH46*1, $FW$27:$FY$38, 3, TRUE)*$FY$27</f>
        <v>#VALUE!</v>
      </c>
      <c r="FI47" s="41" t="e">
        <f>VLOOKUP(FI46*1, $FK$40:$FM$51, 3, TRUE)*$FM$40</f>
        <v>#VALUE!</v>
      </c>
      <c r="FK47" s="22">
        <v>0.54</v>
      </c>
      <c r="FL47" s="19">
        <v>0.56000000000000005</v>
      </c>
      <c r="FM47" s="23">
        <v>6</v>
      </c>
    </row>
    <row r="48" spans="22:181">
      <c r="BM48" s="54"/>
      <c r="BN48" s="54"/>
      <c r="BO48" s="54"/>
      <c r="CB48" s="19" t="e">
        <f>AF25</f>
        <v>#N/A</v>
      </c>
      <c r="CD48" s="1" t="str">
        <f>AG25</f>
        <v/>
      </c>
      <c r="CE48" s="1" t="str">
        <f t="shared" ref="CE48:DD48" si="25">AL25</f>
        <v/>
      </c>
      <c r="CF48" s="1" t="str">
        <f t="shared" si="25"/>
        <v/>
      </c>
      <c r="CG48" s="1" t="str">
        <f t="shared" si="25"/>
        <v/>
      </c>
      <c r="CH48" s="1" t="str">
        <f t="shared" si="25"/>
        <v/>
      </c>
      <c r="CI48" s="1" t="str">
        <f t="shared" si="25"/>
        <v/>
      </c>
      <c r="CJ48" s="1" t="str">
        <f t="shared" si="25"/>
        <v/>
      </c>
      <c r="CK48" s="1" t="str">
        <f t="shared" si="25"/>
        <v/>
      </c>
      <c r="CL48" s="1" t="str">
        <f t="shared" si="25"/>
        <v/>
      </c>
      <c r="CM48" s="1" t="str">
        <f t="shared" si="25"/>
        <v/>
      </c>
      <c r="CN48" s="1" t="str">
        <f t="shared" si="25"/>
        <v/>
      </c>
      <c r="CO48" s="1" t="str">
        <f t="shared" si="25"/>
        <v/>
      </c>
      <c r="CP48" s="1" t="str">
        <f t="shared" si="25"/>
        <v/>
      </c>
      <c r="CQ48" s="1" t="str">
        <f t="shared" si="25"/>
        <v/>
      </c>
      <c r="CR48" s="1" t="str">
        <f t="shared" si="25"/>
        <v/>
      </c>
      <c r="CS48" s="1" t="str">
        <f t="shared" si="25"/>
        <v/>
      </c>
      <c r="CT48" s="1" t="str">
        <f t="shared" si="25"/>
        <v/>
      </c>
      <c r="CU48" s="1" t="str">
        <f t="shared" si="25"/>
        <v/>
      </c>
      <c r="CV48" s="1" t="str">
        <f t="shared" si="25"/>
        <v/>
      </c>
      <c r="CW48" s="1" t="str">
        <f t="shared" si="25"/>
        <v/>
      </c>
      <c r="CX48" s="1" t="str">
        <f t="shared" si="25"/>
        <v/>
      </c>
      <c r="CY48" s="1" t="str">
        <f t="shared" si="25"/>
        <v/>
      </c>
      <c r="CZ48" s="1" t="str">
        <f t="shared" si="25"/>
        <v/>
      </c>
      <c r="DA48" s="1" t="str">
        <f t="shared" si="25"/>
        <v/>
      </c>
      <c r="DB48" s="1" t="str">
        <f t="shared" si="25"/>
        <v/>
      </c>
      <c r="DC48" s="1" t="str">
        <f t="shared" si="25"/>
        <v/>
      </c>
      <c r="DD48" s="1" t="str">
        <f t="shared" si="25"/>
        <v/>
      </c>
      <c r="DF48" s="37" t="str">
        <f>先發名單!M$3</f>
        <v>N. Church</v>
      </c>
      <c r="DG48" s="4" t="str">
        <f t="array" ref="DG48">IFERROR(INDEX(球員狀態!$C$2:$C$5000, MATCH(1, (球員狀態!$A$2:$A$5000=$DF$31)*(ISNUMBER(SEARCH($DF48, 球員狀態!$B$2:$B$5000))), 0)), "")</f>
        <v/>
      </c>
      <c r="DJ48" s="4" t="str">
        <f t="array" ref="DJ48">IFERROR(INDEX(球員狀態!$F$2:$F$5000, MATCH(1, (球員狀態!$A$2:$A$5000=$DF$31)*(ISNUMBER(SEARCH($DF48, 球員狀態!$B$2:$B$5000))), 0)), "")</f>
        <v/>
      </c>
      <c r="DK48" s="4" t="str">
        <f t="array" ref="DK48">IFERROR(INDEX(球員狀態!$G$2:$G$5000, MATCH(1, (球員狀態!$A$2:$A$5000=$DF$1)*(ISNUMBER(SEARCH($DF48, 球員狀態!$B$2:$B$5000))), 0)), "")</f>
        <v/>
      </c>
      <c r="DL48" s="4" t="str">
        <f t="array" ref="DL48">IFERROR(INDEX(球員狀態!H$2:H$5000, MATCH(1, (球員狀態!$A$2:$A$5000=$DF$31)*(ISNUMBER(SEARCH($DF48, 球員狀態!$B$2:$B$5000))), 0)), "")</f>
        <v/>
      </c>
      <c r="DM48" s="4" t="str">
        <f t="array" ref="DM48">IFERROR(INDEX(球員狀態!I$2:I$5000, MATCH(1, (球員狀態!$A$2:$A$5000=$DF$31)*(ISNUMBER(SEARCH($DF48, 球員狀態!$B$2:$B$5000))), 0)), "")</f>
        <v/>
      </c>
      <c r="DN48" s="4" t="str">
        <f t="array" ref="DN48">IFERROR(INDEX(球員狀態!J$2:J$5000, MATCH(1, (球員狀態!$A$2:$A$5000=$DF$31)*(ISNUMBER(SEARCH($DF48, 球員狀態!$B$2:$B$5000))), 0)), "")</f>
        <v/>
      </c>
      <c r="DO48" s="4" t="str">
        <f t="array" ref="DO48">IFERROR(INDEX(球員狀態!K$2:K$5000, MATCH(1, (球員狀態!$A$2:$A$5000=$DF$31)*(ISNUMBER(SEARCH($DF48, 球員狀態!$B$2:$B$5000))), 0)), "")</f>
        <v/>
      </c>
      <c r="DP48" s="4" t="str">
        <f t="array" ref="DP48">IFERROR(INDEX(球員狀態!L$2:L$5000, MATCH(1, (球員狀態!$A$2:$A$5000=$DF$31)*(ISNUMBER(SEARCH($DF48, 球員狀態!$B$2:$B$5000))), 0)), "")</f>
        <v/>
      </c>
      <c r="DQ48" s="4" t="str">
        <f t="array" ref="DQ48">IFERROR(INDEX(球員狀態!M$2:M$5000, MATCH(1, (球員狀態!$A$2:$A$5000=$DF$31)*(ISNUMBER(SEARCH($DF48, 球員狀態!$B$2:$B$5000))), 0)), "")</f>
        <v/>
      </c>
      <c r="DR48" s="4" t="str">
        <f t="array" ref="DR48">IFERROR(INDEX(球員狀態!N$2:N$5000, MATCH(1, (球員狀態!$A$2:$A$5000=$DF$31)*(ISNUMBER(SEARCH($DF48, 球員狀態!$B$2:$B$5000))), 0)), "")</f>
        <v/>
      </c>
      <c r="DS48" s="4" t="str">
        <f t="array" ref="DS48">IFERROR(INDEX(球員狀態!O$2:O$5000, MATCH(1, (球員狀態!$A$2:$A$5000=$DF$1)*(ISNUMBER(SEARCH($DF48, 球員狀態!$B$2:$B$5000))), 0)), "")</f>
        <v/>
      </c>
      <c r="DT48" s="4" t="str">
        <f t="array" ref="DT48">IFERROR(INDEX(球員狀態!P$2:P$5000, MATCH(1, (球員狀態!$A$2:$A$5000=$DF$1)*(ISNUMBER(SEARCH($DF48, 球員狀態!$B$2:$B$5000))), 0)), "")</f>
        <v/>
      </c>
      <c r="DU48" s="4" t="str">
        <f t="array" ref="DU48">IFERROR(INDEX(球員狀態!Q$2:Q$5000, MATCH(1, (球員狀態!$A$2:$A$5000=$DF$31)*(ISNUMBER(SEARCH($DF48, 球員狀態!$B$2:$B$5000))), 0)), "")</f>
        <v/>
      </c>
      <c r="DV48" s="4" t="str">
        <f t="array" ref="DV48">IFERROR(INDEX(球員狀態!R$2:R$5000, MATCH(1, (球員狀態!$A$2:$A$5000=$DF$1)*(ISNUMBER(SEARCH($DF48, 球員狀態!$B$2:$B$5000))), 0)), "")</f>
        <v/>
      </c>
      <c r="DW48" s="4" t="str">
        <f t="array" ref="DW48">IFERROR(INDEX(球員狀態!S$2:S$5000, MATCH(1, (球員狀態!$A$2:$A$5000=$DF$1)*(ISNUMBER(SEARCH($DF48, 球員狀態!$B$2:$B$5000))), 0)), "")</f>
        <v/>
      </c>
      <c r="DX48" s="4" t="str">
        <f t="array" ref="DX48">IFERROR(INDEX(球員狀態!T$2:T$5000, MATCH(1, (球員狀態!$A$2:$A$5000=$DF$31)*(ISNUMBER(SEARCH($DF48, 球員狀態!$B$2:$B$5000))), 0)), "")</f>
        <v/>
      </c>
      <c r="DY48" s="4" t="str">
        <f t="array" ref="DY48">IFERROR(INDEX(球員狀態!U$2:U$5000, MATCH(1, (球員狀態!$A$2:$A$5000=$DF$1)*(ISNUMBER(SEARCH($DF48, 球員狀態!$B$2:$B$5000))), 0)), "")</f>
        <v/>
      </c>
      <c r="DZ48" s="4" t="str">
        <f t="array" ref="DZ48">IFERROR(INDEX(球員狀態!V$2:V$5000, MATCH(1, (球員狀態!$A$2:$A$5000=$DF$1)*(ISNUMBER(SEARCH($DF48, 球員狀態!$B$2:$B$5000))), 0)), "")</f>
        <v/>
      </c>
      <c r="EA48" s="4" t="str">
        <f t="array" ref="EA48">IFERROR(INDEX(球員狀態!W$2:W$5000, MATCH(1, (球員狀態!$A$2:$A$5000=$DF$31)*(ISNUMBER(SEARCH($DF48, 球員狀態!$B$2:$B$5000))), 0)), "")</f>
        <v/>
      </c>
      <c r="EB48" s="4" t="str">
        <f t="array" ref="EB48">IFERROR(INDEX(球員狀態!X$2:X$5000, MATCH(1, (球員狀態!$A$2:$A$5000=$DF$1)*(ISNUMBER(SEARCH($DF48, 球員狀態!$B$2:$B$5000))), 0)), "")</f>
        <v/>
      </c>
      <c r="EC48" s="4" t="str">
        <f t="array" ref="EC48">IFERROR(INDEX(球員狀態!Y$2:Y$5000, MATCH(1, (球員狀態!$A$2:$A$5000=$DF$1)*(ISNUMBER(SEARCH($DF48, 球員狀態!$B$2:$B$5000))), 0)), "")</f>
        <v/>
      </c>
      <c r="ED48" s="4" t="str">
        <f t="array" ref="ED48">IFERROR(INDEX(球員狀態!Z$2:Z$5000, MATCH(1, (球員狀態!$A$2:$A$5000=$DF$31)*(ISNUMBER(SEARCH($DF48, 球員狀態!$B$2:$B$5000))), 0)), "")</f>
        <v/>
      </c>
      <c r="EE48" s="4" t="str">
        <f t="array" ref="EE48">IFERROR(INDEX(球員狀態!AA$2:AA$5000, MATCH(1, (球員狀態!$A$2:$A$5000=$DF$31)*(ISNUMBER(SEARCH($DF48, 球員狀態!$B$2:$B$5000))), 0)), "")</f>
        <v/>
      </c>
      <c r="EF48" s="4" t="str">
        <f t="array" ref="EF48">IFERROR(INDEX(球員狀態!AB$2:AB$5000, MATCH(1, (球員狀態!$A$2:$A$5000=$DF$31)*(ISNUMBER(SEARCH($DF48, 球員狀態!$B$2:$B$5000))), 0)), "")</f>
        <v/>
      </c>
      <c r="EG48" s="56"/>
      <c r="EI48" s="37" t="str">
        <f>先發名單!W$3</f>
        <v>K. Griffin</v>
      </c>
      <c r="EJ48" s="4" t="str">
        <f t="array" ref="EJ48">IFERROR(INDEX(球員狀態!$C$2:$C$5000, MATCH(1, (球員狀態!$A$2:$A$5000=$EI$31)*(ISNUMBER(SEARCH($EI48, 球員狀態!$B$2:$B$5000))), 0)), "")</f>
        <v/>
      </c>
      <c r="EM48" s="4" t="str">
        <f t="array" ref="EM48">IFERROR(INDEX(球員狀態!F$2:F$5000, MATCH(1, (球員狀態!$A$2:$A$5000=$EI$31)*(ISNUMBER(SEARCH($EI48, 球員狀態!$B$2:$B$5000))), 0)), "")</f>
        <v/>
      </c>
      <c r="EN48" s="4" t="str">
        <f t="array" ref="EN48">IFERROR(INDEX(球員狀態!G$2:G$5000, MATCH(1, (球員狀態!$A$2:$A$5000=$EI$1)*(ISNUMBER(SEARCH($EI48, 球員狀態!$B$2:$B$5000))), 0)), "")</f>
        <v/>
      </c>
      <c r="EO48" s="4" t="str">
        <f t="array" ref="EO48">IFERROR(INDEX(球員狀態!H$2:H$5000, MATCH(1, (球員狀態!$A$2:$A$5000=$EI$31)*(ISNUMBER(SEARCH($EI48, 球員狀態!$B$2:$B$5000))), 0)), "")</f>
        <v/>
      </c>
      <c r="EP48" s="4" t="str">
        <f t="array" ref="EP48">IFERROR(INDEX(球員狀態!I$2:I$5000, MATCH(1, (球員狀態!$A$2:$A$5000=$EI$31)*(ISNUMBER(SEARCH($EI48, 球員狀態!$B$2:$B$5000))), 0)), "")</f>
        <v/>
      </c>
      <c r="EQ48" s="4" t="str">
        <f t="array" ref="EQ48">IFERROR(INDEX(球員狀態!J$2:J$5000, MATCH(1, (球員狀態!$A$2:$A$5000=$EI$31)*(ISNUMBER(SEARCH($EI48, 球員狀態!$B$2:$B$5000))), 0)), "")</f>
        <v/>
      </c>
      <c r="ER48" s="4" t="str">
        <f t="array" ref="ER48">IFERROR(INDEX(球員狀態!K$2:K$5000, MATCH(1, (球員狀態!$A$2:$A$5000=$EI$31)*(ISNUMBER(SEARCH($EI48, 球員狀態!$B$2:$B$5000))), 0)), "")</f>
        <v/>
      </c>
      <c r="ES48" s="4" t="str">
        <f t="array" ref="ES48">IFERROR(INDEX(球員狀態!L$2:L$5000, MATCH(1, (球員狀態!$A$2:$A$5000=$EI$31)*(ISNUMBER(SEARCH($EI48, 球員狀態!$B$2:$B$5000))), 0)), "")</f>
        <v/>
      </c>
      <c r="ET48" s="4" t="str">
        <f t="array" ref="ET48">IFERROR(INDEX(球員狀態!M$2:M$5000, MATCH(1, (球員狀態!$A$2:$A$5000=$EI$31)*(ISNUMBER(SEARCH($EI48, 球員狀態!$B$2:$B$5000))), 0)), "")</f>
        <v/>
      </c>
      <c r="EU48" s="4" t="str">
        <f t="array" ref="EU48">IFERROR(INDEX(球員狀態!N$2:N$5000, MATCH(1, (球員狀態!$A$2:$A$5000=$EI$31)*(ISNUMBER(SEARCH($EI48, 球員狀態!$B$2:$B$5000))), 0)), "")</f>
        <v/>
      </c>
      <c r="EV48" s="4" t="str">
        <f t="array" ref="EV48">IFERROR(INDEX(球員狀態!O$2:O$5000, MATCH(1, (球員狀態!$A$2:$A$5000=$EI$1)*(ISNUMBER(SEARCH($EI48, 球員狀態!$B$2:$B$5000))), 0)), "")</f>
        <v/>
      </c>
      <c r="EW48" s="4" t="str">
        <f t="array" ref="EW48">IFERROR(INDEX(球員狀態!P$2:P$5000, MATCH(1, (球員狀態!$A$2:$A$5000=$EI$1)*(ISNUMBER(SEARCH($EI48, 球員狀態!$B$2:$B$5000))), 0)), "")</f>
        <v/>
      </c>
      <c r="EX48" s="4" t="str">
        <f t="array" ref="EX48">IFERROR(INDEX(球員狀態!Q$2:Q$5000, MATCH(1, (球員狀態!$A$2:$A$5000=$EI$31)*(ISNUMBER(SEARCH($EI48, 球員狀態!$B$2:$B$5000))), 0)), "")</f>
        <v/>
      </c>
      <c r="EY48" s="4" t="str">
        <f t="array" ref="EY48">IFERROR(INDEX(球員狀態!R$2:R$5000, MATCH(1, (球員狀態!$A$2:$A$5000=$EI$1)*(ISNUMBER(SEARCH($EI48, 球員狀態!$B$2:$B$5000))), 0)), "")</f>
        <v/>
      </c>
      <c r="EZ48" s="4" t="str">
        <f t="array" ref="EZ48">IFERROR(INDEX(球員狀態!S$2:S$5000, MATCH(1, (球員狀態!$A$2:$A$5000=$EI$1)*(ISNUMBER(SEARCH($EI48, 球員狀態!$B$2:$B$5000))), 0)), "")</f>
        <v/>
      </c>
      <c r="FA48" s="4" t="str">
        <f t="array" ref="FA48">IFERROR(INDEX(球員狀態!T$2:T$5000, MATCH(1, (球員狀態!$A$2:$A$5000=$EI$31)*(ISNUMBER(SEARCH($EI48, 球員狀態!$B$2:$B$5000))), 0)), "")</f>
        <v/>
      </c>
      <c r="FB48" s="4" t="str">
        <f t="array" ref="FB48">IFERROR(INDEX(球員狀態!U$2:U$5000, MATCH(1, (球員狀態!$A$2:$A$5000=$EI$1)*(ISNUMBER(SEARCH($EI48, 球員狀態!$B$2:$B$5000))), 0)), "")</f>
        <v/>
      </c>
      <c r="FC48" s="4" t="str">
        <f t="array" ref="FC48">IFERROR(INDEX(球員狀態!V$2:V$5000, MATCH(1, (球員狀態!$A$2:$A$5000=$EI$1)*(ISNUMBER(SEARCH($EI48, 球員狀態!$B$2:$B$5000))), 0)), "")</f>
        <v/>
      </c>
      <c r="FD48" s="4" t="str">
        <f t="array" ref="FD48">IFERROR(INDEX(球員狀態!W$2:W$5000, MATCH(1, (球員狀態!$A$2:$A$5000=$EI$31)*(ISNUMBER(SEARCH($EI48, 球員狀態!$B$2:$B$5000))), 0)), "")</f>
        <v/>
      </c>
      <c r="FE48" s="4" t="str">
        <f t="array" ref="FE48">IFERROR(INDEX(球員狀態!X$2:X$5000, MATCH(1, (球員狀態!$A$2:$A$5000=$EI$1)*(ISNUMBER(SEARCH($EI48, 球員狀態!$B$2:$B$5000))), 0)), "")</f>
        <v/>
      </c>
      <c r="FF48" s="4" t="str">
        <f t="array" ref="FF48">IFERROR(INDEX(球員狀態!Y$2:Y$5000, MATCH(1, (球員狀態!$A$2:$A$5000=$EI$1)*(ISNUMBER(SEARCH($EI48, 球員狀態!$B$2:$B$5000))), 0)), "")</f>
        <v/>
      </c>
      <c r="FG48" s="4" t="str">
        <f t="array" ref="FG48">IFERROR(INDEX(球員狀態!Z$2:Z$5000, MATCH(1, (球員狀態!$A$2:$A$5000=$EI$31)*(ISNUMBER(SEARCH($EI48, 球員狀態!$B$2:$B$5000))), 0)), "")</f>
        <v/>
      </c>
      <c r="FH48" s="4" t="str">
        <f t="array" ref="FH48">IFERROR(INDEX(球員狀態!AA$2:AA$5000, MATCH(1, (球員狀態!$A$2:$A$5000=$EI$31)*(ISNUMBER(SEARCH($EI48, 球員狀態!$B$2:$B$5000))), 0)), "")</f>
        <v/>
      </c>
      <c r="FI48" s="4" t="str">
        <f t="array" ref="FI48">IFERROR(INDEX(球員狀態!AB$2:AB$5000, MATCH(1, (球員狀態!$A$2:$A$5000=$EI$31)*(ISNUMBER(SEARCH($EI48, 球員狀態!$B$2:$B$5000))), 0)), "")</f>
        <v/>
      </c>
      <c r="FK48" s="22">
        <v>0.56999999999999995</v>
      </c>
      <c r="FL48" s="19">
        <v>0.59</v>
      </c>
      <c r="FM48" s="23">
        <v>7</v>
      </c>
    </row>
    <row r="49" spans="65:169">
      <c r="BM49" s="54"/>
      <c r="BN49" s="54"/>
      <c r="BO49" s="54"/>
      <c r="CB49" s="28" t="e">
        <f>CF49+CJ49+CK49+CM49+CO49+CP49+CQ49+CR49</f>
        <v>#VALUE!</v>
      </c>
      <c r="CC49" s="31" t="e">
        <f>CU49+CV49+CY49+CZ49+DA49</f>
        <v>#VALUE!</v>
      </c>
      <c r="CF49" s="27" t="e">
        <f>VLOOKUP(ROUND(CF48/CD48, 2), $BV$2:$BX$12, 3, TRUE)*BX$1</f>
        <v>#VALUE!</v>
      </c>
      <c r="CJ49" s="27" t="e">
        <f>VLOOKUP(ROUND(CJ48/CD48, 2), $BM$15:$BO$25, 3, TRUE)*BO$14</f>
        <v>#VALUE!</v>
      </c>
      <c r="CK49" s="27" t="e">
        <f>VLOOKUP(ROUND(CK48/CD48, 2), $BY$2:$CA$12, 3, TRUE)*CA$1</f>
        <v>#VALUE!</v>
      </c>
      <c r="CM49" s="101" t="e">
        <f>VLOOKUP(ROUND(CM48/CN48, 2), $BP$15:$BR$25, 3, TRUE)*BR$14</f>
        <v>#VALUE!</v>
      </c>
      <c r="CN49" s="78"/>
      <c r="CO49" s="27" t="e">
        <f>VLOOKUP(ROUND(CO48/CD48, 2), $BS$15:$BU$25, 3, TRUE)*BU$14</f>
        <v>#VALUE!</v>
      </c>
      <c r="CP49" s="27" t="e">
        <f>VLOOKUP(CP48*1, BM$2:BO$12, 3, TRUE)*BO$1</f>
        <v>#VALUE!</v>
      </c>
      <c r="CQ49" s="27" t="e">
        <f>VLOOKUP(CQ48*1, BP$2:BR$12, 3, TRUE)*BR$1</f>
        <v>#VALUE!</v>
      </c>
      <c r="CR49" s="27" t="e">
        <f>VLOOKUP(CR48*1, BS$2:BU$12, 3, TRUE)*BU$1</f>
        <v>#VALUE!</v>
      </c>
      <c r="CU49" s="60" t="e">
        <f>VLOOKUP(CU48*1, BM$28:BO$38, 3, TRUE)*BO$27</f>
        <v>#VALUE!</v>
      </c>
      <c r="CV49" s="60" t="e">
        <f>VLOOKUP(CV48*1, BP$28:BR$38, 3, TRUE)*BR$27</f>
        <v>#VALUE!</v>
      </c>
      <c r="CY49" s="60" t="e">
        <f>VLOOKUP(CY48*1, BS$28:BU$38, 3, TRUE)*BU$27</f>
        <v>#VALUE!</v>
      </c>
      <c r="CZ49" s="60" t="e">
        <f>VLOOKUP(CZ48*1, BV$28:BX$38, 3, TRUE)*BX$27</f>
        <v>#VALUE!</v>
      </c>
      <c r="DA49" s="60" t="e">
        <f>VLOOKUP(DA48*1, BY$28:CA$38, 3, TRUE)*CA$27</f>
        <v>#VALUE!</v>
      </c>
      <c r="DH49" s="40" t="e">
        <f>DJ49+DL49+DM49+DN49+DO49-DP49-DQ49+DR49</f>
        <v>#VALUE!</v>
      </c>
      <c r="DI49" s="42" t="e">
        <f>DU49+DX49+EA49+ED49+EE49+EF49</f>
        <v>#VALUE!</v>
      </c>
      <c r="DJ49" s="38" t="e">
        <f>VLOOKUP(DJ48*1, FK$2:FM$12, 3, TRUE)*FM$1</f>
        <v>#VALUE!</v>
      </c>
      <c r="DL49" s="38" t="e">
        <f>VLOOKUP(DL48*1, FN$2:FP$12, 3, TRUE)*FP$1</f>
        <v>#VALUE!</v>
      </c>
      <c r="DM49" s="38" t="e">
        <f>VLOOKUP(DM48*1, FQ$2:FS$12, 3, TRUE)*FS$1</f>
        <v>#VALUE!</v>
      </c>
      <c r="DN49" s="38" t="e">
        <f>VLOOKUP(DN48*1, FT$2:FV$12, 3, TRUE)*FV$1</f>
        <v>#VALUE!</v>
      </c>
      <c r="DO49" s="38" t="e">
        <f>VLOOKUP(DO48*1, FW$2:FY$12, 3, TRUE)*FY$1</f>
        <v>#VALUE!</v>
      </c>
      <c r="DP49" s="39" t="e">
        <f>VLOOKUP(DP48*1, FK$14:FM$25, 3, TRUE)*FM$14</f>
        <v>#VALUE!</v>
      </c>
      <c r="DQ49" s="39" t="e">
        <f>VLOOKUP(DQ48*1, FN$14:FP$25, 3, TRUE)*FP$14</f>
        <v>#VALUE!</v>
      </c>
      <c r="DR49" s="38" t="e">
        <f>VLOOKUP(DR48*1, FQ$14:FS$25, 3, TRUE)*FS$14</f>
        <v>#VALUE!</v>
      </c>
      <c r="DU49" s="41" t="e">
        <f>VLOOKUP(DU48*1, FK$27:FM$38, 3, TRUE)*FM$27</f>
        <v>#VALUE!</v>
      </c>
      <c r="DX49" s="41" t="e">
        <f>VLOOKUP(DX48*1, FN$27:FP$38, 3, TRUE)*FP$27</f>
        <v>#VALUE!</v>
      </c>
      <c r="EA49" s="41" t="e">
        <f>VLOOKUP(EA48*1, FQ$27:FS$38, 3, TRUE)*FS$27</f>
        <v>#VALUE!</v>
      </c>
      <c r="ED49" s="41" t="e">
        <f>VLOOKUP(ED48*1, FT$27:FV$38, 3, TRUE)*FV$27</f>
        <v>#VALUE!</v>
      </c>
      <c r="EE49" s="41" t="e">
        <f>VLOOKUP(EE48*1, FW$27:FY$38, 3, TRUE)*FY$27</f>
        <v>#VALUE!</v>
      </c>
      <c r="EF49" s="41" t="e">
        <f>VLOOKUP(EF48*1, FK$40:FM$51, 3, TRUE)*FM$40</f>
        <v>#VALUE!</v>
      </c>
      <c r="EG49" s="57"/>
      <c r="EK49" s="40" t="e">
        <f>EM49+EO49+EP49+EQ49+ER49-ES49-ET49+EU49</f>
        <v>#VALUE!</v>
      </c>
      <c r="EL49" s="42" t="e">
        <f>EX49+FA49+FD49+FG49+FH49+FI49</f>
        <v>#VALUE!</v>
      </c>
      <c r="EM49" s="38" t="e">
        <f>VLOOKUP(EM48*1, $FK$2:$FM$12, 3, TRUE)*$FM$1</f>
        <v>#VALUE!</v>
      </c>
      <c r="EO49" s="38" t="e">
        <f>VLOOKUP(EO48*1, $FN$2:$FP$12, 3, TRUE)*$FP$1</f>
        <v>#VALUE!</v>
      </c>
      <c r="EP49" s="38" t="e">
        <f>VLOOKUP(EP48*1, $FQ$2:$FS$12, 3, TRUE)*$FS$1</f>
        <v>#VALUE!</v>
      </c>
      <c r="EQ49" s="38" t="e">
        <f>VLOOKUP(EQ48*1, $FT$2:$FV$12, 3, TRUE)*$FV$1</f>
        <v>#VALUE!</v>
      </c>
      <c r="ER49" s="38" t="e">
        <f>VLOOKUP(ER48*1, $FW$2:$FY$12, 3, TRUE)*$FY$1</f>
        <v>#VALUE!</v>
      </c>
      <c r="ES49" s="39" t="e">
        <f>VLOOKUP(ES48*1, $FK$14:$FM$25, 3, TRUE)*$FM$14</f>
        <v>#VALUE!</v>
      </c>
      <c r="ET49" s="39" t="e">
        <f>VLOOKUP(ET48*1, $FN$14:$FP$25, 3, TRUE)*$FP$14</f>
        <v>#VALUE!</v>
      </c>
      <c r="EU49" s="38" t="e">
        <f>VLOOKUP(EU48*1, $FQ$14:$FS$25, 3, TRUE)*$FS$14</f>
        <v>#VALUE!</v>
      </c>
      <c r="EX49" s="41" t="e">
        <f>VLOOKUP(EX48*1, $FK$27:$FM$38, 3, TRUE)*$FM$27</f>
        <v>#VALUE!</v>
      </c>
      <c r="FA49" s="41" t="e">
        <f>VLOOKUP(FA48*1, $FN$27:$FP$38, 3, TRUE)*$FP$27</f>
        <v>#VALUE!</v>
      </c>
      <c r="FD49" s="41" t="e">
        <f>VLOOKUP(FD48*1, $FQ$27:$FS$38, 3, TRUE)*$FS$27</f>
        <v>#VALUE!</v>
      </c>
      <c r="FG49" s="41" t="e">
        <f>VLOOKUP(FG48*1, $FT$27:$FV$38, 3, TRUE)*$FV$27</f>
        <v>#VALUE!</v>
      </c>
      <c r="FH49" s="41" t="e">
        <f>VLOOKUP(FH48*1, $FW$27:$FY$38, 3, TRUE)*$FY$27</f>
        <v>#VALUE!</v>
      </c>
      <c r="FI49" s="41" t="e">
        <f>VLOOKUP(FI48*1, $FK$40:$FM$51, 3, TRUE)*$FM$40</f>
        <v>#VALUE!</v>
      </c>
      <c r="FK49" s="22">
        <v>0.6</v>
      </c>
      <c r="FL49" s="19">
        <v>0.62</v>
      </c>
      <c r="FM49" s="23">
        <v>8</v>
      </c>
    </row>
    <row r="50" spans="65:169">
      <c r="BM50" s="54"/>
      <c r="BN50" s="54"/>
      <c r="BO50" s="54"/>
      <c r="CB50" s="19" t="e">
        <f>AF26</f>
        <v>#N/A</v>
      </c>
      <c r="CD50" s="1" t="str">
        <f>AG26</f>
        <v/>
      </c>
      <c r="CE50" s="1" t="str">
        <f t="shared" ref="CE50:DD50" si="26">AL26</f>
        <v/>
      </c>
      <c r="CF50" s="1" t="str">
        <f t="shared" si="26"/>
        <v/>
      </c>
      <c r="CG50" s="1" t="str">
        <f t="shared" si="26"/>
        <v/>
      </c>
      <c r="CH50" s="1" t="str">
        <f t="shared" si="26"/>
        <v/>
      </c>
      <c r="CI50" s="1" t="str">
        <f t="shared" si="26"/>
        <v/>
      </c>
      <c r="CJ50" s="1" t="str">
        <f t="shared" si="26"/>
        <v/>
      </c>
      <c r="CK50" s="1" t="str">
        <f t="shared" si="26"/>
        <v/>
      </c>
      <c r="CL50" s="1" t="str">
        <f t="shared" si="26"/>
        <v/>
      </c>
      <c r="CM50" s="1" t="str">
        <f t="shared" si="26"/>
        <v/>
      </c>
      <c r="CN50" s="1" t="str">
        <f t="shared" si="26"/>
        <v/>
      </c>
      <c r="CO50" s="1" t="str">
        <f t="shared" si="26"/>
        <v/>
      </c>
      <c r="CP50" s="1" t="str">
        <f t="shared" si="26"/>
        <v/>
      </c>
      <c r="CQ50" s="1" t="str">
        <f t="shared" si="26"/>
        <v/>
      </c>
      <c r="CR50" s="1" t="str">
        <f t="shared" si="26"/>
        <v/>
      </c>
      <c r="CS50" s="1" t="str">
        <f t="shared" si="26"/>
        <v/>
      </c>
      <c r="CT50" s="1" t="str">
        <f t="shared" si="26"/>
        <v/>
      </c>
      <c r="CU50" s="1" t="str">
        <f t="shared" si="26"/>
        <v/>
      </c>
      <c r="CV50" s="1" t="str">
        <f t="shared" si="26"/>
        <v/>
      </c>
      <c r="CW50" s="1" t="str">
        <f t="shared" si="26"/>
        <v/>
      </c>
      <c r="CX50" s="1" t="str">
        <f t="shared" si="26"/>
        <v/>
      </c>
      <c r="CY50" s="1" t="str">
        <f t="shared" si="26"/>
        <v/>
      </c>
      <c r="CZ50" s="1" t="str">
        <f t="shared" si="26"/>
        <v/>
      </c>
      <c r="DA50" s="1" t="str">
        <f t="shared" si="26"/>
        <v/>
      </c>
      <c r="DB50" s="1" t="str">
        <f t="shared" si="26"/>
        <v/>
      </c>
      <c r="DC50" s="1" t="str">
        <f t="shared" si="26"/>
        <v/>
      </c>
      <c r="DD50" s="1" t="str">
        <f t="shared" si="26"/>
        <v/>
      </c>
      <c r="DF50" s="37" t="e">
        <f>先發名單!#REF!</f>
        <v>#REF!</v>
      </c>
      <c r="DG50" s="4" t="str">
        <f t="array" ref="DG50">IFERROR(INDEX(球員狀態!$C$2:$C$5000, MATCH(1, (球員狀態!$A$2:$A$5000=$DF$31)*(ISNUMBER(SEARCH($DF50, 球員狀態!$B$2:$B$5000))), 0)), "")</f>
        <v/>
      </c>
      <c r="DJ50" s="4" t="str">
        <f t="array" ref="DJ50">IFERROR(INDEX(球員狀態!$F$2:$F$5000, MATCH(1, (球員狀態!$A$2:$A$5000=$DF$31)*(ISNUMBER(SEARCH($DF50, 球員狀態!$B$2:$B$5000))), 0)), "")</f>
        <v/>
      </c>
      <c r="DK50" s="4" t="str">
        <f t="array" ref="DK50">IFERROR(INDEX(球員狀態!$G$2:$G$5000, MATCH(1, (球員狀態!$A$2:$A$5000=$DF$1)*(ISNUMBER(SEARCH($DF50, 球員狀態!$B$2:$B$5000))), 0)), "")</f>
        <v/>
      </c>
      <c r="DL50" s="4" t="str">
        <f t="array" ref="DL50">IFERROR(INDEX(球員狀態!H$2:H$5000, MATCH(1, (球員狀態!$A$2:$A$5000=$DF$31)*(ISNUMBER(SEARCH($DF50, 球員狀態!$B$2:$B$5000))), 0)), "")</f>
        <v/>
      </c>
      <c r="DM50" s="4" t="str">
        <f t="array" ref="DM50">IFERROR(INDEX(球員狀態!I$2:I$5000, MATCH(1, (球員狀態!$A$2:$A$5000=$DF$31)*(ISNUMBER(SEARCH($DF50, 球員狀態!$B$2:$B$5000))), 0)), "")</f>
        <v/>
      </c>
      <c r="DN50" s="4" t="str">
        <f t="array" ref="DN50">IFERROR(INDEX(球員狀態!J$2:J$5000, MATCH(1, (球員狀態!$A$2:$A$5000=$DF$31)*(ISNUMBER(SEARCH($DF50, 球員狀態!$B$2:$B$5000))), 0)), "")</f>
        <v/>
      </c>
      <c r="DO50" s="4" t="str">
        <f t="array" ref="DO50">IFERROR(INDEX(球員狀態!K$2:K$5000, MATCH(1, (球員狀態!$A$2:$A$5000=$DF$31)*(ISNUMBER(SEARCH($DF50, 球員狀態!$B$2:$B$5000))), 0)), "")</f>
        <v/>
      </c>
      <c r="DP50" s="4" t="str">
        <f t="array" ref="DP50">IFERROR(INDEX(球員狀態!L$2:L$5000, MATCH(1, (球員狀態!$A$2:$A$5000=$DF$31)*(ISNUMBER(SEARCH($DF50, 球員狀態!$B$2:$B$5000))), 0)), "")</f>
        <v/>
      </c>
      <c r="DQ50" s="4" t="str">
        <f t="array" ref="DQ50">IFERROR(INDEX(球員狀態!M$2:M$5000, MATCH(1, (球員狀態!$A$2:$A$5000=$DF$31)*(ISNUMBER(SEARCH($DF50, 球員狀態!$B$2:$B$5000))), 0)), "")</f>
        <v/>
      </c>
      <c r="DR50" s="4" t="str">
        <f t="array" ref="DR50">IFERROR(INDEX(球員狀態!N$2:N$5000, MATCH(1, (球員狀態!$A$2:$A$5000=$DF$31)*(ISNUMBER(SEARCH($DF50, 球員狀態!$B$2:$B$5000))), 0)), "")</f>
        <v/>
      </c>
      <c r="DS50" s="4" t="str">
        <f t="array" ref="DS50">IFERROR(INDEX(球員狀態!O$2:O$5000, MATCH(1, (球員狀態!$A$2:$A$5000=$DF$1)*(ISNUMBER(SEARCH($DF50, 球員狀態!$B$2:$B$5000))), 0)), "")</f>
        <v/>
      </c>
      <c r="DT50" s="4" t="str">
        <f t="array" ref="DT50">IFERROR(INDEX(球員狀態!P$2:P$5000, MATCH(1, (球員狀態!$A$2:$A$5000=$DF$1)*(ISNUMBER(SEARCH($DF50, 球員狀態!$B$2:$B$5000))), 0)), "")</f>
        <v/>
      </c>
      <c r="DU50" s="4" t="str">
        <f t="array" ref="DU50">IFERROR(INDEX(球員狀態!Q$2:Q$5000, MATCH(1, (球員狀態!$A$2:$A$5000=$DF$31)*(ISNUMBER(SEARCH($DF50, 球員狀態!$B$2:$B$5000))), 0)), "")</f>
        <v/>
      </c>
      <c r="DV50" s="4" t="str">
        <f t="array" ref="DV50">IFERROR(INDEX(球員狀態!R$2:R$5000, MATCH(1, (球員狀態!$A$2:$A$5000=$DF$1)*(ISNUMBER(SEARCH($DF50, 球員狀態!$B$2:$B$5000))), 0)), "")</f>
        <v/>
      </c>
      <c r="DW50" s="4" t="str">
        <f t="array" ref="DW50">IFERROR(INDEX(球員狀態!S$2:S$5000, MATCH(1, (球員狀態!$A$2:$A$5000=$DF$1)*(ISNUMBER(SEARCH($DF50, 球員狀態!$B$2:$B$5000))), 0)), "")</f>
        <v/>
      </c>
      <c r="DX50" s="4" t="str">
        <f t="array" ref="DX50">IFERROR(INDEX(球員狀態!T$2:T$5000, MATCH(1, (球員狀態!$A$2:$A$5000=$DF$31)*(ISNUMBER(SEARCH($DF50, 球員狀態!$B$2:$B$5000))), 0)), "")</f>
        <v/>
      </c>
      <c r="DY50" s="4" t="str">
        <f t="array" ref="DY50">IFERROR(INDEX(球員狀態!U$2:U$5000, MATCH(1, (球員狀態!$A$2:$A$5000=$DF$1)*(ISNUMBER(SEARCH($DF50, 球員狀態!$B$2:$B$5000))), 0)), "")</f>
        <v/>
      </c>
      <c r="DZ50" s="4" t="str">
        <f t="array" ref="DZ50">IFERROR(INDEX(球員狀態!V$2:V$5000, MATCH(1, (球員狀態!$A$2:$A$5000=$DF$1)*(ISNUMBER(SEARCH($DF50, 球員狀態!$B$2:$B$5000))), 0)), "")</f>
        <v/>
      </c>
      <c r="EA50" s="4" t="str">
        <f t="array" ref="EA50">IFERROR(INDEX(球員狀態!W$2:W$5000, MATCH(1, (球員狀態!$A$2:$A$5000=$DF$31)*(ISNUMBER(SEARCH($DF50, 球員狀態!$B$2:$B$5000))), 0)), "")</f>
        <v/>
      </c>
      <c r="EB50" s="4" t="str">
        <f t="array" ref="EB50">IFERROR(INDEX(球員狀態!X$2:X$5000, MATCH(1, (球員狀態!$A$2:$A$5000=$DF$1)*(ISNUMBER(SEARCH($DF50, 球員狀態!$B$2:$B$5000))), 0)), "")</f>
        <v/>
      </c>
      <c r="EC50" s="4" t="str">
        <f t="array" ref="EC50">IFERROR(INDEX(球員狀態!Y$2:Y$5000, MATCH(1, (球員狀態!$A$2:$A$5000=$DF$1)*(ISNUMBER(SEARCH($DF50, 球員狀態!$B$2:$B$5000))), 0)), "")</f>
        <v/>
      </c>
      <c r="ED50" s="4" t="str">
        <f t="array" ref="ED50">IFERROR(INDEX(球員狀態!Z$2:Z$5000, MATCH(1, (球員狀態!$A$2:$A$5000=$DF$31)*(ISNUMBER(SEARCH($DF50, 球員狀態!$B$2:$B$5000))), 0)), "")</f>
        <v/>
      </c>
      <c r="EE50" s="4" t="str">
        <f t="array" ref="EE50">IFERROR(INDEX(球員狀態!AA$2:AA$5000, MATCH(1, (球員狀態!$A$2:$A$5000=$DF$31)*(ISNUMBER(SEARCH($DF50, 球員狀態!$B$2:$B$5000))), 0)), "")</f>
        <v/>
      </c>
      <c r="EF50" s="4" t="str">
        <f t="array" ref="EF50">IFERROR(INDEX(球員狀態!AB$2:AB$5000, MATCH(1, (球員狀態!$A$2:$A$5000=$DF$31)*(ISNUMBER(SEARCH($DF50, 球員狀態!$B$2:$B$5000))), 0)), "")</f>
        <v/>
      </c>
      <c r="EG50" s="56"/>
      <c r="EI50" s="37" t="str">
        <f>先發名單!X$3</f>
        <v>Joey Bart</v>
      </c>
      <c r="EJ50" s="4" t="str">
        <f t="array" ref="EJ50">IFERROR(INDEX(球員狀態!$C$2:$C$5000, MATCH(1, (球員狀態!$A$2:$A$5000=$EI$31)*(ISNUMBER(SEARCH($EI50, 球員狀態!$B$2:$B$5000))), 0)), "")</f>
        <v>C</v>
      </c>
      <c r="EM50" s="4" t="str">
        <f t="array" ref="EM50">IFERROR(INDEX(球員狀態!F$2:F$5000, MATCH(1, (球員狀態!$A$2:$A$5000=$EI$31)*(ISNUMBER(SEARCH($EI50, 球員狀態!$B$2:$B$5000))), 0)), "")</f>
        <v>4</v>
      </c>
      <c r="EN50" s="4" t="str">
        <f t="array" ref="EN50">IFERROR(INDEX(球員狀態!G$2:G$5000, MATCH(1, (球員狀態!$A$2:$A$5000=$EI$1)*(ISNUMBER(SEARCH($EI50, 球員狀態!$B$2:$B$5000))), 0)), "")</f>
        <v/>
      </c>
      <c r="EO50" s="4" t="str">
        <f t="array" ref="EO50">IFERROR(INDEX(球員狀態!H$2:H$5000, MATCH(1, (球員狀態!$A$2:$A$5000=$EI$31)*(ISNUMBER(SEARCH($EI50, 球員狀態!$B$2:$B$5000))), 0)), "")</f>
        <v>1</v>
      </c>
      <c r="EP50" s="4" t="str">
        <f t="array" ref="EP50">IFERROR(INDEX(球員狀態!I$2:I$5000, MATCH(1, (球員狀態!$A$2:$A$5000=$EI$31)*(ISNUMBER(SEARCH($EI50, 球員狀態!$B$2:$B$5000))), 0)), "")</f>
        <v>0</v>
      </c>
      <c r="EQ50" s="4" t="str">
        <f t="array" ref="EQ50">IFERROR(INDEX(球員狀態!J$2:J$5000, MATCH(1, (球員狀態!$A$2:$A$5000=$EI$31)*(ISNUMBER(SEARCH($EI50, 球員狀態!$B$2:$B$5000))), 0)), "")</f>
        <v>1</v>
      </c>
      <c r="ER50" s="4" t="str">
        <f t="array" ref="ER50">IFERROR(INDEX(球員狀態!K$2:K$5000, MATCH(1, (球員狀態!$A$2:$A$5000=$EI$31)*(ISNUMBER(SEARCH($EI50, 球員狀態!$B$2:$B$5000))), 0)), "")</f>
        <v>3</v>
      </c>
      <c r="ES50" s="4" t="str">
        <f t="array" ref="ES50">IFERROR(INDEX(球員狀態!L$2:L$5000, MATCH(1, (球員狀態!$A$2:$A$5000=$EI$31)*(ISNUMBER(SEARCH($EI50, 球員狀態!$B$2:$B$5000))), 0)), "")</f>
        <v>10</v>
      </c>
      <c r="ET50" s="4" t="str">
        <f t="array" ref="ET50">IFERROR(INDEX(球員狀態!M$2:M$5000, MATCH(1, (球員狀態!$A$2:$A$5000=$EI$31)*(ISNUMBER(SEARCH($EI50, 球員狀態!$B$2:$B$5000))), 0)), "")</f>
        <v>2</v>
      </c>
      <c r="EU50" s="4" t="str">
        <f t="array" ref="EU50">IFERROR(INDEX(球員狀態!N$2:N$5000, MATCH(1, (球員狀態!$A$2:$A$5000=$EI$31)*(ISNUMBER(SEARCH($EI50, 球員狀態!$B$2:$B$5000))), 0)), "")</f>
        <v>17</v>
      </c>
      <c r="EV50" s="4" t="str">
        <f t="array" ref="EV50">IFERROR(INDEX(球員狀態!O$2:O$5000, MATCH(1, (球員狀態!$A$2:$A$5000=$EI$1)*(ISNUMBER(SEARCH($EI50, 球員狀態!$B$2:$B$5000))), 0)), "")</f>
        <v/>
      </c>
      <c r="EW50" s="4" t="str">
        <f t="array" ref="EW50">IFERROR(INDEX(球員狀態!P$2:P$5000, MATCH(1, (球員狀態!$A$2:$A$5000=$EI$1)*(ISNUMBER(SEARCH($EI50, 球員狀態!$B$2:$B$5000))), 0)), "")</f>
        <v/>
      </c>
      <c r="EX50" s="4" t="str">
        <f t="array" ref="EX50">IFERROR(INDEX(球員狀態!Q$2:Q$5000, MATCH(1, (球員狀態!$A$2:$A$5000=$EI$31)*(ISNUMBER(SEARCH($EI50, 球員狀態!$B$2:$B$5000))), 0)), "")</f>
        <v>.214</v>
      </c>
      <c r="EY50" s="4" t="str">
        <f t="array" ref="EY50">IFERROR(INDEX(球員狀態!R$2:R$5000, MATCH(1, (球員狀態!$A$2:$A$5000=$EI$1)*(ISNUMBER(SEARCH($EI50, 球員狀態!$B$2:$B$5000))), 0)), "")</f>
        <v/>
      </c>
      <c r="EZ50" s="4" t="str">
        <f t="array" ref="EZ50">IFERROR(INDEX(球員狀態!S$2:S$5000, MATCH(1, (球員狀態!$A$2:$A$5000=$EI$1)*(ISNUMBER(SEARCH($EI50, 球員狀態!$B$2:$B$5000))), 0)), "")</f>
        <v/>
      </c>
      <c r="FA50" s="4" t="str">
        <f t="array" ref="FA50">IFERROR(INDEX(球員狀態!T$2:T$5000, MATCH(1, (球員狀態!$A$2:$A$5000=$EI$31)*(ISNUMBER(SEARCH($EI50, 球員狀態!$B$2:$B$5000))), 0)), "")</f>
        <v>-0.2</v>
      </c>
      <c r="FB50" s="4" t="str">
        <f t="array" ref="FB50">IFERROR(INDEX(球員狀態!U$2:U$5000, MATCH(1, (球員狀態!$A$2:$A$5000=$EI$1)*(ISNUMBER(SEARCH($EI50, 球員狀態!$B$2:$B$5000))), 0)), "")</f>
        <v/>
      </c>
      <c r="FC50" s="4" t="str">
        <f t="array" ref="FC50">IFERROR(INDEX(球員狀態!V$2:V$5000, MATCH(1, (球員狀態!$A$2:$A$5000=$EI$1)*(ISNUMBER(SEARCH($EI50, 球員狀態!$B$2:$B$5000))), 0)), "")</f>
        <v/>
      </c>
      <c r="FD50" s="4" t="str">
        <f t="array" ref="FD50">IFERROR(INDEX(球員狀態!W$2:W$5000, MATCH(1, (球員狀態!$A$2:$A$5000=$EI$31)*(ISNUMBER(SEARCH($EI50, 球員狀態!$B$2:$B$5000))), 0)), "")</f>
        <v>.048</v>
      </c>
      <c r="FE50" s="4" t="str">
        <f t="array" ref="FE50">IFERROR(INDEX(球員狀態!X$2:X$5000, MATCH(1, (球員狀態!$A$2:$A$5000=$EI$1)*(ISNUMBER(SEARCH($EI50, 球員狀態!$B$2:$B$5000))), 0)), "")</f>
        <v/>
      </c>
      <c r="FF50" s="4" t="str">
        <f t="array" ref="FF50">IFERROR(INDEX(球員狀態!Y$2:Y$5000, MATCH(1, (球員狀態!$A$2:$A$5000=$EI$1)*(ISNUMBER(SEARCH($EI50, 球員狀態!$B$2:$B$5000))), 0)), "")</f>
        <v/>
      </c>
      <c r="FG50" s="4" t="str">
        <f t="array" ref="FG50">IFERROR(INDEX(球員狀態!Z$2:Z$5000, MATCH(1, (球員狀態!$A$2:$A$5000=$EI$31)*(ISNUMBER(SEARCH($EI50, 球員狀態!$B$2:$B$5000))), 0)), "")</f>
        <v>.158</v>
      </c>
      <c r="FH50" s="4" t="str">
        <f t="array" ref="FH50">IFERROR(INDEX(球員狀態!AA$2:AA$5000, MATCH(1, (球員狀態!$A$2:$A$5000=$EI$31)*(ISNUMBER(SEARCH($EI50, 球員狀態!$B$2:$B$5000))), 0)), "")</f>
        <v>4.17</v>
      </c>
      <c r="FI50" s="4" t="str">
        <f t="array" ref="FI50">IFERROR(INDEX(球員狀態!AB$2:AB$5000, MATCH(1, (球員狀態!$A$2:$A$5000=$EI$31)*(ISNUMBER(SEARCH($EI50, 球員狀態!$B$2:$B$5000))), 0)), "")</f>
        <v>2</v>
      </c>
      <c r="FK50" s="22">
        <v>0.63</v>
      </c>
      <c r="FL50" s="19">
        <v>0.65</v>
      </c>
      <c r="FM50" s="23">
        <v>9</v>
      </c>
    </row>
    <row r="51" spans="65:169" ht="15.6" customHeight="1" thickBot="1">
      <c r="BM51" s="54"/>
      <c r="BN51" s="54"/>
      <c r="BO51" s="54"/>
      <c r="CB51" s="28" t="e">
        <f>CF51+CJ51+CK51+CM51+CO51+CP51+CQ51+CR51</f>
        <v>#VALUE!</v>
      </c>
      <c r="CC51" s="31" t="e">
        <f>CU51+CV51+CY51+CZ51+DA51</f>
        <v>#VALUE!</v>
      </c>
      <c r="CF51" s="27" t="e">
        <f>VLOOKUP(ROUND(CF50/CD50, 2), $BV$2:$BX$12, 3, TRUE)*BX$1</f>
        <v>#VALUE!</v>
      </c>
      <c r="CJ51" s="27" t="e">
        <f>VLOOKUP(ROUND(CJ50/CD50, 2), $BM$15:$BO$25, 3, TRUE)*BO$14</f>
        <v>#VALUE!</v>
      </c>
      <c r="CK51" s="27" t="e">
        <f>VLOOKUP(ROUND(CK50/CD50, 2), $BY$2:$CA$12, 3, TRUE)*CA$1</f>
        <v>#VALUE!</v>
      </c>
      <c r="CM51" s="101" t="e">
        <f>VLOOKUP(ROUND(CM50/CN50, 2), $BP$15:$BR$25, 3, TRUE)*BR$14</f>
        <v>#VALUE!</v>
      </c>
      <c r="CN51" s="78"/>
      <c r="CO51" s="27" t="e">
        <f>VLOOKUP(ROUND(CO50/CD50, 2), $BS$15:$BU$25, 3, TRUE)*BU$14</f>
        <v>#VALUE!</v>
      </c>
      <c r="CP51" s="27" t="e">
        <f>VLOOKUP(CP50*1, BM$2:BO$12, 3, TRUE)*BO$1</f>
        <v>#VALUE!</v>
      </c>
      <c r="CQ51" s="27" t="e">
        <f>VLOOKUP(CQ50*1, BP$2:BR$12, 3, TRUE)*BR$1</f>
        <v>#VALUE!</v>
      </c>
      <c r="CR51" s="27" t="e">
        <f>VLOOKUP(CR50*1, BS$2:BU$12, 3, TRUE)*BU$1</f>
        <v>#VALUE!</v>
      </c>
      <c r="CU51" s="60" t="e">
        <f>VLOOKUP(CU50*1, BM$28:BO$38, 3, TRUE)*BO$27</f>
        <v>#VALUE!</v>
      </c>
      <c r="CV51" s="60" t="e">
        <f>VLOOKUP(CV50*1, BP$28:BR$38, 3, TRUE)*BR$27</f>
        <v>#VALUE!</v>
      </c>
      <c r="CY51" s="60" t="e">
        <f>VLOOKUP(CY50*1, BS$28:BU$38, 3, TRUE)*BU$27</f>
        <v>#VALUE!</v>
      </c>
      <c r="CZ51" s="60" t="e">
        <f>VLOOKUP(CZ50*1, BV$28:BX$38, 3, TRUE)*BX$27</f>
        <v>#VALUE!</v>
      </c>
      <c r="DA51" s="60" t="e">
        <f>VLOOKUP(DA50*1, BY$28:CA$38, 3, TRUE)*CA$27</f>
        <v>#VALUE!</v>
      </c>
      <c r="DH51" s="40" t="e">
        <f>DJ51+DL51+DM51+DN51+DO51-DP51-DQ51+DR51</f>
        <v>#VALUE!</v>
      </c>
      <c r="DI51" s="42" t="e">
        <f>DU51+DX51+EA51+ED51+EE51+EF51</f>
        <v>#VALUE!</v>
      </c>
      <c r="DJ51" s="38" t="e">
        <f>VLOOKUP(DJ50*1, FK$2:FM$12, 3, TRUE)*FM$1</f>
        <v>#VALUE!</v>
      </c>
      <c r="DL51" s="38" t="e">
        <f>VLOOKUP(DL50*1, FN$2:FP$12, 3, TRUE)*FP$1</f>
        <v>#VALUE!</v>
      </c>
      <c r="DM51" s="38" t="e">
        <f>VLOOKUP(DM50*1, FQ$2:FS$12, 3, TRUE)*FS$1</f>
        <v>#VALUE!</v>
      </c>
      <c r="DN51" s="38" t="e">
        <f>VLOOKUP(DN50*1, FT$2:FV$12, 3, TRUE)*FV$1</f>
        <v>#VALUE!</v>
      </c>
      <c r="DO51" s="38" t="e">
        <f>VLOOKUP(DO50*1, FW$2:FY$12, 3, TRUE)*FY$1</f>
        <v>#VALUE!</v>
      </c>
      <c r="DP51" s="39" t="e">
        <f>VLOOKUP(DP50*1, FK$14:FM$25, 3, TRUE)*FM$14</f>
        <v>#VALUE!</v>
      </c>
      <c r="DQ51" s="39" t="e">
        <f>VLOOKUP(DQ50*1, FN$14:FP$25, 3, TRUE)*FP$14</f>
        <v>#VALUE!</v>
      </c>
      <c r="DR51" s="38" t="e">
        <f>VLOOKUP(DR50*1, FQ$14:FS$25, 3, TRUE)*FS$14</f>
        <v>#VALUE!</v>
      </c>
      <c r="DU51" s="41" t="e">
        <f>VLOOKUP(DU50*1, FK$27:FM$38, 3, TRUE)*FM$27</f>
        <v>#VALUE!</v>
      </c>
      <c r="DX51" s="41" t="e">
        <f>VLOOKUP(DX50*1, FN$27:FP$38, 3, TRUE)*FP$27</f>
        <v>#VALUE!</v>
      </c>
      <c r="EA51" s="41" t="e">
        <f>VLOOKUP(EA50*1, FQ$27:FS$38, 3, TRUE)*FS$27</f>
        <v>#VALUE!</v>
      </c>
      <c r="ED51" s="41" t="e">
        <f>VLOOKUP(ED50*1, FT$27:FV$38, 3, TRUE)*FV$27</f>
        <v>#VALUE!</v>
      </c>
      <c r="EE51" s="41" t="e">
        <f>VLOOKUP(EE50*1, FW$27:FY$38, 3, TRUE)*FY$27</f>
        <v>#VALUE!</v>
      </c>
      <c r="EF51" s="41" t="e">
        <f>VLOOKUP(EF50*1, FK$40:FM$51, 3, TRUE)*FM$40</f>
        <v>#VALUE!</v>
      </c>
      <c r="EG51" s="57"/>
      <c r="EK51" s="40">
        <f>EM51+EO51+EP51+EQ51+ER51-ES51-ET51+EU51</f>
        <v>1.3499999999999999</v>
      </c>
      <c r="EL51" s="42" t="e">
        <f>EX51+FA51+FD51+FG51+FH51+FI51</f>
        <v>#N/A</v>
      </c>
      <c r="EM51" s="38">
        <f>VLOOKUP(EM50*1, $FK$2:$FM$12, 3, TRUE)*$FM$1</f>
        <v>0.25</v>
      </c>
      <c r="EO51" s="38">
        <f>VLOOKUP(EO50*1, $FN$2:$FP$12, 3, TRUE)*$FP$1</f>
        <v>0</v>
      </c>
      <c r="EP51" s="38">
        <f>VLOOKUP(EP50*1, $FQ$2:$FS$12, 3, TRUE)*$FS$1</f>
        <v>0</v>
      </c>
      <c r="EQ51" s="38">
        <f>VLOOKUP(EQ50*1, $FT$2:$FV$12, 3, TRUE)*$FV$1</f>
        <v>0.4</v>
      </c>
      <c r="ER51" s="38">
        <f>VLOOKUP(ER50*1, $FW$2:$FY$12, 3, TRUE)*$FY$1</f>
        <v>0.5</v>
      </c>
      <c r="ES51" s="39">
        <f>VLOOKUP(ES50*1, $FK$14:$FM$25, 3, TRUE)*$FM$14</f>
        <v>1</v>
      </c>
      <c r="ET51" s="39">
        <f>VLOOKUP(ET50*1, $FN$14:$FP$25, 3, TRUE)*$FP$14</f>
        <v>0.30000000000000004</v>
      </c>
      <c r="EU51" s="38">
        <f>VLOOKUP(EU50*1, $FQ$14:$FS$25, 3, TRUE)*$FS$14</f>
        <v>1.5</v>
      </c>
      <c r="EX51" s="41">
        <f>VLOOKUP(EX50*1, $FK$27:$FM$38, 3, TRUE)*$FM$27</f>
        <v>0</v>
      </c>
      <c r="FA51" s="41" t="e">
        <f>VLOOKUP(FA50*1, $FN$27:$FP$38, 3, TRUE)*$FP$27</f>
        <v>#N/A</v>
      </c>
      <c r="FD51" s="41">
        <f>VLOOKUP(FD50*1, $FQ$27:$FS$38, 3, TRUE)*$FS$27</f>
        <v>0</v>
      </c>
      <c r="FG51" s="41">
        <f>VLOOKUP(FG50*1, $FT$27:$FV$38, 3, TRUE)*$FV$27</f>
        <v>0</v>
      </c>
      <c r="FH51" s="41">
        <f>VLOOKUP(FH50*1, $FW$27:$FY$38, 3, TRUE)*$FY$27</f>
        <v>1.5</v>
      </c>
      <c r="FI51" s="41">
        <f>VLOOKUP(FI50*1, $FK$40:$FM$51, 3, TRUE)*$FM$40</f>
        <v>3.5</v>
      </c>
      <c r="FK51" s="24">
        <v>0.66</v>
      </c>
      <c r="FL51" s="25">
        <v>2</v>
      </c>
      <c r="FM51" s="26">
        <v>10</v>
      </c>
    </row>
    <row r="52" spans="65:169">
      <c r="CB52" s="19" t="e">
        <f>AF27</f>
        <v>#N/A</v>
      </c>
      <c r="CD52" s="1" t="str">
        <f>AG27</f>
        <v/>
      </c>
      <c r="CE52" s="1" t="str">
        <f t="shared" ref="CE52:DD52" si="27">AL27</f>
        <v/>
      </c>
      <c r="CF52" s="1" t="str">
        <f t="shared" si="27"/>
        <v/>
      </c>
      <c r="CG52" s="1" t="str">
        <f t="shared" si="27"/>
        <v/>
      </c>
      <c r="CH52" s="1" t="str">
        <f t="shared" si="27"/>
        <v/>
      </c>
      <c r="CI52" s="1" t="str">
        <f t="shared" si="27"/>
        <v/>
      </c>
      <c r="CJ52" s="1" t="str">
        <f t="shared" si="27"/>
        <v/>
      </c>
      <c r="CK52" s="1" t="str">
        <f t="shared" si="27"/>
        <v/>
      </c>
      <c r="CL52" s="1" t="str">
        <f t="shared" si="27"/>
        <v/>
      </c>
      <c r="CM52" s="1" t="str">
        <f t="shared" si="27"/>
        <v/>
      </c>
      <c r="CN52" s="1" t="str">
        <f t="shared" si="27"/>
        <v/>
      </c>
      <c r="CO52" s="1" t="str">
        <f t="shared" si="27"/>
        <v/>
      </c>
      <c r="CP52" s="1" t="str">
        <f t="shared" si="27"/>
        <v/>
      </c>
      <c r="CQ52" s="1" t="str">
        <f t="shared" si="27"/>
        <v/>
      </c>
      <c r="CR52" s="1" t="str">
        <f t="shared" si="27"/>
        <v/>
      </c>
      <c r="CS52" s="1" t="str">
        <f t="shared" si="27"/>
        <v/>
      </c>
      <c r="CT52" s="1" t="str">
        <f t="shared" si="27"/>
        <v/>
      </c>
      <c r="CU52" s="1" t="str">
        <f t="shared" si="27"/>
        <v/>
      </c>
      <c r="CV52" s="1" t="str">
        <f t="shared" si="27"/>
        <v/>
      </c>
      <c r="CW52" s="1" t="str">
        <f t="shared" si="27"/>
        <v/>
      </c>
      <c r="CX52" s="1" t="str">
        <f t="shared" si="27"/>
        <v/>
      </c>
      <c r="CY52" s="1" t="str">
        <f t="shared" si="27"/>
        <v/>
      </c>
      <c r="CZ52" s="1" t="str">
        <f t="shared" si="27"/>
        <v/>
      </c>
      <c r="DA52" s="1" t="str">
        <f t="shared" si="27"/>
        <v/>
      </c>
      <c r="DB52" s="1" t="str">
        <f t="shared" si="27"/>
        <v/>
      </c>
      <c r="DC52" s="1" t="str">
        <f t="shared" si="27"/>
        <v/>
      </c>
      <c r="DD52" s="1" t="str">
        <f t="shared" si="27"/>
        <v/>
      </c>
      <c r="DF52" s="37" t="e">
        <f>先發名單!#REF!</f>
        <v>#REF!</v>
      </c>
      <c r="DG52" s="4" t="str">
        <f t="array" ref="DG52">IFERROR(INDEX(球員狀態!$C$2:$C$5000, MATCH(1, (球員狀態!$A$2:$A$5000=$DF$31)*(ISNUMBER(SEARCH($DF52, 球員狀態!$B$2:$B$5000))), 0)), "")</f>
        <v/>
      </c>
      <c r="DJ52" s="4" t="str">
        <f t="array" ref="DJ52">IFERROR(INDEX(球員狀態!$F$2:$F$5000, MATCH(1, (球員狀態!$A$2:$A$5000=$DF$31)*(ISNUMBER(SEARCH($DF52, 球員狀態!$B$2:$B$5000))), 0)), "")</f>
        <v/>
      </c>
      <c r="DK52" s="4" t="str">
        <f t="array" ref="DK52">IFERROR(INDEX(球員狀態!$G$2:$G$5000, MATCH(1, (球員狀態!$A$2:$A$5000=$DF$1)*(ISNUMBER(SEARCH($DF52, 球員狀態!$B$2:$B$5000))), 0)), "")</f>
        <v/>
      </c>
      <c r="DL52" s="4" t="str">
        <f t="array" ref="DL52">IFERROR(INDEX(球員狀態!H$2:H$5000, MATCH(1, (球員狀態!$A$2:$A$5000=$DF$31)*(ISNUMBER(SEARCH($DF52, 球員狀態!$B$2:$B$5000))), 0)), "")</f>
        <v/>
      </c>
      <c r="DM52" s="4" t="str">
        <f t="array" ref="DM52">IFERROR(INDEX(球員狀態!I$2:I$5000, MATCH(1, (球員狀態!$A$2:$A$5000=$DF$31)*(ISNUMBER(SEARCH($DF52, 球員狀態!$B$2:$B$5000))), 0)), "")</f>
        <v/>
      </c>
      <c r="DN52" s="4" t="str">
        <f t="array" ref="DN52">IFERROR(INDEX(球員狀態!J$2:J$5000, MATCH(1, (球員狀態!$A$2:$A$5000=$DF$31)*(ISNUMBER(SEARCH($DF52, 球員狀態!$B$2:$B$5000))), 0)), "")</f>
        <v/>
      </c>
      <c r="DO52" s="4" t="str">
        <f t="array" ref="DO52">IFERROR(INDEX(球員狀態!K$2:K$5000, MATCH(1, (球員狀態!$A$2:$A$5000=$DF$31)*(ISNUMBER(SEARCH($DF52, 球員狀態!$B$2:$B$5000))), 0)), "")</f>
        <v/>
      </c>
      <c r="DP52" s="4" t="str">
        <f t="array" ref="DP52">IFERROR(INDEX(球員狀態!L$2:L$5000, MATCH(1, (球員狀態!$A$2:$A$5000=$DF$31)*(ISNUMBER(SEARCH($DF52, 球員狀態!$B$2:$B$5000))), 0)), "")</f>
        <v/>
      </c>
      <c r="DQ52" s="4" t="str">
        <f t="array" ref="DQ52">IFERROR(INDEX(球員狀態!M$2:M$5000, MATCH(1, (球員狀態!$A$2:$A$5000=$DF$31)*(ISNUMBER(SEARCH($DF52, 球員狀態!$B$2:$B$5000))), 0)), "")</f>
        <v/>
      </c>
      <c r="DR52" s="4" t="str">
        <f t="array" ref="DR52">IFERROR(INDEX(球員狀態!N$2:N$5000, MATCH(1, (球員狀態!$A$2:$A$5000=$DF$31)*(ISNUMBER(SEARCH($DF52, 球員狀態!$B$2:$B$5000))), 0)), "")</f>
        <v/>
      </c>
      <c r="DS52" s="4" t="str">
        <f t="array" ref="DS52">IFERROR(INDEX(球員狀態!O$2:O$5000, MATCH(1, (球員狀態!$A$2:$A$5000=$DF$1)*(ISNUMBER(SEARCH($DF52, 球員狀態!$B$2:$B$5000))), 0)), "")</f>
        <v/>
      </c>
      <c r="DT52" s="4" t="str">
        <f t="array" ref="DT52">IFERROR(INDEX(球員狀態!P$2:P$5000, MATCH(1, (球員狀態!$A$2:$A$5000=$DF$1)*(ISNUMBER(SEARCH($DF52, 球員狀態!$B$2:$B$5000))), 0)), "")</f>
        <v/>
      </c>
      <c r="DU52" s="4" t="str">
        <f t="array" ref="DU52">IFERROR(INDEX(球員狀態!Q$2:Q$5000, MATCH(1, (球員狀態!$A$2:$A$5000=$DF$31)*(ISNUMBER(SEARCH($DF52, 球員狀態!$B$2:$B$5000))), 0)), "")</f>
        <v/>
      </c>
      <c r="DV52" s="4" t="str">
        <f t="array" ref="DV52">IFERROR(INDEX(球員狀態!R$2:R$5000, MATCH(1, (球員狀態!$A$2:$A$5000=$DF$1)*(ISNUMBER(SEARCH($DF52, 球員狀態!$B$2:$B$5000))), 0)), "")</f>
        <v/>
      </c>
      <c r="DW52" s="4" t="str">
        <f t="array" ref="DW52">IFERROR(INDEX(球員狀態!S$2:S$5000, MATCH(1, (球員狀態!$A$2:$A$5000=$DF$1)*(ISNUMBER(SEARCH($DF52, 球員狀態!$B$2:$B$5000))), 0)), "")</f>
        <v/>
      </c>
      <c r="DX52" s="4" t="str">
        <f t="array" ref="DX52">IFERROR(INDEX(球員狀態!T$2:T$5000, MATCH(1, (球員狀態!$A$2:$A$5000=$DF$31)*(ISNUMBER(SEARCH($DF52, 球員狀態!$B$2:$B$5000))), 0)), "")</f>
        <v/>
      </c>
      <c r="DY52" s="4" t="str">
        <f t="array" ref="DY52">IFERROR(INDEX(球員狀態!U$2:U$5000, MATCH(1, (球員狀態!$A$2:$A$5000=$DF$1)*(ISNUMBER(SEARCH($DF52, 球員狀態!$B$2:$B$5000))), 0)), "")</f>
        <v/>
      </c>
      <c r="DZ52" s="4" t="str">
        <f t="array" ref="DZ52">IFERROR(INDEX(球員狀態!V$2:V$5000, MATCH(1, (球員狀態!$A$2:$A$5000=$DF$1)*(ISNUMBER(SEARCH($DF52, 球員狀態!$B$2:$B$5000))), 0)), "")</f>
        <v/>
      </c>
      <c r="EA52" s="4" t="str">
        <f t="array" ref="EA52">IFERROR(INDEX(球員狀態!W$2:W$5000, MATCH(1, (球員狀態!$A$2:$A$5000=$DF$31)*(ISNUMBER(SEARCH($DF52, 球員狀態!$B$2:$B$5000))), 0)), "")</f>
        <v/>
      </c>
      <c r="EB52" s="4" t="str">
        <f t="array" ref="EB52">IFERROR(INDEX(球員狀態!X$2:X$5000, MATCH(1, (球員狀態!$A$2:$A$5000=$DF$1)*(ISNUMBER(SEARCH($DF52, 球員狀態!$B$2:$B$5000))), 0)), "")</f>
        <v/>
      </c>
      <c r="EC52" s="4" t="str">
        <f t="array" ref="EC52">IFERROR(INDEX(球員狀態!Y$2:Y$5000, MATCH(1, (球員狀態!$A$2:$A$5000=$DF$1)*(ISNUMBER(SEARCH($DF52, 球員狀態!$B$2:$B$5000))), 0)), "")</f>
        <v/>
      </c>
      <c r="ED52" s="4" t="str">
        <f t="array" ref="ED52">IFERROR(INDEX(球員狀態!Z$2:Z$5000, MATCH(1, (球員狀態!$A$2:$A$5000=$DF$31)*(ISNUMBER(SEARCH($DF52, 球員狀態!$B$2:$B$5000))), 0)), "")</f>
        <v/>
      </c>
      <c r="EE52" s="4" t="str">
        <f t="array" ref="EE52">IFERROR(INDEX(球員狀態!AA$2:AA$5000, MATCH(1, (球員狀態!$A$2:$A$5000=$DF$31)*(ISNUMBER(SEARCH($DF52, 球員狀態!$B$2:$B$5000))), 0)), "")</f>
        <v/>
      </c>
      <c r="EF52" s="4" t="str">
        <f t="array" ref="EF52">IFERROR(INDEX(球員狀態!AB$2:AB$5000, MATCH(1, (球員狀態!$A$2:$A$5000=$DF$31)*(ISNUMBER(SEARCH($DF52, 球員狀態!$B$2:$B$5000))), 0)), "")</f>
        <v/>
      </c>
      <c r="EG52" s="56"/>
      <c r="EI52" s="37">
        <f>先發名單!Y$3</f>
        <v>0</v>
      </c>
      <c r="EJ52" s="4" t="str">
        <f t="array" ref="EJ52">IFERROR(INDEX(球員狀態!$C$2:$C$5000, MATCH(1, (球員狀態!$A$2:$A$5000=$EI$31)*(ISNUMBER(SEARCH($EI52, 球員狀態!$B$2:$B$5000))), 0)), "")</f>
        <v/>
      </c>
      <c r="EM52" s="4" t="str">
        <f t="array" ref="EM52">IFERROR(INDEX(球員狀態!F$2:F$5000, MATCH(1, (球員狀態!$A$2:$A$5000=$EI$31)*(ISNUMBER(SEARCH($EI52, 球員狀態!$B$2:$B$5000))), 0)), "")</f>
        <v/>
      </c>
      <c r="EN52" s="4" t="str">
        <f t="array" ref="EN52">IFERROR(INDEX(球員狀態!G$2:G$5000, MATCH(1, (球員狀態!$A$2:$A$5000=$EI$1)*(ISNUMBER(SEARCH($EI52, 球員狀態!$B$2:$B$5000))), 0)), "")</f>
        <v/>
      </c>
      <c r="EO52" s="4" t="str">
        <f t="array" ref="EO52">IFERROR(INDEX(球員狀態!H$2:H$5000, MATCH(1, (球員狀態!$A$2:$A$5000=$EI$31)*(ISNUMBER(SEARCH($EI52, 球員狀態!$B$2:$B$5000))), 0)), "")</f>
        <v/>
      </c>
      <c r="EP52" s="4" t="str">
        <f t="array" ref="EP52">IFERROR(INDEX(球員狀態!I$2:I$5000, MATCH(1, (球員狀態!$A$2:$A$5000=$EI$31)*(ISNUMBER(SEARCH($EI52, 球員狀態!$B$2:$B$5000))), 0)), "")</f>
        <v/>
      </c>
      <c r="EQ52" s="4" t="str">
        <f t="array" ref="EQ52">IFERROR(INDEX(球員狀態!J$2:J$5000, MATCH(1, (球員狀態!$A$2:$A$5000=$EI$31)*(ISNUMBER(SEARCH($EI52, 球員狀態!$B$2:$B$5000))), 0)), "")</f>
        <v/>
      </c>
      <c r="ER52" s="4" t="str">
        <f t="array" ref="ER52">IFERROR(INDEX(球員狀態!K$2:K$5000, MATCH(1, (球員狀態!$A$2:$A$5000=$EI$31)*(ISNUMBER(SEARCH($EI52, 球員狀態!$B$2:$B$5000))), 0)), "")</f>
        <v/>
      </c>
      <c r="ES52" s="4" t="str">
        <f t="array" ref="ES52">IFERROR(INDEX(球員狀態!L$2:L$5000, MATCH(1, (球員狀態!$A$2:$A$5000=$EI$31)*(ISNUMBER(SEARCH($EI52, 球員狀態!$B$2:$B$5000))), 0)), "")</f>
        <v/>
      </c>
      <c r="ET52" s="4" t="str">
        <f t="array" ref="ET52">IFERROR(INDEX(球員狀態!M$2:M$5000, MATCH(1, (球員狀態!$A$2:$A$5000=$EI$31)*(ISNUMBER(SEARCH($EI52, 球員狀態!$B$2:$B$5000))), 0)), "")</f>
        <v/>
      </c>
      <c r="EU52" s="4" t="str">
        <f t="array" ref="EU52">IFERROR(INDEX(球員狀態!N$2:N$5000, MATCH(1, (球員狀態!$A$2:$A$5000=$EI$31)*(ISNUMBER(SEARCH($EI52, 球員狀態!$B$2:$B$5000))), 0)), "")</f>
        <v/>
      </c>
      <c r="EV52" s="4" t="str">
        <f t="array" ref="EV52">IFERROR(INDEX(球員狀態!O$2:O$5000, MATCH(1, (球員狀態!$A$2:$A$5000=$EI$1)*(ISNUMBER(SEARCH($EI52, 球員狀態!$B$2:$B$5000))), 0)), "")</f>
        <v/>
      </c>
      <c r="EW52" s="4" t="str">
        <f t="array" ref="EW52">IFERROR(INDEX(球員狀態!P$2:P$5000, MATCH(1, (球員狀態!$A$2:$A$5000=$EI$1)*(ISNUMBER(SEARCH($EI52, 球員狀態!$B$2:$B$5000))), 0)), "")</f>
        <v/>
      </c>
      <c r="EX52" s="4" t="str">
        <f t="array" ref="EX52">IFERROR(INDEX(球員狀態!Q$2:Q$5000, MATCH(1, (球員狀態!$A$2:$A$5000=$EI$31)*(ISNUMBER(SEARCH($EI52, 球員狀態!$B$2:$B$5000))), 0)), "")</f>
        <v/>
      </c>
      <c r="EY52" s="4" t="str">
        <f t="array" ref="EY52">IFERROR(INDEX(球員狀態!R$2:R$5000, MATCH(1, (球員狀態!$A$2:$A$5000=$EI$1)*(ISNUMBER(SEARCH($EI52, 球員狀態!$B$2:$B$5000))), 0)), "")</f>
        <v/>
      </c>
      <c r="EZ52" s="4" t="str">
        <f t="array" ref="EZ52">IFERROR(INDEX(球員狀態!S$2:S$5000, MATCH(1, (球員狀態!$A$2:$A$5000=$EI$1)*(ISNUMBER(SEARCH($EI52, 球員狀態!$B$2:$B$5000))), 0)), "")</f>
        <v/>
      </c>
      <c r="FA52" s="4" t="str">
        <f t="array" ref="FA52">IFERROR(INDEX(球員狀態!T$2:T$5000, MATCH(1, (球員狀態!$A$2:$A$5000=$EI$31)*(ISNUMBER(SEARCH($EI52, 球員狀態!$B$2:$B$5000))), 0)), "")</f>
        <v/>
      </c>
      <c r="FB52" s="4" t="str">
        <f t="array" ref="FB52">IFERROR(INDEX(球員狀態!U$2:U$5000, MATCH(1, (球員狀態!$A$2:$A$5000=$EI$1)*(ISNUMBER(SEARCH($EI52, 球員狀態!$B$2:$B$5000))), 0)), "")</f>
        <v/>
      </c>
      <c r="FC52" s="4" t="str">
        <f t="array" ref="FC52">IFERROR(INDEX(球員狀態!V$2:V$5000, MATCH(1, (球員狀態!$A$2:$A$5000=$EI$1)*(ISNUMBER(SEARCH($EI52, 球員狀態!$B$2:$B$5000))), 0)), "")</f>
        <v/>
      </c>
      <c r="FD52" s="4" t="str">
        <f t="array" ref="FD52">IFERROR(INDEX(球員狀態!W$2:W$5000, MATCH(1, (球員狀態!$A$2:$A$5000=$EI$31)*(ISNUMBER(SEARCH($EI52, 球員狀態!$B$2:$B$5000))), 0)), "")</f>
        <v/>
      </c>
      <c r="FE52" s="4" t="str">
        <f t="array" ref="FE52">IFERROR(INDEX(球員狀態!X$2:X$5000, MATCH(1, (球員狀態!$A$2:$A$5000=$EI$1)*(ISNUMBER(SEARCH($EI52, 球員狀態!$B$2:$B$5000))), 0)), "")</f>
        <v/>
      </c>
      <c r="FF52" s="4" t="str">
        <f t="array" ref="FF52">IFERROR(INDEX(球員狀態!Y$2:Y$5000, MATCH(1, (球員狀態!$A$2:$A$5000=$EI$1)*(ISNUMBER(SEARCH($EI52, 球員狀態!$B$2:$B$5000))), 0)), "")</f>
        <v/>
      </c>
      <c r="FG52" s="4" t="str">
        <f t="array" ref="FG52">IFERROR(INDEX(球員狀態!Z$2:Z$5000, MATCH(1, (球員狀態!$A$2:$A$5000=$EI$31)*(ISNUMBER(SEARCH($EI52, 球員狀態!$B$2:$B$5000))), 0)), "")</f>
        <v/>
      </c>
      <c r="FH52" s="4" t="str">
        <f t="array" ref="FH52">IFERROR(INDEX(球員狀態!AA$2:AA$5000, MATCH(1, (球員狀態!$A$2:$A$5000=$EI$31)*(ISNUMBER(SEARCH($EI52, 球員狀態!$B$2:$B$5000))), 0)), "")</f>
        <v/>
      </c>
      <c r="FI52" s="4" t="str">
        <f t="array" ref="FI52">IFERROR(INDEX(球員狀態!AB$2:AB$5000, MATCH(1, (球員狀態!$A$2:$A$5000=$EI$31)*(ISNUMBER(SEARCH($EI52, 球員狀態!$B$2:$B$5000))), 0)), "")</f>
        <v/>
      </c>
    </row>
    <row r="53" spans="65:169">
      <c r="CB53" s="28" t="e">
        <f>CF53+CJ53+CK53+CM53+CO53+CP53+CQ53+CR53</f>
        <v>#VALUE!</v>
      </c>
      <c r="CC53" s="31" t="e">
        <f>CU53+CV53+CY53+CZ53+DA53</f>
        <v>#VALUE!</v>
      </c>
      <c r="CF53" s="27" t="e">
        <f>VLOOKUP(ROUND(CF52/CD52, 2), $BV$2:$BX$12, 3, TRUE)*BX$1</f>
        <v>#VALUE!</v>
      </c>
      <c r="CJ53" s="27" t="e">
        <f>VLOOKUP(ROUND(CJ52/CD52, 2), $BM$15:$BO$25, 3, TRUE)*BO$14</f>
        <v>#VALUE!</v>
      </c>
      <c r="CK53" s="27" t="e">
        <f>VLOOKUP(ROUND(CK52/CD52, 2), $BY$2:$CA$12, 3, TRUE)*CA$1</f>
        <v>#VALUE!</v>
      </c>
      <c r="CM53" s="101" t="e">
        <f>VLOOKUP(ROUND(CM52/CN52, 2), $BP$15:$BR$25, 3, TRUE)*BR$14</f>
        <v>#VALUE!</v>
      </c>
      <c r="CN53" s="78"/>
      <c r="CO53" s="27" t="e">
        <f>VLOOKUP(ROUND(CO52/CD52, 2), $BS$15:$BU$25, 3, TRUE)*BU$14</f>
        <v>#VALUE!</v>
      </c>
      <c r="CP53" s="27" t="e">
        <f>VLOOKUP(CP52*1, BM$2:BO$12, 3, TRUE)*BO$1</f>
        <v>#VALUE!</v>
      </c>
      <c r="CQ53" s="27" t="e">
        <f>VLOOKUP(CQ52*1, BP$2:BR$12, 3, TRUE)*BR$1</f>
        <v>#VALUE!</v>
      </c>
      <c r="CR53" s="27" t="e">
        <f>VLOOKUP(CR52*1, BS$2:BU$12, 3, TRUE)*BU$1</f>
        <v>#VALUE!</v>
      </c>
      <c r="CU53" s="60" t="e">
        <f>VLOOKUP(CU52*1, BM$28:BO$38, 3, TRUE)*BO$27</f>
        <v>#VALUE!</v>
      </c>
      <c r="CV53" s="60" t="e">
        <f>VLOOKUP(CV52*1, BP$28:BR$38, 3, TRUE)*BR$27</f>
        <v>#VALUE!</v>
      </c>
      <c r="CY53" s="60" t="e">
        <f>VLOOKUP(CY52*1, BS$28:BU$38, 3, TRUE)*BU$27</f>
        <v>#VALUE!</v>
      </c>
      <c r="CZ53" s="60" t="e">
        <f>VLOOKUP(CZ52*1, BV$28:BX$38, 3, TRUE)*BX$27</f>
        <v>#VALUE!</v>
      </c>
      <c r="DA53" s="60" t="e">
        <f>VLOOKUP(DA52*1, BY$28:CA$38, 3, TRUE)*CA$27</f>
        <v>#VALUE!</v>
      </c>
      <c r="DH53" s="40" t="e">
        <f>DJ53+DL53+DM53+DN53+DO53-DP53-DQ53+DR53</f>
        <v>#VALUE!</v>
      </c>
      <c r="DI53" s="42" t="e">
        <f>DU53+DX53+EA53+ED53+EE53+EF53</f>
        <v>#VALUE!</v>
      </c>
      <c r="DJ53" s="38" t="e">
        <f>VLOOKUP(DJ52*1, FK$2:FM$12, 3, TRUE)*FM$1</f>
        <v>#VALUE!</v>
      </c>
      <c r="DL53" s="38" t="e">
        <f>VLOOKUP(DL52*1, FN$2:FP$12, 3, TRUE)*FP$1</f>
        <v>#VALUE!</v>
      </c>
      <c r="DM53" s="38" t="e">
        <f>VLOOKUP(DM52*1, FQ$2:FS$12, 3, TRUE)*FS$1</f>
        <v>#VALUE!</v>
      </c>
      <c r="DN53" s="38" t="e">
        <f>VLOOKUP(DN52*1, FT$2:FV$12, 3, TRUE)*FV$1</f>
        <v>#VALUE!</v>
      </c>
      <c r="DO53" s="38" t="e">
        <f>VLOOKUP(DO52*1, FW$2:FY$12, 3, TRUE)*FY$1</f>
        <v>#VALUE!</v>
      </c>
      <c r="DP53" s="39" t="e">
        <f>VLOOKUP(DP52*1, FK$14:FM$25, 3, TRUE)*FM$14</f>
        <v>#VALUE!</v>
      </c>
      <c r="DQ53" s="39" t="e">
        <f>VLOOKUP(DQ52*1, FN$14:FP$25, 3, TRUE)*FP$14</f>
        <v>#VALUE!</v>
      </c>
      <c r="DR53" s="38" t="e">
        <f>VLOOKUP(DR52*1, FQ$14:FS$25, 3, TRUE)*FS$14</f>
        <v>#VALUE!</v>
      </c>
      <c r="DU53" s="41" t="e">
        <f>VLOOKUP(DU52*1, FK$27:FM$38, 3, TRUE)*FM$27</f>
        <v>#VALUE!</v>
      </c>
      <c r="DX53" s="41" t="e">
        <f>VLOOKUP(DX52*1, FN$27:FP$38, 3, TRUE)*FP$27</f>
        <v>#VALUE!</v>
      </c>
      <c r="EA53" s="41" t="e">
        <f>VLOOKUP(EA52*1, FQ$27:FS$38, 3, TRUE)*FS$27</f>
        <v>#VALUE!</v>
      </c>
      <c r="ED53" s="41" t="e">
        <f>VLOOKUP(ED52*1, FT$27:FV$38, 3, TRUE)*FV$27</f>
        <v>#VALUE!</v>
      </c>
      <c r="EE53" s="41" t="e">
        <f>VLOOKUP(EE52*1, FW$27:FY$38, 3, TRUE)*FY$27</f>
        <v>#VALUE!</v>
      </c>
      <c r="EF53" s="41" t="e">
        <f>VLOOKUP(EF52*1, FK$40:FM$51, 3, TRUE)*FM$40</f>
        <v>#VALUE!</v>
      </c>
      <c r="EG53" s="57"/>
      <c r="EK53" s="40" t="e">
        <f>EM53+EO53+EP53+EQ53+ER53-ES53-ET53+EU53</f>
        <v>#VALUE!</v>
      </c>
      <c r="EL53" s="42" t="e">
        <f>EX53+FA53+FD53+FG53+FH53+FI53</f>
        <v>#VALUE!</v>
      </c>
      <c r="EM53" s="38" t="e">
        <f>VLOOKUP(EM52*1, $FK$2:$FM$12, 3, TRUE)*$FM$1</f>
        <v>#VALUE!</v>
      </c>
      <c r="EO53" s="38" t="e">
        <f>VLOOKUP(EO52*1, $FN$2:$FP$12, 3, TRUE)*$FP$1</f>
        <v>#VALUE!</v>
      </c>
      <c r="EP53" s="38" t="e">
        <f>VLOOKUP(EP52*1, $FQ$2:$FS$12, 3, TRUE)*$FS$1</f>
        <v>#VALUE!</v>
      </c>
      <c r="EQ53" s="38" t="e">
        <f>VLOOKUP(EQ52*1, $FT$2:$FV$12, 3, TRUE)*$FV$1</f>
        <v>#VALUE!</v>
      </c>
      <c r="ER53" s="38" t="e">
        <f>VLOOKUP(ER52*1, $FW$2:$FY$12, 3, TRUE)*$FY$1</f>
        <v>#VALUE!</v>
      </c>
      <c r="ES53" s="39" t="e">
        <f>VLOOKUP(ES52*1, $FK$14:$FM$25, 3, TRUE)*$FM$14</f>
        <v>#VALUE!</v>
      </c>
      <c r="ET53" s="39" t="e">
        <f>VLOOKUP(ET52*1, $FN$14:$FP$25, 3, TRUE)*$FP$14</f>
        <v>#VALUE!</v>
      </c>
      <c r="EU53" s="38" t="e">
        <f>VLOOKUP(EU52*1, $FQ$14:$FS$25, 3, TRUE)*$FS$14</f>
        <v>#VALUE!</v>
      </c>
      <c r="EX53" s="41" t="e">
        <f>VLOOKUP(EX52*1, $FK$27:$FM$38, 3, TRUE)*$FM$27</f>
        <v>#VALUE!</v>
      </c>
      <c r="FA53" s="41" t="e">
        <f>VLOOKUP(FA52*1, $FN$27:$FP$38, 3, TRUE)*$FP$27</f>
        <v>#VALUE!</v>
      </c>
      <c r="FD53" s="41" t="e">
        <f>VLOOKUP(FD52*1, $FQ$27:$FS$38, 3, TRUE)*$FS$27</f>
        <v>#VALUE!</v>
      </c>
      <c r="FG53" s="41" t="e">
        <f>VLOOKUP(FG52*1, $FT$27:$FV$38, 3, TRUE)*$FV$27</f>
        <v>#VALUE!</v>
      </c>
      <c r="FH53" s="41" t="e">
        <f>VLOOKUP(FH52*1, $FW$27:$FY$38, 3, TRUE)*$FY$27</f>
        <v>#VALUE!</v>
      </c>
      <c r="FI53" s="41" t="e">
        <f>VLOOKUP(FI52*1, $FK$40:$FM$51, 3, TRUE)*$FM$40</f>
        <v>#VALUE!</v>
      </c>
    </row>
    <row r="54" spans="65:169">
      <c r="CB54" s="19" t="e">
        <f>AF28</f>
        <v>#N/A</v>
      </c>
      <c r="CD54" s="1" t="str">
        <f>AG28</f>
        <v/>
      </c>
      <c r="CE54" s="1" t="str">
        <f t="shared" ref="CE54:DD54" si="28">AL28</f>
        <v/>
      </c>
      <c r="CF54" s="1" t="str">
        <f t="shared" si="28"/>
        <v/>
      </c>
      <c r="CG54" s="1" t="str">
        <f t="shared" si="28"/>
        <v/>
      </c>
      <c r="CH54" s="1" t="str">
        <f t="shared" si="28"/>
        <v/>
      </c>
      <c r="CI54" s="1" t="str">
        <f t="shared" si="28"/>
        <v/>
      </c>
      <c r="CJ54" s="1" t="str">
        <f t="shared" si="28"/>
        <v/>
      </c>
      <c r="CK54" s="1" t="str">
        <f t="shared" si="28"/>
        <v/>
      </c>
      <c r="CL54" s="1" t="str">
        <f t="shared" si="28"/>
        <v/>
      </c>
      <c r="CM54" s="1" t="str">
        <f t="shared" si="28"/>
        <v/>
      </c>
      <c r="CN54" s="1" t="str">
        <f t="shared" si="28"/>
        <v/>
      </c>
      <c r="CO54" s="1" t="str">
        <f t="shared" si="28"/>
        <v/>
      </c>
      <c r="CP54" s="1" t="str">
        <f t="shared" si="28"/>
        <v/>
      </c>
      <c r="CQ54" s="1" t="str">
        <f t="shared" si="28"/>
        <v/>
      </c>
      <c r="CR54" s="1" t="str">
        <f t="shared" si="28"/>
        <v/>
      </c>
      <c r="CS54" s="1" t="str">
        <f t="shared" si="28"/>
        <v/>
      </c>
      <c r="CT54" s="1" t="str">
        <f t="shared" si="28"/>
        <v/>
      </c>
      <c r="CU54" s="1" t="str">
        <f t="shared" si="28"/>
        <v/>
      </c>
      <c r="CV54" s="1" t="str">
        <f t="shared" si="28"/>
        <v/>
      </c>
      <c r="CW54" s="1" t="str">
        <f t="shared" si="28"/>
        <v/>
      </c>
      <c r="CX54" s="1" t="str">
        <f t="shared" si="28"/>
        <v/>
      </c>
      <c r="CY54" s="1" t="str">
        <f t="shared" si="28"/>
        <v/>
      </c>
      <c r="CZ54" s="1" t="str">
        <f t="shared" si="28"/>
        <v/>
      </c>
      <c r="DA54" s="1" t="str">
        <f t="shared" si="28"/>
        <v/>
      </c>
      <c r="DB54" s="1" t="str">
        <f t="shared" si="28"/>
        <v/>
      </c>
      <c r="DC54" s="1" t="str">
        <f t="shared" si="28"/>
        <v/>
      </c>
      <c r="DD54" s="1" t="str">
        <f t="shared" si="28"/>
        <v/>
      </c>
      <c r="DF54" s="37" t="e">
        <f>先發名單!#REF!</f>
        <v>#REF!</v>
      </c>
      <c r="DG54" s="4" t="str">
        <f t="array" ref="DG54">IFERROR(INDEX(球員狀態!$C$2:$C$5000, MATCH(1, (球員狀態!$A$2:$A$5000=$DF$31)*(ISNUMBER(SEARCH($DF54, 球員狀態!$B$2:$B$5000))), 0)), "")</f>
        <v/>
      </c>
      <c r="DJ54" s="4" t="str">
        <f t="array" ref="DJ54">IFERROR(INDEX(球員狀態!$F$2:$F$5000, MATCH(1, (球員狀態!$A$2:$A$5000=$DF$31)*(ISNUMBER(SEARCH($DF54, 球員狀態!$B$2:$B$5000))), 0)), "")</f>
        <v/>
      </c>
      <c r="DK54" s="4" t="str">
        <f t="array" ref="DK54">IFERROR(INDEX(球員狀態!$G$2:$G$5000, MATCH(1, (球員狀態!$A$2:$A$5000=$DF$1)*(ISNUMBER(SEARCH($DF54, 球員狀態!$B$2:$B$5000))), 0)), "")</f>
        <v/>
      </c>
      <c r="DL54" s="4" t="str">
        <f t="array" ref="DL54">IFERROR(INDEX(球員狀態!H$2:H$5000, MATCH(1, (球員狀態!$A$2:$A$5000=$DF$31)*(ISNUMBER(SEARCH($DF54, 球員狀態!$B$2:$B$5000))), 0)), "")</f>
        <v/>
      </c>
      <c r="DM54" s="4" t="str">
        <f t="array" ref="DM54">IFERROR(INDEX(球員狀態!I$2:I$5000, MATCH(1, (球員狀態!$A$2:$A$5000=$DF$31)*(ISNUMBER(SEARCH($DF54, 球員狀態!$B$2:$B$5000))), 0)), "")</f>
        <v/>
      </c>
      <c r="DN54" s="4" t="str">
        <f t="array" ref="DN54">IFERROR(INDEX(球員狀態!J$2:J$5000, MATCH(1, (球員狀態!$A$2:$A$5000=$DF$31)*(ISNUMBER(SEARCH($DF54, 球員狀態!$B$2:$B$5000))), 0)), "")</f>
        <v/>
      </c>
      <c r="DO54" s="4" t="str">
        <f t="array" ref="DO54">IFERROR(INDEX(球員狀態!K$2:K$5000, MATCH(1, (球員狀態!$A$2:$A$5000=$DF$31)*(ISNUMBER(SEARCH($DF54, 球員狀態!$B$2:$B$5000))), 0)), "")</f>
        <v/>
      </c>
      <c r="DP54" s="4" t="str">
        <f t="array" ref="DP54">IFERROR(INDEX(球員狀態!L$2:L$5000, MATCH(1, (球員狀態!$A$2:$A$5000=$DF$31)*(ISNUMBER(SEARCH($DF54, 球員狀態!$B$2:$B$5000))), 0)), "")</f>
        <v/>
      </c>
      <c r="DQ54" s="4" t="str">
        <f t="array" ref="DQ54">IFERROR(INDEX(球員狀態!M$2:M$5000, MATCH(1, (球員狀態!$A$2:$A$5000=$DF$31)*(ISNUMBER(SEARCH($DF54, 球員狀態!$B$2:$B$5000))), 0)), "")</f>
        <v/>
      </c>
      <c r="DR54" s="4" t="str">
        <f t="array" ref="DR54">IFERROR(INDEX(球員狀態!N$2:N$5000, MATCH(1, (球員狀態!$A$2:$A$5000=$DF$31)*(ISNUMBER(SEARCH($DF54, 球員狀態!$B$2:$B$5000))), 0)), "")</f>
        <v/>
      </c>
      <c r="DS54" s="4" t="str">
        <f t="array" ref="DS54">IFERROR(INDEX(球員狀態!O$2:O$5000, MATCH(1, (球員狀態!$A$2:$A$5000=$DF$1)*(ISNUMBER(SEARCH($DF54, 球員狀態!$B$2:$B$5000))), 0)), "")</f>
        <v/>
      </c>
      <c r="DT54" s="4" t="str">
        <f t="array" ref="DT54">IFERROR(INDEX(球員狀態!P$2:P$5000, MATCH(1, (球員狀態!$A$2:$A$5000=$DF$1)*(ISNUMBER(SEARCH($DF54, 球員狀態!$B$2:$B$5000))), 0)), "")</f>
        <v/>
      </c>
      <c r="DU54" s="4" t="str">
        <f t="array" ref="DU54">IFERROR(INDEX(球員狀態!Q$2:Q$5000, MATCH(1, (球員狀態!$A$2:$A$5000=$DF$31)*(ISNUMBER(SEARCH($DF54, 球員狀態!$B$2:$B$5000))), 0)), "")</f>
        <v/>
      </c>
      <c r="DV54" s="4" t="str">
        <f t="array" ref="DV54">IFERROR(INDEX(球員狀態!R$2:R$5000, MATCH(1, (球員狀態!$A$2:$A$5000=$DF$1)*(ISNUMBER(SEARCH($DF54, 球員狀態!$B$2:$B$5000))), 0)), "")</f>
        <v/>
      </c>
      <c r="DW54" s="4" t="str">
        <f t="array" ref="DW54">IFERROR(INDEX(球員狀態!S$2:S$5000, MATCH(1, (球員狀態!$A$2:$A$5000=$DF$1)*(ISNUMBER(SEARCH($DF54, 球員狀態!$B$2:$B$5000))), 0)), "")</f>
        <v/>
      </c>
      <c r="DX54" s="4" t="str">
        <f t="array" ref="DX54">IFERROR(INDEX(球員狀態!T$2:T$5000, MATCH(1, (球員狀態!$A$2:$A$5000=$DF$31)*(ISNUMBER(SEARCH($DF54, 球員狀態!$B$2:$B$5000))), 0)), "")</f>
        <v/>
      </c>
      <c r="DY54" s="4" t="str">
        <f t="array" ref="DY54">IFERROR(INDEX(球員狀態!U$2:U$5000, MATCH(1, (球員狀態!$A$2:$A$5000=$DF$1)*(ISNUMBER(SEARCH($DF54, 球員狀態!$B$2:$B$5000))), 0)), "")</f>
        <v/>
      </c>
      <c r="DZ54" s="4" t="str">
        <f t="array" ref="DZ54">IFERROR(INDEX(球員狀態!V$2:V$5000, MATCH(1, (球員狀態!$A$2:$A$5000=$DF$1)*(ISNUMBER(SEARCH($DF54, 球員狀態!$B$2:$B$5000))), 0)), "")</f>
        <v/>
      </c>
      <c r="EA54" s="4" t="str">
        <f t="array" ref="EA54">IFERROR(INDEX(球員狀態!W$2:W$5000, MATCH(1, (球員狀態!$A$2:$A$5000=$DF$31)*(ISNUMBER(SEARCH($DF54, 球員狀態!$B$2:$B$5000))), 0)), "")</f>
        <v/>
      </c>
      <c r="EB54" s="4" t="str">
        <f t="array" ref="EB54">IFERROR(INDEX(球員狀態!X$2:X$5000, MATCH(1, (球員狀態!$A$2:$A$5000=$DF$1)*(ISNUMBER(SEARCH($DF54, 球員狀態!$B$2:$B$5000))), 0)), "")</f>
        <v/>
      </c>
      <c r="EC54" s="4" t="str">
        <f t="array" ref="EC54">IFERROR(INDEX(球員狀態!Y$2:Y$5000, MATCH(1, (球員狀態!$A$2:$A$5000=$DF$1)*(ISNUMBER(SEARCH($DF54, 球員狀態!$B$2:$B$5000))), 0)), "")</f>
        <v/>
      </c>
      <c r="ED54" s="4" t="str">
        <f t="array" ref="ED54">IFERROR(INDEX(球員狀態!Z$2:Z$5000, MATCH(1, (球員狀態!$A$2:$A$5000=$DF$31)*(ISNUMBER(SEARCH($DF54, 球員狀態!$B$2:$B$5000))), 0)), "")</f>
        <v/>
      </c>
      <c r="EE54" s="4" t="str">
        <f t="array" ref="EE54">IFERROR(INDEX(球員狀態!AA$2:AA$5000, MATCH(1, (球員狀態!$A$2:$A$5000=$DF$31)*(ISNUMBER(SEARCH($DF54, 球員狀態!$B$2:$B$5000))), 0)), "")</f>
        <v/>
      </c>
      <c r="EF54" s="4" t="str">
        <f t="array" ref="EF54">IFERROR(INDEX(球員狀態!AB$2:AB$5000, MATCH(1, (球員狀態!$A$2:$A$5000=$DF$31)*(ISNUMBER(SEARCH($DF54, 球員狀態!$B$2:$B$5000))), 0)), "")</f>
        <v/>
      </c>
      <c r="EG54" s="56"/>
      <c r="EI54" s="37">
        <f>先發名單!Z$3</f>
        <v>0</v>
      </c>
      <c r="EJ54" s="4" t="str">
        <f t="array" ref="EJ54">IFERROR(INDEX(球員狀態!$C$2:$C$5000, MATCH(1, (球員狀態!$A$2:$A$5000=$EI$31)*(ISNUMBER(SEARCH($EI54, 球員狀態!$B$2:$B$5000))), 0)), "")</f>
        <v/>
      </c>
      <c r="EM54" s="4" t="str">
        <f t="array" ref="EM54">IFERROR(INDEX(球員狀態!F$2:F$5000, MATCH(1, (球員狀態!$A$2:$A$5000=$EI$31)*(ISNUMBER(SEARCH($EI54, 球員狀態!$B$2:$B$5000))), 0)), "")</f>
        <v/>
      </c>
      <c r="EN54" s="4" t="str">
        <f t="array" ref="EN54">IFERROR(INDEX(球員狀態!G$2:G$5000, MATCH(1, (球員狀態!$A$2:$A$5000=$EI$1)*(ISNUMBER(SEARCH($EI54, 球員狀態!$B$2:$B$5000))), 0)), "")</f>
        <v/>
      </c>
      <c r="EO54" s="4" t="str">
        <f t="array" ref="EO54">IFERROR(INDEX(球員狀態!H$2:H$5000, MATCH(1, (球員狀態!$A$2:$A$5000=$EI$31)*(ISNUMBER(SEARCH($EI54, 球員狀態!$B$2:$B$5000))), 0)), "")</f>
        <v/>
      </c>
      <c r="EP54" s="4" t="str">
        <f t="array" ref="EP54">IFERROR(INDEX(球員狀態!I$2:I$5000, MATCH(1, (球員狀態!$A$2:$A$5000=$EI$31)*(ISNUMBER(SEARCH($EI54, 球員狀態!$B$2:$B$5000))), 0)), "")</f>
        <v/>
      </c>
      <c r="EQ54" s="4" t="str">
        <f t="array" ref="EQ54">IFERROR(INDEX(球員狀態!J$2:J$5000, MATCH(1, (球員狀態!$A$2:$A$5000=$EI$31)*(ISNUMBER(SEARCH($EI54, 球員狀態!$B$2:$B$5000))), 0)), "")</f>
        <v/>
      </c>
      <c r="ER54" s="4" t="str">
        <f t="array" ref="ER54">IFERROR(INDEX(球員狀態!K$2:K$5000, MATCH(1, (球員狀態!$A$2:$A$5000=$EI$31)*(ISNUMBER(SEARCH($EI54, 球員狀態!$B$2:$B$5000))), 0)), "")</f>
        <v/>
      </c>
      <c r="ES54" s="4" t="str">
        <f t="array" ref="ES54">IFERROR(INDEX(球員狀態!L$2:L$5000, MATCH(1, (球員狀態!$A$2:$A$5000=$EI$31)*(ISNUMBER(SEARCH($EI54, 球員狀態!$B$2:$B$5000))), 0)), "")</f>
        <v/>
      </c>
      <c r="ET54" s="4" t="str">
        <f t="array" ref="ET54">IFERROR(INDEX(球員狀態!M$2:M$5000, MATCH(1, (球員狀態!$A$2:$A$5000=$EI$31)*(ISNUMBER(SEARCH($EI54, 球員狀態!$B$2:$B$5000))), 0)), "")</f>
        <v/>
      </c>
      <c r="EU54" s="4" t="str">
        <f t="array" ref="EU54">IFERROR(INDEX(球員狀態!N$2:N$5000, MATCH(1, (球員狀態!$A$2:$A$5000=$EI$31)*(ISNUMBER(SEARCH($EI54, 球員狀態!$B$2:$B$5000))), 0)), "")</f>
        <v/>
      </c>
      <c r="EV54" s="4" t="str">
        <f t="array" ref="EV54">IFERROR(INDEX(球員狀態!O$2:O$5000, MATCH(1, (球員狀態!$A$2:$A$5000=$EI$1)*(ISNUMBER(SEARCH($EI54, 球員狀態!$B$2:$B$5000))), 0)), "")</f>
        <v/>
      </c>
      <c r="EW54" s="4" t="str">
        <f t="array" ref="EW54">IFERROR(INDEX(球員狀態!P$2:P$5000, MATCH(1, (球員狀態!$A$2:$A$5000=$EI$1)*(ISNUMBER(SEARCH($EI54, 球員狀態!$B$2:$B$5000))), 0)), "")</f>
        <v/>
      </c>
      <c r="EX54" s="4" t="str">
        <f t="array" ref="EX54">IFERROR(INDEX(球員狀態!Q$2:Q$5000, MATCH(1, (球員狀態!$A$2:$A$5000=$EI$31)*(ISNUMBER(SEARCH($EI54, 球員狀態!$B$2:$B$5000))), 0)), "")</f>
        <v/>
      </c>
      <c r="EY54" s="4" t="str">
        <f t="array" ref="EY54">IFERROR(INDEX(球員狀態!R$2:R$5000, MATCH(1, (球員狀態!$A$2:$A$5000=$EI$1)*(ISNUMBER(SEARCH($EI54, 球員狀態!$B$2:$B$5000))), 0)), "")</f>
        <v/>
      </c>
      <c r="EZ54" s="4" t="str">
        <f t="array" ref="EZ54">IFERROR(INDEX(球員狀態!S$2:S$5000, MATCH(1, (球員狀態!$A$2:$A$5000=$EI$1)*(ISNUMBER(SEARCH($EI54, 球員狀態!$B$2:$B$5000))), 0)), "")</f>
        <v/>
      </c>
      <c r="FA54" s="4" t="str">
        <f t="array" ref="FA54">IFERROR(INDEX(球員狀態!T$2:T$5000, MATCH(1, (球員狀態!$A$2:$A$5000=$EI$31)*(ISNUMBER(SEARCH($EI54, 球員狀態!$B$2:$B$5000))), 0)), "")</f>
        <v/>
      </c>
      <c r="FB54" s="4" t="str">
        <f t="array" ref="FB54">IFERROR(INDEX(球員狀態!U$2:U$5000, MATCH(1, (球員狀態!$A$2:$A$5000=$EI$1)*(ISNUMBER(SEARCH($EI54, 球員狀態!$B$2:$B$5000))), 0)), "")</f>
        <v/>
      </c>
      <c r="FC54" s="4" t="str">
        <f t="array" ref="FC54">IFERROR(INDEX(球員狀態!V$2:V$5000, MATCH(1, (球員狀態!$A$2:$A$5000=$EI$1)*(ISNUMBER(SEARCH($EI54, 球員狀態!$B$2:$B$5000))), 0)), "")</f>
        <v/>
      </c>
      <c r="FD54" s="4" t="str">
        <f t="array" ref="FD54">IFERROR(INDEX(球員狀態!W$2:W$5000, MATCH(1, (球員狀態!$A$2:$A$5000=$EI$31)*(ISNUMBER(SEARCH($EI54, 球員狀態!$B$2:$B$5000))), 0)), "")</f>
        <v/>
      </c>
      <c r="FE54" s="4" t="str">
        <f t="array" ref="FE54">IFERROR(INDEX(球員狀態!X$2:X$5000, MATCH(1, (球員狀態!$A$2:$A$5000=$EI$1)*(ISNUMBER(SEARCH($EI54, 球員狀態!$B$2:$B$5000))), 0)), "")</f>
        <v/>
      </c>
      <c r="FF54" s="4" t="str">
        <f t="array" ref="FF54">IFERROR(INDEX(球員狀態!Y$2:Y$5000, MATCH(1, (球員狀態!$A$2:$A$5000=$EI$1)*(ISNUMBER(SEARCH($EI54, 球員狀態!$B$2:$B$5000))), 0)), "")</f>
        <v/>
      </c>
      <c r="FG54" s="4" t="str">
        <f t="array" ref="FG54">IFERROR(INDEX(球員狀態!Z$2:Z$5000, MATCH(1, (球員狀態!$A$2:$A$5000=$EI$31)*(ISNUMBER(SEARCH($EI54, 球員狀態!$B$2:$B$5000))), 0)), "")</f>
        <v/>
      </c>
      <c r="FH54" s="4" t="str">
        <f t="array" ref="FH54">IFERROR(INDEX(球員狀態!AA$2:AA$5000, MATCH(1, (球員狀態!$A$2:$A$5000=$EI$31)*(ISNUMBER(SEARCH($EI54, 球員狀態!$B$2:$B$5000))), 0)), "")</f>
        <v/>
      </c>
      <c r="FI54" s="4" t="str">
        <f t="array" ref="FI54">IFERROR(INDEX(球員狀態!AB$2:AB$5000, MATCH(1, (球員狀態!$A$2:$A$5000=$EI$31)*(ISNUMBER(SEARCH($EI54, 球員狀態!$B$2:$B$5000))), 0)), "")</f>
        <v/>
      </c>
    </row>
    <row r="55" spans="65:169">
      <c r="CB55" s="28" t="e">
        <f>CF55+CJ55+CK55+CM55+CO55+CP55+CQ55+CR55</f>
        <v>#VALUE!</v>
      </c>
      <c r="CC55" s="31" t="e">
        <f>CU55+CV55+CY55+CZ55+DA55</f>
        <v>#VALUE!</v>
      </c>
      <c r="CF55" s="27" t="e">
        <f>VLOOKUP(ROUND(CF54/CD54, 2), $BV$2:$BX$12, 3, TRUE)*BX$1</f>
        <v>#VALUE!</v>
      </c>
      <c r="CJ55" s="27" t="e">
        <f>VLOOKUP(ROUND(CJ54/CD54, 2), $BM$15:$BO$25, 3, TRUE)*BO$14</f>
        <v>#VALUE!</v>
      </c>
      <c r="CK55" s="27" t="e">
        <f>VLOOKUP(ROUND(CK54/CD54, 2), $BY$2:$CA$12, 3, TRUE)*CA$1</f>
        <v>#VALUE!</v>
      </c>
      <c r="CM55" s="101" t="e">
        <f>VLOOKUP(ROUND(CM54/CN54, 2), $BP$15:$BR$25, 3, TRUE)*BR$14</f>
        <v>#VALUE!</v>
      </c>
      <c r="CN55" s="78"/>
      <c r="CO55" s="27" t="e">
        <f>VLOOKUP(ROUND(CO54/CD54, 2), $BS$15:$BU$25, 3, TRUE)*BU$14</f>
        <v>#VALUE!</v>
      </c>
      <c r="CP55" s="27" t="e">
        <f>VLOOKUP(CP54*1, BM$2:BO$12, 3, TRUE)*BO$1</f>
        <v>#VALUE!</v>
      </c>
      <c r="CQ55" s="27" t="e">
        <f>VLOOKUP(CQ54*1, BP$2:BR$12, 3, TRUE)*BR$1</f>
        <v>#VALUE!</v>
      </c>
      <c r="CR55" s="27" t="e">
        <f>VLOOKUP(CR54*1, BS$2:BU$12, 3, TRUE)*BU$1</f>
        <v>#VALUE!</v>
      </c>
      <c r="CU55" s="60" t="e">
        <f>VLOOKUP(CU54*1, BM$28:BO$38, 3, TRUE)*BO$27</f>
        <v>#VALUE!</v>
      </c>
      <c r="CV55" s="60" t="e">
        <f>VLOOKUP(CV54*1, BP$28:BR$38, 3, TRUE)*BR$27</f>
        <v>#VALUE!</v>
      </c>
      <c r="CY55" s="60" t="e">
        <f>VLOOKUP(CY54*1, BS$28:BU$38, 3, TRUE)*BU$27</f>
        <v>#VALUE!</v>
      </c>
      <c r="CZ55" s="60" t="e">
        <f>VLOOKUP(CZ54*1, BV$28:BX$38, 3, TRUE)*BX$27</f>
        <v>#VALUE!</v>
      </c>
      <c r="DA55" s="60" t="e">
        <f>VLOOKUP(DA54*1, BY$28:CA$38, 3, TRUE)*CA$27</f>
        <v>#VALUE!</v>
      </c>
      <c r="DH55" s="40" t="e">
        <f>DJ55+DL55+DM55+DN55+DO55-DP55-DQ55+DR55</f>
        <v>#VALUE!</v>
      </c>
      <c r="DI55" s="42" t="e">
        <f>DU55+DX55+EA55+ED55+EE55+EF55</f>
        <v>#VALUE!</v>
      </c>
      <c r="DJ55" s="38" t="e">
        <f>VLOOKUP(DJ54*1, FK$2:FM$12, 3, TRUE)*FM$1</f>
        <v>#VALUE!</v>
      </c>
      <c r="DL55" s="38" t="e">
        <f>VLOOKUP(DL54*1, FN$2:FP$12, 3, TRUE)*FP$1</f>
        <v>#VALUE!</v>
      </c>
      <c r="DM55" s="38" t="e">
        <f>VLOOKUP(DM54*1, FQ$2:FS$12, 3, TRUE)*FS$1</f>
        <v>#VALUE!</v>
      </c>
      <c r="DN55" s="38" t="e">
        <f>VLOOKUP(DN54*1, FT$2:FV$12, 3, TRUE)*FV$1</f>
        <v>#VALUE!</v>
      </c>
      <c r="DO55" s="38" t="e">
        <f>VLOOKUP(DO54*1, FW$2:FY$12, 3, TRUE)*FY$1</f>
        <v>#VALUE!</v>
      </c>
      <c r="DP55" s="39" t="e">
        <f>VLOOKUP(DP54*1, FK$14:FM$25, 3, TRUE)*FM$14</f>
        <v>#VALUE!</v>
      </c>
      <c r="DQ55" s="39" t="e">
        <f>VLOOKUP(DQ54*1, FN$14:FP$25, 3, TRUE)*FP$14</f>
        <v>#VALUE!</v>
      </c>
      <c r="DR55" s="38" t="e">
        <f>VLOOKUP(DR54*1, FQ$14:FS$25, 3, TRUE)*FS$14</f>
        <v>#VALUE!</v>
      </c>
      <c r="DU55" s="41" t="e">
        <f>VLOOKUP(DU54*1, FK$27:FM$38, 3, TRUE)*FM$27</f>
        <v>#VALUE!</v>
      </c>
      <c r="DX55" s="41" t="e">
        <f>VLOOKUP(DX54*1, FN$27:FP$38, 3, TRUE)*FP$27</f>
        <v>#VALUE!</v>
      </c>
      <c r="EA55" s="41" t="e">
        <f>VLOOKUP(EA54*1, FQ$27:FS$38, 3, TRUE)*FS$27</f>
        <v>#VALUE!</v>
      </c>
      <c r="ED55" s="41" t="e">
        <f>VLOOKUP(ED54*1, FT$27:FV$38, 3, TRUE)*FV$27</f>
        <v>#VALUE!</v>
      </c>
      <c r="EE55" s="41" t="e">
        <f>VLOOKUP(EE54*1, FW$27:FY$38, 3, TRUE)*FY$27</f>
        <v>#VALUE!</v>
      </c>
      <c r="EF55" s="41" t="e">
        <f>VLOOKUP(EF54*1, FK$40:FM$51, 3, TRUE)*FM$40</f>
        <v>#VALUE!</v>
      </c>
      <c r="EG55" s="57"/>
      <c r="EK55" s="40" t="e">
        <f>EM55+EO55+EP55+EQ55+ER55-ES55-ET55+EU55</f>
        <v>#VALUE!</v>
      </c>
      <c r="EL55" s="42" t="e">
        <f>EX55+FA55+FD55+FG55+FH55+FI55</f>
        <v>#VALUE!</v>
      </c>
      <c r="EM55" s="38" t="e">
        <f>VLOOKUP(EM54*1, $FK$2:$FM$12, 3, TRUE)*$FM$1</f>
        <v>#VALUE!</v>
      </c>
      <c r="EO55" s="38" t="e">
        <f>VLOOKUP(EO54*1, $FN$2:$FP$12, 3, TRUE)*$FP$1</f>
        <v>#VALUE!</v>
      </c>
      <c r="EP55" s="38" t="e">
        <f>VLOOKUP(EP54*1, $FQ$2:$FS$12, 3, TRUE)*$FS$1</f>
        <v>#VALUE!</v>
      </c>
      <c r="EQ55" s="38" t="e">
        <f>VLOOKUP(EQ54*1, $FT$2:$FV$12, 3, TRUE)*$FV$1</f>
        <v>#VALUE!</v>
      </c>
      <c r="ER55" s="38" t="e">
        <f>VLOOKUP(ER54*1, $FW$2:$FY$12, 3, TRUE)*$FY$1</f>
        <v>#VALUE!</v>
      </c>
      <c r="ES55" s="39" t="e">
        <f>VLOOKUP(ES54*1, $FK$14:$FM$25, 3, TRUE)*$FM$14</f>
        <v>#VALUE!</v>
      </c>
      <c r="ET55" s="39" t="e">
        <f>VLOOKUP(ET54*1, $FN$14:$FP$25, 3, TRUE)*$FP$14</f>
        <v>#VALUE!</v>
      </c>
      <c r="EU55" s="38" t="e">
        <f>VLOOKUP(EU54*1, $FQ$14:$FS$25, 3, TRUE)*$FS$14</f>
        <v>#VALUE!</v>
      </c>
      <c r="EX55" s="41" t="e">
        <f>VLOOKUP(EX54*1, $FK$27:$FM$38, 3, TRUE)*$FM$27</f>
        <v>#VALUE!</v>
      </c>
      <c r="FA55" s="41" t="e">
        <f>VLOOKUP(FA54*1, $FN$27:$FP$38, 3, TRUE)*$FP$27</f>
        <v>#VALUE!</v>
      </c>
      <c r="FD55" s="41" t="e">
        <f>VLOOKUP(FD54*1, $FQ$27:$FS$38, 3, TRUE)*$FS$27</f>
        <v>#VALUE!</v>
      </c>
      <c r="FG55" s="41" t="e">
        <f>VLOOKUP(FG54*1, $FT$27:$FV$38, 3, TRUE)*$FV$27</f>
        <v>#VALUE!</v>
      </c>
      <c r="FH55" s="41" t="e">
        <f>VLOOKUP(FH54*1, $FW$27:$FY$38, 3, TRUE)*$FY$27</f>
        <v>#VALUE!</v>
      </c>
      <c r="FI55" s="41" t="e">
        <f>VLOOKUP(FI54*1, $FK$40:$FM$51, 3, TRUE)*$FM$40</f>
        <v>#VALUE!</v>
      </c>
    </row>
    <row r="56" spans="65:169">
      <c r="CB56" s="19" t="e">
        <f>AF29</f>
        <v>#N/A</v>
      </c>
      <c r="CD56" s="1" t="str">
        <f>AG29</f>
        <v/>
      </c>
      <c r="CE56" s="1" t="str">
        <f t="shared" ref="CE56:DD56" si="29">AL29</f>
        <v/>
      </c>
      <c r="CF56" s="1" t="str">
        <f t="shared" si="29"/>
        <v/>
      </c>
      <c r="CG56" s="1" t="str">
        <f t="shared" si="29"/>
        <v/>
      </c>
      <c r="CH56" s="1" t="str">
        <f t="shared" si="29"/>
        <v/>
      </c>
      <c r="CI56" s="1" t="str">
        <f t="shared" si="29"/>
        <v/>
      </c>
      <c r="CJ56" s="1" t="str">
        <f t="shared" si="29"/>
        <v/>
      </c>
      <c r="CK56" s="1" t="str">
        <f t="shared" si="29"/>
        <v/>
      </c>
      <c r="CL56" s="1" t="str">
        <f t="shared" si="29"/>
        <v/>
      </c>
      <c r="CM56" s="1" t="str">
        <f t="shared" si="29"/>
        <v/>
      </c>
      <c r="CN56" s="1" t="str">
        <f t="shared" si="29"/>
        <v/>
      </c>
      <c r="CO56" s="1" t="str">
        <f t="shared" si="29"/>
        <v/>
      </c>
      <c r="CP56" s="1" t="str">
        <f t="shared" si="29"/>
        <v/>
      </c>
      <c r="CQ56" s="1" t="str">
        <f t="shared" si="29"/>
        <v/>
      </c>
      <c r="CR56" s="1" t="str">
        <f t="shared" si="29"/>
        <v/>
      </c>
      <c r="CS56" s="1" t="str">
        <f t="shared" si="29"/>
        <v/>
      </c>
      <c r="CT56" s="1" t="str">
        <f t="shared" si="29"/>
        <v/>
      </c>
      <c r="CU56" s="1" t="str">
        <f t="shared" si="29"/>
        <v/>
      </c>
      <c r="CV56" s="1" t="str">
        <f t="shared" si="29"/>
        <v/>
      </c>
      <c r="CW56" s="1" t="str">
        <f t="shared" si="29"/>
        <v/>
      </c>
      <c r="CX56" s="1" t="str">
        <f t="shared" si="29"/>
        <v/>
      </c>
      <c r="CY56" s="1" t="str">
        <f t="shared" si="29"/>
        <v/>
      </c>
      <c r="CZ56" s="1" t="str">
        <f t="shared" si="29"/>
        <v/>
      </c>
      <c r="DA56" s="1" t="str">
        <f t="shared" si="29"/>
        <v/>
      </c>
      <c r="DB56" s="1" t="str">
        <f t="shared" si="29"/>
        <v/>
      </c>
      <c r="DC56" s="1" t="str">
        <f t="shared" si="29"/>
        <v/>
      </c>
      <c r="DD56" s="1" t="str">
        <f t="shared" si="29"/>
        <v/>
      </c>
      <c r="DF56" s="37" t="e">
        <f>先發名單!#REF!</f>
        <v>#REF!</v>
      </c>
      <c r="DG56" s="4" t="str">
        <f t="array" ref="DG56">IFERROR(INDEX(球員狀態!$C$2:$C$5000, MATCH(1, (球員狀態!$A$2:$A$5000=$DF$31)*(ISNUMBER(SEARCH($DF56, 球員狀態!$B$2:$B$5000))), 0)), "")</f>
        <v/>
      </c>
      <c r="DJ56" s="4" t="str">
        <f t="array" ref="DJ56">IFERROR(INDEX(球員狀態!$F$2:$F$5000, MATCH(1, (球員狀態!$A$2:$A$5000=$DF$31)*(ISNUMBER(SEARCH($DF56, 球員狀態!$B$2:$B$5000))), 0)), "")</f>
        <v/>
      </c>
      <c r="DK56" s="4" t="str">
        <f t="array" ref="DK56">IFERROR(INDEX(球員狀態!$G$2:$G$5000, MATCH(1, (球員狀態!$A$2:$A$5000=$DF$1)*(ISNUMBER(SEARCH($DF56, 球員狀態!$B$2:$B$5000))), 0)), "")</f>
        <v/>
      </c>
      <c r="DL56" s="4" t="str">
        <f t="array" ref="DL56">IFERROR(INDEX(球員狀態!H$2:H$5000, MATCH(1, (球員狀態!$A$2:$A$5000=$DF$31)*(ISNUMBER(SEARCH($DF56, 球員狀態!$B$2:$B$5000))), 0)), "")</f>
        <v/>
      </c>
      <c r="DM56" s="4" t="str">
        <f t="array" ref="DM56">IFERROR(INDEX(球員狀態!I$2:I$5000, MATCH(1, (球員狀態!$A$2:$A$5000=$DF$31)*(ISNUMBER(SEARCH($DF56, 球員狀態!$B$2:$B$5000))), 0)), "")</f>
        <v/>
      </c>
      <c r="DN56" s="4" t="str">
        <f t="array" ref="DN56">IFERROR(INDEX(球員狀態!J$2:J$5000, MATCH(1, (球員狀態!$A$2:$A$5000=$DF$31)*(ISNUMBER(SEARCH($DF56, 球員狀態!$B$2:$B$5000))), 0)), "")</f>
        <v/>
      </c>
      <c r="DO56" s="4" t="str">
        <f t="array" ref="DO56">IFERROR(INDEX(球員狀態!K$2:K$5000, MATCH(1, (球員狀態!$A$2:$A$5000=$DF$31)*(ISNUMBER(SEARCH($DF56, 球員狀態!$B$2:$B$5000))), 0)), "")</f>
        <v/>
      </c>
      <c r="DP56" s="4" t="str">
        <f t="array" ref="DP56">IFERROR(INDEX(球員狀態!L$2:L$5000, MATCH(1, (球員狀態!$A$2:$A$5000=$DF$31)*(ISNUMBER(SEARCH($DF56, 球員狀態!$B$2:$B$5000))), 0)), "")</f>
        <v/>
      </c>
      <c r="DQ56" s="4" t="str">
        <f t="array" ref="DQ56">IFERROR(INDEX(球員狀態!M$2:M$5000, MATCH(1, (球員狀態!$A$2:$A$5000=$DF$31)*(ISNUMBER(SEARCH($DF56, 球員狀態!$B$2:$B$5000))), 0)), "")</f>
        <v/>
      </c>
      <c r="DR56" s="4" t="str">
        <f t="array" ref="DR56">IFERROR(INDEX(球員狀態!N$2:N$5000, MATCH(1, (球員狀態!$A$2:$A$5000=$DF$31)*(ISNUMBER(SEARCH($DF56, 球員狀態!$B$2:$B$5000))), 0)), "")</f>
        <v/>
      </c>
      <c r="DS56" s="4" t="str">
        <f t="array" ref="DS56">IFERROR(INDEX(球員狀態!O$2:O$5000, MATCH(1, (球員狀態!$A$2:$A$5000=$DF$1)*(ISNUMBER(SEARCH($DF56, 球員狀態!$B$2:$B$5000))), 0)), "")</f>
        <v/>
      </c>
      <c r="DT56" s="4" t="str">
        <f t="array" ref="DT56">IFERROR(INDEX(球員狀態!P$2:P$5000, MATCH(1, (球員狀態!$A$2:$A$5000=$DF$1)*(ISNUMBER(SEARCH($DF56, 球員狀態!$B$2:$B$5000))), 0)), "")</f>
        <v/>
      </c>
      <c r="DU56" s="4" t="str">
        <f t="array" ref="DU56">IFERROR(INDEX(球員狀態!Q$2:Q$5000, MATCH(1, (球員狀態!$A$2:$A$5000=$DF$31)*(ISNUMBER(SEARCH($DF56, 球員狀態!$B$2:$B$5000))), 0)), "")</f>
        <v/>
      </c>
      <c r="DV56" s="4" t="str">
        <f t="array" ref="DV56">IFERROR(INDEX(球員狀態!R$2:R$5000, MATCH(1, (球員狀態!$A$2:$A$5000=$DF$1)*(ISNUMBER(SEARCH($DF56, 球員狀態!$B$2:$B$5000))), 0)), "")</f>
        <v/>
      </c>
      <c r="DW56" s="4" t="str">
        <f t="array" ref="DW56">IFERROR(INDEX(球員狀態!S$2:S$5000, MATCH(1, (球員狀態!$A$2:$A$5000=$DF$1)*(ISNUMBER(SEARCH($DF56, 球員狀態!$B$2:$B$5000))), 0)), "")</f>
        <v/>
      </c>
      <c r="DX56" s="4" t="str">
        <f t="array" ref="DX56">IFERROR(INDEX(球員狀態!T$2:T$5000, MATCH(1, (球員狀態!$A$2:$A$5000=$DF$31)*(ISNUMBER(SEARCH($DF56, 球員狀態!$B$2:$B$5000))), 0)), "")</f>
        <v/>
      </c>
      <c r="DY56" s="4" t="str">
        <f t="array" ref="DY56">IFERROR(INDEX(球員狀態!U$2:U$5000, MATCH(1, (球員狀態!$A$2:$A$5000=$DF$1)*(ISNUMBER(SEARCH($DF56, 球員狀態!$B$2:$B$5000))), 0)), "")</f>
        <v/>
      </c>
      <c r="DZ56" s="4" t="str">
        <f t="array" ref="DZ56">IFERROR(INDEX(球員狀態!V$2:V$5000, MATCH(1, (球員狀態!$A$2:$A$5000=$DF$1)*(ISNUMBER(SEARCH($DF56, 球員狀態!$B$2:$B$5000))), 0)), "")</f>
        <v/>
      </c>
      <c r="EA56" s="4" t="str">
        <f t="array" ref="EA56">IFERROR(INDEX(球員狀態!W$2:W$5000, MATCH(1, (球員狀態!$A$2:$A$5000=$DF$31)*(ISNUMBER(SEARCH($DF56, 球員狀態!$B$2:$B$5000))), 0)), "")</f>
        <v/>
      </c>
      <c r="EB56" s="4" t="str">
        <f t="array" ref="EB56">IFERROR(INDEX(球員狀態!X$2:X$5000, MATCH(1, (球員狀態!$A$2:$A$5000=$DF$1)*(ISNUMBER(SEARCH($DF56, 球員狀態!$B$2:$B$5000))), 0)), "")</f>
        <v/>
      </c>
      <c r="EC56" s="4" t="str">
        <f t="array" ref="EC56">IFERROR(INDEX(球員狀態!Y$2:Y$5000, MATCH(1, (球員狀態!$A$2:$A$5000=$DF$1)*(ISNUMBER(SEARCH($DF56, 球員狀態!$B$2:$B$5000))), 0)), "")</f>
        <v/>
      </c>
      <c r="ED56" s="4" t="str">
        <f t="array" ref="ED56">IFERROR(INDEX(球員狀態!Z$2:Z$5000, MATCH(1, (球員狀態!$A$2:$A$5000=$DF$31)*(ISNUMBER(SEARCH($DF56, 球員狀態!$B$2:$B$5000))), 0)), "")</f>
        <v/>
      </c>
      <c r="EE56" s="4" t="str">
        <f t="array" ref="EE56">IFERROR(INDEX(球員狀態!AA$2:AA$5000, MATCH(1, (球員狀態!$A$2:$A$5000=$DF$31)*(ISNUMBER(SEARCH($DF56, 球員狀態!$B$2:$B$5000))), 0)), "")</f>
        <v/>
      </c>
      <c r="EF56" s="4" t="str">
        <f t="array" ref="EF56">IFERROR(INDEX(球員狀態!AB$2:AB$5000, MATCH(1, (球員狀態!$A$2:$A$5000=$DF$31)*(ISNUMBER(SEARCH($DF56, 球員狀態!$B$2:$B$5000))), 0)), "")</f>
        <v/>
      </c>
      <c r="EG56" s="56"/>
      <c r="EI56" s="37">
        <f>先發名單!AA$3</f>
        <v>0</v>
      </c>
      <c r="EJ56" s="4" t="str">
        <f t="array" ref="EJ56">IFERROR(INDEX(球員狀態!$C$2:$C$5000, MATCH(1, (球員狀態!$A$2:$A$5000=$EI$31)*(ISNUMBER(SEARCH($EI56, 球員狀態!$B$2:$B$5000))), 0)), "")</f>
        <v/>
      </c>
      <c r="EM56" s="4" t="str">
        <f t="array" ref="EM56">IFERROR(INDEX(球員狀態!F$2:F$5000, MATCH(1, (球員狀態!$A$2:$A$5000=$EI$31)*(ISNUMBER(SEARCH($EI56, 球員狀態!$B$2:$B$5000))), 0)), "")</f>
        <v/>
      </c>
      <c r="EN56" s="4" t="str">
        <f t="array" ref="EN56">IFERROR(INDEX(球員狀態!G$2:G$5000, MATCH(1, (球員狀態!$A$2:$A$5000=$EI$1)*(ISNUMBER(SEARCH($EI56, 球員狀態!$B$2:$B$5000))), 0)), "")</f>
        <v/>
      </c>
      <c r="EO56" s="4" t="str">
        <f t="array" ref="EO56">IFERROR(INDEX(球員狀態!H$2:H$5000, MATCH(1, (球員狀態!$A$2:$A$5000=$EI$31)*(ISNUMBER(SEARCH($EI56, 球員狀態!$B$2:$B$5000))), 0)), "")</f>
        <v/>
      </c>
      <c r="EP56" s="4" t="str">
        <f t="array" ref="EP56">IFERROR(INDEX(球員狀態!I$2:I$5000, MATCH(1, (球員狀態!$A$2:$A$5000=$EI$31)*(ISNUMBER(SEARCH($EI56, 球員狀態!$B$2:$B$5000))), 0)), "")</f>
        <v/>
      </c>
      <c r="EQ56" s="4" t="str">
        <f t="array" ref="EQ56">IFERROR(INDEX(球員狀態!J$2:J$5000, MATCH(1, (球員狀態!$A$2:$A$5000=$EI$31)*(ISNUMBER(SEARCH($EI56, 球員狀態!$B$2:$B$5000))), 0)), "")</f>
        <v/>
      </c>
      <c r="ER56" s="4" t="str">
        <f t="array" ref="ER56">IFERROR(INDEX(球員狀態!K$2:K$5000, MATCH(1, (球員狀態!$A$2:$A$5000=$EI$31)*(ISNUMBER(SEARCH($EI56, 球員狀態!$B$2:$B$5000))), 0)), "")</f>
        <v/>
      </c>
      <c r="ES56" s="4" t="str">
        <f t="array" ref="ES56">IFERROR(INDEX(球員狀態!L$2:L$5000, MATCH(1, (球員狀態!$A$2:$A$5000=$EI$31)*(ISNUMBER(SEARCH($EI56, 球員狀態!$B$2:$B$5000))), 0)), "")</f>
        <v/>
      </c>
      <c r="ET56" s="4" t="str">
        <f t="array" ref="ET56">IFERROR(INDEX(球員狀態!M$2:M$5000, MATCH(1, (球員狀態!$A$2:$A$5000=$EI$31)*(ISNUMBER(SEARCH($EI56, 球員狀態!$B$2:$B$5000))), 0)), "")</f>
        <v/>
      </c>
      <c r="EU56" s="4" t="str">
        <f t="array" ref="EU56">IFERROR(INDEX(球員狀態!N$2:N$5000, MATCH(1, (球員狀態!$A$2:$A$5000=$EI$31)*(ISNUMBER(SEARCH($EI56, 球員狀態!$B$2:$B$5000))), 0)), "")</f>
        <v/>
      </c>
      <c r="EV56" s="4" t="str">
        <f t="array" ref="EV56">IFERROR(INDEX(球員狀態!O$2:O$5000, MATCH(1, (球員狀態!$A$2:$A$5000=$EI$1)*(ISNUMBER(SEARCH($EI56, 球員狀態!$B$2:$B$5000))), 0)), "")</f>
        <v/>
      </c>
      <c r="EW56" s="4" t="str">
        <f t="array" ref="EW56">IFERROR(INDEX(球員狀態!P$2:P$5000, MATCH(1, (球員狀態!$A$2:$A$5000=$EI$1)*(ISNUMBER(SEARCH($EI56, 球員狀態!$B$2:$B$5000))), 0)), "")</f>
        <v/>
      </c>
      <c r="EX56" s="4" t="str">
        <f t="array" ref="EX56">IFERROR(INDEX(球員狀態!Q$2:Q$5000, MATCH(1, (球員狀態!$A$2:$A$5000=$EI$31)*(ISNUMBER(SEARCH($EI56, 球員狀態!$B$2:$B$5000))), 0)), "")</f>
        <v/>
      </c>
      <c r="EY56" s="4" t="str">
        <f t="array" ref="EY56">IFERROR(INDEX(球員狀態!R$2:R$5000, MATCH(1, (球員狀態!$A$2:$A$5000=$EI$1)*(ISNUMBER(SEARCH($EI56, 球員狀態!$B$2:$B$5000))), 0)), "")</f>
        <v/>
      </c>
      <c r="EZ56" s="4" t="str">
        <f t="array" ref="EZ56">IFERROR(INDEX(球員狀態!S$2:S$5000, MATCH(1, (球員狀態!$A$2:$A$5000=$EI$1)*(ISNUMBER(SEARCH($EI56, 球員狀態!$B$2:$B$5000))), 0)), "")</f>
        <v/>
      </c>
      <c r="FA56" s="4" t="str">
        <f t="array" ref="FA56">IFERROR(INDEX(球員狀態!T$2:T$5000, MATCH(1, (球員狀態!$A$2:$A$5000=$EI$31)*(ISNUMBER(SEARCH($EI56, 球員狀態!$B$2:$B$5000))), 0)), "")</f>
        <v/>
      </c>
      <c r="FB56" s="4" t="str">
        <f t="array" ref="FB56">IFERROR(INDEX(球員狀態!U$2:U$5000, MATCH(1, (球員狀態!$A$2:$A$5000=$EI$1)*(ISNUMBER(SEARCH($EI56, 球員狀態!$B$2:$B$5000))), 0)), "")</f>
        <v/>
      </c>
      <c r="FC56" s="4" t="str">
        <f t="array" ref="FC56">IFERROR(INDEX(球員狀態!V$2:V$5000, MATCH(1, (球員狀態!$A$2:$A$5000=$EI$1)*(ISNUMBER(SEARCH($EI56, 球員狀態!$B$2:$B$5000))), 0)), "")</f>
        <v/>
      </c>
      <c r="FD56" s="4" t="str">
        <f t="array" ref="FD56">IFERROR(INDEX(球員狀態!W$2:W$5000, MATCH(1, (球員狀態!$A$2:$A$5000=$EI$31)*(ISNUMBER(SEARCH($EI56, 球員狀態!$B$2:$B$5000))), 0)), "")</f>
        <v/>
      </c>
      <c r="FE56" s="4" t="str">
        <f t="array" ref="FE56">IFERROR(INDEX(球員狀態!X$2:X$5000, MATCH(1, (球員狀態!$A$2:$A$5000=$EI$1)*(ISNUMBER(SEARCH($EI56, 球員狀態!$B$2:$B$5000))), 0)), "")</f>
        <v/>
      </c>
      <c r="FF56" s="4" t="str">
        <f t="array" ref="FF56">IFERROR(INDEX(球員狀態!Y$2:Y$5000, MATCH(1, (球員狀態!$A$2:$A$5000=$EI$1)*(ISNUMBER(SEARCH($EI56, 球員狀態!$B$2:$B$5000))), 0)), "")</f>
        <v/>
      </c>
      <c r="FG56" s="4" t="str">
        <f t="array" ref="FG56">IFERROR(INDEX(球員狀態!Z$2:Z$5000, MATCH(1, (球員狀態!$A$2:$A$5000=$EI$31)*(ISNUMBER(SEARCH($EI56, 球員狀態!$B$2:$B$5000))), 0)), "")</f>
        <v/>
      </c>
      <c r="FH56" s="4" t="str">
        <f t="array" ref="FH56">IFERROR(INDEX(球員狀態!AA$2:AA$5000, MATCH(1, (球員狀態!$A$2:$A$5000=$EI$31)*(ISNUMBER(SEARCH($EI56, 球員狀態!$B$2:$B$5000))), 0)), "")</f>
        <v/>
      </c>
      <c r="FI56" s="4" t="str">
        <f t="array" ref="FI56">IFERROR(INDEX(球員狀態!AB$2:AB$5000, MATCH(1, (球員狀態!$A$2:$A$5000=$EI$31)*(ISNUMBER(SEARCH($EI56, 球員狀態!$B$2:$B$5000))), 0)), "")</f>
        <v/>
      </c>
    </row>
    <row r="57" spans="65:169">
      <c r="CB57" s="28" t="e">
        <f>CF57+CJ57+CK57+CM57+CO57+CP57+CQ57+CR57</f>
        <v>#VALUE!</v>
      </c>
      <c r="CC57" s="31" t="e">
        <f>CU57+CV57+CY57+CZ57+DA57</f>
        <v>#VALUE!</v>
      </c>
      <c r="CF57" s="27" t="e">
        <f>VLOOKUP(ROUND(CF56/CD56, 2), $BV$2:$BX$12, 3, TRUE)*BX$1</f>
        <v>#VALUE!</v>
      </c>
      <c r="CJ57" s="27" t="e">
        <f>VLOOKUP(ROUND(CJ56/CD56, 2), $BM$15:$BO$25, 3, TRUE)*BO$14</f>
        <v>#VALUE!</v>
      </c>
      <c r="CK57" s="27" t="e">
        <f>VLOOKUP(ROUND(CK56/CD56, 2), $BY$2:$CA$12, 3, TRUE)*CA$1</f>
        <v>#VALUE!</v>
      </c>
      <c r="CM57" s="101" t="e">
        <f>VLOOKUP(ROUND(CM56/CN56, 2), $BP$15:$BR$25, 3, TRUE)*BR$14</f>
        <v>#VALUE!</v>
      </c>
      <c r="CN57" s="78"/>
      <c r="CO57" s="27" t="e">
        <f>VLOOKUP(ROUND(CO56/CD56, 2), $BS$15:$BU$25, 3, TRUE)*BU$14</f>
        <v>#VALUE!</v>
      </c>
      <c r="CP57" s="27" t="e">
        <f>VLOOKUP(CP56*1, BM$2:BO$12, 3, TRUE)*BO$1</f>
        <v>#VALUE!</v>
      </c>
      <c r="CQ57" s="27" t="e">
        <f>VLOOKUP(CQ56*1, BP$2:BR$12, 3, TRUE)*BR$1</f>
        <v>#VALUE!</v>
      </c>
      <c r="CR57" s="27" t="e">
        <f>VLOOKUP(CR56*1, BS$2:BU$12, 3, TRUE)*BU$1</f>
        <v>#VALUE!</v>
      </c>
      <c r="CU57" s="60" t="e">
        <f>VLOOKUP(CU56*1, BM$28:BO$38, 3, TRUE)*BO$27</f>
        <v>#VALUE!</v>
      </c>
      <c r="CV57" s="60" t="e">
        <f>VLOOKUP(CV56*1, BP$28:BR$38, 3, TRUE)*BR$27</f>
        <v>#VALUE!</v>
      </c>
      <c r="CY57" s="60" t="e">
        <f>VLOOKUP(CY56*1, BS$28:BU$38, 3, TRUE)*BU$27</f>
        <v>#VALUE!</v>
      </c>
      <c r="CZ57" s="60" t="e">
        <f>VLOOKUP(CZ56*1, BV$28:BX$38, 3, TRUE)*BX$27</f>
        <v>#VALUE!</v>
      </c>
      <c r="DA57" s="60" t="e">
        <f>VLOOKUP(DA56*1, BY$28:CA$38, 3, TRUE)*CA$27</f>
        <v>#VALUE!</v>
      </c>
      <c r="DH57" s="40" t="e">
        <f>DJ57+DL57+DM57+DN57+DO57-DP57-DQ57+DR57</f>
        <v>#VALUE!</v>
      </c>
      <c r="DI57" s="42" t="e">
        <f>DU57+DX57+EA57+ED57+EE57+EF57</f>
        <v>#VALUE!</v>
      </c>
      <c r="DJ57" s="38" t="e">
        <f>VLOOKUP(DJ56*1, FK$2:FM$12, 3, TRUE)*FM$1</f>
        <v>#VALUE!</v>
      </c>
      <c r="DL57" s="38" t="e">
        <f>VLOOKUP(DL56*1, FN$2:FP$12, 3, TRUE)*FP$1</f>
        <v>#VALUE!</v>
      </c>
      <c r="DM57" s="38" t="e">
        <f>VLOOKUP(DM56*1, FQ$2:FS$12, 3, TRUE)*FS$1</f>
        <v>#VALUE!</v>
      </c>
      <c r="DN57" s="38" t="e">
        <f>VLOOKUP(DN56*1, FT$2:FV$12, 3, TRUE)*FV$1</f>
        <v>#VALUE!</v>
      </c>
      <c r="DO57" s="38" t="e">
        <f>VLOOKUP(DO56*1, FW$2:FY$12, 3, TRUE)*FY$1</f>
        <v>#VALUE!</v>
      </c>
      <c r="DP57" s="39" t="e">
        <f>VLOOKUP(DP56*1, FK$14:FM$25, 3, TRUE)*FM$14</f>
        <v>#VALUE!</v>
      </c>
      <c r="DQ57" s="39" t="e">
        <f>VLOOKUP(DQ56*1, FN$14:FP$25, 3, TRUE)*FP$14</f>
        <v>#VALUE!</v>
      </c>
      <c r="DR57" s="38" t="e">
        <f>VLOOKUP(DR56*1, FQ$14:FS$25, 3, TRUE)*FS$14</f>
        <v>#VALUE!</v>
      </c>
      <c r="DU57" s="41" t="e">
        <f>VLOOKUP(DU56*1, FK$27:FM$38, 3, TRUE)*FM$27</f>
        <v>#VALUE!</v>
      </c>
      <c r="DX57" s="41" t="e">
        <f>VLOOKUP(DX56*1, FN$27:FP$38, 3, TRUE)*FP$27</f>
        <v>#VALUE!</v>
      </c>
      <c r="EA57" s="41" t="e">
        <f>VLOOKUP(EA56*1, FQ$27:FS$38, 3, TRUE)*FS$27</f>
        <v>#VALUE!</v>
      </c>
      <c r="ED57" s="41" t="e">
        <f>VLOOKUP(ED56*1, FT$27:FV$38, 3, TRUE)*FV$27</f>
        <v>#VALUE!</v>
      </c>
      <c r="EE57" s="41" t="e">
        <f>VLOOKUP(EE56*1, FW$27:FY$38, 3, TRUE)*FY$27</f>
        <v>#VALUE!</v>
      </c>
      <c r="EF57" s="41" t="e">
        <f>VLOOKUP(EF56*1, FK$40:FM$51, 3, TRUE)*FM$40</f>
        <v>#VALUE!</v>
      </c>
      <c r="EG57" s="57"/>
      <c r="EK57" s="40" t="e">
        <f>EM57+EO57+EP57+EQ57+ER57-ES57-ET57+EU57</f>
        <v>#VALUE!</v>
      </c>
      <c r="EL57" s="42" t="e">
        <f>EX57+FA57+FD57+FG57+FH57+FI57</f>
        <v>#VALUE!</v>
      </c>
      <c r="EM57" s="38" t="e">
        <f>VLOOKUP(EM56*1, $FK$2:$FM$12, 3, TRUE)*$FM$1</f>
        <v>#VALUE!</v>
      </c>
      <c r="EO57" s="38" t="e">
        <f>VLOOKUP(EO56*1, $FN$2:$FP$12, 3, TRUE)*$FP$1</f>
        <v>#VALUE!</v>
      </c>
      <c r="EP57" s="38" t="e">
        <f>VLOOKUP(EP56*1, $FQ$2:$FS$12, 3, TRUE)*$FS$1</f>
        <v>#VALUE!</v>
      </c>
      <c r="EQ57" s="38" t="e">
        <f>VLOOKUP(EQ56*1, $FT$2:$FV$12, 3, TRUE)*$FV$1</f>
        <v>#VALUE!</v>
      </c>
      <c r="ER57" s="38" t="e">
        <f>VLOOKUP(ER56*1, $FW$2:$FY$12, 3, TRUE)*$FY$1</f>
        <v>#VALUE!</v>
      </c>
      <c r="ES57" s="39" t="e">
        <f>VLOOKUP(ES56*1, $FK$14:$FM$25, 3, TRUE)*$FM$14</f>
        <v>#VALUE!</v>
      </c>
      <c r="ET57" s="39" t="e">
        <f>VLOOKUP(ET56*1, $FN$14:$FP$25, 3, TRUE)*$FP$14</f>
        <v>#VALUE!</v>
      </c>
      <c r="EU57" s="38" t="e">
        <f>VLOOKUP(EU56*1, $FQ$14:$FS$25, 3, TRUE)*$FS$14</f>
        <v>#VALUE!</v>
      </c>
      <c r="EX57" s="41" t="e">
        <f>VLOOKUP(EX56*1, $FK$27:$FM$38, 3, TRUE)*$FM$27</f>
        <v>#VALUE!</v>
      </c>
      <c r="FA57" s="41" t="e">
        <f>VLOOKUP(FA56*1, $FN$27:$FP$38, 3, TRUE)*$FP$27</f>
        <v>#VALUE!</v>
      </c>
      <c r="FD57" s="41" t="e">
        <f>VLOOKUP(FD56*1, $FQ$27:$FS$38, 3, TRUE)*$FS$27</f>
        <v>#VALUE!</v>
      </c>
      <c r="FG57" s="41" t="e">
        <f>VLOOKUP(FG56*1, $FT$27:$FV$38, 3, TRUE)*$FV$27</f>
        <v>#VALUE!</v>
      </c>
      <c r="FH57" s="41" t="e">
        <f>VLOOKUP(FH56*1, $FW$27:$FY$38, 3, TRUE)*$FY$27</f>
        <v>#VALUE!</v>
      </c>
      <c r="FI57" s="41" t="e">
        <f>VLOOKUP(FI56*1, $FK$40:$FM$51, 3, TRUE)*$FM$40</f>
        <v>#VALUE!</v>
      </c>
    </row>
    <row r="58" spans="65:169">
      <c r="CB58" s="19" t="e">
        <f>AF30</f>
        <v>#N/A</v>
      </c>
      <c r="CD58" s="1" t="str">
        <f>AG30</f>
        <v/>
      </c>
      <c r="CE58" s="1" t="str">
        <f t="shared" ref="CE58:DD58" si="30">AL30</f>
        <v/>
      </c>
      <c r="CF58" s="1" t="str">
        <f t="shared" si="30"/>
        <v/>
      </c>
      <c r="CG58" s="1" t="str">
        <f t="shared" si="30"/>
        <v/>
      </c>
      <c r="CH58" s="1" t="str">
        <f t="shared" si="30"/>
        <v/>
      </c>
      <c r="CI58" s="1" t="str">
        <f t="shared" si="30"/>
        <v/>
      </c>
      <c r="CJ58" s="1" t="str">
        <f t="shared" si="30"/>
        <v/>
      </c>
      <c r="CK58" s="1" t="str">
        <f t="shared" si="30"/>
        <v/>
      </c>
      <c r="CL58" s="1" t="str">
        <f t="shared" si="30"/>
        <v/>
      </c>
      <c r="CM58" s="1" t="str">
        <f t="shared" si="30"/>
        <v/>
      </c>
      <c r="CN58" s="1" t="str">
        <f t="shared" si="30"/>
        <v/>
      </c>
      <c r="CO58" s="1" t="str">
        <f t="shared" si="30"/>
        <v/>
      </c>
      <c r="CP58" s="1" t="str">
        <f t="shared" si="30"/>
        <v/>
      </c>
      <c r="CQ58" s="1" t="str">
        <f t="shared" si="30"/>
        <v/>
      </c>
      <c r="CR58" s="1" t="str">
        <f t="shared" si="30"/>
        <v/>
      </c>
      <c r="CS58" s="1" t="str">
        <f t="shared" si="30"/>
        <v/>
      </c>
      <c r="CT58" s="1" t="str">
        <f t="shared" si="30"/>
        <v/>
      </c>
      <c r="CU58" s="1" t="str">
        <f t="shared" si="30"/>
        <v/>
      </c>
      <c r="CV58" s="1" t="str">
        <f t="shared" si="30"/>
        <v/>
      </c>
      <c r="CW58" s="1" t="str">
        <f t="shared" si="30"/>
        <v/>
      </c>
      <c r="CX58" s="1" t="str">
        <f t="shared" si="30"/>
        <v/>
      </c>
      <c r="CY58" s="1" t="str">
        <f t="shared" si="30"/>
        <v/>
      </c>
      <c r="CZ58" s="1" t="str">
        <f t="shared" si="30"/>
        <v/>
      </c>
      <c r="DA58" s="1" t="str">
        <f t="shared" si="30"/>
        <v/>
      </c>
      <c r="DB58" s="1" t="str">
        <f t="shared" si="30"/>
        <v/>
      </c>
      <c r="DC58" s="1" t="str">
        <f t="shared" si="30"/>
        <v/>
      </c>
      <c r="DD58" s="1" t="str">
        <f t="shared" si="30"/>
        <v/>
      </c>
      <c r="DF58" s="82" t="str">
        <f>$DF31&amp;"整體"</f>
        <v>紅雀整體</v>
      </c>
      <c r="DG58" t="s">
        <v>487</v>
      </c>
      <c r="DH58" t="s">
        <v>488</v>
      </c>
      <c r="DJ58" s="82" t="str">
        <f>$DF31&amp;"先發"</f>
        <v>紅雀先發</v>
      </c>
      <c r="DK58" s="78"/>
      <c r="DL58" t="s">
        <v>487</v>
      </c>
      <c r="DM58" t="s">
        <v>488</v>
      </c>
      <c r="DO58" s="82" t="str">
        <f>$DF31&amp;"板凳"</f>
        <v>紅雀板凳</v>
      </c>
      <c r="DP58" s="78"/>
      <c r="DQ58" t="s">
        <v>487</v>
      </c>
      <c r="DR58" t="s">
        <v>488</v>
      </c>
      <c r="EI58" s="82" t="str">
        <f>$EI31&amp;"整體"</f>
        <v>海盜整體</v>
      </c>
      <c r="EJ58" t="s">
        <v>487</v>
      </c>
      <c r="EK58" t="s">
        <v>488</v>
      </c>
      <c r="EM58" s="82" t="str">
        <f>$EI31&amp;"先發"</f>
        <v>海盜先發</v>
      </c>
      <c r="EN58" s="78"/>
      <c r="EO58" t="s">
        <v>487</v>
      </c>
      <c r="EP58" t="s">
        <v>488</v>
      </c>
      <c r="ER58" s="82" t="str">
        <f>$EI31&amp;"板凳"</f>
        <v>海盜板凳</v>
      </c>
      <c r="ES58" s="78"/>
      <c r="ET58" t="s">
        <v>487</v>
      </c>
      <c r="EU58" t="s">
        <v>488</v>
      </c>
    </row>
    <row r="59" spans="65:169">
      <c r="CB59" s="28" t="e">
        <f>CF59+CJ59+CK59+CM59+CO59+CP59+CQ59+CR59</f>
        <v>#VALUE!</v>
      </c>
      <c r="CC59" s="31" t="e">
        <f>CU59+CV59+CY59+CZ59+DA59</f>
        <v>#VALUE!</v>
      </c>
      <c r="CF59" s="27" t="e">
        <f>VLOOKUP(ROUND(CF58/CD58, 2), $BV$2:$BX$12, 3, TRUE)*BX$1</f>
        <v>#VALUE!</v>
      </c>
      <c r="CJ59" s="27" t="e">
        <f>VLOOKUP(ROUND(CJ58/CD58, 2), $BM$15:$BO$25, 3, TRUE)*BO$14</f>
        <v>#VALUE!</v>
      </c>
      <c r="CK59" s="27" t="e">
        <f>VLOOKUP(ROUND(CK58/CD58, 2), $BY$2:$CA$12, 3, TRUE)*CA$1</f>
        <v>#VALUE!</v>
      </c>
      <c r="CM59" s="101" t="e">
        <f>VLOOKUP(ROUND(CM58/CN58, 2), $BP$15:$BR$25, 3, TRUE)*BR$14</f>
        <v>#VALUE!</v>
      </c>
      <c r="CN59" s="78"/>
      <c r="CO59" s="27" t="e">
        <f>VLOOKUP(ROUND(CO58/CD58, 2), $BS$15:$BU$25, 3, TRUE)*BU$14</f>
        <v>#VALUE!</v>
      </c>
      <c r="CP59" s="27" t="e">
        <f>VLOOKUP(CP58*1, BM$2:BO$12, 3, TRUE)*BO$1</f>
        <v>#VALUE!</v>
      </c>
      <c r="CQ59" s="27" t="e">
        <f>VLOOKUP(CQ58*1, BP$2:BR$12, 3, TRUE)*BR$1</f>
        <v>#VALUE!</v>
      </c>
      <c r="CR59" s="27" t="e">
        <f>VLOOKUP(CR58*1, BS$2:BU$12, 3, TRUE)*BU$1</f>
        <v>#VALUE!</v>
      </c>
      <c r="CU59" s="60" t="e">
        <f>VLOOKUP(CU58*1, BM$28:BO$38, 3, TRUE)*BO$27</f>
        <v>#VALUE!</v>
      </c>
      <c r="CV59" s="60" t="e">
        <f>VLOOKUP(CV58*1, BP$28:BR$38, 3, TRUE)*BR$27</f>
        <v>#VALUE!</v>
      </c>
      <c r="CY59" s="60" t="e">
        <f>VLOOKUP(CY58*1, BS$28:BU$38, 3, TRUE)*BU$27</f>
        <v>#VALUE!</v>
      </c>
      <c r="CZ59" s="60" t="e">
        <f>VLOOKUP(CZ58*1, BV$28:BX$38, 3, TRUE)*BX$27</f>
        <v>#VALUE!</v>
      </c>
      <c r="DA59" s="60" t="e">
        <f>VLOOKUP(DA58*1, BY$28:CA$38, 3, TRUE)*CA$27</f>
        <v>#VALUE!</v>
      </c>
      <c r="DF59" s="78"/>
      <c r="DG59" s="43" t="e">
        <f>(DH33+DH35+DH37+DH39+DH41+DH43+DH45+DH47+DH49+DH51+DH53+DH55+DH57)/13</f>
        <v>#VALUE!</v>
      </c>
      <c r="DH59" s="43" t="e">
        <f>(DI33+DI35+DI37+DI39+DI41+DI43+DI45+DI47+DI49+DI51+DI53+DI55+DI57)/13</f>
        <v>#VALUE!</v>
      </c>
      <c r="DJ59" s="78"/>
      <c r="DK59" s="78"/>
      <c r="DL59" s="4" t="e">
        <f>(DH33+DH35+DH37+DH39+DH41)/5</f>
        <v>#VALUE!</v>
      </c>
      <c r="DM59" s="4" t="e">
        <f>(DI33+DI35+DI37+DI39+DI41)/5</f>
        <v>#VALUE!</v>
      </c>
      <c r="DO59" s="78"/>
      <c r="DP59" s="78"/>
      <c r="DQ59" s="43" t="e">
        <f>(DH43+DH45+DH47+DH49+DH51+DH53+DH55+DH55+DH57)/8</f>
        <v>#VALUE!</v>
      </c>
      <c r="DR59" s="43" t="e">
        <f>(DI43+DI45+DI47+DI49+DI51+DI53+DI55+DI57)/8</f>
        <v>#VALUE!</v>
      </c>
      <c r="EI59" s="78"/>
      <c r="EJ59" s="43" t="e">
        <f>(EK33+EK35+EK37+EK39+EK41+EK43+EK45+EK47+EK49+EK51+EK53+EK55+EK57)/13</f>
        <v>#VALUE!</v>
      </c>
      <c r="EK59" s="43" t="e">
        <f>(EL33+EL35+EL37+EL39+EL41+EL43+EL45+EL47+EL49+EL51+EL53+EL55+EL57)/13</f>
        <v>#VALUE!</v>
      </c>
      <c r="EM59" s="78"/>
      <c r="EN59" s="78"/>
      <c r="EO59" s="4" t="e">
        <f>(EK33+EK35+EK37+EK39+EK41)/5</f>
        <v>#VALUE!</v>
      </c>
      <c r="EP59" s="4" t="e">
        <f>(EL33+EL35+EL37+EL39+EL41)/5</f>
        <v>#VALUE!</v>
      </c>
      <c r="ER59" s="78"/>
      <c r="ES59" s="78"/>
      <c r="ET59" s="43" t="e">
        <f>(EK43+EK45+EK47+EK49+EK51+EK53+EK55+EK55+EK57)/8</f>
        <v>#VALUE!</v>
      </c>
      <c r="EU59" s="43" t="e">
        <f>(EL43+EL45+EL47+EL49+EL51+EL53+EL55+EL57)/8</f>
        <v>#N/A</v>
      </c>
    </row>
    <row r="60" spans="65:169">
      <c r="CB60" s="19" t="e">
        <f>AF31</f>
        <v>#N/A</v>
      </c>
      <c r="CD60" s="1" t="str">
        <f>AG31</f>
        <v/>
      </c>
      <c r="CE60" s="1" t="str">
        <f t="shared" ref="CE60:DD60" si="31">AL31</f>
        <v/>
      </c>
      <c r="CF60" s="1" t="str">
        <f t="shared" si="31"/>
        <v/>
      </c>
      <c r="CG60" s="1" t="str">
        <f t="shared" si="31"/>
        <v/>
      </c>
      <c r="CH60" s="1" t="str">
        <f t="shared" si="31"/>
        <v/>
      </c>
      <c r="CI60" s="1" t="str">
        <f t="shared" si="31"/>
        <v/>
      </c>
      <c r="CJ60" s="1" t="str">
        <f t="shared" si="31"/>
        <v/>
      </c>
      <c r="CK60" s="1" t="str">
        <f t="shared" si="31"/>
        <v/>
      </c>
      <c r="CL60" s="1" t="str">
        <f t="shared" si="31"/>
        <v/>
      </c>
      <c r="CM60" s="1" t="str">
        <f t="shared" si="31"/>
        <v/>
      </c>
      <c r="CN60" s="1" t="str">
        <f t="shared" si="31"/>
        <v/>
      </c>
      <c r="CO60" s="1" t="str">
        <f t="shared" si="31"/>
        <v/>
      </c>
      <c r="CP60" s="1" t="str">
        <f t="shared" si="31"/>
        <v/>
      </c>
      <c r="CQ60" s="1" t="str">
        <f t="shared" si="31"/>
        <v/>
      </c>
      <c r="CR60" s="1" t="str">
        <f t="shared" si="31"/>
        <v/>
      </c>
      <c r="CS60" s="1" t="str">
        <f t="shared" si="31"/>
        <v/>
      </c>
      <c r="CT60" s="1" t="str">
        <f t="shared" si="31"/>
        <v/>
      </c>
      <c r="CU60" s="1" t="str">
        <f t="shared" si="31"/>
        <v/>
      </c>
      <c r="CV60" s="1" t="str">
        <f t="shared" si="31"/>
        <v/>
      </c>
      <c r="CW60" s="1" t="str">
        <f t="shared" si="31"/>
        <v/>
      </c>
      <c r="CX60" s="1" t="str">
        <f t="shared" si="31"/>
        <v/>
      </c>
      <c r="CY60" s="1" t="str">
        <f t="shared" si="31"/>
        <v/>
      </c>
      <c r="CZ60" s="1" t="str">
        <f t="shared" si="31"/>
        <v/>
      </c>
      <c r="DA60" s="1" t="str">
        <f t="shared" si="31"/>
        <v/>
      </c>
      <c r="DB60" s="1" t="str">
        <f t="shared" si="31"/>
        <v/>
      </c>
      <c r="DC60" s="1" t="str">
        <f t="shared" si="31"/>
        <v/>
      </c>
      <c r="DD60" s="1" t="str">
        <f t="shared" si="31"/>
        <v/>
      </c>
    </row>
    <row r="61" spans="65:169">
      <c r="CB61" s="28" t="e">
        <f>CF61+CJ61+CK61+CM61+CO61+CP61+CQ61+CR61</f>
        <v>#VALUE!</v>
      </c>
      <c r="CC61" s="31" t="e">
        <f>CU61+CV61+CY61+CZ61+DA61</f>
        <v>#VALUE!</v>
      </c>
      <c r="CF61" s="27" t="e">
        <f>VLOOKUP(ROUND(CF60/CD60, 2), $BV$2:$BX$12, 3, TRUE)*BX$1</f>
        <v>#VALUE!</v>
      </c>
      <c r="CJ61" s="27" t="e">
        <f>VLOOKUP(ROUND(CJ60/CD60, 2), $BM$15:$BO$25, 3, TRUE)*BO$14</f>
        <v>#VALUE!</v>
      </c>
      <c r="CK61" s="27" t="e">
        <f>VLOOKUP(ROUND(CK60/CD60, 2), $BY$2:$CA$12, 3, TRUE)*CA$1</f>
        <v>#VALUE!</v>
      </c>
      <c r="CM61" s="101" t="e">
        <f>VLOOKUP(ROUND(CM60/CN60, 2), $BP$15:$BR$25, 3, TRUE)*BR$14</f>
        <v>#VALUE!</v>
      </c>
      <c r="CN61" s="78"/>
      <c r="CO61" s="27" t="e">
        <f>VLOOKUP(ROUND(CO60/CD60, 2), $BS$15:$BU$25, 3, TRUE)*BU$14</f>
        <v>#VALUE!</v>
      </c>
      <c r="CP61" s="27" t="e">
        <f>VLOOKUP(CP60*1, BM$2:BO$12, 3, TRUE)*BO$1</f>
        <v>#VALUE!</v>
      </c>
      <c r="CQ61" s="27" t="e">
        <f>VLOOKUP(CQ60*1, BP$2:BR$12, 3, TRUE)*BR$1</f>
        <v>#VALUE!</v>
      </c>
      <c r="CR61" s="27" t="e">
        <f>VLOOKUP(CR60*1, BS$2:BU$12, 3, TRUE)*BU$1</f>
        <v>#VALUE!</v>
      </c>
      <c r="CU61" s="60" t="e">
        <f>VLOOKUP(CU60*1, BM$28:BO$38, 3, TRUE)*BO$27</f>
        <v>#VALUE!</v>
      </c>
      <c r="CV61" s="60" t="e">
        <f>VLOOKUP(CV60*1, BP$28:BR$38, 3, TRUE)*BR$27</f>
        <v>#VALUE!</v>
      </c>
      <c r="CY61" s="60" t="e">
        <f>VLOOKUP(CY60*1, BS$28:BU$38, 3, TRUE)*BU$27</f>
        <v>#VALUE!</v>
      </c>
      <c r="CZ61" s="60" t="e">
        <f>VLOOKUP(CZ60*1, BV$28:BX$38, 3, TRUE)*BX$27</f>
        <v>#VALUE!</v>
      </c>
      <c r="DA61" s="60" t="e">
        <f>VLOOKUP(DA60*1, BY$28:CA$38, 3, TRUE)*CA$27</f>
        <v>#VALUE!</v>
      </c>
      <c r="DF61" s="34" t="str">
        <f>CB10</f>
        <v>紅襪</v>
      </c>
      <c r="DG61" t="s">
        <v>486</v>
      </c>
      <c r="DH61" s="1" t="s">
        <v>487</v>
      </c>
      <c r="DI61" s="1" t="s">
        <v>488</v>
      </c>
      <c r="DJ61" t="s">
        <v>517</v>
      </c>
      <c r="DK61" t="s">
        <v>554</v>
      </c>
      <c r="DL61" t="s">
        <v>518</v>
      </c>
      <c r="DM61" t="s">
        <v>519</v>
      </c>
      <c r="DN61" t="s">
        <v>520</v>
      </c>
      <c r="DO61" t="s">
        <v>521</v>
      </c>
      <c r="DP61" t="s">
        <v>532</v>
      </c>
      <c r="DQ61" t="s">
        <v>533</v>
      </c>
      <c r="DR61" t="s">
        <v>534</v>
      </c>
      <c r="DS61" t="s">
        <v>555</v>
      </c>
      <c r="DT61" t="s">
        <v>556</v>
      </c>
      <c r="DU61" t="s">
        <v>549</v>
      </c>
      <c r="DV61" t="s">
        <v>557</v>
      </c>
      <c r="DW61" t="s">
        <v>558</v>
      </c>
      <c r="DX61" t="s">
        <v>550</v>
      </c>
      <c r="DY61" t="s">
        <v>559</v>
      </c>
      <c r="DZ61" t="s">
        <v>560</v>
      </c>
      <c r="EA61" t="s">
        <v>551</v>
      </c>
      <c r="EB61" t="s">
        <v>561</v>
      </c>
      <c r="EC61" t="s">
        <v>562</v>
      </c>
      <c r="ED61" t="s">
        <v>552</v>
      </c>
      <c r="EE61" t="s">
        <v>553</v>
      </c>
      <c r="EF61" t="s">
        <v>563</v>
      </c>
      <c r="EH61" s="14"/>
      <c r="EI61" s="34" t="str">
        <f>CB12</f>
        <v>藍鳥</v>
      </c>
      <c r="EJ61" t="s">
        <v>486</v>
      </c>
      <c r="EK61" s="1" t="s">
        <v>487</v>
      </c>
      <c r="EL61" s="1" t="s">
        <v>488</v>
      </c>
      <c r="EM61" t="s">
        <v>517</v>
      </c>
      <c r="EN61" t="s">
        <v>554</v>
      </c>
      <c r="EO61" t="s">
        <v>518</v>
      </c>
      <c r="EP61" t="s">
        <v>519</v>
      </c>
      <c r="EQ61" t="s">
        <v>520</v>
      </c>
      <c r="ER61" t="s">
        <v>521</v>
      </c>
      <c r="ES61" t="s">
        <v>532</v>
      </c>
      <c r="ET61" t="s">
        <v>533</v>
      </c>
      <c r="EU61" t="s">
        <v>534</v>
      </c>
      <c r="EV61" t="s">
        <v>555</v>
      </c>
      <c r="EW61" t="s">
        <v>556</v>
      </c>
      <c r="EX61" t="s">
        <v>549</v>
      </c>
      <c r="EY61" t="s">
        <v>557</v>
      </c>
      <c r="EZ61" t="s">
        <v>558</v>
      </c>
      <c r="FA61" t="s">
        <v>550</v>
      </c>
      <c r="FB61" t="s">
        <v>559</v>
      </c>
      <c r="FC61" t="s">
        <v>560</v>
      </c>
      <c r="FD61" t="s">
        <v>551</v>
      </c>
      <c r="FE61" t="s">
        <v>561</v>
      </c>
      <c r="FF61" t="s">
        <v>562</v>
      </c>
      <c r="FG61" t="s">
        <v>552</v>
      </c>
      <c r="FH61" t="s">
        <v>553</v>
      </c>
      <c r="FI61" t="s">
        <v>563</v>
      </c>
    </row>
    <row r="62" spans="65:169">
      <c r="CB62" s="19">
        <f>AF32</f>
        <v>0</v>
      </c>
      <c r="CD62" s="1" t="str">
        <f>AG32</f>
        <v/>
      </c>
      <c r="CE62" s="1" t="str">
        <f t="shared" ref="CE62:DD62" si="32">AL32</f>
        <v/>
      </c>
      <c r="CF62" s="1" t="str">
        <f t="shared" si="32"/>
        <v/>
      </c>
      <c r="CG62" s="1" t="str">
        <f t="shared" si="32"/>
        <v/>
      </c>
      <c r="CH62" s="1" t="str">
        <f t="shared" si="32"/>
        <v/>
      </c>
      <c r="CI62" s="1" t="str">
        <f t="shared" si="32"/>
        <v/>
      </c>
      <c r="CJ62" s="1" t="str">
        <f t="shared" si="32"/>
        <v/>
      </c>
      <c r="CK62" s="1" t="str">
        <f t="shared" si="32"/>
        <v/>
      </c>
      <c r="CL62" s="1" t="str">
        <f t="shared" si="32"/>
        <v/>
      </c>
      <c r="CM62" s="1" t="str">
        <f t="shared" si="32"/>
        <v/>
      </c>
      <c r="CN62" s="1" t="str">
        <f t="shared" si="32"/>
        <v/>
      </c>
      <c r="CO62" s="1" t="str">
        <f t="shared" si="32"/>
        <v/>
      </c>
      <c r="CP62" s="1" t="str">
        <f t="shared" si="32"/>
        <v/>
      </c>
      <c r="CQ62" s="1" t="str">
        <f t="shared" si="32"/>
        <v/>
      </c>
      <c r="CR62" s="1" t="str">
        <f t="shared" si="32"/>
        <v/>
      </c>
      <c r="CS62" s="1" t="str">
        <f t="shared" si="32"/>
        <v/>
      </c>
      <c r="CT62" s="1" t="str">
        <f t="shared" si="32"/>
        <v/>
      </c>
      <c r="CU62" s="1" t="str">
        <f t="shared" si="32"/>
        <v/>
      </c>
      <c r="CV62" s="1" t="str">
        <f t="shared" si="32"/>
        <v/>
      </c>
      <c r="CW62" s="1" t="str">
        <f t="shared" si="32"/>
        <v/>
      </c>
      <c r="CX62" s="1" t="str">
        <f t="shared" si="32"/>
        <v/>
      </c>
      <c r="CY62" s="1" t="str">
        <f t="shared" si="32"/>
        <v/>
      </c>
      <c r="CZ62" s="1" t="str">
        <f t="shared" si="32"/>
        <v/>
      </c>
      <c r="DA62" s="1" t="str">
        <f t="shared" si="32"/>
        <v/>
      </c>
      <c r="DB62" s="1" t="str">
        <f t="shared" si="32"/>
        <v/>
      </c>
      <c r="DC62" s="1" t="str">
        <f t="shared" si="32"/>
        <v/>
      </c>
      <c r="DD62" s="1" t="str">
        <f t="shared" si="32"/>
        <v/>
      </c>
      <c r="DF62" s="35" t="str">
        <f>先發名單!E$4</f>
        <v>Ranger Suarez</v>
      </c>
      <c r="DG62" s="4" t="str">
        <f t="array" ref="DG62">IFERROR(INDEX(球員狀態!$C$2:$C$5000, MATCH(1, (球員狀態!$A$2:$A$5000=$DF$61)*(ISNUMBER(SEARCH($DF62, 球員狀態!$B$2:$B$5000))), 0)), "")</f>
        <v/>
      </c>
      <c r="DJ62" s="4" t="str">
        <f t="array" ref="DJ62">IFERROR(INDEX(球員狀態!$F$2:$F$5000,MATCH(1,(球員狀態!$A$2:$A$5000=$DF$61)*(ISNUMBER(SEARCH($DF62,球員狀態!$B$2:$B$5000))),0)),"")</f>
        <v/>
      </c>
      <c r="DK62" s="4" t="str">
        <f t="array" ref="DK62">IFERROR(INDEX(球員狀態!G$2:G$5000, MATCH(1, (球員狀態!$A$2:$A$5000=$DF$1)*(ISNUMBER(SEARCH($DF62, 球員狀態!$B$2:$B$5000))), 0)), "")</f>
        <v/>
      </c>
      <c r="DL62" s="4" t="str">
        <f t="array" ref="DL62">IFERROR(INDEX(球員狀態!H$2:H$5000, MATCH(1, (球員狀態!$A$2:$A$5000=$DF$61)*(ISNUMBER(SEARCH($DF62, 球員狀態!$B$2:$B$5000))), 0)), "")</f>
        <v/>
      </c>
      <c r="DM62" s="4" t="str">
        <f t="array" ref="DM62">IFERROR(INDEX(球員狀態!I$2:I$5000,MATCH(1,(球員狀態!$A$2:$A$5000=$DF$61)*(ISNUMBER(SEARCH($DF62,球員狀態!$B$2:$B$5000))),0)),"")</f>
        <v/>
      </c>
      <c r="DN62" s="4" t="str">
        <f t="array" ref="DN62">IFERROR(INDEX(球員狀態!J$2:J$5000,MATCH(1,(球員狀態!$A$2:$A$5000=$DF$61)*(ISNUMBER(SEARCH($DF62,球員狀態!$B$2:$B$5000))),0)),"")</f>
        <v/>
      </c>
      <c r="DO62" s="4" t="str">
        <f t="array" ref="DO62">IFERROR(INDEX(球員狀態!K$2:K$5000,MATCH(1,(球員狀態!$A$2:$A$5000=$DF$61)*(ISNUMBER(SEARCH($DF62,球員狀態!$B$2:$B$5000))),0)),"")</f>
        <v/>
      </c>
      <c r="DP62" s="4" t="str">
        <f t="array" ref="DP62">IFERROR(INDEX(球員狀態!L$2:L$5000,MATCH(1,(球員狀態!$A$2:$A$5000=$DF$61)*(ISNUMBER(SEARCH($DF62,球員狀態!$B$2:$B$5000))),0)),"")</f>
        <v/>
      </c>
      <c r="DQ62" s="4" t="str">
        <f t="array" ref="DQ62">IFERROR(INDEX(球員狀態!M$2:M$5000,MATCH(1,(球員狀態!$A$2:$A$5000=$DF$61)*(ISNUMBER(SEARCH($DF62,球員狀態!$B$2:$B$5000))),0)),"")</f>
        <v/>
      </c>
      <c r="DR62" s="4" t="str">
        <f t="array" ref="DR62">IFERROR(INDEX(球員狀態!N$2:N$5000,MATCH(1,(球員狀態!$A$2:$A$5000=$DF$61)*(ISNUMBER(SEARCH($DF62,球員狀態!$B$2:$B$5000))),0)),"")</f>
        <v/>
      </c>
      <c r="DS62" s="4" t="str">
        <f t="array" ref="DS62">IFERROR(INDEX(球員狀態!O$2:O$5000, MATCH(1, (球員狀態!$A$2:$A$5000=$DF$1)*(ISNUMBER(SEARCH($DF62, 球員狀態!$B$2:$B$5000))), 0)), "")</f>
        <v/>
      </c>
      <c r="DT62" s="4" t="str">
        <f t="array" ref="DT62">IFERROR(INDEX(球員狀態!P$2:P$5000, MATCH(1, (球員狀態!$A$2:$A$5000=$DF$1)*(ISNUMBER(SEARCH($DF62, 球員狀態!$B$2:$B$5000))), 0)), "")</f>
        <v/>
      </c>
      <c r="DU62" s="4" t="str">
        <f t="array" ref="DU62">IFERROR(INDEX(球員狀態!Q$2:Q$5000,MATCH(1,(球員狀態!$A$2:$A$5000=$DF$61)*(ISNUMBER(SEARCH($DF62,球員狀態!$B$2:$B$5000))),0)),"")</f>
        <v/>
      </c>
      <c r="DV62" s="4" t="str">
        <f t="array" ref="DV62">IFERROR(INDEX(球員狀態!R$2:R$5000, MATCH(1, (球員狀態!$A$2:$A$5000=$DF$1)*(ISNUMBER(SEARCH($DF62, 球員狀態!$B$2:$B$5000))), 0)), "")</f>
        <v/>
      </c>
      <c r="DW62" s="4" t="str">
        <f t="array" ref="DW62">IFERROR(INDEX(球員狀態!S$2:S$5000, MATCH(1, (球員狀態!$A$2:$A$5000=$DF$1)*(ISNUMBER(SEARCH($DF62, 球員狀態!$B$2:$B$5000))), 0)), "")</f>
        <v/>
      </c>
      <c r="DX62" s="4" t="str">
        <f t="array" ref="DX62">IFERROR(INDEX(球員狀態!T$2:T$5000,MATCH(1,(球員狀態!$A$2:$A$5000=$DF$61)*(ISNUMBER(SEARCH($DF62,球員狀態!$B$2:$B$5000))),0)),"")</f>
        <v/>
      </c>
      <c r="DY62" s="4" t="str">
        <f t="array" ref="DY62">IFERROR(INDEX(球員狀態!U$2:U$5000, MATCH(1, (球員狀態!$A$2:$A$5000=$DF$1)*(ISNUMBER(SEARCH($DF62, 球員狀態!$B$2:$B$5000))), 0)), "")</f>
        <v/>
      </c>
      <c r="DZ62" s="4" t="str">
        <f t="array" ref="DZ62">IFERROR(INDEX(球員狀態!V$2:V$5000, MATCH(1, (球員狀態!$A$2:$A$5000=$DF$1)*(ISNUMBER(SEARCH($DF62, 球員狀態!$B$2:$B$5000))), 0)), "")</f>
        <v/>
      </c>
      <c r="EA62" s="4" t="str">
        <f t="array" ref="EA62">IFERROR(INDEX(球員狀態!W$2:W$5000,MATCH(1,(球員狀態!$A$2:$A$5000=$DF$61)*(ISNUMBER(SEARCH($DF62,球員狀態!$B$2:$B$5000))),0)),"")</f>
        <v/>
      </c>
      <c r="EB62" s="4" t="str">
        <f t="array" ref="EB62">IFERROR(INDEX(球員狀態!X$2:X$5000, MATCH(1, (球員狀態!$A$2:$A$5000=$DF$1)*(ISNUMBER(SEARCH($DF62, 球員狀態!$B$2:$B$5000))), 0)), "")</f>
        <v/>
      </c>
      <c r="EC62" s="4" t="str">
        <f t="array" ref="EC62">IFERROR(INDEX(球員狀態!Y$2:Y$5000, MATCH(1, (球員狀態!$A$2:$A$5000=$DF$1)*(ISNUMBER(SEARCH($DF62, 球員狀態!$B$2:$B$5000))), 0)), "")</f>
        <v/>
      </c>
      <c r="ED62" s="4" t="str">
        <f t="array" ref="ED62">IFERROR(INDEX(球員狀態!Z$2:Z$5000,MATCH(1,(球員狀態!$A$2:$A$5000=$DF$61)*(ISNUMBER(SEARCH($DF62,球員狀態!$B$2:$B$5000))),0)),"")</f>
        <v/>
      </c>
      <c r="EE62" s="4" t="str">
        <f t="array" ref="EE62">IFERROR(INDEX(球員狀態!AA$2:AA$5000,MATCH(1,(球員狀態!$A$2:$A$5000=$DF$61)*(ISNUMBER(SEARCH($DF62,球員狀態!$B$2:$B$5000))),0)),"")</f>
        <v/>
      </c>
      <c r="EF62" s="4" t="str">
        <f t="array" ref="EF62">IFERROR(INDEX(球員狀態!AB$2:AB$5000,MATCH(1,(球員狀態!$A$2:$A$5000=$DF$61)*(ISNUMBER(SEARCH($DF62,球員狀態!$B$2:$B$5000))),0)),"")</f>
        <v/>
      </c>
      <c r="EG62" s="56"/>
      <c r="EI62" s="35" t="str">
        <f>先發名單!O$4</f>
        <v>C. Narvaez</v>
      </c>
      <c r="EJ62" s="4" t="str">
        <f t="array" ref="EJ62">IFERROR(INDEX(球員狀態!C$2:C$5000, MATCH(1, (球員狀態!$A$2:$A$5000=$EI$61)*(ISNUMBER(SEARCH($EI62, 球員狀態!$B$2:$B$5000))), 0)), "")</f>
        <v/>
      </c>
      <c r="EM62" s="4" t="str">
        <f t="array" ref="EM62">IFERROR(INDEX(球員狀態!F$2:F$5000, MATCH(1, (球員狀態!$A$2:$A$5000=$EI$61)*(ISNUMBER(SEARCH($EI62, 球員狀態!$B$2:$B$5000))), 0)), "")</f>
        <v/>
      </c>
      <c r="EN62" s="4" t="str">
        <f t="array" ref="EN62">IFERROR(INDEX(球員狀態!G$2:G$5000, MATCH(1, (球員狀態!$A$2:$A$5000=$EI$1)*(ISNUMBER(SEARCH($EI62, 球員狀態!$B$2:$B$5000))), 0)), "")</f>
        <v/>
      </c>
      <c r="EO62" s="4" t="str">
        <f t="array" ref="EO62">IFERROR(INDEX(球員狀態!H$2:H$5000, MATCH(1, (球員狀態!$A$2:$A$5000=$EI$61)*(ISNUMBER(SEARCH($EI62, 球員狀態!$B$2:$B$5000))), 0)), "")</f>
        <v/>
      </c>
      <c r="EP62" s="4" t="str">
        <f t="array" ref="EP62">IFERROR(INDEX(球員狀態!I$2:I$5000, MATCH(1, (球員狀態!$A$2:$A$5000=$EI$61)*(ISNUMBER(SEARCH($EI62, 球員狀態!$B$2:$B$5000))), 0)), "")</f>
        <v/>
      </c>
      <c r="EQ62" s="4" t="str">
        <f t="array" ref="EQ62">IFERROR(INDEX(球員狀態!J$2:J$5000, MATCH(1, (球員狀態!$A$2:$A$5000=$EI$61)*(ISNUMBER(SEARCH($EI62, 球員狀態!$B$2:$B$5000))), 0)), "")</f>
        <v/>
      </c>
      <c r="ER62" s="4" t="str">
        <f t="array" ref="ER62">IFERROR(INDEX(球員狀態!K$2:K$5000, MATCH(1, (球員狀態!$A$2:$A$5000=$EI$61)*(ISNUMBER(SEARCH($EI62, 球員狀態!$B$2:$B$5000))), 0)), "")</f>
        <v/>
      </c>
      <c r="ES62" s="4" t="str">
        <f t="array" ref="ES62">IFERROR(INDEX(球員狀態!L$2:L$5000, MATCH(1, (球員狀態!$A$2:$A$5000=$EI$61)*(ISNUMBER(SEARCH($EI62, 球員狀態!$B$2:$B$5000))), 0)), "")</f>
        <v/>
      </c>
      <c r="ET62" s="4" t="str">
        <f t="array" ref="ET62">IFERROR(INDEX(球員狀態!M$2:M$5000, MATCH(1, (球員狀態!$A$2:$A$5000=$EI$61)*(ISNUMBER(SEARCH($EI62, 球員狀態!$B$2:$B$5000))), 0)), "")</f>
        <v/>
      </c>
      <c r="EU62" s="4" t="str">
        <f t="array" ref="EU62">IFERROR(INDEX(球員狀態!N$2:N$5000, MATCH(1, (球員狀態!$A$2:$A$5000=$EI$61)*(ISNUMBER(SEARCH($EI62, 球員狀態!$B$2:$B$5000))), 0)), "")</f>
        <v/>
      </c>
      <c r="EV62" s="4" t="str">
        <f t="array" ref="EV62">IFERROR(INDEX(球員狀態!O$2:O$5000, MATCH(1, (球員狀態!$A$2:$A$5000=$EI$1)*(ISNUMBER(SEARCH($EI62, 球員狀態!$B$2:$B$5000))), 0)), "")</f>
        <v/>
      </c>
      <c r="EW62" s="4" t="str">
        <f t="array" ref="EW62">IFERROR(INDEX(球員狀態!P$2:P$5000, MATCH(1, (球員狀態!$A$2:$A$5000=$EI$1)*(ISNUMBER(SEARCH($EI62, 球員狀態!$B$2:$B$5000))), 0)), "")</f>
        <v/>
      </c>
      <c r="EX62" s="4" t="str">
        <f t="array" ref="EX62">IFERROR(INDEX(球員狀態!Q$2:Q$5000, MATCH(1, (球員狀態!$A$2:$A$5000=$EI$61)*(ISNUMBER(SEARCH($EI62, 球員狀態!$B$2:$B$5000))), 0)), "")</f>
        <v/>
      </c>
      <c r="EY62" s="4" t="str">
        <f t="array" ref="EY62">IFERROR(INDEX(球員狀態!R$2:R$5000, MATCH(1, (球員狀態!$A$2:$A$5000=$EI$1)*(ISNUMBER(SEARCH($EI62, 球員狀態!$B$2:$B$5000))), 0)), "")</f>
        <v/>
      </c>
      <c r="EZ62" s="4" t="str">
        <f t="array" ref="EZ62">IFERROR(INDEX(球員狀態!S$2:S$5000, MATCH(1, (球員狀態!$A$2:$A$5000=$EI$1)*(ISNUMBER(SEARCH($EI62, 球員狀態!$B$2:$B$5000))), 0)), "")</f>
        <v/>
      </c>
      <c r="FA62" s="4" t="str">
        <f t="array" ref="FA62">IFERROR(INDEX(球員狀態!T$2:T$5000, MATCH(1, (球員狀態!$A$2:$A$5000=$EI$61)*(ISNUMBER(SEARCH($EI62, 球員狀態!$B$2:$B$5000))), 0)), "")</f>
        <v/>
      </c>
      <c r="FB62" s="4" t="str">
        <f t="array" ref="FB62">IFERROR(INDEX(球員狀態!U$2:U$5000, MATCH(1, (球員狀態!$A$2:$A$5000=$EI$1)*(ISNUMBER(SEARCH($EI62, 球員狀態!$B$2:$B$5000))), 0)), "")</f>
        <v/>
      </c>
      <c r="FC62" s="4" t="str">
        <f t="array" ref="FC62">IFERROR(INDEX(球員狀態!V$2:V$5000, MATCH(1, (球員狀態!$A$2:$A$5000=$EI$1)*(ISNUMBER(SEARCH($EI62, 球員狀態!$B$2:$B$5000))), 0)), "")</f>
        <v/>
      </c>
      <c r="FD62" s="4" t="str">
        <f t="array" ref="FD62">IFERROR(INDEX(球員狀態!W$2:W$5000, MATCH(1, (球員狀態!$A$2:$A$5000=$EI$61)*(ISNUMBER(SEARCH($EI62, 球員狀態!$B$2:$B$5000))), 0)), "")</f>
        <v/>
      </c>
      <c r="FE62" s="4" t="str">
        <f t="array" ref="FE62">IFERROR(INDEX(球員狀態!X$2:X$5000, MATCH(1, (球員狀態!$A$2:$A$5000=$EI$1)*(ISNUMBER(SEARCH($EI62, 球員狀態!$B$2:$B$5000))), 0)), "")</f>
        <v/>
      </c>
      <c r="FF62" s="4" t="str">
        <f t="array" ref="FF62">IFERROR(INDEX(球員狀態!Y$2:Y$5000, MATCH(1, (球員狀態!$A$2:$A$5000=$EI$1)*(ISNUMBER(SEARCH($EI62, 球員狀態!$B$2:$B$5000))), 0)), "")</f>
        <v/>
      </c>
      <c r="FG62" s="4" t="str">
        <f t="array" ref="FG62">IFERROR(INDEX(球員狀態!Z$2:Z$5000, MATCH(1, (球員狀態!$A$2:$A$5000=$EI$61)*(ISNUMBER(SEARCH($EI62, 球員狀態!$B$2:$B$5000))), 0)), "")</f>
        <v/>
      </c>
      <c r="FH62" s="4" t="str">
        <f t="array" ref="FH62">IFERROR(INDEX(球員狀態!AA$2:AA$5000, MATCH(1, (球員狀態!$A$2:$A$5000=$EI$61)*(ISNUMBER(SEARCH($EI62, 球員狀態!$B$2:$B$5000))), 0)), "")</f>
        <v/>
      </c>
      <c r="FI62" s="4" t="str">
        <f t="array" ref="FI62">IFERROR(INDEX(球員狀態!AB$2:AB$5000, MATCH(1, (球員狀態!$A$2:$A$5000=$EI$61)*(ISNUMBER(SEARCH($EI62, 球員狀態!$B$2:$B$5000))), 0)), "")</f>
        <v/>
      </c>
    </row>
    <row r="63" spans="65:169">
      <c r="CB63" s="28" t="e">
        <f>CF63+CJ63+CK63+CM63+CO63+CP63+CQ63+CR63</f>
        <v>#VALUE!</v>
      </c>
      <c r="CC63" s="31" t="e">
        <f>CU63+CV63+CY63+CZ63+DA63</f>
        <v>#VALUE!</v>
      </c>
      <c r="CF63" s="27" t="e">
        <f>VLOOKUP(ROUND(CF62/CD62, 2), $BV$2:$BX$12, 3, TRUE)*BX$1</f>
        <v>#VALUE!</v>
      </c>
      <c r="CJ63" s="27" t="e">
        <f>VLOOKUP(ROUND(CJ62/CD62, 2), $BM$15:$BO$25, 3, TRUE)*BO$14</f>
        <v>#VALUE!</v>
      </c>
      <c r="CK63" s="27" t="e">
        <f>VLOOKUP(ROUND(CK62/CD62, 2), $BY$2:$CA$12, 3, TRUE)*CA$1</f>
        <v>#VALUE!</v>
      </c>
      <c r="CM63" s="101" t="e">
        <f>VLOOKUP(ROUND(CM62/CN62, 2), $BP$15:$BR$25, 3, TRUE)*BR$14</f>
        <v>#VALUE!</v>
      </c>
      <c r="CN63" s="78"/>
      <c r="CO63" s="27" t="e">
        <f>VLOOKUP(ROUND(CO62/CD62, 2), $BS$15:$BU$25, 3, TRUE)*BU$14</f>
        <v>#VALUE!</v>
      </c>
      <c r="CP63" s="27" t="e">
        <f>VLOOKUP(CP62*1, BM$2:BO$12, 3, TRUE)*BO$1</f>
        <v>#VALUE!</v>
      </c>
      <c r="CQ63" s="27" t="e">
        <f>VLOOKUP(CQ62*1, BP$2:BR$12, 3, TRUE)*BR$1</f>
        <v>#VALUE!</v>
      </c>
      <c r="CR63" s="27" t="e">
        <f>VLOOKUP(CR62*1, BS$2:BU$12, 3, TRUE)*BU$1</f>
        <v>#VALUE!</v>
      </c>
      <c r="CU63" s="60" t="e">
        <f>VLOOKUP(CU62*1, BM$28:BO$38, 3, TRUE)*BO$27</f>
        <v>#VALUE!</v>
      </c>
      <c r="CV63" s="60" t="e">
        <f>VLOOKUP(CV62*1, BP$28:BR$38, 3, TRUE)*BR$27</f>
        <v>#VALUE!</v>
      </c>
      <c r="CY63" s="60" t="e">
        <f>VLOOKUP(CY62*1, BS$28:BU$38, 3, TRUE)*BU$27</f>
        <v>#VALUE!</v>
      </c>
      <c r="CZ63" s="60" t="e">
        <f>VLOOKUP(CZ62*1, BV$28:BX$38, 3, TRUE)*BX$27</f>
        <v>#VALUE!</v>
      </c>
      <c r="DA63" s="60" t="e">
        <f>VLOOKUP(DA62*1, BY$28:CA$38, 3, TRUE)*CA$27</f>
        <v>#VALUE!</v>
      </c>
      <c r="DF63" s="36"/>
      <c r="DG63" s="4"/>
      <c r="DH63" s="40" t="e">
        <f>DJ63+DL63+DM63+DN63+DO63-DP63-DQ63+DR63</f>
        <v>#VALUE!</v>
      </c>
      <c r="DI63" s="42" t="e">
        <f>DU63+DX63+EA63+ED63+EE63+EF63</f>
        <v>#VALUE!</v>
      </c>
      <c r="DJ63" s="38" t="e">
        <f>VLOOKUP(DJ62*1, $FK$2:$FM$12, 3, TRUE)*$FM$1</f>
        <v>#VALUE!</v>
      </c>
      <c r="DL63" s="38" t="e">
        <f>VLOOKUP(DL62*1, $FN$2:$FP$12, 3, TRUE)*$FP$1</f>
        <v>#VALUE!</v>
      </c>
      <c r="DM63" s="38" t="e">
        <f>VLOOKUP(DM62*1, $FQ$2:$FS$12, 3, TRUE)*$FS$1</f>
        <v>#VALUE!</v>
      </c>
      <c r="DN63" s="38" t="e">
        <f>VLOOKUP(DN62*1, $FT$2:$FV$12, 3, TRUE)*$FV$1</f>
        <v>#VALUE!</v>
      </c>
      <c r="DO63" s="38" t="e">
        <f>VLOOKUP(DO62*1, $FW$2:$FY$12, 3, TRUE)*$FY$1</f>
        <v>#VALUE!</v>
      </c>
      <c r="DP63" s="39" t="e">
        <f>VLOOKUP(DP62*1, $FK$14:$FM$25, 3, TRUE)*$FM$14</f>
        <v>#VALUE!</v>
      </c>
      <c r="DQ63" s="39" t="e">
        <f>VLOOKUP(DQ62*1, $FN$14:$FP$25, 3, TRUE)*$FP$14</f>
        <v>#VALUE!</v>
      </c>
      <c r="DR63" s="38" t="e">
        <f>VLOOKUP(DR62*1, $FQ$14:$FS$25, 3, TRUE)*$FS$14</f>
        <v>#VALUE!</v>
      </c>
      <c r="DU63" s="41" t="e">
        <f>VLOOKUP(DU62*1, $FK$27:$FM$38, 3, TRUE)*$FM$27</f>
        <v>#VALUE!</v>
      </c>
      <c r="DX63" s="41" t="e">
        <f>VLOOKUP(DX62*1, $FN$27:$FP$38, 3, TRUE)*$FP$27</f>
        <v>#VALUE!</v>
      </c>
      <c r="EA63" s="41" t="e">
        <f>VLOOKUP(EA62*1, $FQ$27:$FS$38, 3, TRUE)*$FS$27</f>
        <v>#VALUE!</v>
      </c>
      <c r="ED63" s="41" t="e">
        <f>VLOOKUP(ED62*1, $FT$27:$FV$38, 3, TRUE)*$FV$27</f>
        <v>#VALUE!</v>
      </c>
      <c r="EE63" s="41" t="e">
        <f>VLOOKUP(EE62*1, $FW$27:$FY$38, 3, TRUE)*$FY$27</f>
        <v>#VALUE!</v>
      </c>
      <c r="EF63" s="41" t="e">
        <f>VLOOKUP(EF62*1, $FK$40:$FM$51, 3, TRUE)*$FM$40</f>
        <v>#VALUE!</v>
      </c>
      <c r="EG63" s="57"/>
      <c r="EI63" s="36"/>
      <c r="EJ63" s="4"/>
      <c r="EK63" s="40" t="e">
        <f>EM63+EO63+EP63+EQ63+ER63-ES63-ET63+EU63</f>
        <v>#VALUE!</v>
      </c>
      <c r="EL63" s="42" t="e">
        <f>EX63+FA63+FD63+FG63+FH63+FI63</f>
        <v>#VALUE!</v>
      </c>
      <c r="EM63" s="38" t="e">
        <f>VLOOKUP(EM62*1, $FK$2:$FM$12, 3, TRUE)*$FM$1</f>
        <v>#VALUE!</v>
      </c>
      <c r="EO63" s="38" t="e">
        <f>VLOOKUP(EO62*1, $FN$2:$FP$12, 3, TRUE)*$FP$1</f>
        <v>#VALUE!</v>
      </c>
      <c r="EP63" s="38" t="e">
        <f>VLOOKUP(EP62*1, $FQ$2:$FS$12, 3, TRUE)*$FS$1</f>
        <v>#VALUE!</v>
      </c>
      <c r="EQ63" s="38" t="e">
        <f>VLOOKUP(EQ62*1, $FT$2:$FV$12, 3, TRUE)*$FV$1</f>
        <v>#VALUE!</v>
      </c>
      <c r="ER63" s="38" t="e">
        <f>VLOOKUP(ER62*1, $FW$2:$FY$12, 3, TRUE)*$FY$1</f>
        <v>#VALUE!</v>
      </c>
      <c r="ES63" s="39" t="e">
        <f>VLOOKUP(ES62*1, $FK$14:$FM$25, 3, TRUE)*$FM$14</f>
        <v>#VALUE!</v>
      </c>
      <c r="ET63" s="39" t="e">
        <f>VLOOKUP(ET62*1, $FN$14:$FP$25, 3, TRUE)*$FP$14</f>
        <v>#VALUE!</v>
      </c>
      <c r="EU63" s="38" t="e">
        <f>VLOOKUP(EU62*1, $FQ$14:$FS$25, 3, TRUE)*$FS$14</f>
        <v>#VALUE!</v>
      </c>
      <c r="EX63" s="41" t="e">
        <f>VLOOKUP(EX62*1, $FK$27:$FM$38, 3, TRUE)*$FM$27</f>
        <v>#VALUE!</v>
      </c>
      <c r="FA63" s="41" t="e">
        <f>VLOOKUP(FA62*1, $FN$27:$FP$38, 3, TRUE)*$FP$27</f>
        <v>#VALUE!</v>
      </c>
      <c r="FD63" s="41" t="e">
        <f>VLOOKUP(FD62*1, $FQ$27:$FS$38, 3, TRUE)*$FS$27</f>
        <v>#VALUE!</v>
      </c>
      <c r="FG63" s="41" t="e">
        <f>VLOOKUP(FG62*1, $FT$27:$FV$38, 3, TRUE)*$FV$27</f>
        <v>#VALUE!</v>
      </c>
      <c r="FH63" s="41" t="e">
        <f>VLOOKUP(FH62*1, $FW$27:$FY$38, 3, TRUE)*$FY$27</f>
        <v>#VALUE!</v>
      </c>
      <c r="FI63" s="41" t="e">
        <f>VLOOKUP(FI62*1, $FK$40:$FM$51, 3, TRUE)*$FM$40</f>
        <v>#VALUE!</v>
      </c>
    </row>
    <row r="64" spans="65:169">
      <c r="CB64" s="19">
        <f>AF33</f>
        <v>0</v>
      </c>
      <c r="CD64" s="1" t="str">
        <f>AG33</f>
        <v/>
      </c>
      <c r="CE64" s="1" t="str">
        <f t="shared" ref="CE64:DD64" si="33">AL33</f>
        <v/>
      </c>
      <c r="CF64" s="1" t="str">
        <f t="shared" si="33"/>
        <v/>
      </c>
      <c r="CG64" s="1" t="str">
        <f t="shared" si="33"/>
        <v/>
      </c>
      <c r="CH64" s="1" t="str">
        <f t="shared" si="33"/>
        <v/>
      </c>
      <c r="CI64" s="1" t="str">
        <f t="shared" si="33"/>
        <v/>
      </c>
      <c r="CJ64" s="1" t="str">
        <f t="shared" si="33"/>
        <v/>
      </c>
      <c r="CK64" s="1" t="str">
        <f t="shared" si="33"/>
        <v/>
      </c>
      <c r="CL64" s="1" t="str">
        <f t="shared" si="33"/>
        <v/>
      </c>
      <c r="CM64" s="1" t="str">
        <f t="shared" si="33"/>
        <v/>
      </c>
      <c r="CN64" s="1" t="str">
        <f t="shared" si="33"/>
        <v/>
      </c>
      <c r="CO64" s="1" t="str">
        <f t="shared" si="33"/>
        <v/>
      </c>
      <c r="CP64" s="1" t="str">
        <f t="shared" si="33"/>
        <v/>
      </c>
      <c r="CQ64" s="1" t="str">
        <f t="shared" si="33"/>
        <v/>
      </c>
      <c r="CR64" s="1" t="str">
        <f t="shared" si="33"/>
        <v/>
      </c>
      <c r="CS64" s="1" t="str">
        <f t="shared" si="33"/>
        <v/>
      </c>
      <c r="CT64" s="1" t="str">
        <f t="shared" si="33"/>
        <v/>
      </c>
      <c r="CU64" s="1" t="str">
        <f t="shared" si="33"/>
        <v/>
      </c>
      <c r="CV64" s="1" t="str">
        <f t="shared" si="33"/>
        <v/>
      </c>
      <c r="CW64" s="1" t="str">
        <f t="shared" si="33"/>
        <v/>
      </c>
      <c r="CX64" s="1" t="str">
        <f t="shared" si="33"/>
        <v/>
      </c>
      <c r="CY64" s="1" t="str">
        <f t="shared" si="33"/>
        <v/>
      </c>
      <c r="CZ64" s="1" t="str">
        <f t="shared" si="33"/>
        <v/>
      </c>
      <c r="DA64" s="1" t="str">
        <f t="shared" si="33"/>
        <v/>
      </c>
      <c r="DB64" s="1" t="str">
        <f t="shared" si="33"/>
        <v/>
      </c>
      <c r="DC64" s="1" t="str">
        <f t="shared" si="33"/>
        <v/>
      </c>
      <c r="DD64" s="1" t="str">
        <f t="shared" si="33"/>
        <v/>
      </c>
      <c r="DF64" s="35" t="str">
        <f>先發名單!F4</f>
        <v>Dylan Cease</v>
      </c>
      <c r="DG64" s="4" t="str">
        <f t="array" ref="DG64">IFERROR(INDEX(球員狀態!$C$2:$C$5000, MATCH(1, (球員狀態!$A$2:$A$5000=$DF$61)*(ISNUMBER(SEARCH($DF64, 球員狀態!$B$2:$B$5000))), 0)), "")</f>
        <v/>
      </c>
      <c r="DJ64" s="4" t="str">
        <f t="array" ref="DJ64">IFERROR(INDEX(球員狀態!$F$2:$F$5000,MATCH(1,(球員狀態!$A$2:$A$5000=$DF$61)*(ISNUMBER(SEARCH($DF64,球員狀態!$B$2:$B$5000))),0)),"")</f>
        <v/>
      </c>
      <c r="DK64" s="4" t="str">
        <f t="array" ref="DK64">IFERROR(INDEX(球員狀態!G$2:G$5000, MATCH(1, (球員狀態!$A$2:$A$5000=$DF$1)*(ISNUMBER(SEARCH($DF64, 球員狀態!$B$2:$B$5000))), 0)), "")</f>
        <v/>
      </c>
      <c r="DL64" s="4" t="str">
        <f t="array" ref="DL64">IFERROR(INDEX(球員狀態!H$2:H$5000, MATCH(1, (球員狀態!$A$2:$A$5000=$DF$61)*(ISNUMBER(SEARCH($DF64, 球員狀態!$B$2:$B$5000))), 0)), "")</f>
        <v/>
      </c>
      <c r="DM64" s="4" t="str">
        <f t="array" ref="DM64">IFERROR(INDEX(球員狀態!I$2:I$5000,MATCH(1,(球員狀態!$A$2:$A$5000=$DF$61)*(ISNUMBER(SEARCH($DF64,球員狀態!$B$2:$B$5000))),0)),"")</f>
        <v/>
      </c>
      <c r="DN64" s="4" t="str">
        <f t="array" ref="DN64">IFERROR(INDEX(球員狀態!J$2:J$5000,MATCH(1,(球員狀態!$A$2:$A$5000=$DF$61)*(ISNUMBER(SEARCH($DF64,球員狀態!$B$2:$B$5000))),0)),"")</f>
        <v/>
      </c>
      <c r="DO64" s="4" t="str">
        <f t="array" ref="DO64">IFERROR(INDEX(球員狀態!K$2:K$5000,MATCH(1,(球員狀態!$A$2:$A$5000=$DF$61)*(ISNUMBER(SEARCH($DF64,球員狀態!$B$2:$B$5000))),0)),"")</f>
        <v/>
      </c>
      <c r="DP64" s="4" t="str">
        <f t="array" ref="DP64">IFERROR(INDEX(球員狀態!L$2:L$5000,MATCH(1,(球員狀態!$A$2:$A$5000=$DF$61)*(ISNUMBER(SEARCH($DF64,球員狀態!$B$2:$B$5000))),0)),"")</f>
        <v/>
      </c>
      <c r="DQ64" s="4" t="str">
        <f t="array" ref="DQ64">IFERROR(INDEX(球員狀態!M$2:M$5000,MATCH(1,(球員狀態!$A$2:$A$5000=$DF$61)*(ISNUMBER(SEARCH($DF64,球員狀態!$B$2:$B$5000))),0)),"")</f>
        <v/>
      </c>
      <c r="DR64" s="4" t="str">
        <f t="array" ref="DR64">IFERROR(INDEX(球員狀態!N$2:N$5000,MATCH(1,(球員狀態!$A$2:$A$5000=$DF$61)*(ISNUMBER(SEARCH($DF64,球員狀態!$B$2:$B$5000))),0)),"")</f>
        <v/>
      </c>
      <c r="DS64" s="4" t="str">
        <f t="array" ref="DS64">IFERROR(INDEX(球員狀態!O$2:O$5000, MATCH(1, (球員狀態!$A$2:$A$5000=$DF$1)*(ISNUMBER(SEARCH($DF64, 球員狀態!$B$2:$B$5000))), 0)), "")</f>
        <v/>
      </c>
      <c r="DT64" s="4" t="str">
        <f t="array" ref="DT64">IFERROR(INDEX(球員狀態!P$2:P$5000, MATCH(1, (球員狀態!$A$2:$A$5000=$DF$1)*(ISNUMBER(SEARCH($DF64, 球員狀態!$B$2:$B$5000))), 0)), "")</f>
        <v/>
      </c>
      <c r="DU64" s="4" t="str">
        <f t="array" ref="DU64">IFERROR(INDEX(球員狀態!Q$2:Q$5000,MATCH(1,(球員狀態!$A$2:$A$5000=$DF$61)*(ISNUMBER(SEARCH($DF64,球員狀態!$B$2:$B$5000))),0)),"")</f>
        <v/>
      </c>
      <c r="DV64" s="4" t="str">
        <f t="array" ref="DV64">IFERROR(INDEX(球員狀態!R$2:R$5000, MATCH(1, (球員狀態!$A$2:$A$5000=$DF$1)*(ISNUMBER(SEARCH($DF64, 球員狀態!$B$2:$B$5000))), 0)), "")</f>
        <v/>
      </c>
      <c r="DW64" s="4" t="str">
        <f t="array" ref="DW64">IFERROR(INDEX(球員狀態!S$2:S$5000, MATCH(1, (球員狀態!$A$2:$A$5000=$DF$1)*(ISNUMBER(SEARCH($DF64, 球員狀態!$B$2:$B$5000))), 0)), "")</f>
        <v/>
      </c>
      <c r="DX64" s="4" t="str">
        <f t="array" ref="DX64">IFERROR(INDEX(球員狀態!T$2:T$5000,MATCH(1,(球員狀態!$A$2:$A$5000=$DF$61)*(ISNUMBER(SEARCH($DF64,球員狀態!$B$2:$B$5000))),0)),"")</f>
        <v/>
      </c>
      <c r="DY64" s="4" t="str">
        <f t="array" ref="DY64">IFERROR(INDEX(球員狀態!U$2:U$5000, MATCH(1, (球員狀態!$A$2:$A$5000=$DF$1)*(ISNUMBER(SEARCH($DF64, 球員狀態!$B$2:$B$5000))), 0)), "")</f>
        <v/>
      </c>
      <c r="DZ64" s="4" t="str">
        <f t="array" ref="DZ64">IFERROR(INDEX(球員狀態!V$2:V$5000, MATCH(1, (球員狀態!$A$2:$A$5000=$DF$1)*(ISNUMBER(SEARCH($DF64, 球員狀態!$B$2:$B$5000))), 0)), "")</f>
        <v/>
      </c>
      <c r="EA64" s="4" t="str">
        <f t="array" ref="EA64">IFERROR(INDEX(球員狀態!W$2:W$5000,MATCH(1,(球員狀態!$A$2:$A$5000=$DF$61)*(ISNUMBER(SEARCH($DF64,球員狀態!$B$2:$B$5000))),0)),"")</f>
        <v/>
      </c>
      <c r="EB64" s="4" t="str">
        <f t="array" ref="EB64">IFERROR(INDEX(球員狀態!X$2:X$5000, MATCH(1, (球員狀態!$A$2:$A$5000=$DF$1)*(ISNUMBER(SEARCH($DF64, 球員狀態!$B$2:$B$5000))), 0)), "")</f>
        <v/>
      </c>
      <c r="EC64" s="4" t="str">
        <f t="array" ref="EC64">IFERROR(INDEX(球員狀態!Y$2:Y$5000, MATCH(1, (球員狀態!$A$2:$A$5000=$DF$1)*(ISNUMBER(SEARCH($DF64, 球員狀態!$B$2:$B$5000))), 0)), "")</f>
        <v/>
      </c>
      <c r="ED64" s="4" t="str">
        <f t="array" ref="ED64">IFERROR(INDEX(球員狀態!Z$2:Z$5000,MATCH(1,(球員狀態!$A$2:$A$5000=$DF$61)*(ISNUMBER(SEARCH($DF64,球員狀態!$B$2:$B$5000))),0)),"")</f>
        <v/>
      </c>
      <c r="EE64" s="4" t="str">
        <f t="array" ref="EE64">IFERROR(INDEX(球員狀態!AA$2:AA$5000,MATCH(1,(球員狀態!$A$2:$A$5000=$DF$61)*(ISNUMBER(SEARCH($DF64,球員狀態!$B$2:$B$5000))),0)),"")</f>
        <v/>
      </c>
      <c r="EF64" s="4" t="str">
        <f t="array" ref="EF64">IFERROR(INDEX(球員狀態!AB$2:AB$5000,MATCH(1,(球員狀態!$A$2:$A$5000=$DF$61)*(ISNUMBER(SEARCH($DF64,球員狀態!$B$2:$B$5000))),0)),"")</f>
        <v/>
      </c>
      <c r="EG64" s="56"/>
      <c r="EI64" s="35" t="str">
        <f>先發名單!P$4</f>
        <v>E. Clement</v>
      </c>
      <c r="EJ64" s="4" t="str">
        <f t="array" ref="EJ64">IFERROR(INDEX(球員狀態!C$2:C$5000, MATCH(1, (球員狀態!$A$2:$A$5000=$EI$61)*(ISNUMBER(SEARCH($EI64, 球員狀態!$B$2:$B$5000))), 0)), "")</f>
        <v/>
      </c>
      <c r="EM64" s="4" t="str">
        <f t="array" ref="EM64">IFERROR(INDEX(球員狀態!F$2:F$5000, MATCH(1, (球員狀態!$A$2:$A$5000=$EI$61)*(ISNUMBER(SEARCH($EI64, 球員狀態!$B$2:$B$5000))), 0)), "")</f>
        <v/>
      </c>
      <c r="EN64" s="4" t="str">
        <f t="array" ref="EN64">IFERROR(INDEX(球員狀態!G$2:G$5000, MATCH(1, (球員狀態!$A$2:$A$5000=$EI$1)*(ISNUMBER(SEARCH($EI64, 球員狀態!$B$2:$B$5000))), 0)), "")</f>
        <v/>
      </c>
      <c r="EO64" s="4" t="str">
        <f t="array" ref="EO64">IFERROR(INDEX(球員狀態!H$2:H$5000, MATCH(1, (球員狀態!$A$2:$A$5000=$EI$61)*(ISNUMBER(SEARCH($EI64, 球員狀態!$B$2:$B$5000))), 0)), "")</f>
        <v/>
      </c>
      <c r="EP64" s="4" t="str">
        <f t="array" ref="EP64">IFERROR(INDEX(球員狀態!I$2:I$5000, MATCH(1, (球員狀態!$A$2:$A$5000=$EI$61)*(ISNUMBER(SEARCH($EI64, 球員狀態!$B$2:$B$5000))), 0)), "")</f>
        <v/>
      </c>
      <c r="EQ64" s="4" t="str">
        <f t="array" ref="EQ64">IFERROR(INDEX(球員狀態!J$2:J$5000, MATCH(1, (球員狀態!$A$2:$A$5000=$EI$61)*(ISNUMBER(SEARCH($EI64, 球員狀態!$B$2:$B$5000))), 0)), "")</f>
        <v/>
      </c>
      <c r="ER64" s="4" t="str">
        <f t="array" ref="ER64">IFERROR(INDEX(球員狀態!K$2:K$5000, MATCH(1, (球員狀態!$A$2:$A$5000=$EI$61)*(ISNUMBER(SEARCH($EI64, 球員狀態!$B$2:$B$5000))), 0)), "")</f>
        <v/>
      </c>
      <c r="ES64" s="4" t="str">
        <f t="array" ref="ES64">IFERROR(INDEX(球員狀態!L$2:L$5000, MATCH(1, (球員狀態!$A$2:$A$5000=$EI$61)*(ISNUMBER(SEARCH($EI64, 球員狀態!$B$2:$B$5000))), 0)), "")</f>
        <v/>
      </c>
      <c r="ET64" s="4" t="str">
        <f t="array" ref="ET64">IFERROR(INDEX(球員狀態!M$2:M$5000, MATCH(1, (球員狀態!$A$2:$A$5000=$EI$61)*(ISNUMBER(SEARCH($EI64, 球員狀態!$B$2:$B$5000))), 0)), "")</f>
        <v/>
      </c>
      <c r="EU64" s="4" t="str">
        <f t="array" ref="EU64">IFERROR(INDEX(球員狀態!N$2:N$5000, MATCH(1, (球員狀態!$A$2:$A$5000=$EI$61)*(ISNUMBER(SEARCH($EI64, 球員狀態!$B$2:$B$5000))), 0)), "")</f>
        <v/>
      </c>
      <c r="EV64" s="4" t="str">
        <f t="array" ref="EV64">IFERROR(INDEX(球員狀態!O$2:O$5000, MATCH(1, (球員狀態!$A$2:$A$5000=$EI$1)*(ISNUMBER(SEARCH($EI64, 球員狀態!$B$2:$B$5000))), 0)), "")</f>
        <v/>
      </c>
      <c r="EW64" s="4" t="str">
        <f t="array" ref="EW64">IFERROR(INDEX(球員狀態!P$2:P$5000, MATCH(1, (球員狀態!$A$2:$A$5000=$EI$1)*(ISNUMBER(SEARCH($EI64, 球員狀態!$B$2:$B$5000))), 0)), "")</f>
        <v/>
      </c>
      <c r="EX64" s="4" t="str">
        <f t="array" ref="EX64">IFERROR(INDEX(球員狀態!Q$2:Q$5000, MATCH(1, (球員狀態!$A$2:$A$5000=$EI$61)*(ISNUMBER(SEARCH($EI64, 球員狀態!$B$2:$B$5000))), 0)), "")</f>
        <v/>
      </c>
      <c r="EY64" s="4" t="str">
        <f t="array" ref="EY64">IFERROR(INDEX(球員狀態!R$2:R$5000, MATCH(1, (球員狀態!$A$2:$A$5000=$EI$1)*(ISNUMBER(SEARCH($EI64, 球員狀態!$B$2:$B$5000))), 0)), "")</f>
        <v/>
      </c>
      <c r="EZ64" s="4" t="str">
        <f t="array" ref="EZ64">IFERROR(INDEX(球員狀態!S$2:S$5000, MATCH(1, (球員狀態!$A$2:$A$5000=$EI$1)*(ISNUMBER(SEARCH($EI64, 球員狀態!$B$2:$B$5000))), 0)), "")</f>
        <v/>
      </c>
      <c r="FA64" s="4" t="str">
        <f t="array" ref="FA64">IFERROR(INDEX(球員狀態!T$2:T$5000, MATCH(1, (球員狀態!$A$2:$A$5000=$EI$61)*(ISNUMBER(SEARCH($EI64, 球員狀態!$B$2:$B$5000))), 0)), "")</f>
        <v/>
      </c>
      <c r="FB64" s="4" t="str">
        <f t="array" ref="FB64">IFERROR(INDEX(球員狀態!U$2:U$5000, MATCH(1, (球員狀態!$A$2:$A$5000=$EI$1)*(ISNUMBER(SEARCH($EI64, 球員狀態!$B$2:$B$5000))), 0)), "")</f>
        <v/>
      </c>
      <c r="FC64" s="4" t="str">
        <f t="array" ref="FC64">IFERROR(INDEX(球員狀態!V$2:V$5000, MATCH(1, (球員狀態!$A$2:$A$5000=$EI$1)*(ISNUMBER(SEARCH($EI64, 球員狀態!$B$2:$B$5000))), 0)), "")</f>
        <v/>
      </c>
      <c r="FD64" s="4" t="str">
        <f t="array" ref="FD64">IFERROR(INDEX(球員狀態!W$2:W$5000, MATCH(1, (球員狀態!$A$2:$A$5000=$EI$61)*(ISNUMBER(SEARCH($EI64, 球員狀態!$B$2:$B$5000))), 0)), "")</f>
        <v/>
      </c>
      <c r="FE64" s="4" t="str">
        <f t="array" ref="FE64">IFERROR(INDEX(球員狀態!X$2:X$5000, MATCH(1, (球員狀態!$A$2:$A$5000=$EI$1)*(ISNUMBER(SEARCH($EI64, 球員狀態!$B$2:$B$5000))), 0)), "")</f>
        <v/>
      </c>
      <c r="FF64" s="4" t="str">
        <f t="array" ref="FF64">IFERROR(INDEX(球員狀態!Y$2:Y$5000, MATCH(1, (球員狀態!$A$2:$A$5000=$EI$1)*(ISNUMBER(SEARCH($EI64, 球員狀態!$B$2:$B$5000))), 0)), "")</f>
        <v/>
      </c>
      <c r="FG64" s="4" t="str">
        <f t="array" ref="FG64">IFERROR(INDEX(球員狀態!Z$2:Z$5000, MATCH(1, (球員狀態!$A$2:$A$5000=$EI$61)*(ISNUMBER(SEARCH($EI64, 球員狀態!$B$2:$B$5000))), 0)), "")</f>
        <v/>
      </c>
      <c r="FH64" s="4" t="str">
        <f t="array" ref="FH64">IFERROR(INDEX(球員狀態!AA$2:AA$5000, MATCH(1, (球員狀態!$A$2:$A$5000=$EI$61)*(ISNUMBER(SEARCH($EI64, 球員狀態!$B$2:$B$5000))), 0)), "")</f>
        <v/>
      </c>
      <c r="FI64" s="4" t="str">
        <f t="array" ref="FI64">IFERROR(INDEX(球員狀態!AB$2:AB$5000, MATCH(1, (球員狀態!$A$2:$A$5000=$EI$61)*(ISNUMBER(SEARCH($EI64, 球員狀態!$B$2:$B$5000))), 0)), "")</f>
        <v/>
      </c>
    </row>
    <row r="65" spans="80:165">
      <c r="CB65" s="28" t="e">
        <f>CF65+CJ65+CK65+CM65+CO65+CP65+CQ65+CR65</f>
        <v>#VALUE!</v>
      </c>
      <c r="CC65" s="31" t="e">
        <f>CU65+CV65+CY65+CZ65+DA65</f>
        <v>#VALUE!</v>
      </c>
      <c r="CF65" s="27" t="e">
        <f>VLOOKUP(ROUND(CF64/CD64, 2), $BV$2:$BX$12, 3, TRUE)*BX$1</f>
        <v>#VALUE!</v>
      </c>
      <c r="CJ65" s="27" t="e">
        <f>VLOOKUP(ROUND(CJ64/CD64, 2), $BM$15:$BO$25, 3, TRUE)*BO$14</f>
        <v>#VALUE!</v>
      </c>
      <c r="CK65" s="27" t="e">
        <f>VLOOKUP(ROUND(CK64/CD64, 2), $BY$2:$CA$12, 3, TRUE)*CA$1</f>
        <v>#VALUE!</v>
      </c>
      <c r="CM65" s="101" t="e">
        <f>VLOOKUP(ROUND(CM64/CN64, 2), $BP$15:$BR$25, 3, TRUE)*BR$14</f>
        <v>#VALUE!</v>
      </c>
      <c r="CN65" s="78"/>
      <c r="CO65" s="27" t="e">
        <f>VLOOKUP(ROUND(CO64/CD64, 2), $BS$15:$BU$25, 3, TRUE)*BU$14</f>
        <v>#VALUE!</v>
      </c>
      <c r="CP65" s="27" t="e">
        <f>VLOOKUP(CP64*1, BM$2:BO$12, 3, TRUE)*BO$1</f>
        <v>#VALUE!</v>
      </c>
      <c r="CQ65" s="27" t="e">
        <f>VLOOKUP(CQ64*1, BP$2:BR$12, 3, TRUE)*BR$1</f>
        <v>#VALUE!</v>
      </c>
      <c r="CR65" s="27" t="e">
        <f>VLOOKUP(CR64*1, BS$2:BU$12, 3, TRUE)*BU$1</f>
        <v>#VALUE!</v>
      </c>
      <c r="CU65" s="60" t="e">
        <f>VLOOKUP(CU64*1, BM$28:BO$38, 3, TRUE)*BO$27</f>
        <v>#VALUE!</v>
      </c>
      <c r="CV65" s="60" t="e">
        <f>VLOOKUP(CV64*1, BP$28:BR$38, 3, TRUE)*BR$27</f>
        <v>#VALUE!</v>
      </c>
      <c r="CY65" s="60" t="e">
        <f>VLOOKUP(CY64*1, BS$28:BU$38, 3, TRUE)*BU$27</f>
        <v>#VALUE!</v>
      </c>
      <c r="CZ65" s="60" t="e">
        <f>VLOOKUP(CZ64*1, BV$28:BX$38, 3, TRUE)*BX$27</f>
        <v>#VALUE!</v>
      </c>
      <c r="DA65" s="60" t="e">
        <f>VLOOKUP(DA64*1, BY$28:CA$38, 3, TRUE)*CA$27</f>
        <v>#VALUE!</v>
      </c>
      <c r="DF65" s="36"/>
      <c r="DG65" s="4"/>
      <c r="DH65" s="40" t="e">
        <f>DJ65+DL65+DM65+DN65+DO65-DP65-DQ65+DR65</f>
        <v>#VALUE!</v>
      </c>
      <c r="DI65" s="42" t="e">
        <f>DU65+DX65+EA65+ED65+EE65+EF65</f>
        <v>#VALUE!</v>
      </c>
      <c r="DJ65" s="38" t="e">
        <f>VLOOKUP(DJ64*1, FK$2:FM$12, 3, TRUE)*FM$1</f>
        <v>#VALUE!</v>
      </c>
      <c r="DL65" s="38" t="e">
        <f>VLOOKUP(DL64*1, FN$2:FP$12, 3, TRUE)*FP$1</f>
        <v>#VALUE!</v>
      </c>
      <c r="DM65" s="38" t="e">
        <f>VLOOKUP(DM64*1, FQ$2:FS$12, 3, TRUE)*FS$1</f>
        <v>#VALUE!</v>
      </c>
      <c r="DN65" s="38" t="e">
        <f>VLOOKUP(DN64*1, FT$2:FV$12, 3, TRUE)*FV$1</f>
        <v>#VALUE!</v>
      </c>
      <c r="DO65" s="38" t="e">
        <f>VLOOKUP(DO64*1, FW$2:FY$12, 3, TRUE)*FY$1</f>
        <v>#VALUE!</v>
      </c>
      <c r="DP65" s="39" t="e">
        <f>VLOOKUP(DP64*1, FK$14:FM$25, 3, TRUE)*FM$14</f>
        <v>#VALUE!</v>
      </c>
      <c r="DQ65" s="39" t="e">
        <f>VLOOKUP(DQ64*1, FN$14:FP$25, 3, TRUE)*FP$14</f>
        <v>#VALUE!</v>
      </c>
      <c r="DR65" s="38" t="e">
        <f>VLOOKUP(DR64*1, FQ$14:FS$25, 3, TRUE)*FS$14</f>
        <v>#VALUE!</v>
      </c>
      <c r="DU65" s="41" t="e">
        <f>VLOOKUP(DU64*1, FK$27:FM$38, 3, TRUE)*FM$27</f>
        <v>#VALUE!</v>
      </c>
      <c r="DX65" s="41" t="e">
        <f>VLOOKUP(DX64*1, FN$27:FP$38, 3, TRUE)*FP$27</f>
        <v>#VALUE!</v>
      </c>
      <c r="EA65" s="41" t="e">
        <f>VLOOKUP(EA64*1, FQ$27:FS$38, 3, TRUE)*FS$27</f>
        <v>#VALUE!</v>
      </c>
      <c r="ED65" s="41" t="e">
        <f>VLOOKUP(ED64*1, FT$27:FV$38, 3, TRUE)*FV$27</f>
        <v>#VALUE!</v>
      </c>
      <c r="EE65" s="41" t="e">
        <f>VLOOKUP(EE64*1, FW$27:FY$38, 3, TRUE)*FY$27</f>
        <v>#VALUE!</v>
      </c>
      <c r="EF65" s="41" t="e">
        <f>VLOOKUP(EF64*1, FK$40:FM$51, 3, TRUE)*FM$40</f>
        <v>#VALUE!</v>
      </c>
      <c r="EG65" s="57"/>
      <c r="EI65" s="36"/>
      <c r="EJ65" s="4"/>
      <c r="EK65" s="40" t="e">
        <f>EM65+EO65+EP65+EQ65+ER65-ES65-ET65+EU65</f>
        <v>#VALUE!</v>
      </c>
      <c r="EL65" s="42" t="e">
        <f>EX65+FA65+FD65+FG65+FH65+FI65</f>
        <v>#VALUE!</v>
      </c>
      <c r="EM65" s="38" t="e">
        <f>VLOOKUP(EM64*1, $FK$2:$FM$12, 3, TRUE)*$FM$1</f>
        <v>#VALUE!</v>
      </c>
      <c r="EO65" s="38" t="e">
        <f>VLOOKUP(EO64*1, $FN$2:$FP$12, 3, TRUE)*$FP$1</f>
        <v>#VALUE!</v>
      </c>
      <c r="EP65" s="38" t="e">
        <f>VLOOKUP(EP64*1, $FQ$2:$FS$12, 3, TRUE)*$FS$1</f>
        <v>#VALUE!</v>
      </c>
      <c r="EQ65" s="38" t="e">
        <f>VLOOKUP(EQ64*1, $FT$2:$FV$12, 3, TRUE)*$FV$1</f>
        <v>#VALUE!</v>
      </c>
      <c r="ER65" s="38" t="e">
        <f>VLOOKUP(ER64*1, $FW$2:$FY$12, 3, TRUE)*$FY$1</f>
        <v>#VALUE!</v>
      </c>
      <c r="ES65" s="39" t="e">
        <f>VLOOKUP(ES64*1, $FK$14:$FM$25, 3, TRUE)*$FM$14</f>
        <v>#VALUE!</v>
      </c>
      <c r="ET65" s="39" t="e">
        <f>VLOOKUP(ET64*1, $FN$14:$FP$25, 3, TRUE)*$FP$14</f>
        <v>#VALUE!</v>
      </c>
      <c r="EU65" s="38" t="e">
        <f>VLOOKUP(EU64*1, $FQ$14:$FS$25, 3, TRUE)*$FS$14</f>
        <v>#VALUE!</v>
      </c>
      <c r="EX65" s="41" t="e">
        <f>VLOOKUP(EX64*1, $FK$27:$FM$38, 3, TRUE)*$FM$27</f>
        <v>#VALUE!</v>
      </c>
      <c r="FA65" s="41" t="e">
        <f>VLOOKUP(FA64*1, $FN$27:$FP$38, 3, TRUE)*$FP$27</f>
        <v>#VALUE!</v>
      </c>
      <c r="FD65" s="41" t="e">
        <f>VLOOKUP(FD64*1, $FQ$27:$FS$38, 3, TRUE)*$FS$27</f>
        <v>#VALUE!</v>
      </c>
      <c r="FG65" s="41" t="e">
        <f>VLOOKUP(FG64*1, $FT$27:$FV$38, 3, TRUE)*$FV$27</f>
        <v>#VALUE!</v>
      </c>
      <c r="FH65" s="41" t="e">
        <f>VLOOKUP(FH64*1, $FW$27:$FY$38, 3, TRUE)*$FY$27</f>
        <v>#VALUE!</v>
      </c>
      <c r="FI65" s="41" t="e">
        <f>VLOOKUP(FI64*1, $FK$40:$FM$51, 3, TRUE)*$FM$40</f>
        <v>#VALUE!</v>
      </c>
    </row>
    <row r="66" spans="80:165">
      <c r="DF66" s="35" t="str">
        <f>先發名單!G$4</f>
        <v>R. Anthony</v>
      </c>
      <c r="DG66" s="4" t="str">
        <f t="array" ref="DG66">IFERROR(INDEX(球員狀態!$C$2:$C$5000, MATCH(1, (球員狀態!$A$2:$A$5000=$DF$61)*(ISNUMBER(SEARCH($DF66, 球員狀態!$B$2:$B$5000))), 0)), "")</f>
        <v/>
      </c>
      <c r="DJ66" s="4" t="str">
        <f t="array" ref="DJ66">IFERROR(INDEX(球員狀態!$F$2:$F$5000,MATCH(1,(球員狀態!$A$2:$A$5000=$DF$61)*(ISNUMBER(SEARCH($DF66,球員狀態!$B$2:$B$5000))),0)),"")</f>
        <v/>
      </c>
      <c r="DK66" s="4" t="str">
        <f t="array" ref="DK66">IFERROR(INDEX(球員狀態!G$2:G$5000, MATCH(1, (球員狀態!$A$2:$A$5000=$DF$1)*(ISNUMBER(SEARCH($DF66, 球員狀態!$B$2:$B$5000))), 0)), "")</f>
        <v/>
      </c>
      <c r="DL66" s="4" t="str">
        <f t="array" ref="DL66">IFERROR(INDEX(球員狀態!H$2:H$5000, MATCH(1, (球員狀態!$A$2:$A$5000=$DF$61)*(ISNUMBER(SEARCH($DF66, 球員狀態!$B$2:$B$5000))), 0)), "")</f>
        <v/>
      </c>
      <c r="DM66" s="4" t="str">
        <f t="array" ref="DM66">IFERROR(INDEX(球員狀態!I$2:I$5000,MATCH(1,(球員狀態!$A$2:$A$5000=$DF$61)*(ISNUMBER(SEARCH($DF66,球員狀態!$B$2:$B$5000))),0)),"")</f>
        <v/>
      </c>
      <c r="DN66" s="4" t="str">
        <f t="array" ref="DN66">IFERROR(INDEX(球員狀態!J$2:J$5000,MATCH(1,(球員狀態!$A$2:$A$5000=$DF$61)*(ISNUMBER(SEARCH($DF66,球員狀態!$B$2:$B$5000))),0)),"")</f>
        <v/>
      </c>
      <c r="DO66" s="4" t="str">
        <f t="array" ref="DO66">IFERROR(INDEX(球員狀態!K$2:K$5000,MATCH(1,(球員狀態!$A$2:$A$5000=$DF$61)*(ISNUMBER(SEARCH($DF66,球員狀態!$B$2:$B$5000))),0)),"")</f>
        <v/>
      </c>
      <c r="DP66" s="4" t="str">
        <f t="array" ref="DP66">IFERROR(INDEX(球員狀態!L$2:L$5000,MATCH(1,(球員狀態!$A$2:$A$5000=$DF$61)*(ISNUMBER(SEARCH($DF66,球員狀態!$B$2:$B$5000))),0)),"")</f>
        <v/>
      </c>
      <c r="DQ66" s="4" t="str">
        <f t="array" ref="DQ66">IFERROR(INDEX(球員狀態!M$2:M$5000,MATCH(1,(球員狀態!$A$2:$A$5000=$DF$61)*(ISNUMBER(SEARCH($DF66,球員狀態!$B$2:$B$5000))),0)),"")</f>
        <v/>
      </c>
      <c r="DR66" s="4" t="str">
        <f t="array" ref="DR66">IFERROR(INDEX(球員狀態!N$2:N$5000,MATCH(1,(球員狀態!$A$2:$A$5000=$DF$61)*(ISNUMBER(SEARCH($DF66,球員狀態!$B$2:$B$5000))),0)),"")</f>
        <v/>
      </c>
      <c r="DS66" s="4" t="str">
        <f t="array" ref="DS66">IFERROR(INDEX(球員狀態!O$2:O$5000, MATCH(1, (球員狀態!$A$2:$A$5000=$DF$1)*(ISNUMBER(SEARCH($DF66, 球員狀態!$B$2:$B$5000))), 0)), "")</f>
        <v/>
      </c>
      <c r="DT66" s="4" t="str">
        <f t="array" ref="DT66">IFERROR(INDEX(球員狀態!P$2:P$5000, MATCH(1, (球員狀態!$A$2:$A$5000=$DF$1)*(ISNUMBER(SEARCH($DF66, 球員狀態!$B$2:$B$5000))), 0)), "")</f>
        <v/>
      </c>
      <c r="DU66" s="4" t="str">
        <f t="array" ref="DU66">IFERROR(INDEX(球員狀態!Q$2:Q$5000,MATCH(1,(球員狀態!$A$2:$A$5000=$DF$61)*(ISNUMBER(SEARCH($DF66,球員狀態!$B$2:$B$5000))),0)),"")</f>
        <v/>
      </c>
      <c r="DV66" s="4" t="str">
        <f t="array" ref="DV66">IFERROR(INDEX(球員狀態!R$2:R$5000, MATCH(1, (球員狀態!$A$2:$A$5000=$DF$1)*(ISNUMBER(SEARCH($DF66, 球員狀態!$B$2:$B$5000))), 0)), "")</f>
        <v/>
      </c>
      <c r="DW66" s="4" t="str">
        <f t="array" ref="DW66">IFERROR(INDEX(球員狀態!S$2:S$5000, MATCH(1, (球員狀態!$A$2:$A$5000=$DF$1)*(ISNUMBER(SEARCH($DF66, 球員狀態!$B$2:$B$5000))), 0)), "")</f>
        <v/>
      </c>
      <c r="DX66" s="4" t="str">
        <f t="array" ref="DX66">IFERROR(INDEX(球員狀態!T$2:T$5000,MATCH(1,(球員狀態!$A$2:$A$5000=$DF$61)*(ISNUMBER(SEARCH($DF66,球員狀態!$B$2:$B$5000))),0)),"")</f>
        <v/>
      </c>
      <c r="DY66" s="4" t="str">
        <f t="array" ref="DY66">IFERROR(INDEX(球員狀態!U$2:U$5000, MATCH(1, (球員狀態!$A$2:$A$5000=$DF$1)*(ISNUMBER(SEARCH($DF66, 球員狀態!$B$2:$B$5000))), 0)), "")</f>
        <v/>
      </c>
      <c r="DZ66" s="4" t="str">
        <f t="array" ref="DZ66">IFERROR(INDEX(球員狀態!V$2:V$5000, MATCH(1, (球員狀態!$A$2:$A$5000=$DF$1)*(ISNUMBER(SEARCH($DF66, 球員狀態!$B$2:$B$5000))), 0)), "")</f>
        <v/>
      </c>
      <c r="EA66" s="4" t="str">
        <f t="array" ref="EA66">IFERROR(INDEX(球員狀態!W$2:W$5000,MATCH(1,(球員狀態!$A$2:$A$5000=$DF$61)*(ISNUMBER(SEARCH($DF66,球員狀態!$B$2:$B$5000))),0)),"")</f>
        <v/>
      </c>
      <c r="EB66" s="4" t="str">
        <f t="array" ref="EB66">IFERROR(INDEX(球員狀態!X$2:X$5000, MATCH(1, (球員狀態!$A$2:$A$5000=$DF$1)*(ISNUMBER(SEARCH($DF66, 球員狀態!$B$2:$B$5000))), 0)), "")</f>
        <v/>
      </c>
      <c r="EC66" s="4" t="str">
        <f t="array" ref="EC66">IFERROR(INDEX(球員狀態!Y$2:Y$5000, MATCH(1, (球員狀態!$A$2:$A$5000=$DF$1)*(ISNUMBER(SEARCH($DF66, 球員狀態!$B$2:$B$5000))), 0)), "")</f>
        <v/>
      </c>
      <c r="ED66" s="4" t="str">
        <f t="array" ref="ED66">IFERROR(INDEX(球員狀態!Z$2:Z$5000,MATCH(1,(球員狀態!$A$2:$A$5000=$DF$61)*(ISNUMBER(SEARCH($DF66,球員狀態!$B$2:$B$5000))),0)),"")</f>
        <v/>
      </c>
      <c r="EE66" s="4" t="str">
        <f t="array" ref="EE66">IFERROR(INDEX(球員狀態!AA$2:AA$5000,MATCH(1,(球員狀態!$A$2:$A$5000=$DF$61)*(ISNUMBER(SEARCH($DF66,球員狀態!$B$2:$B$5000))),0)),"")</f>
        <v/>
      </c>
      <c r="EF66" s="4" t="str">
        <f t="array" ref="EF66">IFERROR(INDEX(球員狀態!AB$2:AB$5000,MATCH(1,(球員狀態!$A$2:$A$5000=$DF$61)*(ISNUMBER(SEARCH($DF66,球員狀態!$B$2:$B$5000))),0)),"")</f>
        <v/>
      </c>
      <c r="EG66" s="56"/>
      <c r="EI66" s="35" t="str">
        <f>先發名單!Q$4</f>
        <v>V. Guerrero</v>
      </c>
      <c r="EJ66" s="4" t="str">
        <f t="array" ref="EJ66">IFERROR(INDEX(球員狀態!C$2:C$5000, MATCH(1, (球員狀態!$A$2:$A$5000=$EI$61)*(ISNUMBER(SEARCH($EI66, 球員狀態!$B$2:$B$5000))), 0)), "")</f>
        <v/>
      </c>
      <c r="EM66" s="4" t="str">
        <f t="array" ref="EM66">IFERROR(INDEX(球員狀態!F$2:F$5000, MATCH(1, (球員狀態!$A$2:$A$5000=$EI$61)*(ISNUMBER(SEARCH($EI66, 球員狀態!$B$2:$B$5000))), 0)), "")</f>
        <v/>
      </c>
      <c r="EN66" s="4" t="str">
        <f t="array" ref="EN66">IFERROR(INDEX(球員狀態!G$2:G$5000, MATCH(1, (球員狀態!$A$2:$A$5000=$EI$1)*(ISNUMBER(SEARCH($EI66, 球員狀態!$B$2:$B$5000))), 0)), "")</f>
        <v/>
      </c>
      <c r="EO66" s="4" t="str">
        <f t="array" ref="EO66">IFERROR(INDEX(球員狀態!H$2:H$5000, MATCH(1, (球員狀態!$A$2:$A$5000=$EI$61)*(ISNUMBER(SEARCH($EI66, 球員狀態!$B$2:$B$5000))), 0)), "")</f>
        <v/>
      </c>
      <c r="EP66" s="4" t="str">
        <f t="array" ref="EP66">IFERROR(INDEX(球員狀態!I$2:I$5000, MATCH(1, (球員狀態!$A$2:$A$5000=$EI$61)*(ISNUMBER(SEARCH($EI66, 球員狀態!$B$2:$B$5000))), 0)), "")</f>
        <v/>
      </c>
      <c r="EQ66" s="4" t="str">
        <f t="array" ref="EQ66">IFERROR(INDEX(球員狀態!J$2:J$5000, MATCH(1, (球員狀態!$A$2:$A$5000=$EI$61)*(ISNUMBER(SEARCH($EI66, 球員狀態!$B$2:$B$5000))), 0)), "")</f>
        <v/>
      </c>
      <c r="ER66" s="4" t="str">
        <f t="array" ref="ER66">IFERROR(INDEX(球員狀態!K$2:K$5000, MATCH(1, (球員狀態!$A$2:$A$5000=$EI$61)*(ISNUMBER(SEARCH($EI66, 球員狀態!$B$2:$B$5000))), 0)), "")</f>
        <v/>
      </c>
      <c r="ES66" s="4" t="str">
        <f t="array" ref="ES66">IFERROR(INDEX(球員狀態!L$2:L$5000, MATCH(1, (球員狀態!$A$2:$A$5000=$EI$61)*(ISNUMBER(SEARCH($EI66, 球員狀態!$B$2:$B$5000))), 0)), "")</f>
        <v/>
      </c>
      <c r="ET66" s="4" t="str">
        <f t="array" ref="ET66">IFERROR(INDEX(球員狀態!M$2:M$5000, MATCH(1, (球員狀態!$A$2:$A$5000=$EI$61)*(ISNUMBER(SEARCH($EI66, 球員狀態!$B$2:$B$5000))), 0)), "")</f>
        <v/>
      </c>
      <c r="EU66" s="4" t="str">
        <f t="array" ref="EU66">IFERROR(INDEX(球員狀態!N$2:N$5000, MATCH(1, (球員狀態!$A$2:$A$5000=$EI$61)*(ISNUMBER(SEARCH($EI66, 球員狀態!$B$2:$B$5000))), 0)), "")</f>
        <v/>
      </c>
      <c r="EV66" s="4" t="str">
        <f t="array" ref="EV66">IFERROR(INDEX(球員狀態!O$2:O$5000, MATCH(1, (球員狀態!$A$2:$A$5000=$EI$1)*(ISNUMBER(SEARCH($EI66, 球員狀態!$B$2:$B$5000))), 0)), "")</f>
        <v/>
      </c>
      <c r="EW66" s="4" t="str">
        <f t="array" ref="EW66">IFERROR(INDEX(球員狀態!P$2:P$5000, MATCH(1, (球員狀態!$A$2:$A$5000=$EI$1)*(ISNUMBER(SEARCH($EI66, 球員狀態!$B$2:$B$5000))), 0)), "")</f>
        <v/>
      </c>
      <c r="EX66" s="4" t="str">
        <f t="array" ref="EX66">IFERROR(INDEX(球員狀態!Q$2:Q$5000, MATCH(1, (球員狀態!$A$2:$A$5000=$EI$61)*(ISNUMBER(SEARCH($EI66, 球員狀態!$B$2:$B$5000))), 0)), "")</f>
        <v/>
      </c>
      <c r="EY66" s="4" t="str">
        <f t="array" ref="EY66">IFERROR(INDEX(球員狀態!R$2:R$5000, MATCH(1, (球員狀態!$A$2:$A$5000=$EI$1)*(ISNUMBER(SEARCH($EI66, 球員狀態!$B$2:$B$5000))), 0)), "")</f>
        <v/>
      </c>
      <c r="EZ66" s="4" t="str">
        <f t="array" ref="EZ66">IFERROR(INDEX(球員狀態!S$2:S$5000, MATCH(1, (球員狀態!$A$2:$A$5000=$EI$1)*(ISNUMBER(SEARCH($EI66, 球員狀態!$B$2:$B$5000))), 0)), "")</f>
        <v/>
      </c>
      <c r="FA66" s="4" t="str">
        <f t="array" ref="FA66">IFERROR(INDEX(球員狀態!T$2:T$5000, MATCH(1, (球員狀態!$A$2:$A$5000=$EI$61)*(ISNUMBER(SEARCH($EI66, 球員狀態!$B$2:$B$5000))), 0)), "")</f>
        <v/>
      </c>
      <c r="FB66" s="4" t="str">
        <f t="array" ref="FB66">IFERROR(INDEX(球員狀態!U$2:U$5000, MATCH(1, (球員狀態!$A$2:$A$5000=$EI$1)*(ISNUMBER(SEARCH($EI66, 球員狀態!$B$2:$B$5000))), 0)), "")</f>
        <v/>
      </c>
      <c r="FC66" s="4" t="str">
        <f t="array" ref="FC66">IFERROR(INDEX(球員狀態!V$2:V$5000, MATCH(1, (球員狀態!$A$2:$A$5000=$EI$1)*(ISNUMBER(SEARCH($EI66, 球員狀態!$B$2:$B$5000))), 0)), "")</f>
        <v/>
      </c>
      <c r="FD66" s="4" t="str">
        <f t="array" ref="FD66">IFERROR(INDEX(球員狀態!W$2:W$5000, MATCH(1, (球員狀態!$A$2:$A$5000=$EI$61)*(ISNUMBER(SEARCH($EI66, 球員狀態!$B$2:$B$5000))), 0)), "")</f>
        <v/>
      </c>
      <c r="FE66" s="4" t="str">
        <f t="array" ref="FE66">IFERROR(INDEX(球員狀態!X$2:X$5000, MATCH(1, (球員狀態!$A$2:$A$5000=$EI$1)*(ISNUMBER(SEARCH($EI66, 球員狀態!$B$2:$B$5000))), 0)), "")</f>
        <v/>
      </c>
      <c r="FF66" s="4" t="str">
        <f t="array" ref="FF66">IFERROR(INDEX(球員狀態!Y$2:Y$5000, MATCH(1, (球員狀態!$A$2:$A$5000=$EI$1)*(ISNUMBER(SEARCH($EI66, 球員狀態!$B$2:$B$5000))), 0)), "")</f>
        <v/>
      </c>
      <c r="FG66" s="4" t="str">
        <f t="array" ref="FG66">IFERROR(INDEX(球員狀態!Z$2:Z$5000, MATCH(1, (球員狀態!$A$2:$A$5000=$EI$61)*(ISNUMBER(SEARCH($EI66, 球員狀態!$B$2:$B$5000))), 0)), "")</f>
        <v/>
      </c>
      <c r="FH66" s="4" t="str">
        <f t="array" ref="FH66">IFERROR(INDEX(球員狀態!AA$2:AA$5000, MATCH(1, (球員狀態!$A$2:$A$5000=$EI$61)*(ISNUMBER(SEARCH($EI66, 球員狀態!$B$2:$B$5000))), 0)), "")</f>
        <v/>
      </c>
      <c r="FI66" s="4" t="str">
        <f t="array" ref="FI66">IFERROR(INDEX(球員狀態!AB$2:AB$5000, MATCH(1, (球員狀態!$A$2:$A$5000=$EI$61)*(ISNUMBER(SEARCH($EI66, 球員狀態!$B$2:$B$5000))), 0)), "")</f>
        <v/>
      </c>
    </row>
    <row r="67" spans="80:165">
      <c r="DF67" s="33"/>
      <c r="DG67" s="4"/>
      <c r="DH67" s="40" t="e">
        <f>DJ67+DL67+DM67+DN67+DO67-DP67-DQ67+DR67</f>
        <v>#VALUE!</v>
      </c>
      <c r="DI67" s="42" t="e">
        <f>DU67+DX67+EA67+ED67+EE67+EF67</f>
        <v>#VALUE!</v>
      </c>
      <c r="DJ67" s="38" t="e">
        <f>VLOOKUP(DJ66*1, FK$2:FM$12, 3, TRUE)*FM$1</f>
        <v>#VALUE!</v>
      </c>
      <c r="DL67" s="38" t="e">
        <f>VLOOKUP(DL66*1, FN$2:FP$12, 3, TRUE)*FP$1</f>
        <v>#VALUE!</v>
      </c>
      <c r="DM67" s="38" t="e">
        <f>VLOOKUP(DM66*1, FQ$2:FS$12, 3, TRUE)*FS$1</f>
        <v>#VALUE!</v>
      </c>
      <c r="DN67" s="38" t="e">
        <f>VLOOKUP(DN66*1, FT$2:FV$12, 3, TRUE)*FV$1</f>
        <v>#VALUE!</v>
      </c>
      <c r="DO67" s="38" t="e">
        <f>VLOOKUP(DO66*1, FW$2:FY$12, 3, TRUE)*FY$1</f>
        <v>#VALUE!</v>
      </c>
      <c r="DP67" s="39" t="e">
        <f>VLOOKUP(DP66*1, FK$14:FM$25, 3, TRUE)*FM$14</f>
        <v>#VALUE!</v>
      </c>
      <c r="DQ67" s="39" t="e">
        <f>VLOOKUP(DQ66*1, FN$14:FP$25, 3, TRUE)*FP$14</f>
        <v>#VALUE!</v>
      </c>
      <c r="DR67" s="38" t="e">
        <f>VLOOKUP(DR66*1, FQ$14:FS$25, 3, TRUE)*FS$14</f>
        <v>#VALUE!</v>
      </c>
      <c r="DU67" s="41" t="e">
        <f>VLOOKUP(DU66*1, FK$27:FM$38, 3, TRUE)*FM$27</f>
        <v>#VALUE!</v>
      </c>
      <c r="DX67" s="41" t="e">
        <f>VLOOKUP(DX66*1, FN$27:FP$38, 3, TRUE)*FP$27</f>
        <v>#VALUE!</v>
      </c>
      <c r="EA67" s="41" t="e">
        <f>VLOOKUP(EA66*1, FQ$27:FS$38, 3, TRUE)*FS$27</f>
        <v>#VALUE!</v>
      </c>
      <c r="ED67" s="41" t="e">
        <f>VLOOKUP(ED66*1, FT$27:FV$38, 3, TRUE)*FV$27</f>
        <v>#VALUE!</v>
      </c>
      <c r="EE67" s="41" t="e">
        <f>VLOOKUP(EE66*1, FW$27:FY$38, 3, TRUE)*FY$27</f>
        <v>#VALUE!</v>
      </c>
      <c r="EF67" s="41" t="e">
        <f>VLOOKUP(EF66*1, FK$40:FM$51, 3, TRUE)*FM$40</f>
        <v>#VALUE!</v>
      </c>
      <c r="EG67" s="57"/>
      <c r="EI67" s="33"/>
      <c r="EJ67" s="4"/>
      <c r="EK67" s="40" t="e">
        <f>EM67+EO67+EP67+EQ67+ER67-ES67-ET67+EU67</f>
        <v>#VALUE!</v>
      </c>
      <c r="EL67" s="42" t="e">
        <f>EX67+FA67+FD67+FG67+FH67+FI67</f>
        <v>#VALUE!</v>
      </c>
      <c r="EM67" s="38" t="e">
        <f>VLOOKUP(EM66*1, $FK$2:$FM$12, 3, TRUE)*$FM$1</f>
        <v>#VALUE!</v>
      </c>
      <c r="EO67" s="38" t="e">
        <f>VLOOKUP(EO66*1, $FN$2:$FP$12, 3, TRUE)*$FP$1</f>
        <v>#VALUE!</v>
      </c>
      <c r="EP67" s="38" t="e">
        <f>VLOOKUP(EP66*1, $FQ$2:$FS$12, 3, TRUE)*$FS$1</f>
        <v>#VALUE!</v>
      </c>
      <c r="EQ67" s="38" t="e">
        <f>VLOOKUP(EQ66*1, $FT$2:$FV$12, 3, TRUE)*$FV$1</f>
        <v>#VALUE!</v>
      </c>
      <c r="ER67" s="38" t="e">
        <f>VLOOKUP(ER66*1, $FW$2:$FY$12, 3, TRUE)*$FY$1</f>
        <v>#VALUE!</v>
      </c>
      <c r="ES67" s="39" t="e">
        <f>VLOOKUP(ES66*1, $FK$14:$FM$25, 3, TRUE)*$FM$14</f>
        <v>#VALUE!</v>
      </c>
      <c r="ET67" s="39" t="e">
        <f>VLOOKUP(ET66*1, $FN$14:$FP$25, 3, TRUE)*$FP$14</f>
        <v>#VALUE!</v>
      </c>
      <c r="EU67" s="38" t="e">
        <f>VLOOKUP(EU66*1, $FQ$14:$FS$25, 3, TRUE)*$FS$14</f>
        <v>#VALUE!</v>
      </c>
      <c r="EX67" s="41" t="e">
        <f>VLOOKUP(EX66*1, $FK$27:$FM$38, 3, TRUE)*$FM$27</f>
        <v>#VALUE!</v>
      </c>
      <c r="FA67" s="41" t="e">
        <f>VLOOKUP(FA66*1, $FN$27:$FP$38, 3, TRUE)*$FP$27</f>
        <v>#VALUE!</v>
      </c>
      <c r="FD67" s="41" t="e">
        <f>VLOOKUP(FD66*1, $FQ$27:$FS$38, 3, TRUE)*$FS$27</f>
        <v>#VALUE!</v>
      </c>
      <c r="FG67" s="41" t="e">
        <f>VLOOKUP(FG66*1, $FT$27:$FV$38, 3, TRUE)*$FV$27</f>
        <v>#VALUE!</v>
      </c>
      <c r="FH67" s="41" t="e">
        <f>VLOOKUP(FH66*1, $FW$27:$FY$38, 3, TRUE)*$FY$27</f>
        <v>#VALUE!</v>
      </c>
      <c r="FI67" s="41" t="e">
        <f>VLOOKUP(FI66*1, $FK$40:$FM$51, 3, TRUE)*$FM$40</f>
        <v>#VALUE!</v>
      </c>
    </row>
    <row r="68" spans="80:165">
      <c r="DF68" s="35" t="str">
        <f>先發名單!H$4</f>
        <v>W. Contreras</v>
      </c>
      <c r="DG68" s="4" t="str">
        <f t="array" ref="DG68">IFERROR(INDEX(球員狀態!$C$2:$C$5000, MATCH(1, (球員狀態!$A$2:$A$5000=$DF$61)*(ISNUMBER(SEARCH($DF68, 球員狀態!$B$2:$B$5000))), 0)), "")</f>
        <v/>
      </c>
      <c r="DJ68" s="4" t="str">
        <f t="array" ref="DJ68">IFERROR(INDEX(球員狀態!$F$2:$F$5000,MATCH(1,(球員狀態!$A$2:$A$5000=$DF$61)*(ISNUMBER(SEARCH($DF68,球員狀態!$B$2:$B$5000))),0)),"")</f>
        <v/>
      </c>
      <c r="DK68" s="4" t="str">
        <f t="array" ref="DK68">IFERROR(INDEX(球員狀態!G$2:G$5000, MATCH(1, (球員狀態!$A$2:$A$5000=$DF$1)*(ISNUMBER(SEARCH($DF68, 球員狀態!$B$2:$B$5000))), 0)), "")</f>
        <v/>
      </c>
      <c r="DL68" s="4" t="str">
        <f t="array" ref="DL68">IFERROR(INDEX(球員狀態!H$2:H$5000, MATCH(1, (球員狀態!$A$2:$A$5000=$DF$61)*(ISNUMBER(SEARCH($DF68, 球員狀態!$B$2:$B$5000))), 0)), "")</f>
        <v/>
      </c>
      <c r="DM68" s="4" t="str">
        <f t="array" ref="DM68">IFERROR(INDEX(球員狀態!I$2:I$5000,MATCH(1,(球員狀態!$A$2:$A$5000=$DF$61)*(ISNUMBER(SEARCH($DF68,球員狀態!$B$2:$B$5000))),0)),"")</f>
        <v/>
      </c>
      <c r="DN68" s="4" t="str">
        <f t="array" ref="DN68">IFERROR(INDEX(球員狀態!J$2:J$5000,MATCH(1,(球員狀態!$A$2:$A$5000=$DF$61)*(ISNUMBER(SEARCH($DF68,球員狀態!$B$2:$B$5000))),0)),"")</f>
        <v/>
      </c>
      <c r="DO68" s="4" t="str">
        <f t="array" ref="DO68">IFERROR(INDEX(球員狀態!K$2:K$5000,MATCH(1,(球員狀態!$A$2:$A$5000=$DF$61)*(ISNUMBER(SEARCH($DF68,球員狀態!$B$2:$B$5000))),0)),"")</f>
        <v/>
      </c>
      <c r="DP68" s="4" t="str">
        <f t="array" ref="DP68">IFERROR(INDEX(球員狀態!L$2:L$5000,MATCH(1,(球員狀態!$A$2:$A$5000=$DF$61)*(ISNUMBER(SEARCH($DF68,球員狀態!$B$2:$B$5000))),0)),"")</f>
        <v/>
      </c>
      <c r="DQ68" s="4" t="str">
        <f t="array" ref="DQ68">IFERROR(INDEX(球員狀態!M$2:M$5000,MATCH(1,(球員狀態!$A$2:$A$5000=$DF$61)*(ISNUMBER(SEARCH($DF68,球員狀態!$B$2:$B$5000))),0)),"")</f>
        <v/>
      </c>
      <c r="DR68" s="4" t="str">
        <f t="array" ref="DR68">IFERROR(INDEX(球員狀態!N$2:N$5000,MATCH(1,(球員狀態!$A$2:$A$5000=$DF$61)*(ISNUMBER(SEARCH($DF68,球員狀態!$B$2:$B$5000))),0)),"")</f>
        <v/>
      </c>
      <c r="DS68" s="4" t="str">
        <f t="array" ref="DS68">IFERROR(INDEX(球員狀態!O$2:O$5000, MATCH(1, (球員狀態!$A$2:$A$5000=$DF$1)*(ISNUMBER(SEARCH($DF68, 球員狀態!$B$2:$B$5000))), 0)), "")</f>
        <v/>
      </c>
      <c r="DT68" s="4" t="str">
        <f t="array" ref="DT68">IFERROR(INDEX(球員狀態!P$2:P$5000, MATCH(1, (球員狀態!$A$2:$A$5000=$DF$1)*(ISNUMBER(SEARCH($DF68, 球員狀態!$B$2:$B$5000))), 0)), "")</f>
        <v/>
      </c>
      <c r="DU68" s="4" t="str">
        <f t="array" ref="DU68">IFERROR(INDEX(球員狀態!Q$2:Q$5000,MATCH(1,(球員狀態!$A$2:$A$5000=$DF$61)*(ISNUMBER(SEARCH($DF68,球員狀態!$B$2:$B$5000))),0)),"")</f>
        <v/>
      </c>
      <c r="DV68" s="4" t="str">
        <f t="array" ref="DV68">IFERROR(INDEX(球員狀態!R$2:R$5000, MATCH(1, (球員狀態!$A$2:$A$5000=$DF$1)*(ISNUMBER(SEARCH($DF68, 球員狀態!$B$2:$B$5000))), 0)), "")</f>
        <v/>
      </c>
      <c r="DW68" s="4" t="str">
        <f t="array" ref="DW68">IFERROR(INDEX(球員狀態!S$2:S$5000, MATCH(1, (球員狀態!$A$2:$A$5000=$DF$1)*(ISNUMBER(SEARCH($DF68, 球員狀態!$B$2:$B$5000))), 0)), "")</f>
        <v/>
      </c>
      <c r="DX68" s="4" t="str">
        <f t="array" ref="DX68">IFERROR(INDEX(球員狀態!T$2:T$5000,MATCH(1,(球員狀態!$A$2:$A$5000=$DF$61)*(ISNUMBER(SEARCH($DF68,球員狀態!$B$2:$B$5000))),0)),"")</f>
        <v/>
      </c>
      <c r="DY68" s="4" t="str">
        <f t="array" ref="DY68">IFERROR(INDEX(球員狀態!U$2:U$5000, MATCH(1, (球員狀態!$A$2:$A$5000=$DF$1)*(ISNUMBER(SEARCH($DF68, 球員狀態!$B$2:$B$5000))), 0)), "")</f>
        <v/>
      </c>
      <c r="DZ68" s="4" t="str">
        <f t="array" ref="DZ68">IFERROR(INDEX(球員狀態!V$2:V$5000, MATCH(1, (球員狀態!$A$2:$A$5000=$DF$1)*(ISNUMBER(SEARCH($DF68, 球員狀態!$B$2:$B$5000))), 0)), "")</f>
        <v/>
      </c>
      <c r="EA68" s="4" t="str">
        <f t="array" ref="EA68">IFERROR(INDEX(球員狀態!W$2:W$5000,MATCH(1,(球員狀態!$A$2:$A$5000=$DF$61)*(ISNUMBER(SEARCH($DF68,球員狀態!$B$2:$B$5000))),0)),"")</f>
        <v/>
      </c>
      <c r="EB68" s="4" t="str">
        <f t="array" ref="EB68">IFERROR(INDEX(球員狀態!X$2:X$5000, MATCH(1, (球員狀態!$A$2:$A$5000=$DF$1)*(ISNUMBER(SEARCH($DF68, 球員狀態!$B$2:$B$5000))), 0)), "")</f>
        <v/>
      </c>
      <c r="EC68" s="4" t="str">
        <f t="array" ref="EC68">IFERROR(INDEX(球員狀態!Y$2:Y$5000, MATCH(1, (球員狀態!$A$2:$A$5000=$DF$1)*(ISNUMBER(SEARCH($DF68, 球員狀態!$B$2:$B$5000))), 0)), "")</f>
        <v/>
      </c>
      <c r="ED68" s="4" t="str">
        <f t="array" ref="ED68">IFERROR(INDEX(球員狀態!Z$2:Z$5000,MATCH(1,(球員狀態!$A$2:$A$5000=$DF$61)*(ISNUMBER(SEARCH($DF68,球員狀態!$B$2:$B$5000))),0)),"")</f>
        <v/>
      </c>
      <c r="EE68" s="4" t="str">
        <f t="array" ref="EE68">IFERROR(INDEX(球員狀態!AA$2:AA$5000,MATCH(1,(球員狀態!$A$2:$A$5000=$DF$61)*(ISNUMBER(SEARCH($DF68,球員狀態!$B$2:$B$5000))),0)),"")</f>
        <v/>
      </c>
      <c r="EF68" s="4" t="str">
        <f t="array" ref="EF68">IFERROR(INDEX(球員狀態!AB$2:AB$5000,MATCH(1,(球員狀態!$A$2:$A$5000=$DF$61)*(ISNUMBER(SEARCH($DF68,球員狀態!$B$2:$B$5000))),0)),"")</f>
        <v/>
      </c>
      <c r="EG68" s="56"/>
      <c r="EI68" s="35" t="str">
        <f>先發名單!R$4</f>
        <v>K. Okamoto</v>
      </c>
      <c r="EJ68" s="4" t="str">
        <f t="array" ref="EJ68">IFERROR(INDEX(球員狀態!C$2:C$5000, MATCH(1, (球員狀態!$A$2:$A$5000=$EI$61)*(ISNUMBER(SEARCH($EI68, 球員狀態!$B$2:$B$5000))), 0)), "")</f>
        <v/>
      </c>
      <c r="EM68" s="4" t="str">
        <f t="array" ref="EM68">IFERROR(INDEX(球員狀態!F$2:F$5000, MATCH(1, (球員狀態!$A$2:$A$5000=$EI$61)*(ISNUMBER(SEARCH($EI68, 球員狀態!$B$2:$B$5000))), 0)), "")</f>
        <v/>
      </c>
      <c r="EN68" s="4" t="str">
        <f t="array" ref="EN68">IFERROR(INDEX(球員狀態!G$2:G$5000, MATCH(1, (球員狀態!$A$2:$A$5000=$EI$1)*(ISNUMBER(SEARCH($EI68, 球員狀態!$B$2:$B$5000))), 0)), "")</f>
        <v/>
      </c>
      <c r="EO68" s="4" t="str">
        <f t="array" ref="EO68">IFERROR(INDEX(球員狀態!H$2:H$5000, MATCH(1, (球員狀態!$A$2:$A$5000=$EI$61)*(ISNUMBER(SEARCH($EI68, 球員狀態!$B$2:$B$5000))), 0)), "")</f>
        <v/>
      </c>
      <c r="EP68" s="4" t="str">
        <f t="array" ref="EP68">IFERROR(INDEX(球員狀態!I$2:I$5000, MATCH(1, (球員狀態!$A$2:$A$5000=$EI$61)*(ISNUMBER(SEARCH($EI68, 球員狀態!$B$2:$B$5000))), 0)), "")</f>
        <v/>
      </c>
      <c r="EQ68" s="4" t="str">
        <f t="array" ref="EQ68">IFERROR(INDEX(球員狀態!J$2:J$5000, MATCH(1, (球員狀態!$A$2:$A$5000=$EI$61)*(ISNUMBER(SEARCH($EI68, 球員狀態!$B$2:$B$5000))), 0)), "")</f>
        <v/>
      </c>
      <c r="ER68" s="4" t="str">
        <f t="array" ref="ER68">IFERROR(INDEX(球員狀態!K$2:K$5000, MATCH(1, (球員狀態!$A$2:$A$5000=$EI$61)*(ISNUMBER(SEARCH($EI68, 球員狀態!$B$2:$B$5000))), 0)), "")</f>
        <v/>
      </c>
      <c r="ES68" s="4" t="str">
        <f t="array" ref="ES68">IFERROR(INDEX(球員狀態!L$2:L$5000, MATCH(1, (球員狀態!$A$2:$A$5000=$EI$61)*(ISNUMBER(SEARCH($EI68, 球員狀態!$B$2:$B$5000))), 0)), "")</f>
        <v/>
      </c>
      <c r="ET68" s="4" t="str">
        <f t="array" ref="ET68">IFERROR(INDEX(球員狀態!M$2:M$5000, MATCH(1, (球員狀態!$A$2:$A$5000=$EI$61)*(ISNUMBER(SEARCH($EI68, 球員狀態!$B$2:$B$5000))), 0)), "")</f>
        <v/>
      </c>
      <c r="EU68" s="4" t="str">
        <f t="array" ref="EU68">IFERROR(INDEX(球員狀態!N$2:N$5000, MATCH(1, (球員狀態!$A$2:$A$5000=$EI$61)*(ISNUMBER(SEARCH($EI68, 球員狀態!$B$2:$B$5000))), 0)), "")</f>
        <v/>
      </c>
      <c r="EV68" s="4" t="str">
        <f t="array" ref="EV68">IFERROR(INDEX(球員狀態!O$2:O$5000, MATCH(1, (球員狀態!$A$2:$A$5000=$EI$1)*(ISNUMBER(SEARCH($EI68, 球員狀態!$B$2:$B$5000))), 0)), "")</f>
        <v/>
      </c>
      <c r="EW68" s="4" t="str">
        <f t="array" ref="EW68">IFERROR(INDEX(球員狀態!P$2:P$5000, MATCH(1, (球員狀態!$A$2:$A$5000=$EI$1)*(ISNUMBER(SEARCH($EI68, 球員狀態!$B$2:$B$5000))), 0)), "")</f>
        <v/>
      </c>
      <c r="EX68" s="4" t="str">
        <f t="array" ref="EX68">IFERROR(INDEX(球員狀態!Q$2:Q$5000, MATCH(1, (球員狀態!$A$2:$A$5000=$EI$61)*(ISNUMBER(SEARCH($EI68, 球員狀態!$B$2:$B$5000))), 0)), "")</f>
        <v/>
      </c>
      <c r="EY68" s="4" t="str">
        <f t="array" ref="EY68">IFERROR(INDEX(球員狀態!R$2:R$5000, MATCH(1, (球員狀態!$A$2:$A$5000=$EI$1)*(ISNUMBER(SEARCH($EI68, 球員狀態!$B$2:$B$5000))), 0)), "")</f>
        <v/>
      </c>
      <c r="EZ68" s="4" t="str">
        <f t="array" ref="EZ68">IFERROR(INDEX(球員狀態!S$2:S$5000, MATCH(1, (球員狀態!$A$2:$A$5000=$EI$1)*(ISNUMBER(SEARCH($EI68, 球員狀態!$B$2:$B$5000))), 0)), "")</f>
        <v/>
      </c>
      <c r="FA68" s="4" t="str">
        <f t="array" ref="FA68">IFERROR(INDEX(球員狀態!T$2:T$5000, MATCH(1, (球員狀態!$A$2:$A$5000=$EI$61)*(ISNUMBER(SEARCH($EI68, 球員狀態!$B$2:$B$5000))), 0)), "")</f>
        <v/>
      </c>
      <c r="FB68" s="4" t="str">
        <f t="array" ref="FB68">IFERROR(INDEX(球員狀態!U$2:U$5000, MATCH(1, (球員狀態!$A$2:$A$5000=$EI$1)*(ISNUMBER(SEARCH($EI68, 球員狀態!$B$2:$B$5000))), 0)), "")</f>
        <v/>
      </c>
      <c r="FC68" s="4" t="str">
        <f t="array" ref="FC68">IFERROR(INDEX(球員狀態!V$2:V$5000, MATCH(1, (球員狀態!$A$2:$A$5000=$EI$1)*(ISNUMBER(SEARCH($EI68, 球員狀態!$B$2:$B$5000))), 0)), "")</f>
        <v/>
      </c>
      <c r="FD68" s="4" t="str">
        <f t="array" ref="FD68">IFERROR(INDEX(球員狀態!W$2:W$5000, MATCH(1, (球員狀態!$A$2:$A$5000=$EI$61)*(ISNUMBER(SEARCH($EI68, 球員狀態!$B$2:$B$5000))), 0)), "")</f>
        <v/>
      </c>
      <c r="FE68" s="4" t="str">
        <f t="array" ref="FE68">IFERROR(INDEX(球員狀態!X$2:X$5000, MATCH(1, (球員狀態!$A$2:$A$5000=$EI$1)*(ISNUMBER(SEARCH($EI68, 球員狀態!$B$2:$B$5000))), 0)), "")</f>
        <v/>
      </c>
      <c r="FF68" s="4" t="str">
        <f t="array" ref="FF68">IFERROR(INDEX(球員狀態!Y$2:Y$5000, MATCH(1, (球員狀態!$A$2:$A$5000=$EI$1)*(ISNUMBER(SEARCH($EI68, 球員狀態!$B$2:$B$5000))), 0)), "")</f>
        <v/>
      </c>
      <c r="FG68" s="4" t="str">
        <f t="array" ref="FG68">IFERROR(INDEX(球員狀態!Z$2:Z$5000, MATCH(1, (球員狀態!$A$2:$A$5000=$EI$61)*(ISNUMBER(SEARCH($EI68, 球員狀態!$B$2:$B$5000))), 0)), "")</f>
        <v/>
      </c>
      <c r="FH68" s="4" t="str">
        <f t="array" ref="FH68">IFERROR(INDEX(球員狀態!AA$2:AA$5000, MATCH(1, (球員狀態!$A$2:$A$5000=$EI$61)*(ISNUMBER(SEARCH($EI68, 球員狀態!$B$2:$B$5000))), 0)), "")</f>
        <v/>
      </c>
      <c r="FI68" s="4" t="str">
        <f t="array" ref="FI68">IFERROR(INDEX(球員狀態!AB$2:AB$5000, MATCH(1, (球員狀態!$A$2:$A$5000=$EI$61)*(ISNUMBER(SEARCH($EI68, 球員狀態!$B$2:$B$5000))), 0)), "")</f>
        <v/>
      </c>
    </row>
    <row r="69" spans="80:165">
      <c r="DF69" s="33"/>
      <c r="DG69" s="4"/>
      <c r="DH69" s="40" t="e">
        <f>DJ69+DL69+DM69+DN69+DO69-DP69-DQ69+DR69</f>
        <v>#VALUE!</v>
      </c>
      <c r="DI69" s="42" t="e">
        <f>DU69+DX69+EA69+ED69+EE69+EF69</f>
        <v>#VALUE!</v>
      </c>
      <c r="DJ69" s="38" t="e">
        <f>VLOOKUP(DJ68*1, FK$2:FM$12, 3, TRUE)*FM$1</f>
        <v>#VALUE!</v>
      </c>
      <c r="DL69" s="38" t="e">
        <f>VLOOKUP(DL68*1, FN$2:FP$12, 3, TRUE)*FP$1</f>
        <v>#VALUE!</v>
      </c>
      <c r="DM69" s="38" t="e">
        <f>VLOOKUP(DM68*1, FQ$2:FS$12, 3, TRUE)*FS$1</f>
        <v>#VALUE!</v>
      </c>
      <c r="DN69" s="38" t="e">
        <f>VLOOKUP(DN68*1, FT$2:FV$12, 3, TRUE)*FV$1</f>
        <v>#VALUE!</v>
      </c>
      <c r="DO69" s="38" t="e">
        <f>VLOOKUP(DO68*1, FW$2:FY$12, 3, TRUE)*FY$1</f>
        <v>#VALUE!</v>
      </c>
      <c r="DP69" s="39" t="e">
        <f>VLOOKUP(DP68*1, FK$14:FM$25, 3, TRUE)*FM$14</f>
        <v>#VALUE!</v>
      </c>
      <c r="DQ69" s="39" t="e">
        <f>VLOOKUP(DQ68*1, FN$14:FP$25, 3, TRUE)*FP$14</f>
        <v>#VALUE!</v>
      </c>
      <c r="DR69" s="38" t="e">
        <f>VLOOKUP(DR68*1, FQ$14:FS$25, 3, TRUE)*FS$14</f>
        <v>#VALUE!</v>
      </c>
      <c r="DU69" s="41" t="e">
        <f>VLOOKUP(DU68*1, FK$27:FM$38, 3, TRUE)*FM$27</f>
        <v>#VALUE!</v>
      </c>
      <c r="DX69" s="41" t="e">
        <f>VLOOKUP(DX68*1, FN$27:FP$38, 3, TRUE)*FP$27</f>
        <v>#VALUE!</v>
      </c>
      <c r="EA69" s="41" t="e">
        <f>VLOOKUP(EA68*1, FQ$27:FS$38, 3, TRUE)*FS$27</f>
        <v>#VALUE!</v>
      </c>
      <c r="ED69" s="41" t="e">
        <f>VLOOKUP(ED68*1, FT$27:FV$38, 3, TRUE)*FV$27</f>
        <v>#VALUE!</v>
      </c>
      <c r="EE69" s="41" t="e">
        <f>VLOOKUP(EE68*1, FW$27:FY$38, 3, TRUE)*FY$27</f>
        <v>#VALUE!</v>
      </c>
      <c r="EF69" s="41" t="e">
        <f>VLOOKUP(EF68*1, FK$40:FM$51, 3, TRUE)*FM$40</f>
        <v>#VALUE!</v>
      </c>
      <c r="EG69" s="57"/>
      <c r="EI69" s="33"/>
      <c r="EJ69" s="4"/>
      <c r="EK69" s="40" t="e">
        <f>EM69+EO69+EP69+EQ69+ER69-ES69-ET69+EU69</f>
        <v>#VALUE!</v>
      </c>
      <c r="EL69" s="42" t="e">
        <f>EX69+FA69+FD69+FG69+FH69+FI69</f>
        <v>#VALUE!</v>
      </c>
      <c r="EM69" s="38" t="e">
        <f>VLOOKUP(EM68*1, $FK$2:$FM$12, 3, TRUE)*$FM$1</f>
        <v>#VALUE!</v>
      </c>
      <c r="EO69" s="38" t="e">
        <f>VLOOKUP(EO68*1, $FN$2:$FP$12, 3, TRUE)*$FP$1</f>
        <v>#VALUE!</v>
      </c>
      <c r="EP69" s="38" t="e">
        <f>VLOOKUP(EP68*1, $FQ$2:$FS$12, 3, TRUE)*$FS$1</f>
        <v>#VALUE!</v>
      </c>
      <c r="EQ69" s="38" t="e">
        <f>VLOOKUP(EQ68*1, $FT$2:$FV$12, 3, TRUE)*$FV$1</f>
        <v>#VALUE!</v>
      </c>
      <c r="ER69" s="38" t="e">
        <f>VLOOKUP(ER68*1, $FW$2:$FY$12, 3, TRUE)*$FY$1</f>
        <v>#VALUE!</v>
      </c>
      <c r="ES69" s="39" t="e">
        <f>VLOOKUP(ES68*1, $FK$14:$FM$25, 3, TRUE)*$FM$14</f>
        <v>#VALUE!</v>
      </c>
      <c r="ET69" s="39" t="e">
        <f>VLOOKUP(ET68*1, $FN$14:$FP$25, 3, TRUE)*$FP$14</f>
        <v>#VALUE!</v>
      </c>
      <c r="EU69" s="38" t="e">
        <f>VLOOKUP(EU68*1, $FQ$14:$FS$25, 3, TRUE)*$FS$14</f>
        <v>#VALUE!</v>
      </c>
      <c r="EX69" s="41" t="e">
        <f>VLOOKUP(EX68*1, $FK$27:$FM$38, 3, TRUE)*$FM$27</f>
        <v>#VALUE!</v>
      </c>
      <c r="FA69" s="41" t="e">
        <f>VLOOKUP(FA68*1, $FN$27:$FP$38, 3, TRUE)*$FP$27</f>
        <v>#VALUE!</v>
      </c>
      <c r="FD69" s="41" t="e">
        <f>VLOOKUP(FD68*1, $FQ$27:$FS$38, 3, TRUE)*$FS$27</f>
        <v>#VALUE!</v>
      </c>
      <c r="FG69" s="41" t="e">
        <f>VLOOKUP(FG68*1, $FT$27:$FV$38, 3, TRUE)*$FV$27</f>
        <v>#VALUE!</v>
      </c>
      <c r="FH69" s="41" t="e">
        <f>VLOOKUP(FH68*1, $FW$27:$FY$38, 3, TRUE)*$FY$27</f>
        <v>#VALUE!</v>
      </c>
      <c r="FI69" s="41" t="e">
        <f>VLOOKUP(FI68*1, $FK$40:$FM$51, 3, TRUE)*$FM$40</f>
        <v>#VALUE!</v>
      </c>
    </row>
    <row r="70" spans="80:165">
      <c r="DF70" s="35" t="str">
        <f>先發名單!I$4</f>
        <v>Wilyer Abreu</v>
      </c>
      <c r="DG70" s="4" t="str">
        <f t="array" ref="DG70">IFERROR(INDEX(球員狀態!$C$2:$C$5000, MATCH(1, (球員狀態!$A$2:$A$5000=$DF$61)*(ISNUMBER(SEARCH($DF70, 球員狀態!$B$2:$B$5000))), 0)), "")</f>
        <v>RF</v>
      </c>
      <c r="DJ70" s="4" t="str">
        <f t="array" ref="DJ70">IFERROR(INDEX(球員狀態!$F$2:$F$5000,MATCH(1,(球員狀態!$A$2:$A$5000=$DF$61)*(ISNUMBER(SEARCH($DF70,球員狀態!$B$2:$B$5000))),0)),"")</f>
        <v>15</v>
      </c>
      <c r="DK70" s="4" t="str">
        <f t="array" ref="DK70">IFERROR(INDEX(球員狀態!G$2:G$5000, MATCH(1, (球員狀態!$A$2:$A$5000=$DF$1)*(ISNUMBER(SEARCH($DF70, 球員狀態!$B$2:$B$5000))), 0)), "")</f>
        <v/>
      </c>
      <c r="DL70" s="4" t="str">
        <f t="array" ref="DL70">IFERROR(INDEX(球員狀態!H$2:H$5000, MATCH(1, (球員狀態!$A$2:$A$5000=$DF$61)*(ISNUMBER(SEARCH($DF70, 球員狀態!$B$2:$B$5000))), 0)), "")</f>
        <v>5</v>
      </c>
      <c r="DM70" s="4" t="str">
        <f t="array" ref="DM70">IFERROR(INDEX(球員狀態!I$2:I$5000,MATCH(1,(球員狀態!$A$2:$A$5000=$DF$61)*(ISNUMBER(SEARCH($DF70,球員狀態!$B$2:$B$5000))),0)),"")</f>
        <v>1</v>
      </c>
      <c r="DN70" s="4" t="str">
        <f t="array" ref="DN70">IFERROR(INDEX(球員狀態!J$2:J$5000,MATCH(1,(球員狀態!$A$2:$A$5000=$DF$61)*(ISNUMBER(SEARCH($DF70,球員狀態!$B$2:$B$5000))),0)),"")</f>
        <v>4</v>
      </c>
      <c r="DO70" s="4" t="str">
        <f t="array" ref="DO70">IFERROR(INDEX(球員狀態!K$2:K$5000,MATCH(1,(球員狀態!$A$2:$A$5000=$DF$61)*(ISNUMBER(SEARCH($DF70,球員狀態!$B$2:$B$5000))),0)),"")</f>
        <v>12</v>
      </c>
      <c r="DP70" s="4" t="str">
        <f t="array" ref="DP70">IFERROR(INDEX(球員狀態!L$2:L$5000,MATCH(1,(球員狀態!$A$2:$A$5000=$DF$61)*(ISNUMBER(SEARCH($DF70,球員狀態!$B$2:$B$5000))),0)),"")</f>
        <v>50</v>
      </c>
      <c r="DQ70" s="4" t="str">
        <f t="array" ref="DQ70">IFERROR(INDEX(球員狀態!M$2:M$5000,MATCH(1,(球員狀態!$A$2:$A$5000=$DF$61)*(ISNUMBER(SEARCH($DF70,球員狀態!$B$2:$B$5000))),0)),"")</f>
        <v>9</v>
      </c>
      <c r="DR70" s="4" t="str">
        <f t="array" ref="DR70">IFERROR(INDEX(球員狀態!N$2:N$5000,MATCH(1,(球員狀態!$A$2:$A$5000=$DF$61)*(ISNUMBER(SEARCH($DF70,球員狀態!$B$2:$B$5000))),0)),"")</f>
        <v>20</v>
      </c>
      <c r="DS70" s="4" t="str">
        <f t="array" ref="DS70">IFERROR(INDEX(球員狀態!O$2:O$5000, MATCH(1, (球員狀態!$A$2:$A$5000=$DF$1)*(ISNUMBER(SEARCH($DF70, 球員狀態!$B$2:$B$5000))), 0)), "")</f>
        <v/>
      </c>
      <c r="DT70" s="4" t="str">
        <f t="array" ref="DT70">IFERROR(INDEX(球員狀態!P$2:P$5000, MATCH(1, (球員狀態!$A$2:$A$5000=$DF$1)*(ISNUMBER(SEARCH($DF70, 球員狀態!$B$2:$B$5000))), 0)), "")</f>
        <v/>
      </c>
      <c r="DU70" s="4" t="str">
        <f t="array" ref="DU70">IFERROR(INDEX(球員狀態!Q$2:Q$5000,MATCH(1,(球員狀態!$A$2:$A$5000=$DF$61)*(ISNUMBER(SEARCH($DF70,球員狀態!$B$2:$B$5000))),0)),"")</f>
        <v>.354</v>
      </c>
      <c r="DV70" s="4" t="str">
        <f t="array" ref="DV70">IFERROR(INDEX(球員狀態!R$2:R$5000, MATCH(1, (球員狀態!$A$2:$A$5000=$DF$1)*(ISNUMBER(SEARCH($DF70, 球員狀態!$B$2:$B$5000))), 0)), "")</f>
        <v/>
      </c>
      <c r="DW70" s="4" t="str">
        <f t="array" ref="DW70">IFERROR(INDEX(球員狀態!S$2:S$5000, MATCH(1, (球員狀態!$A$2:$A$5000=$DF$1)*(ISNUMBER(SEARCH($DF70, 球員狀態!$B$2:$B$5000))), 0)), "")</f>
        <v/>
      </c>
      <c r="DX70" s="4" t="str">
        <f t="array" ref="DX70">IFERROR(INDEX(球員狀態!T$2:T$5000,MATCH(1,(球員狀態!$A$2:$A$5000=$DF$61)*(ISNUMBER(SEARCH($DF70,球員狀態!$B$2:$B$5000))),0)),"")</f>
        <v>1.4</v>
      </c>
      <c r="DY70" s="4" t="str">
        <f t="array" ref="DY70">IFERROR(INDEX(球員狀態!U$2:U$5000, MATCH(1, (球員狀態!$A$2:$A$5000=$DF$1)*(ISNUMBER(SEARCH($DF70, 球員狀態!$B$2:$B$5000))), 0)), "")</f>
        <v/>
      </c>
      <c r="DZ70" s="4" t="str">
        <f t="array" ref="DZ70">IFERROR(INDEX(球員狀態!V$2:V$5000, MATCH(1, (球員狀態!$A$2:$A$5000=$DF$1)*(ISNUMBER(SEARCH($DF70, 球員狀態!$B$2:$B$5000))), 0)), "")</f>
        <v/>
      </c>
      <c r="EA70" s="4" t="str">
        <f t="array" ref="EA70">IFERROR(INDEX(球員狀態!W$2:W$5000,MATCH(1,(球員狀態!$A$2:$A$5000=$DF$61)*(ISNUMBER(SEARCH($DF70,球員狀態!$B$2:$B$5000))),0)),"")</f>
        <v>.080</v>
      </c>
      <c r="EB70" s="4" t="str">
        <f t="array" ref="EB70">IFERROR(INDEX(球員狀態!X$2:X$5000, MATCH(1, (球員狀態!$A$2:$A$5000=$DF$1)*(ISNUMBER(SEARCH($DF70, 球員狀態!$B$2:$B$5000))), 0)), "")</f>
        <v/>
      </c>
      <c r="EC70" s="4" t="str">
        <f t="array" ref="EC70">IFERROR(INDEX(球員狀態!Y$2:Y$5000, MATCH(1, (球員狀態!$A$2:$A$5000=$DF$1)*(ISNUMBER(SEARCH($DF70, 球員狀態!$B$2:$B$5000))), 0)), "")</f>
        <v/>
      </c>
      <c r="ED70" s="4" t="str">
        <f t="array" ref="ED70">IFERROR(INDEX(球員狀態!Z$2:Z$5000,MATCH(1,(球員狀態!$A$2:$A$5000=$DF$61)*(ISNUMBER(SEARCH($DF70,球員狀態!$B$2:$B$5000))),0)),"")</f>
        <v>.260</v>
      </c>
      <c r="EE70" s="4" t="str">
        <f t="array" ref="EE70">IFERROR(INDEX(球員狀態!AA$2:AA$5000,MATCH(1,(球員狀態!$A$2:$A$5000=$DF$61)*(ISNUMBER(SEARCH($DF70,球員狀態!$B$2:$B$5000))),0)),"")</f>
        <v>3.86</v>
      </c>
      <c r="EF70" s="4" t="str">
        <f t="array" ref="EF70">IFERROR(INDEX(球員狀態!AB$2:AB$5000,MATCH(1,(球員狀態!$A$2:$A$5000=$DF$61)*(ISNUMBER(SEARCH($DF70,球員狀態!$B$2:$B$5000))),0)),"")</f>
        <v>10</v>
      </c>
      <c r="EG70" s="56"/>
      <c r="EI70" s="35" t="str">
        <f>先發名單!S$4</f>
        <v>D. Varsho</v>
      </c>
      <c r="EJ70" s="4" t="str">
        <f t="array" ref="EJ70">IFERROR(INDEX(球員狀態!C$2:C$5000, MATCH(1, (球員狀態!$A$2:$A$5000=$EI$61)*(ISNUMBER(SEARCH($EI70, 球員狀態!$B$2:$B$5000))), 0)), "")</f>
        <v/>
      </c>
      <c r="EM70" s="4" t="str">
        <f t="array" ref="EM70">IFERROR(INDEX(球員狀態!F$2:F$5000, MATCH(1, (球員狀態!$A$2:$A$5000=$EI$61)*(ISNUMBER(SEARCH($EI70, 球員狀態!$B$2:$B$5000))), 0)), "")</f>
        <v/>
      </c>
      <c r="EN70" s="4" t="str">
        <f t="array" ref="EN70">IFERROR(INDEX(球員狀態!G$2:G$5000, MATCH(1, (球員狀態!$A$2:$A$5000=$EI$1)*(ISNUMBER(SEARCH($EI70, 球員狀態!$B$2:$B$5000))), 0)), "")</f>
        <v/>
      </c>
      <c r="EO70" s="4" t="str">
        <f t="array" ref="EO70">IFERROR(INDEX(球員狀態!H$2:H$5000, MATCH(1, (球員狀態!$A$2:$A$5000=$EI$61)*(ISNUMBER(SEARCH($EI70, 球員狀態!$B$2:$B$5000))), 0)), "")</f>
        <v/>
      </c>
      <c r="EP70" s="4" t="str">
        <f t="array" ref="EP70">IFERROR(INDEX(球員狀態!I$2:I$5000, MATCH(1, (球員狀態!$A$2:$A$5000=$EI$61)*(ISNUMBER(SEARCH($EI70, 球員狀態!$B$2:$B$5000))), 0)), "")</f>
        <v/>
      </c>
      <c r="EQ70" s="4" t="str">
        <f t="array" ref="EQ70">IFERROR(INDEX(球員狀態!J$2:J$5000, MATCH(1, (球員狀態!$A$2:$A$5000=$EI$61)*(ISNUMBER(SEARCH($EI70, 球員狀態!$B$2:$B$5000))), 0)), "")</f>
        <v/>
      </c>
      <c r="ER70" s="4" t="str">
        <f t="array" ref="ER70">IFERROR(INDEX(球員狀態!K$2:K$5000, MATCH(1, (球員狀態!$A$2:$A$5000=$EI$61)*(ISNUMBER(SEARCH($EI70, 球員狀態!$B$2:$B$5000))), 0)), "")</f>
        <v/>
      </c>
      <c r="ES70" s="4" t="str">
        <f t="array" ref="ES70">IFERROR(INDEX(球員狀態!L$2:L$5000, MATCH(1, (球員狀態!$A$2:$A$5000=$EI$61)*(ISNUMBER(SEARCH($EI70, 球員狀態!$B$2:$B$5000))), 0)), "")</f>
        <v/>
      </c>
      <c r="ET70" s="4" t="str">
        <f t="array" ref="ET70">IFERROR(INDEX(球員狀態!M$2:M$5000, MATCH(1, (球員狀態!$A$2:$A$5000=$EI$61)*(ISNUMBER(SEARCH($EI70, 球員狀態!$B$2:$B$5000))), 0)), "")</f>
        <v/>
      </c>
      <c r="EU70" s="4" t="str">
        <f t="array" ref="EU70">IFERROR(INDEX(球員狀態!N$2:N$5000, MATCH(1, (球員狀態!$A$2:$A$5000=$EI$61)*(ISNUMBER(SEARCH($EI70, 球員狀態!$B$2:$B$5000))), 0)), "")</f>
        <v/>
      </c>
      <c r="EV70" s="4" t="str">
        <f t="array" ref="EV70">IFERROR(INDEX(球員狀態!O$2:O$5000, MATCH(1, (球員狀態!$A$2:$A$5000=$EI$1)*(ISNUMBER(SEARCH($EI70, 球員狀態!$B$2:$B$5000))), 0)), "")</f>
        <v/>
      </c>
      <c r="EW70" s="4" t="str">
        <f t="array" ref="EW70">IFERROR(INDEX(球員狀態!P$2:P$5000, MATCH(1, (球員狀態!$A$2:$A$5000=$EI$1)*(ISNUMBER(SEARCH($EI70, 球員狀態!$B$2:$B$5000))), 0)), "")</f>
        <v/>
      </c>
      <c r="EX70" s="4" t="str">
        <f t="array" ref="EX70">IFERROR(INDEX(球員狀態!Q$2:Q$5000, MATCH(1, (球員狀態!$A$2:$A$5000=$EI$61)*(ISNUMBER(SEARCH($EI70, 球員狀態!$B$2:$B$5000))), 0)), "")</f>
        <v/>
      </c>
      <c r="EY70" s="4" t="str">
        <f t="array" ref="EY70">IFERROR(INDEX(球員狀態!R$2:R$5000, MATCH(1, (球員狀態!$A$2:$A$5000=$EI$1)*(ISNUMBER(SEARCH($EI70, 球員狀態!$B$2:$B$5000))), 0)), "")</f>
        <v/>
      </c>
      <c r="EZ70" s="4" t="str">
        <f t="array" ref="EZ70">IFERROR(INDEX(球員狀態!S$2:S$5000, MATCH(1, (球員狀態!$A$2:$A$5000=$EI$1)*(ISNUMBER(SEARCH($EI70, 球員狀態!$B$2:$B$5000))), 0)), "")</f>
        <v/>
      </c>
      <c r="FA70" s="4" t="str">
        <f t="array" ref="FA70">IFERROR(INDEX(球員狀態!T$2:T$5000, MATCH(1, (球員狀態!$A$2:$A$5000=$EI$61)*(ISNUMBER(SEARCH($EI70, 球員狀態!$B$2:$B$5000))), 0)), "")</f>
        <v/>
      </c>
      <c r="FB70" s="4" t="str">
        <f t="array" ref="FB70">IFERROR(INDEX(球員狀態!U$2:U$5000, MATCH(1, (球員狀態!$A$2:$A$5000=$EI$1)*(ISNUMBER(SEARCH($EI70, 球員狀態!$B$2:$B$5000))), 0)), "")</f>
        <v/>
      </c>
      <c r="FC70" s="4" t="str">
        <f t="array" ref="FC70">IFERROR(INDEX(球員狀態!V$2:V$5000, MATCH(1, (球員狀態!$A$2:$A$5000=$EI$1)*(ISNUMBER(SEARCH($EI70, 球員狀態!$B$2:$B$5000))), 0)), "")</f>
        <v/>
      </c>
      <c r="FD70" s="4" t="str">
        <f t="array" ref="FD70">IFERROR(INDEX(球員狀態!W$2:W$5000, MATCH(1, (球員狀態!$A$2:$A$5000=$EI$61)*(ISNUMBER(SEARCH($EI70, 球員狀態!$B$2:$B$5000))), 0)), "")</f>
        <v/>
      </c>
      <c r="FE70" s="4" t="str">
        <f t="array" ref="FE70">IFERROR(INDEX(球員狀態!X$2:X$5000, MATCH(1, (球員狀態!$A$2:$A$5000=$EI$1)*(ISNUMBER(SEARCH($EI70, 球員狀態!$B$2:$B$5000))), 0)), "")</f>
        <v/>
      </c>
      <c r="FF70" s="4" t="str">
        <f t="array" ref="FF70">IFERROR(INDEX(球員狀態!Y$2:Y$5000, MATCH(1, (球員狀態!$A$2:$A$5000=$EI$1)*(ISNUMBER(SEARCH($EI70, 球員狀態!$B$2:$B$5000))), 0)), "")</f>
        <v/>
      </c>
      <c r="FG70" s="4" t="str">
        <f t="array" ref="FG70">IFERROR(INDEX(球員狀態!Z$2:Z$5000, MATCH(1, (球員狀態!$A$2:$A$5000=$EI$61)*(ISNUMBER(SEARCH($EI70, 球員狀態!$B$2:$B$5000))), 0)), "")</f>
        <v/>
      </c>
      <c r="FH70" s="4" t="str">
        <f t="array" ref="FH70">IFERROR(INDEX(球員狀態!AA$2:AA$5000, MATCH(1, (球員狀態!$A$2:$A$5000=$EI$61)*(ISNUMBER(SEARCH($EI70, 球員狀態!$B$2:$B$5000))), 0)), "")</f>
        <v/>
      </c>
      <c r="FI70" s="4" t="str">
        <f t="array" ref="FI70">IFERROR(INDEX(球員狀態!AB$2:AB$5000, MATCH(1, (球員狀態!$A$2:$A$5000=$EI$61)*(ISNUMBER(SEARCH($EI70, 球員狀態!$B$2:$B$5000))), 0)), "")</f>
        <v/>
      </c>
    </row>
    <row r="71" spans="80:165">
      <c r="DF71" s="33"/>
      <c r="DH71" s="40">
        <f>DJ71+DL71+DM71+DN71+DO71-DP71-DQ71+DR71</f>
        <v>3.1</v>
      </c>
      <c r="DI71" s="42">
        <f>DU71+DX71+EA71+ED71+EE71+EF71</f>
        <v>5</v>
      </c>
      <c r="DJ71" s="38">
        <f>VLOOKUP(DJ70*1, FK$2:FM$12, 3, TRUE)*FM$1</f>
        <v>1.5</v>
      </c>
      <c r="DL71" s="38">
        <f>VLOOKUP(DL70*1, FN$2:FP$12, 3, TRUE)*FP$1</f>
        <v>0.6</v>
      </c>
      <c r="DM71" s="38">
        <f>VLOOKUP(DM70*1, FQ$2:FS$12, 3, TRUE)*FS$1</f>
        <v>0</v>
      </c>
      <c r="DN71" s="38">
        <f>VLOOKUP(DN70*1, FT$2:FV$12, 3, TRUE)*FV$1</f>
        <v>1</v>
      </c>
      <c r="DO71" s="38">
        <f>VLOOKUP(DO70*1, FW$2:FY$12, 3, TRUE)*FY$1</f>
        <v>0.5</v>
      </c>
      <c r="DP71" s="39">
        <f>VLOOKUP(DP70*1, FK$14:FM$25, 3, TRUE)*FM$14</f>
        <v>1</v>
      </c>
      <c r="DQ71" s="39">
        <f>VLOOKUP(DQ70*1, FN$14:FP$25, 3, TRUE)*FP$14</f>
        <v>1</v>
      </c>
      <c r="DR71" s="38">
        <f>VLOOKUP(DR70*1, FQ$14:FS$25, 3, TRUE)*FS$14</f>
        <v>1.5</v>
      </c>
      <c r="DU71" s="41">
        <f>VLOOKUP(DU70*1, FK$27:FM$38, 3, TRUE)*FM$27</f>
        <v>0</v>
      </c>
      <c r="DX71" s="41">
        <f>VLOOKUP(DX70*1, FN$27:FP$38, 3, TRUE)*FP$27</f>
        <v>0</v>
      </c>
      <c r="EA71" s="41">
        <f>VLOOKUP(EA70*1, FQ$27:FS$38, 3, TRUE)*FS$27</f>
        <v>0</v>
      </c>
      <c r="ED71" s="41">
        <f>VLOOKUP(ED70*1, FT$27:FV$38, 3, TRUE)*FV$27</f>
        <v>0</v>
      </c>
      <c r="EE71" s="41">
        <f>VLOOKUP(EE70*1, FW$27:FY$38, 3, TRUE)*FY$27</f>
        <v>1.5</v>
      </c>
      <c r="EF71" s="41">
        <f>VLOOKUP(EF70*1, FK$40:FM$51, 3, TRUE)*FM$40</f>
        <v>3.5</v>
      </c>
      <c r="EG71" s="57"/>
      <c r="EI71" s="33"/>
      <c r="EK71" s="40" t="e">
        <f>EM71+EO71+EP71+EQ71+ER71-ES71-ET71+EU71</f>
        <v>#VALUE!</v>
      </c>
      <c r="EL71" s="42" t="e">
        <f>EX71+FA71+FD71+FG71+FH71+FI71</f>
        <v>#VALUE!</v>
      </c>
      <c r="EM71" s="38" t="e">
        <f>VLOOKUP(EM70*1, $FK$2:$FM$12, 3, TRUE)*$FM$1</f>
        <v>#VALUE!</v>
      </c>
      <c r="EO71" s="38" t="e">
        <f>VLOOKUP(EO70*1, $FN$2:$FP$12, 3, TRUE)*$FP$1</f>
        <v>#VALUE!</v>
      </c>
      <c r="EP71" s="38" t="e">
        <f>VLOOKUP(EP70*1, $FQ$2:$FS$12, 3, TRUE)*$FS$1</f>
        <v>#VALUE!</v>
      </c>
      <c r="EQ71" s="38" t="e">
        <f>VLOOKUP(EQ70*1, $FT$2:$FV$12, 3, TRUE)*$FV$1</f>
        <v>#VALUE!</v>
      </c>
      <c r="ER71" s="38" t="e">
        <f>VLOOKUP(ER70*1, $FW$2:$FY$12, 3, TRUE)*$FY$1</f>
        <v>#VALUE!</v>
      </c>
      <c r="ES71" s="39" t="e">
        <f>VLOOKUP(ES70*1, $FK$14:$FM$25, 3, TRUE)*$FM$14</f>
        <v>#VALUE!</v>
      </c>
      <c r="ET71" s="39" t="e">
        <f>VLOOKUP(ET70*1, $FN$14:$FP$25, 3, TRUE)*$FP$14</f>
        <v>#VALUE!</v>
      </c>
      <c r="EU71" s="38" t="e">
        <f>VLOOKUP(EU70*1, $FQ$14:$FS$25, 3, TRUE)*$FS$14</f>
        <v>#VALUE!</v>
      </c>
      <c r="EX71" s="41" t="e">
        <f>VLOOKUP(EX70*1, $FK$27:$FM$38, 3, TRUE)*$FM$27</f>
        <v>#VALUE!</v>
      </c>
      <c r="FA71" s="41" t="e">
        <f>VLOOKUP(FA70*1, $FN$27:$FP$38, 3, TRUE)*$FP$27</f>
        <v>#VALUE!</v>
      </c>
      <c r="FD71" s="41" t="e">
        <f>VLOOKUP(FD70*1, $FQ$27:$FS$38, 3, TRUE)*$FS$27</f>
        <v>#VALUE!</v>
      </c>
      <c r="FG71" s="41" t="e">
        <f>VLOOKUP(FG70*1, $FT$27:$FV$38, 3, TRUE)*$FV$27</f>
        <v>#VALUE!</v>
      </c>
      <c r="FH71" s="41" t="e">
        <f>VLOOKUP(FH70*1, $FW$27:$FY$38, 3, TRUE)*$FY$27</f>
        <v>#VALUE!</v>
      </c>
      <c r="FI71" s="41" t="e">
        <f>VLOOKUP(FI70*1, $FK$40:$FM$51, 3, TRUE)*$FM$40</f>
        <v>#VALUE!</v>
      </c>
    </row>
    <row r="72" spans="80:165">
      <c r="DF72" s="37" t="str">
        <f>先發名單!J$4</f>
        <v>Trevor Story</v>
      </c>
      <c r="DG72" s="4" t="str">
        <f t="array" ref="DG72">IFERROR(INDEX(球員狀態!$C$2:$C$5000, MATCH(1, (球員狀態!$A$2:$A$5000=$DF$61)*(ISNUMBER(SEARCH($DF72, 球員狀態!$B$2:$B$5000))), 0)), "")</f>
        <v>SS</v>
      </c>
      <c r="DJ72" s="4" t="str">
        <f t="array" ref="DJ72">IFERROR(INDEX(球員狀態!$F$2:$F$5000,MATCH(1,(球員狀態!$A$2:$A$5000=$DF$61)*(ISNUMBER(SEARCH($DF72,球員狀態!$B$2:$B$5000))),0)),"")</f>
        <v>11</v>
      </c>
      <c r="DK72" s="4" t="str">
        <f t="array" ref="DK72">IFERROR(INDEX(球員狀態!G$2:G$5000, MATCH(1, (球員狀態!$A$2:$A$5000=$DF$1)*(ISNUMBER(SEARCH($DF72, 球員狀態!$B$2:$B$5000))), 0)), "")</f>
        <v/>
      </c>
      <c r="DL72" s="4" t="str">
        <f t="array" ref="DL72">IFERROR(INDEX(球員狀態!H$2:H$5000, MATCH(1, (球員狀態!$A$2:$A$5000=$DF$61)*(ISNUMBER(SEARCH($DF72, 球員狀態!$B$2:$B$5000))), 0)), "")</f>
        <v>5</v>
      </c>
      <c r="DM72" s="4" t="str">
        <f t="array" ref="DM72">IFERROR(INDEX(球員狀態!I$2:I$5000,MATCH(1,(球員狀態!$A$2:$A$5000=$DF$61)*(ISNUMBER(SEARCH($DF72,球員狀態!$B$2:$B$5000))),0)),"")</f>
        <v>0</v>
      </c>
      <c r="DN72" s="4" t="str">
        <f t="array" ref="DN72">IFERROR(INDEX(球員狀態!J$2:J$5000,MATCH(1,(球員狀態!$A$2:$A$5000=$DF$61)*(ISNUMBER(SEARCH($DF72,球員狀態!$B$2:$B$5000))),0)),"")</f>
        <v>2</v>
      </c>
      <c r="DO72" s="4" t="str">
        <f t="array" ref="DO72">IFERROR(INDEX(球員狀態!K$2:K$5000,MATCH(1,(球員狀態!$A$2:$A$5000=$DF$61)*(ISNUMBER(SEARCH($DF72,球員狀態!$B$2:$B$5000))),0)),"")</f>
        <v>17</v>
      </c>
      <c r="DP72" s="4" t="str">
        <f t="array" ref="DP72">IFERROR(INDEX(球員狀態!L$2:L$5000,MATCH(1,(球員狀態!$A$2:$A$5000=$DF$61)*(ISNUMBER(SEARCH($DF72,球員狀態!$B$2:$B$5000))),0)),"")</f>
        <v>33</v>
      </c>
      <c r="DQ72" s="4" t="str">
        <f t="array" ref="DQ72">IFERROR(INDEX(球員狀態!M$2:M$5000,MATCH(1,(球員狀態!$A$2:$A$5000=$DF$61)*(ISNUMBER(SEARCH($DF72,球員狀態!$B$2:$B$5000))),0)),"")</f>
        <v>6</v>
      </c>
      <c r="DR72" s="4" t="str">
        <f t="array" ref="DR72">IFERROR(INDEX(球員狀態!N$2:N$5000,MATCH(1,(球員狀態!$A$2:$A$5000=$DF$61)*(ISNUMBER(SEARCH($DF72,球員狀態!$B$2:$B$5000))),0)),"")</f>
        <v>37</v>
      </c>
      <c r="DS72" s="4" t="str">
        <f t="array" ref="DS72">IFERROR(INDEX(球員狀態!O$2:O$5000, MATCH(1, (球員狀態!$A$2:$A$5000=$DF$1)*(ISNUMBER(SEARCH($DF72, 球員狀態!$B$2:$B$5000))), 0)), "")</f>
        <v/>
      </c>
      <c r="DT72" s="4" t="str">
        <f t="array" ref="DT72">IFERROR(INDEX(球員狀態!P$2:P$5000, MATCH(1, (球員狀態!$A$2:$A$5000=$DF$1)*(ISNUMBER(SEARCH($DF72, 球員狀態!$B$2:$B$5000))), 0)), "")</f>
        <v/>
      </c>
      <c r="DU72" s="4" t="str">
        <f t="array" ref="DU72">IFERROR(INDEX(球員狀態!Q$2:Q$5000,MATCH(1,(球員狀態!$A$2:$A$5000=$DF$61)*(ISNUMBER(SEARCH($DF72,球員狀態!$B$2:$B$5000))),0)),"")</f>
        <v>.235</v>
      </c>
      <c r="DV72" s="4" t="str">
        <f t="array" ref="DV72">IFERROR(INDEX(球員狀態!R$2:R$5000, MATCH(1, (球員狀態!$A$2:$A$5000=$DF$1)*(ISNUMBER(SEARCH($DF72, 球員狀態!$B$2:$B$5000))), 0)), "")</f>
        <v/>
      </c>
      <c r="DW72" s="4" t="str">
        <f t="array" ref="DW72">IFERROR(INDEX(球員狀態!S$2:S$5000, MATCH(1, (球員狀態!$A$2:$A$5000=$DF$1)*(ISNUMBER(SEARCH($DF72, 球員狀態!$B$2:$B$5000))), 0)), "")</f>
        <v/>
      </c>
      <c r="DX72" s="4" t="str">
        <f t="array" ref="DX72">IFERROR(INDEX(球員狀態!T$2:T$5000,MATCH(1,(球員狀態!$A$2:$A$5000=$DF$61)*(ISNUMBER(SEARCH($DF72,球員狀態!$B$2:$B$5000))),0)),"")</f>
        <v>0.1</v>
      </c>
      <c r="DY72" s="4" t="str">
        <f t="array" ref="DY72">IFERROR(INDEX(球員狀態!U$2:U$5000, MATCH(1, (球員狀態!$A$2:$A$5000=$DF$1)*(ISNUMBER(SEARCH($DF72, 球員狀態!$B$2:$B$5000))), 0)), "")</f>
        <v/>
      </c>
      <c r="DZ72" s="4" t="str">
        <f t="array" ref="DZ72">IFERROR(INDEX(球員狀態!V$2:V$5000, MATCH(1, (球員狀態!$A$2:$A$5000=$DF$1)*(ISNUMBER(SEARCH($DF72, 球員狀態!$B$2:$B$5000))), 0)), "")</f>
        <v/>
      </c>
      <c r="EA72" s="4" t="str">
        <f t="array" ref="EA72">IFERROR(INDEX(球員狀態!W$2:W$5000,MATCH(1,(球員狀態!$A$2:$A$5000=$DF$61)*(ISNUMBER(SEARCH($DF72,球員狀態!$B$2:$B$5000))),0)),"")</f>
        <v>.050</v>
      </c>
      <c r="EB72" s="4" t="str">
        <f t="array" ref="EB72">IFERROR(INDEX(球員狀態!X$2:X$5000, MATCH(1, (球員狀態!$A$2:$A$5000=$DF$1)*(ISNUMBER(SEARCH($DF72, 球員狀態!$B$2:$B$5000))), 0)), "")</f>
        <v/>
      </c>
      <c r="EC72" s="4" t="str">
        <f t="array" ref="EC72">IFERROR(INDEX(球員狀態!Y$2:Y$5000, MATCH(1, (球員狀態!$A$2:$A$5000=$DF$1)*(ISNUMBER(SEARCH($DF72, 球員狀態!$B$2:$B$5000))), 0)), "")</f>
        <v/>
      </c>
      <c r="ED72" s="4" t="str">
        <f t="array" ref="ED72">IFERROR(INDEX(球員狀態!Z$2:Z$5000,MATCH(1,(球員狀態!$A$2:$A$5000=$DF$61)*(ISNUMBER(SEARCH($DF72,球員狀態!$B$2:$B$5000))),0)),"")</f>
        <v>.171</v>
      </c>
      <c r="EE72" s="4" t="str">
        <f t="array" ref="EE72">IFERROR(INDEX(球員狀態!AA$2:AA$5000,MATCH(1,(球員狀態!$A$2:$A$5000=$DF$61)*(ISNUMBER(SEARCH($DF72,球員狀態!$B$2:$B$5000))),0)),"")</f>
        <v>3.55</v>
      </c>
      <c r="EF72" s="4" t="str">
        <f t="array" ref="EF72">IFERROR(INDEX(球員狀態!AB$2:AB$5000,MATCH(1,(球員狀態!$A$2:$A$5000=$DF$61)*(ISNUMBER(SEARCH($DF72,球員狀態!$B$2:$B$5000))),0)),"")</f>
        <v>7</v>
      </c>
      <c r="EG72" s="56"/>
      <c r="EI72" s="37" t="str">
        <f>先發名單!T$4</f>
        <v>D. Schneider</v>
      </c>
      <c r="EJ72" s="4" t="str">
        <f t="array" ref="EJ72">IFERROR(INDEX(球員狀態!C$2:C$5000, MATCH(1, (球員狀態!$A$2:$A$5000=$EI$61)*(ISNUMBER(SEARCH($EI72, 球員狀態!$B$2:$B$5000))), 0)), "")</f>
        <v/>
      </c>
      <c r="EM72" s="4" t="str">
        <f t="array" ref="EM72">IFERROR(INDEX(球員狀態!F$2:F$5000, MATCH(1, (球員狀態!$A$2:$A$5000=$EI$61)*(ISNUMBER(SEARCH($EI72, 球員狀態!$B$2:$B$5000))), 0)), "")</f>
        <v/>
      </c>
      <c r="EN72" s="4" t="str">
        <f t="array" ref="EN72">IFERROR(INDEX(球員狀態!G$2:G$5000, MATCH(1, (球員狀態!$A$2:$A$5000=$EI$1)*(ISNUMBER(SEARCH($EI72, 球員狀態!$B$2:$B$5000))), 0)), "")</f>
        <v/>
      </c>
      <c r="EO72" s="4" t="str">
        <f t="array" ref="EO72">IFERROR(INDEX(球員狀態!H$2:H$5000, MATCH(1, (球員狀態!$A$2:$A$5000=$EI$61)*(ISNUMBER(SEARCH($EI72, 球員狀態!$B$2:$B$5000))), 0)), "")</f>
        <v/>
      </c>
      <c r="EP72" s="4" t="str">
        <f t="array" ref="EP72">IFERROR(INDEX(球員狀態!I$2:I$5000, MATCH(1, (球員狀態!$A$2:$A$5000=$EI$61)*(ISNUMBER(SEARCH($EI72, 球員狀態!$B$2:$B$5000))), 0)), "")</f>
        <v/>
      </c>
      <c r="EQ72" s="4" t="str">
        <f t="array" ref="EQ72">IFERROR(INDEX(球員狀態!J$2:J$5000, MATCH(1, (球員狀態!$A$2:$A$5000=$EI$61)*(ISNUMBER(SEARCH($EI72, 球員狀態!$B$2:$B$5000))), 0)), "")</f>
        <v/>
      </c>
      <c r="ER72" s="4" t="str">
        <f t="array" ref="ER72">IFERROR(INDEX(球員狀態!K$2:K$5000, MATCH(1, (球員狀態!$A$2:$A$5000=$EI$61)*(ISNUMBER(SEARCH($EI72, 球員狀態!$B$2:$B$5000))), 0)), "")</f>
        <v/>
      </c>
      <c r="ES72" s="4" t="str">
        <f t="array" ref="ES72">IFERROR(INDEX(球員狀態!L$2:L$5000, MATCH(1, (球員狀態!$A$2:$A$5000=$EI$61)*(ISNUMBER(SEARCH($EI72, 球員狀態!$B$2:$B$5000))), 0)), "")</f>
        <v/>
      </c>
      <c r="ET72" s="4" t="str">
        <f t="array" ref="ET72">IFERROR(INDEX(球員狀態!M$2:M$5000, MATCH(1, (球員狀態!$A$2:$A$5000=$EI$61)*(ISNUMBER(SEARCH($EI72, 球員狀態!$B$2:$B$5000))), 0)), "")</f>
        <v/>
      </c>
      <c r="EU72" s="4" t="str">
        <f t="array" ref="EU72">IFERROR(INDEX(球員狀態!N$2:N$5000, MATCH(1, (球員狀態!$A$2:$A$5000=$EI$61)*(ISNUMBER(SEARCH($EI72, 球員狀態!$B$2:$B$5000))), 0)), "")</f>
        <v/>
      </c>
      <c r="EV72" s="4" t="str">
        <f t="array" ref="EV72">IFERROR(INDEX(球員狀態!O$2:O$5000, MATCH(1, (球員狀態!$A$2:$A$5000=$EI$1)*(ISNUMBER(SEARCH($EI72, 球員狀態!$B$2:$B$5000))), 0)), "")</f>
        <v/>
      </c>
      <c r="EW72" s="4" t="str">
        <f t="array" ref="EW72">IFERROR(INDEX(球員狀態!P$2:P$5000, MATCH(1, (球員狀態!$A$2:$A$5000=$EI$1)*(ISNUMBER(SEARCH($EI72, 球員狀態!$B$2:$B$5000))), 0)), "")</f>
        <v/>
      </c>
      <c r="EX72" s="4" t="str">
        <f t="array" ref="EX72">IFERROR(INDEX(球員狀態!Q$2:Q$5000, MATCH(1, (球員狀態!$A$2:$A$5000=$EI$61)*(ISNUMBER(SEARCH($EI72, 球員狀態!$B$2:$B$5000))), 0)), "")</f>
        <v/>
      </c>
      <c r="EY72" s="4" t="str">
        <f t="array" ref="EY72">IFERROR(INDEX(球員狀態!R$2:R$5000, MATCH(1, (球員狀態!$A$2:$A$5000=$EI$1)*(ISNUMBER(SEARCH($EI72, 球員狀態!$B$2:$B$5000))), 0)), "")</f>
        <v/>
      </c>
      <c r="EZ72" s="4" t="str">
        <f t="array" ref="EZ72">IFERROR(INDEX(球員狀態!S$2:S$5000, MATCH(1, (球員狀態!$A$2:$A$5000=$EI$1)*(ISNUMBER(SEARCH($EI72, 球員狀態!$B$2:$B$5000))), 0)), "")</f>
        <v/>
      </c>
      <c r="FA72" s="4" t="str">
        <f t="array" ref="FA72">IFERROR(INDEX(球員狀態!T$2:T$5000, MATCH(1, (球員狀態!$A$2:$A$5000=$EI$61)*(ISNUMBER(SEARCH($EI72, 球員狀態!$B$2:$B$5000))), 0)), "")</f>
        <v/>
      </c>
      <c r="FB72" s="4" t="str">
        <f t="array" ref="FB72">IFERROR(INDEX(球員狀態!U$2:U$5000, MATCH(1, (球員狀態!$A$2:$A$5000=$EI$1)*(ISNUMBER(SEARCH($EI72, 球員狀態!$B$2:$B$5000))), 0)), "")</f>
        <v/>
      </c>
      <c r="FC72" s="4" t="str">
        <f t="array" ref="FC72">IFERROR(INDEX(球員狀態!V$2:V$5000, MATCH(1, (球員狀態!$A$2:$A$5000=$EI$1)*(ISNUMBER(SEARCH($EI72, 球員狀態!$B$2:$B$5000))), 0)), "")</f>
        <v/>
      </c>
      <c r="FD72" s="4" t="str">
        <f t="array" ref="FD72">IFERROR(INDEX(球員狀態!W$2:W$5000, MATCH(1, (球員狀態!$A$2:$A$5000=$EI$61)*(ISNUMBER(SEARCH($EI72, 球員狀態!$B$2:$B$5000))), 0)), "")</f>
        <v/>
      </c>
      <c r="FE72" s="4" t="str">
        <f t="array" ref="FE72">IFERROR(INDEX(球員狀態!X$2:X$5000, MATCH(1, (球員狀態!$A$2:$A$5000=$EI$1)*(ISNUMBER(SEARCH($EI72, 球員狀態!$B$2:$B$5000))), 0)), "")</f>
        <v/>
      </c>
      <c r="FF72" s="4" t="str">
        <f t="array" ref="FF72">IFERROR(INDEX(球員狀態!Y$2:Y$5000, MATCH(1, (球員狀態!$A$2:$A$5000=$EI$1)*(ISNUMBER(SEARCH($EI72, 球員狀態!$B$2:$B$5000))), 0)), "")</f>
        <v/>
      </c>
      <c r="FG72" s="4" t="str">
        <f t="array" ref="FG72">IFERROR(INDEX(球員狀態!Z$2:Z$5000, MATCH(1, (球員狀態!$A$2:$A$5000=$EI$61)*(ISNUMBER(SEARCH($EI72, 球員狀態!$B$2:$B$5000))), 0)), "")</f>
        <v/>
      </c>
      <c r="FH72" s="4" t="str">
        <f t="array" ref="FH72">IFERROR(INDEX(球員狀態!AA$2:AA$5000, MATCH(1, (球員狀態!$A$2:$A$5000=$EI$61)*(ISNUMBER(SEARCH($EI72, 球員狀態!$B$2:$B$5000))), 0)), "")</f>
        <v/>
      </c>
      <c r="FI72" s="4" t="str">
        <f t="array" ref="FI72">IFERROR(INDEX(球員狀態!AB$2:AB$5000, MATCH(1, (球員狀態!$A$2:$A$5000=$EI$61)*(ISNUMBER(SEARCH($EI72, 球員狀態!$B$2:$B$5000))), 0)), "")</f>
        <v/>
      </c>
    </row>
    <row r="73" spans="80:165">
      <c r="DF73" s="33"/>
      <c r="DH73" s="40">
        <f>DJ73+DL73+DM73+DN73+DO73-DP73-DQ73+DR73</f>
        <v>2.4000000000000004</v>
      </c>
      <c r="DI73" s="42">
        <f>DU73+DX73+EA73+ED73+EE73+EF73</f>
        <v>5</v>
      </c>
      <c r="DJ73" s="38">
        <f>VLOOKUP(DJ72*1, FK$2:FM$12, 3, TRUE)*FM$1</f>
        <v>1</v>
      </c>
      <c r="DL73" s="38">
        <f>VLOOKUP(DL72*1, FN$2:FP$12, 3, TRUE)*FP$1</f>
        <v>0.6</v>
      </c>
      <c r="DM73" s="38">
        <f>VLOOKUP(DM72*1, FQ$2:FS$12, 3, TRUE)*FS$1</f>
        <v>0</v>
      </c>
      <c r="DN73" s="38">
        <f>VLOOKUP(DN72*1, FT$2:FV$12, 3, TRUE)*FV$1</f>
        <v>0.8</v>
      </c>
      <c r="DO73" s="38">
        <f>VLOOKUP(DO72*1, FW$2:FY$12, 3, TRUE)*FY$1</f>
        <v>0.5</v>
      </c>
      <c r="DP73" s="39">
        <f>VLOOKUP(DP72*1, FK$14:FM$25, 3, TRUE)*FM$14</f>
        <v>1</v>
      </c>
      <c r="DQ73" s="39">
        <f>VLOOKUP(DQ72*1, FN$14:FP$25, 3, TRUE)*FP$14</f>
        <v>1</v>
      </c>
      <c r="DR73" s="38">
        <f>VLOOKUP(DR72*1, FQ$14:FS$25, 3, TRUE)*FS$14</f>
        <v>1.5</v>
      </c>
      <c r="DU73" s="41">
        <f>VLOOKUP(DU72*1, FK$27:FM$38, 3, TRUE)*FM$27</f>
        <v>0</v>
      </c>
      <c r="DX73" s="41">
        <f>VLOOKUP(DX72*1, FN$27:FP$38, 3, TRUE)*FP$27</f>
        <v>0</v>
      </c>
      <c r="EA73" s="41">
        <f>VLOOKUP(EA72*1, FQ$27:FS$38, 3, TRUE)*FS$27</f>
        <v>0</v>
      </c>
      <c r="ED73" s="41">
        <f>VLOOKUP(ED72*1, FT$27:FV$38, 3, TRUE)*FV$27</f>
        <v>0</v>
      </c>
      <c r="EE73" s="41">
        <f>VLOOKUP(EE72*1, FW$27:FY$38, 3, TRUE)*FY$27</f>
        <v>1.5</v>
      </c>
      <c r="EF73" s="41">
        <f>VLOOKUP(EF72*1, FK$40:FM$51, 3, TRUE)*FM$40</f>
        <v>3.5</v>
      </c>
      <c r="EG73" s="57"/>
      <c r="EI73" s="33"/>
      <c r="EK73" s="40" t="e">
        <f>EM73+EO73+EP73+EQ73+ER73-ES73-ET73+EU73</f>
        <v>#VALUE!</v>
      </c>
      <c r="EL73" s="42" t="e">
        <f>EX73+FA73+FD73+FG73+FH73+FI73</f>
        <v>#VALUE!</v>
      </c>
      <c r="EM73" s="38" t="e">
        <f>VLOOKUP(EM72*1, $FK$2:$FM$12, 3, TRUE)*$FM$1</f>
        <v>#VALUE!</v>
      </c>
      <c r="EO73" s="38" t="e">
        <f>VLOOKUP(EO72*1, $FN$2:$FP$12, 3, TRUE)*$FP$1</f>
        <v>#VALUE!</v>
      </c>
      <c r="EP73" s="38" t="e">
        <f>VLOOKUP(EP72*1, $FQ$2:$FS$12, 3, TRUE)*$FS$1</f>
        <v>#VALUE!</v>
      </c>
      <c r="EQ73" s="38" t="e">
        <f>VLOOKUP(EQ72*1, $FT$2:$FV$12, 3, TRUE)*$FV$1</f>
        <v>#VALUE!</v>
      </c>
      <c r="ER73" s="38" t="e">
        <f>VLOOKUP(ER72*1, $FW$2:$FY$12, 3, TRUE)*$FY$1</f>
        <v>#VALUE!</v>
      </c>
      <c r="ES73" s="39" t="e">
        <f>VLOOKUP(ES72*1, $FK$14:$FM$25, 3, TRUE)*$FM$14</f>
        <v>#VALUE!</v>
      </c>
      <c r="ET73" s="39" t="e">
        <f>VLOOKUP(ET72*1, $FN$14:$FP$25, 3, TRUE)*$FP$14</f>
        <v>#VALUE!</v>
      </c>
      <c r="EU73" s="38" t="e">
        <f>VLOOKUP(EU72*1, $FQ$14:$FS$25, 3, TRUE)*$FS$14</f>
        <v>#VALUE!</v>
      </c>
      <c r="EX73" s="41" t="e">
        <f>VLOOKUP(EX72*1, $FK$27:$FM$38, 3, TRUE)*$FM$27</f>
        <v>#VALUE!</v>
      </c>
      <c r="FA73" s="41" t="e">
        <f>VLOOKUP(FA72*1, $FN$27:$FP$38, 3, TRUE)*$FP$27</f>
        <v>#VALUE!</v>
      </c>
      <c r="FD73" s="41" t="e">
        <f>VLOOKUP(FD72*1, $FQ$27:$FS$38, 3, TRUE)*$FS$27</f>
        <v>#VALUE!</v>
      </c>
      <c r="FG73" s="41" t="e">
        <f>VLOOKUP(FG72*1, $FT$27:$FV$38, 3, TRUE)*$FV$27</f>
        <v>#VALUE!</v>
      </c>
      <c r="FH73" s="41" t="e">
        <f>VLOOKUP(FH72*1, $FW$27:$FY$38, 3, TRUE)*$FY$27</f>
        <v>#VALUE!</v>
      </c>
      <c r="FI73" s="41" t="e">
        <f>VLOOKUP(FI72*1, $FK$40:$FM$51, 3, TRUE)*$FM$40</f>
        <v>#VALUE!</v>
      </c>
    </row>
    <row r="74" spans="80:165">
      <c r="DF74" s="37" t="str">
        <f>先發名單!K$4</f>
        <v>Jarren Duran</v>
      </c>
      <c r="DG74" s="4" t="str">
        <f t="array" ref="DG74">IFERROR(INDEX(球員狀態!$C$2:$C$5000, MATCH(1, (球員狀態!$A$2:$A$5000=$DF$61)*(ISNUMBER(SEARCH($DF74, 球員狀態!$B$2:$B$5000))), 0)), "")</f>
        <v>LF</v>
      </c>
      <c r="DJ74" s="4" t="str">
        <f t="array" ref="DJ74">IFERROR(INDEX(球員狀態!$F$2:$F$5000,MATCH(1,(球員狀態!$A$2:$A$5000=$DF$61)*(ISNUMBER(SEARCH($DF74,球員狀態!$B$2:$B$5000))),0)),"")</f>
        <v>14</v>
      </c>
      <c r="DK74" s="4" t="str">
        <f t="array" ref="DK74">IFERROR(INDEX(球員狀態!G$2:G$5000, MATCH(1, (球員狀態!$A$2:$A$5000=$DF$1)*(ISNUMBER(SEARCH($DF74, 球員狀態!$B$2:$B$5000))), 0)), "")</f>
        <v/>
      </c>
      <c r="DL74" s="4" t="str">
        <f t="array" ref="DL74">IFERROR(INDEX(球員狀態!H$2:H$5000, MATCH(1, (球員狀態!$A$2:$A$5000=$DF$61)*(ISNUMBER(SEARCH($DF74, 球員狀態!$B$2:$B$5000))), 0)), "")</f>
        <v>5</v>
      </c>
      <c r="DM74" s="4" t="str">
        <f t="array" ref="DM74">IFERROR(INDEX(球員狀態!I$2:I$5000,MATCH(1,(球員狀態!$A$2:$A$5000=$DF$61)*(ISNUMBER(SEARCH($DF74,球員狀態!$B$2:$B$5000))),0)),"")</f>
        <v>0</v>
      </c>
      <c r="DN74" s="4" t="str">
        <f t="array" ref="DN74">IFERROR(INDEX(球員狀態!J$2:J$5000,MATCH(1,(球員狀態!$A$2:$A$5000=$DF$61)*(ISNUMBER(SEARCH($DF74,球員狀態!$B$2:$B$5000))),0)),"")</f>
        <v>1</v>
      </c>
      <c r="DO74" s="4" t="str">
        <f t="array" ref="DO74">IFERROR(INDEX(球員狀態!K$2:K$5000,MATCH(1,(球員狀態!$A$2:$A$5000=$DF$61)*(ISNUMBER(SEARCH($DF74,球員狀態!$B$2:$B$5000))),0)),"")</f>
        <v>11</v>
      </c>
      <c r="DP74" s="4" t="str">
        <f t="array" ref="DP74">IFERROR(INDEX(球員狀態!L$2:L$5000,MATCH(1,(球員狀態!$A$2:$A$5000=$DF$61)*(ISNUMBER(SEARCH($DF74,球員狀態!$B$2:$B$5000))),0)),"")</f>
        <v>25</v>
      </c>
      <c r="DQ74" s="4" t="str">
        <f t="array" ref="DQ74">IFERROR(INDEX(球員狀態!M$2:M$5000,MATCH(1,(球員狀態!$A$2:$A$5000=$DF$61)*(ISNUMBER(SEARCH($DF74,球員狀態!$B$2:$B$5000))),0)),"")</f>
        <v>7</v>
      </c>
      <c r="DR74" s="4" t="str">
        <f t="array" ref="DR74">IFERROR(INDEX(球員狀態!N$2:N$5000,MATCH(1,(球員狀態!$A$2:$A$5000=$DF$61)*(ISNUMBER(SEARCH($DF74,球員狀態!$B$2:$B$5000))),0)),"")</f>
        <v>25</v>
      </c>
      <c r="DS74" s="4" t="str">
        <f t="array" ref="DS74">IFERROR(INDEX(球員狀態!O$2:O$5000, MATCH(1, (球員狀態!$A$2:$A$5000=$DF$1)*(ISNUMBER(SEARCH($DF74, 球員狀態!$B$2:$B$5000))), 0)), "")</f>
        <v/>
      </c>
      <c r="DT74" s="4" t="str">
        <f t="array" ref="DT74">IFERROR(INDEX(球員狀態!P$2:P$5000, MATCH(1, (球員狀態!$A$2:$A$5000=$DF$1)*(ISNUMBER(SEARCH($DF74, 球員狀態!$B$2:$B$5000))), 0)), "")</f>
        <v/>
      </c>
      <c r="DU74" s="4" t="str">
        <f t="array" ref="DU74">IFERROR(INDEX(球員狀態!Q$2:Q$5000,MATCH(1,(球員狀態!$A$2:$A$5000=$DF$61)*(ISNUMBER(SEARCH($DF74,球員狀態!$B$2:$B$5000))),0)),"")</f>
        <v>.255</v>
      </c>
      <c r="DV74" s="4" t="str">
        <f t="array" ref="DV74">IFERROR(INDEX(球員狀態!R$2:R$5000, MATCH(1, (球員狀態!$A$2:$A$5000=$DF$1)*(ISNUMBER(SEARCH($DF74, 球員狀態!$B$2:$B$5000))), 0)), "")</f>
        <v/>
      </c>
      <c r="DW74" s="4" t="str">
        <f t="array" ref="DW74">IFERROR(INDEX(球員狀態!S$2:S$5000, MATCH(1, (球員狀態!$A$2:$A$5000=$DF$1)*(ISNUMBER(SEARCH($DF74, 球員狀態!$B$2:$B$5000))), 0)), "")</f>
        <v/>
      </c>
      <c r="DX74" s="4" t="str">
        <f t="array" ref="DX74">IFERROR(INDEX(球員狀態!T$2:T$5000,MATCH(1,(球員狀態!$A$2:$A$5000=$DF$61)*(ISNUMBER(SEARCH($DF74,球員狀態!$B$2:$B$5000))),0)),"")</f>
        <v>0.1</v>
      </c>
      <c r="DY74" s="4" t="str">
        <f t="array" ref="DY74">IFERROR(INDEX(球員狀態!U$2:U$5000, MATCH(1, (球員狀態!$A$2:$A$5000=$DF$1)*(ISNUMBER(SEARCH($DF74, 球員狀態!$B$2:$B$5000))), 0)), "")</f>
        <v/>
      </c>
      <c r="DZ74" s="4" t="str">
        <f t="array" ref="DZ74">IFERROR(INDEX(球員狀態!V$2:V$5000, MATCH(1, (球員狀態!$A$2:$A$5000=$DF$1)*(ISNUMBER(SEARCH($DF74, 球員狀態!$B$2:$B$5000))), 0)), "")</f>
        <v/>
      </c>
      <c r="EA74" s="4" t="str">
        <f t="array" ref="EA74">IFERROR(INDEX(球員狀態!W$2:W$5000,MATCH(1,(球員狀態!$A$2:$A$5000=$DF$61)*(ISNUMBER(SEARCH($DF74,球員狀態!$B$2:$B$5000))),0)),"")</f>
        <v>.071</v>
      </c>
      <c r="EB74" s="4" t="str">
        <f t="array" ref="EB74">IFERROR(INDEX(球員狀態!X$2:X$5000, MATCH(1, (球員狀態!$A$2:$A$5000=$DF$1)*(ISNUMBER(SEARCH($DF74, 球員狀態!$B$2:$B$5000))), 0)), "")</f>
        <v/>
      </c>
      <c r="EC74" s="4" t="str">
        <f t="array" ref="EC74">IFERROR(INDEX(球員狀態!Y$2:Y$5000, MATCH(1, (球員狀態!$A$2:$A$5000=$DF$1)*(ISNUMBER(SEARCH($DF74, 球員狀態!$B$2:$B$5000))), 0)), "")</f>
        <v/>
      </c>
      <c r="ED74" s="4" t="str">
        <f t="array" ref="ED74">IFERROR(INDEX(球員狀態!Z$2:Z$5000,MATCH(1,(球員狀態!$A$2:$A$5000=$DF$61)*(ISNUMBER(SEARCH($DF74,球員狀態!$B$2:$B$5000))),0)),"")</f>
        <v>.222</v>
      </c>
      <c r="EE74" s="4" t="str">
        <f t="array" ref="EE74">IFERROR(INDEX(球員狀態!AA$2:AA$5000,MATCH(1,(球員狀態!$A$2:$A$5000=$DF$61)*(ISNUMBER(SEARCH($DF74,球員狀態!$B$2:$B$5000))),0)),"")</f>
        <v>3.58</v>
      </c>
      <c r="EF74" s="4" t="str">
        <f t="array" ref="EF74">IFERROR(INDEX(球員狀態!AB$2:AB$5000,MATCH(1,(球員狀態!$A$2:$A$5000=$DF$61)*(ISNUMBER(SEARCH($DF74,球員狀態!$B$2:$B$5000))),0)),"")</f>
        <v>6</v>
      </c>
      <c r="EG74" s="56"/>
      <c r="EI74" s="37" t="str">
        <f>先發名單!U$4</f>
        <v>Eloy Jimenez</v>
      </c>
      <c r="EJ74" s="4" t="str">
        <f t="array" ref="EJ74">IFERROR(INDEX(球員狀態!C$2:C$5000, MATCH(1, (球員狀態!$A$2:$A$5000=$EI$61)*(ISNUMBER(SEARCH($EI74, 球員狀態!$B$2:$B$5000))), 0)), "")</f>
        <v>OF</v>
      </c>
      <c r="EM74" s="4" t="str">
        <f t="array" ref="EM74">IFERROR(INDEX(球員狀態!F$2:F$5000, MATCH(1, (球員狀態!$A$2:$A$5000=$EI$61)*(ISNUMBER(SEARCH($EI74, 球員狀態!$B$2:$B$5000))), 0)), "")</f>
        <v>2</v>
      </c>
      <c r="EN74" s="4" t="str">
        <f t="array" ref="EN74">IFERROR(INDEX(球員狀態!G$2:G$5000, MATCH(1, (球員狀態!$A$2:$A$5000=$EI$1)*(ISNUMBER(SEARCH($EI74, 球員狀態!$B$2:$B$5000))), 0)), "")</f>
        <v/>
      </c>
      <c r="EO74" s="4" t="str">
        <f t="array" ref="EO74">IFERROR(INDEX(球員狀態!H$2:H$5000, MATCH(1, (球員狀態!$A$2:$A$5000=$EI$61)*(ISNUMBER(SEARCH($EI74, 球員狀態!$B$2:$B$5000))), 0)), "")</f>
        <v>0</v>
      </c>
      <c r="EP74" s="4" t="str">
        <f t="array" ref="EP74">IFERROR(INDEX(球員狀態!I$2:I$5000, MATCH(1, (球員狀態!$A$2:$A$5000=$EI$61)*(ISNUMBER(SEARCH($EI74, 球員狀態!$B$2:$B$5000))), 0)), "")</f>
        <v>0</v>
      </c>
      <c r="EQ74" s="4" t="str">
        <f t="array" ref="EQ74">IFERROR(INDEX(球員狀態!J$2:J$5000, MATCH(1, (球員狀態!$A$2:$A$5000=$EI$61)*(ISNUMBER(SEARCH($EI74, 球員狀態!$B$2:$B$5000))), 0)), "")</f>
        <v>0</v>
      </c>
      <c r="ER74" s="4" t="str">
        <f t="array" ref="ER74">IFERROR(INDEX(球員狀態!K$2:K$5000, MATCH(1, (球員狀態!$A$2:$A$5000=$EI$61)*(ISNUMBER(SEARCH($EI74, 球員狀態!$B$2:$B$5000))), 0)), "")</f>
        <v>3</v>
      </c>
      <c r="ES74" s="4" t="str">
        <f t="array" ref="ES74">IFERROR(INDEX(球員狀態!L$2:L$5000, MATCH(1, (球員狀態!$A$2:$A$5000=$EI$61)*(ISNUMBER(SEARCH($EI74, 球員狀態!$B$2:$B$5000))), 0)), "")</f>
        <v>9</v>
      </c>
      <c r="ET74" s="4" t="str">
        <f t="array" ref="ET74">IFERROR(INDEX(球員狀態!M$2:M$5000, MATCH(1, (球員狀態!$A$2:$A$5000=$EI$61)*(ISNUMBER(SEARCH($EI74, 球員狀態!$B$2:$B$5000))), 0)), "")</f>
        <v>3</v>
      </c>
      <c r="EU74" s="4" t="str">
        <f t="array" ref="EU74">IFERROR(INDEX(球員狀態!N$2:N$5000, MATCH(1, (球員狀態!$A$2:$A$5000=$EI$61)*(ISNUMBER(SEARCH($EI74, 球員狀態!$B$2:$B$5000))), 0)), "")</f>
        <v>4</v>
      </c>
      <c r="EV74" s="4" t="str">
        <f t="array" ref="EV74">IFERROR(INDEX(球員狀態!O$2:O$5000, MATCH(1, (球員狀態!$A$2:$A$5000=$EI$1)*(ISNUMBER(SEARCH($EI74, 球員狀態!$B$2:$B$5000))), 0)), "")</f>
        <v/>
      </c>
      <c r="EW74" s="4" t="str">
        <f t="array" ref="EW74">IFERROR(INDEX(球員狀態!P$2:P$5000, MATCH(1, (球員狀態!$A$2:$A$5000=$EI$1)*(ISNUMBER(SEARCH($EI74, 球員狀態!$B$2:$B$5000))), 0)), "")</f>
        <v/>
      </c>
      <c r="EX74" s="4" t="str">
        <f t="array" ref="EX74">IFERROR(INDEX(球員狀態!Q$2:Q$5000, MATCH(1, (球員狀態!$A$2:$A$5000=$EI$61)*(ISNUMBER(SEARCH($EI74, 球員狀態!$B$2:$B$5000))), 0)), "")</f>
        <v>.414</v>
      </c>
      <c r="EY74" s="4" t="str">
        <f t="array" ref="EY74">IFERROR(INDEX(球員狀態!R$2:R$5000, MATCH(1, (球員狀態!$A$2:$A$5000=$EI$1)*(ISNUMBER(SEARCH($EI74, 球員狀態!$B$2:$B$5000))), 0)), "")</f>
        <v/>
      </c>
      <c r="EZ74" s="4" t="str">
        <f t="array" ref="EZ74">IFERROR(INDEX(球員狀態!S$2:S$5000, MATCH(1, (球員狀態!$A$2:$A$5000=$EI$1)*(ISNUMBER(SEARCH($EI74, 球員狀態!$B$2:$B$5000))), 0)), "")</f>
        <v/>
      </c>
      <c r="FA74" s="4" t="str">
        <f t="array" ref="FA74">IFERROR(INDEX(球員狀態!T$2:T$5000, MATCH(1, (球員狀態!$A$2:$A$5000=$EI$61)*(ISNUMBER(SEARCH($EI74, 球員狀態!$B$2:$B$5000))), 0)), "")</f>
        <v>0.1</v>
      </c>
      <c r="FB74" s="4" t="str">
        <f t="array" ref="FB74">IFERROR(INDEX(球員狀態!U$2:U$5000, MATCH(1, (球員狀態!$A$2:$A$5000=$EI$1)*(ISNUMBER(SEARCH($EI74, 球員狀態!$B$2:$B$5000))), 0)), "")</f>
        <v/>
      </c>
      <c r="FC74" s="4" t="str">
        <f t="array" ref="FC74">IFERROR(INDEX(球員狀態!V$2:V$5000, MATCH(1, (球員狀態!$A$2:$A$5000=$EI$1)*(ISNUMBER(SEARCH($EI74, 球員狀態!$B$2:$B$5000))), 0)), "")</f>
        <v/>
      </c>
      <c r="FD74" s="4" t="str">
        <f t="array" ref="FD74">IFERROR(INDEX(球員狀態!W$2:W$5000, MATCH(1, (球員狀態!$A$2:$A$5000=$EI$61)*(ISNUMBER(SEARCH($EI74, 球員狀態!$B$2:$B$5000))), 0)), "")</f>
        <v>.103</v>
      </c>
      <c r="FE74" s="4" t="str">
        <f t="array" ref="FE74">IFERROR(INDEX(球員狀態!X$2:X$5000, MATCH(1, (球員狀態!$A$2:$A$5000=$EI$1)*(ISNUMBER(SEARCH($EI74, 球員狀態!$B$2:$B$5000))), 0)), "")</f>
        <v/>
      </c>
      <c r="FF74" s="4" t="str">
        <f t="array" ref="FF74">IFERROR(INDEX(球員狀態!Y$2:Y$5000, MATCH(1, (球員狀態!$A$2:$A$5000=$EI$1)*(ISNUMBER(SEARCH($EI74, 球員狀態!$B$2:$B$5000))), 0)), "")</f>
        <v/>
      </c>
      <c r="FG74" s="4" t="str">
        <f t="array" ref="FG74">IFERROR(INDEX(球員狀態!Z$2:Z$5000, MATCH(1, (球員狀態!$A$2:$A$5000=$EI$61)*(ISNUMBER(SEARCH($EI74, 球員狀態!$B$2:$B$5000))), 0)), "")</f>
        <v>.120</v>
      </c>
      <c r="FH74" s="4" t="str">
        <f t="array" ref="FH74">IFERROR(INDEX(球員狀態!AA$2:AA$5000, MATCH(1, (球員狀態!$A$2:$A$5000=$EI$61)*(ISNUMBER(SEARCH($EI74, 球員狀態!$B$2:$B$5000))), 0)), "")</f>
        <v>3.55</v>
      </c>
      <c r="FI74" s="4" t="str">
        <f t="array" ref="FI74">IFERROR(INDEX(球員狀態!AB$2:AB$5000, MATCH(1, (球員狀態!$A$2:$A$5000=$EI$61)*(ISNUMBER(SEARCH($EI74, 球員狀態!$B$2:$B$5000))), 0)), "")</f>
        <v>0</v>
      </c>
    </row>
    <row r="75" spans="80:165">
      <c r="DH75" s="40">
        <f>DJ75+DL75+DM75+DN75+DO75-DP75-DQ75+DR75</f>
        <v>2.25</v>
      </c>
      <c r="DI75" s="42">
        <f>DU75+DX75+EA75+ED75+EE75+EF75</f>
        <v>5</v>
      </c>
      <c r="DJ75" s="38">
        <f>VLOOKUP(DJ74*1, FK$2:FM$12, 3, TRUE)*FM$1</f>
        <v>1.25</v>
      </c>
      <c r="DL75" s="38">
        <f>VLOOKUP(DL74*1, FN$2:FP$12, 3, TRUE)*FP$1</f>
        <v>0.6</v>
      </c>
      <c r="DM75" s="38">
        <f>VLOOKUP(DM74*1, FQ$2:FS$12, 3, TRUE)*FS$1</f>
        <v>0</v>
      </c>
      <c r="DN75" s="38">
        <f>VLOOKUP(DN74*1, FT$2:FV$12, 3, TRUE)*FV$1</f>
        <v>0.4</v>
      </c>
      <c r="DO75" s="38">
        <f>VLOOKUP(DO74*1, FW$2:FY$12, 3, TRUE)*FY$1</f>
        <v>0.5</v>
      </c>
      <c r="DP75" s="39">
        <f>VLOOKUP(DP74*1, FK$14:FM$25, 3, TRUE)*FM$14</f>
        <v>1</v>
      </c>
      <c r="DQ75" s="39">
        <f>VLOOKUP(DQ74*1, FN$14:FP$25, 3, TRUE)*FP$14</f>
        <v>1</v>
      </c>
      <c r="DR75" s="38">
        <f>VLOOKUP(DR74*1, FQ$14:FS$25, 3, TRUE)*FS$14</f>
        <v>1.5</v>
      </c>
      <c r="DU75" s="41">
        <f>VLOOKUP(DU74*1, FK$27:FM$38, 3, TRUE)*FM$27</f>
        <v>0</v>
      </c>
      <c r="DX75" s="41">
        <f>VLOOKUP(DX74*1, FN$27:FP$38, 3, TRUE)*FP$27</f>
        <v>0</v>
      </c>
      <c r="EA75" s="41">
        <f>VLOOKUP(EA74*1, FQ$27:FS$38, 3, TRUE)*FS$27</f>
        <v>0</v>
      </c>
      <c r="ED75" s="41">
        <f>VLOOKUP(ED74*1, FT$27:FV$38, 3, TRUE)*FV$27</f>
        <v>0</v>
      </c>
      <c r="EE75" s="41">
        <f>VLOOKUP(EE74*1, FW$27:FY$38, 3, TRUE)*FY$27</f>
        <v>1.5</v>
      </c>
      <c r="EF75" s="41">
        <f>VLOOKUP(EF74*1, FK$40:FM$51, 3, TRUE)*FM$40</f>
        <v>3.5</v>
      </c>
      <c r="EG75" s="57"/>
      <c r="EK75" s="40">
        <f>EM75+EO75+EP75+EQ75+ER75-ES75-ET75+EU75</f>
        <v>0.24999999999999978</v>
      </c>
      <c r="EL75" s="42">
        <f>EX75+FA75+FD75+FG75+FH75+FI75</f>
        <v>1.5</v>
      </c>
      <c r="EM75" s="38">
        <f>VLOOKUP(EM74*1, $FK$2:$FM$12, 3, TRUE)*$FM$1</f>
        <v>0</v>
      </c>
      <c r="EO75" s="38">
        <f>VLOOKUP(EO74*1, $FN$2:$FP$12, 3, TRUE)*$FP$1</f>
        <v>0</v>
      </c>
      <c r="EP75" s="38">
        <f>VLOOKUP(EP74*1, $FQ$2:$FS$12, 3, TRUE)*$FS$1</f>
        <v>0</v>
      </c>
      <c r="EQ75" s="38">
        <f>VLOOKUP(EQ74*1, $FT$2:$FV$12, 3, TRUE)*$FV$1</f>
        <v>0</v>
      </c>
      <c r="ER75" s="38">
        <f>VLOOKUP(ER74*1, $FW$2:$FY$12, 3, TRUE)*$FY$1</f>
        <v>0.5</v>
      </c>
      <c r="ES75" s="39">
        <f>VLOOKUP(ES74*1, $FK$14:$FM$25, 3, TRUE)*$FM$14</f>
        <v>1</v>
      </c>
      <c r="ET75" s="39">
        <f>VLOOKUP(ET74*1, $FN$14:$FP$25, 3, TRUE)*$FP$14</f>
        <v>0.60000000000000009</v>
      </c>
      <c r="EU75" s="38">
        <f>VLOOKUP(EU74*1, $FQ$14:$FS$25, 3, TRUE)*$FS$14</f>
        <v>1.3499999999999999</v>
      </c>
      <c r="EX75" s="41">
        <f>VLOOKUP(EX74*1, $FK$27:$FM$38, 3, TRUE)*$FM$27</f>
        <v>0</v>
      </c>
      <c r="FA75" s="41">
        <f>VLOOKUP(FA74*1, $FN$27:$FP$38, 3, TRUE)*$FP$27</f>
        <v>0</v>
      </c>
      <c r="FD75" s="41">
        <f>VLOOKUP(FD74*1, $FQ$27:$FS$38, 3, TRUE)*$FS$27</f>
        <v>0</v>
      </c>
      <c r="FG75" s="41">
        <f>VLOOKUP(FG74*1, $FT$27:$FV$38, 3, TRUE)*$FV$27</f>
        <v>0</v>
      </c>
      <c r="FH75" s="41">
        <f>VLOOKUP(FH74*1, $FW$27:$FY$38, 3, TRUE)*$FY$27</f>
        <v>1.5</v>
      </c>
      <c r="FI75" s="41">
        <f>VLOOKUP(FI74*1, $FK$40:$FM$51, 3, TRUE)*$FM$40</f>
        <v>0</v>
      </c>
    </row>
    <row r="76" spans="80:165">
      <c r="DF76" s="37" t="str">
        <f>先發名單!L$4</f>
        <v>C. Rafaela</v>
      </c>
      <c r="DG76" s="4" t="str">
        <f t="array" ref="DG76">IFERROR(INDEX(球員狀態!$C$2:$C$5000, MATCH(1, (球員狀態!$A$2:$A$5000=$DF$61)*(ISNUMBER(SEARCH($DF76, 球員狀態!$B$2:$B$5000))), 0)), "")</f>
        <v/>
      </c>
      <c r="DJ76" s="4" t="str">
        <f t="array" ref="DJ76">IFERROR(INDEX(球員狀態!$F$2:$F$5000,MATCH(1,(球員狀態!$A$2:$A$5000=$DF$61)*(ISNUMBER(SEARCH($DF76,球員狀態!$B$2:$B$5000))),0)),"")</f>
        <v/>
      </c>
      <c r="DK76" s="4" t="str">
        <f t="array" ref="DK76">IFERROR(INDEX(球員狀態!G$2:G$5000, MATCH(1, (球員狀態!$A$2:$A$5000=$DF$1)*(ISNUMBER(SEARCH($DF76, 球員狀態!$B$2:$B$5000))), 0)), "")</f>
        <v/>
      </c>
      <c r="DL76" s="4" t="str">
        <f t="array" ref="DL76">IFERROR(INDEX(球員狀態!H$2:H$5000, MATCH(1, (球員狀態!$A$2:$A$5000=$DF$61)*(ISNUMBER(SEARCH($DF76, 球員狀態!$B$2:$B$5000))), 0)), "")</f>
        <v/>
      </c>
      <c r="DM76" s="4" t="str">
        <f t="array" ref="DM76">IFERROR(INDEX(球員狀態!I$2:I$5000,MATCH(1,(球員狀態!$A$2:$A$5000=$DF$61)*(ISNUMBER(SEARCH($DF76,球員狀態!$B$2:$B$5000))),0)),"")</f>
        <v/>
      </c>
      <c r="DN76" s="4" t="str">
        <f t="array" ref="DN76">IFERROR(INDEX(球員狀態!J$2:J$5000,MATCH(1,(球員狀態!$A$2:$A$5000=$DF$61)*(ISNUMBER(SEARCH($DF76,球員狀態!$B$2:$B$5000))),0)),"")</f>
        <v/>
      </c>
      <c r="DO76" s="4" t="str">
        <f t="array" ref="DO76">IFERROR(INDEX(球員狀態!K$2:K$5000,MATCH(1,(球員狀態!$A$2:$A$5000=$DF$61)*(ISNUMBER(SEARCH($DF76,球員狀態!$B$2:$B$5000))),0)),"")</f>
        <v/>
      </c>
      <c r="DP76" s="4" t="str">
        <f t="array" ref="DP76">IFERROR(INDEX(球員狀態!L$2:L$5000,MATCH(1,(球員狀態!$A$2:$A$5000=$DF$61)*(ISNUMBER(SEARCH($DF76,球員狀態!$B$2:$B$5000))),0)),"")</f>
        <v/>
      </c>
      <c r="DQ76" s="4" t="str">
        <f t="array" ref="DQ76">IFERROR(INDEX(球員狀態!M$2:M$5000,MATCH(1,(球員狀態!$A$2:$A$5000=$DF$61)*(ISNUMBER(SEARCH($DF76,球員狀態!$B$2:$B$5000))),0)),"")</f>
        <v/>
      </c>
      <c r="DR76" s="4" t="str">
        <f t="array" ref="DR76">IFERROR(INDEX(球員狀態!N$2:N$5000,MATCH(1,(球員狀態!$A$2:$A$5000=$DF$61)*(ISNUMBER(SEARCH($DF76,球員狀態!$B$2:$B$5000))),0)),"")</f>
        <v/>
      </c>
      <c r="DS76" s="4" t="str">
        <f t="array" ref="DS76">IFERROR(INDEX(球員狀態!O$2:O$5000, MATCH(1, (球員狀態!$A$2:$A$5000=$DF$1)*(ISNUMBER(SEARCH($DF76, 球員狀態!$B$2:$B$5000))), 0)), "")</f>
        <v/>
      </c>
      <c r="DT76" s="4" t="str">
        <f t="array" ref="DT76">IFERROR(INDEX(球員狀態!P$2:P$5000, MATCH(1, (球員狀態!$A$2:$A$5000=$DF$1)*(ISNUMBER(SEARCH($DF76, 球員狀態!$B$2:$B$5000))), 0)), "")</f>
        <v/>
      </c>
      <c r="DU76" s="4" t="str">
        <f t="array" ref="DU76">IFERROR(INDEX(球員狀態!Q$2:Q$5000,MATCH(1,(球員狀態!$A$2:$A$5000=$DF$61)*(ISNUMBER(SEARCH($DF76,球員狀態!$B$2:$B$5000))),0)),"")</f>
        <v/>
      </c>
      <c r="DV76" s="4" t="str">
        <f t="array" ref="DV76">IFERROR(INDEX(球員狀態!R$2:R$5000, MATCH(1, (球員狀態!$A$2:$A$5000=$DF$1)*(ISNUMBER(SEARCH($DF76, 球員狀態!$B$2:$B$5000))), 0)), "")</f>
        <v/>
      </c>
      <c r="DW76" s="4" t="str">
        <f t="array" ref="DW76">IFERROR(INDEX(球員狀態!S$2:S$5000, MATCH(1, (球員狀態!$A$2:$A$5000=$DF$1)*(ISNUMBER(SEARCH($DF76, 球員狀態!$B$2:$B$5000))), 0)), "")</f>
        <v/>
      </c>
      <c r="DX76" s="4" t="str">
        <f t="array" ref="DX76">IFERROR(INDEX(球員狀態!T$2:T$5000,MATCH(1,(球員狀態!$A$2:$A$5000=$DF$61)*(ISNUMBER(SEARCH($DF76,球員狀態!$B$2:$B$5000))),0)),"")</f>
        <v/>
      </c>
      <c r="DY76" s="4" t="str">
        <f t="array" ref="DY76">IFERROR(INDEX(球員狀態!U$2:U$5000, MATCH(1, (球員狀態!$A$2:$A$5000=$DF$1)*(ISNUMBER(SEARCH($DF76, 球員狀態!$B$2:$B$5000))), 0)), "")</f>
        <v/>
      </c>
      <c r="DZ76" s="4" t="str">
        <f t="array" ref="DZ76">IFERROR(INDEX(球員狀態!V$2:V$5000, MATCH(1, (球員狀態!$A$2:$A$5000=$DF$1)*(ISNUMBER(SEARCH($DF76, 球員狀態!$B$2:$B$5000))), 0)), "")</f>
        <v/>
      </c>
      <c r="EA76" s="4" t="str">
        <f t="array" ref="EA76">IFERROR(INDEX(球員狀態!W$2:W$5000,MATCH(1,(球員狀態!$A$2:$A$5000=$DF$61)*(ISNUMBER(SEARCH($DF76,球員狀態!$B$2:$B$5000))),0)),"")</f>
        <v/>
      </c>
      <c r="EB76" s="4" t="str">
        <f t="array" ref="EB76">IFERROR(INDEX(球員狀態!X$2:X$5000, MATCH(1, (球員狀態!$A$2:$A$5000=$DF$1)*(ISNUMBER(SEARCH($DF76, 球員狀態!$B$2:$B$5000))), 0)), "")</f>
        <v/>
      </c>
      <c r="EC76" s="4" t="str">
        <f t="array" ref="EC76">IFERROR(INDEX(球員狀態!Y$2:Y$5000, MATCH(1, (球員狀態!$A$2:$A$5000=$DF$1)*(ISNUMBER(SEARCH($DF76, 球員狀態!$B$2:$B$5000))), 0)), "")</f>
        <v/>
      </c>
      <c r="ED76" s="4" t="str">
        <f t="array" ref="ED76">IFERROR(INDEX(球員狀態!Z$2:Z$5000,MATCH(1,(球員狀態!$A$2:$A$5000=$DF$61)*(ISNUMBER(SEARCH($DF76,球員狀態!$B$2:$B$5000))),0)),"")</f>
        <v/>
      </c>
      <c r="EE76" s="4" t="str">
        <f t="array" ref="EE76">IFERROR(INDEX(球員狀態!AA$2:AA$5000,MATCH(1,(球員狀態!$A$2:$A$5000=$DF$61)*(ISNUMBER(SEARCH($DF76,球員狀態!$B$2:$B$5000))),0)),"")</f>
        <v/>
      </c>
      <c r="EF76" s="4" t="str">
        <f t="array" ref="EF76">IFERROR(INDEX(球員狀態!AB$2:AB$5000,MATCH(1,(球員狀態!$A$2:$A$5000=$DF$61)*(ISNUMBER(SEARCH($DF76,球員狀態!$B$2:$B$5000))),0)),"")</f>
        <v/>
      </c>
      <c r="EG76" s="56"/>
      <c r="EI76" s="37" t="str">
        <f>先發名單!V$4</f>
        <v>Myles Straw</v>
      </c>
      <c r="EJ76" s="4" t="str">
        <f t="array" ref="EJ76">IFERROR(INDEX(球員狀態!C$2:C$5000, MATCH(1, (球員狀態!$A$2:$A$5000=$EI$61)*(ISNUMBER(SEARCH($EI76, 球員狀態!$B$2:$B$5000))), 0)), "")</f>
        <v>CF</v>
      </c>
      <c r="EM76" s="4" t="str">
        <f t="array" ref="EM76">IFERROR(INDEX(球員狀態!F$2:F$5000, MATCH(1, (球員狀態!$A$2:$A$5000=$EI$61)*(ISNUMBER(SEARCH($EI76, 球員狀態!$B$2:$B$5000))), 0)), "")</f>
        <v>12</v>
      </c>
      <c r="EN76" s="4" t="str">
        <f t="array" ref="EN76">IFERROR(INDEX(球員狀態!G$2:G$5000, MATCH(1, (球員狀態!$A$2:$A$5000=$EI$1)*(ISNUMBER(SEARCH($EI76, 球員狀態!$B$2:$B$5000))), 0)), "")</f>
        <v/>
      </c>
      <c r="EO76" s="4" t="str">
        <f t="array" ref="EO76">IFERROR(INDEX(球員狀態!H$2:H$5000, MATCH(1, (球員狀態!$A$2:$A$5000=$EI$61)*(ISNUMBER(SEARCH($EI76, 球員狀態!$B$2:$B$5000))), 0)), "")</f>
        <v>2</v>
      </c>
      <c r="EP76" s="4" t="str">
        <f t="array" ref="EP76">IFERROR(INDEX(球員狀態!I$2:I$5000, MATCH(1, (球員狀態!$A$2:$A$5000=$EI$61)*(ISNUMBER(SEARCH($EI76, 球員狀態!$B$2:$B$5000))), 0)), "")</f>
        <v>0</v>
      </c>
      <c r="EQ76" s="4" t="str">
        <f t="array" ref="EQ76">IFERROR(INDEX(球員狀態!J$2:J$5000, MATCH(1, (球員狀態!$A$2:$A$5000=$EI$61)*(ISNUMBER(SEARCH($EI76, 球員狀態!$B$2:$B$5000))), 0)), "")</f>
        <v>1</v>
      </c>
      <c r="ER76" s="4" t="str">
        <f t="array" ref="ER76">IFERROR(INDEX(球員狀態!K$2:K$5000, MATCH(1, (球員狀態!$A$2:$A$5000=$EI$61)*(ISNUMBER(SEARCH($EI76, 球員狀態!$B$2:$B$5000))), 0)), "")</f>
        <v>3</v>
      </c>
      <c r="ES76" s="4" t="str">
        <f t="array" ref="ES76">IFERROR(INDEX(球員狀態!L$2:L$5000, MATCH(1, (球員狀態!$A$2:$A$5000=$EI$61)*(ISNUMBER(SEARCH($EI76, 球員狀態!$B$2:$B$5000))), 0)), "")</f>
        <v>17</v>
      </c>
      <c r="ET76" s="4" t="str">
        <f t="array" ref="ET76">IFERROR(INDEX(球員狀態!M$2:M$5000, MATCH(1, (球員狀態!$A$2:$A$5000=$EI$61)*(ISNUMBER(SEARCH($EI76, 球員狀態!$B$2:$B$5000))), 0)), "")</f>
        <v>3</v>
      </c>
      <c r="EU76" s="4" t="str">
        <f t="array" ref="EU76">IFERROR(INDEX(球員狀態!N$2:N$5000, MATCH(1, (球員狀態!$A$2:$A$5000=$EI$61)*(ISNUMBER(SEARCH($EI76, 球員狀態!$B$2:$B$5000))), 0)), "")</f>
        <v>3</v>
      </c>
      <c r="EV76" s="4" t="str">
        <f t="array" ref="EV76">IFERROR(INDEX(球員狀態!O$2:O$5000, MATCH(1, (球員狀態!$A$2:$A$5000=$EI$1)*(ISNUMBER(SEARCH($EI76, 球員狀態!$B$2:$B$5000))), 0)), "")</f>
        <v/>
      </c>
      <c r="EW76" s="4" t="str">
        <f t="array" ref="EW76">IFERROR(INDEX(球員狀態!P$2:P$5000, MATCH(1, (球員狀態!$A$2:$A$5000=$EI$1)*(ISNUMBER(SEARCH($EI76, 球員狀態!$B$2:$B$5000))), 0)), "")</f>
        <v/>
      </c>
      <c r="EX76" s="4" t="str">
        <f t="array" ref="EX76">IFERROR(INDEX(球員狀態!Q$2:Q$5000, MATCH(1, (球員狀態!$A$2:$A$5000=$EI$61)*(ISNUMBER(SEARCH($EI76, 球員狀態!$B$2:$B$5000))), 0)), "")</f>
        <v>.366</v>
      </c>
      <c r="EY76" s="4" t="str">
        <f t="array" ref="EY76">IFERROR(INDEX(球員狀態!R$2:R$5000, MATCH(1, (球員狀態!$A$2:$A$5000=$EI$1)*(ISNUMBER(SEARCH($EI76, 球員狀態!$B$2:$B$5000))), 0)), "")</f>
        <v/>
      </c>
      <c r="EZ76" s="4" t="str">
        <f t="array" ref="EZ76">IFERROR(INDEX(球員狀態!S$2:S$5000, MATCH(1, (球員狀態!$A$2:$A$5000=$EI$1)*(ISNUMBER(SEARCH($EI76, 球員狀態!$B$2:$B$5000))), 0)), "")</f>
        <v/>
      </c>
      <c r="FA76" s="4" t="str">
        <f t="array" ref="FA76">IFERROR(INDEX(球員狀態!T$2:T$5000, MATCH(1, (球員狀態!$A$2:$A$5000=$EI$61)*(ISNUMBER(SEARCH($EI76, 球員狀態!$B$2:$B$5000))), 0)), "")</f>
        <v>0.2</v>
      </c>
      <c r="FB76" s="4" t="str">
        <f t="array" ref="FB76">IFERROR(INDEX(球員狀態!U$2:U$5000, MATCH(1, (球員狀態!$A$2:$A$5000=$EI$1)*(ISNUMBER(SEARCH($EI76, 球員狀態!$B$2:$B$5000))), 0)), "")</f>
        <v/>
      </c>
      <c r="FC76" s="4" t="str">
        <f t="array" ref="FC76">IFERROR(INDEX(球員狀態!V$2:V$5000, MATCH(1, (球員狀態!$A$2:$A$5000=$EI$1)*(ISNUMBER(SEARCH($EI76, 球員狀態!$B$2:$B$5000))), 0)), "")</f>
        <v/>
      </c>
      <c r="FD76" s="4" t="str">
        <f t="array" ref="FD76">IFERROR(INDEX(球員狀態!W$2:W$5000, MATCH(1, (球員狀態!$A$2:$A$5000=$EI$61)*(ISNUMBER(SEARCH($EI76, 球員狀態!$B$2:$B$5000))), 0)), "")</f>
        <v>.071</v>
      </c>
      <c r="FE76" s="4" t="str">
        <f t="array" ref="FE76">IFERROR(INDEX(球員狀態!X$2:X$5000, MATCH(1, (球員狀態!$A$2:$A$5000=$EI$1)*(ISNUMBER(SEARCH($EI76, 球員狀態!$B$2:$B$5000))), 0)), "")</f>
        <v/>
      </c>
      <c r="FF76" s="4" t="str">
        <f t="array" ref="FF76">IFERROR(INDEX(球員狀態!Y$2:Y$5000, MATCH(1, (球員狀態!$A$2:$A$5000=$EI$1)*(ISNUMBER(SEARCH($EI76, 球員狀態!$B$2:$B$5000))), 0)), "")</f>
        <v/>
      </c>
      <c r="FG76" s="4" t="str">
        <f t="array" ref="FG76">IFERROR(INDEX(球員狀態!Z$2:Z$5000, MATCH(1, (球員狀態!$A$2:$A$5000=$EI$61)*(ISNUMBER(SEARCH($EI76, 球員狀態!$B$2:$B$5000))), 0)), "")</f>
        <v>.211</v>
      </c>
      <c r="FH76" s="4" t="str">
        <f t="array" ref="FH76">IFERROR(INDEX(球員狀態!AA$2:AA$5000, MATCH(1, (球員狀態!$A$2:$A$5000=$EI$61)*(ISNUMBER(SEARCH($EI76, 球員狀態!$B$2:$B$5000))), 0)), "")</f>
        <v>3.67</v>
      </c>
      <c r="FI76" s="4" t="str">
        <f t="array" ref="FI76">IFERROR(INDEX(球員狀態!AB$2:AB$5000, MATCH(1, (球員狀態!$A$2:$A$5000=$EI$61)*(ISNUMBER(SEARCH($EI76, 球員狀態!$B$2:$B$5000))), 0)), "")</f>
        <v>3</v>
      </c>
    </row>
    <row r="77" spans="80:165">
      <c r="DH77" s="40" t="e">
        <f>DJ77+DL77+DM77+DN77+DO77-DP77-DQ77+DR77</f>
        <v>#VALUE!</v>
      </c>
      <c r="DI77" s="42" t="e">
        <f>DU77+DX77+EA77+ED77+EE77+EF77</f>
        <v>#VALUE!</v>
      </c>
      <c r="DJ77" s="38" t="e">
        <f>VLOOKUP(DJ76*1, FK$2:FM$12, 3, TRUE)*FM$1</f>
        <v>#VALUE!</v>
      </c>
      <c r="DL77" s="38" t="e">
        <f>VLOOKUP(DL76*1, FN$2:FP$12, 3, TRUE)*FP$1</f>
        <v>#VALUE!</v>
      </c>
      <c r="DM77" s="38" t="e">
        <f>VLOOKUP(DM76*1, FQ$2:FS$12, 3, TRUE)*FS$1</f>
        <v>#VALUE!</v>
      </c>
      <c r="DN77" s="38" t="e">
        <f>VLOOKUP(DN76*1, FT$2:FV$12, 3, TRUE)*FV$1</f>
        <v>#VALUE!</v>
      </c>
      <c r="DO77" s="38" t="e">
        <f>VLOOKUP(DO76*1, FW$2:FY$12, 3, TRUE)*FY$1</f>
        <v>#VALUE!</v>
      </c>
      <c r="DP77" s="39" t="e">
        <f>VLOOKUP(DP76*1, FK$14:FM$25, 3, TRUE)*FM$14</f>
        <v>#VALUE!</v>
      </c>
      <c r="DQ77" s="39" t="e">
        <f>VLOOKUP(DQ76*1, FN$14:FP$25, 3, TRUE)*FP$14</f>
        <v>#VALUE!</v>
      </c>
      <c r="DR77" s="38" t="e">
        <f>VLOOKUP(DR76*1, FQ$14:FS$25, 3, TRUE)*FS$14</f>
        <v>#VALUE!</v>
      </c>
      <c r="DU77" s="41" t="e">
        <f>VLOOKUP(DU76*1, FK$27:FM$38, 3, TRUE)*FM$27</f>
        <v>#VALUE!</v>
      </c>
      <c r="DX77" s="41" t="e">
        <f>VLOOKUP(DX76*1, FN$27:FP$38, 3, TRUE)*FP$27</f>
        <v>#VALUE!</v>
      </c>
      <c r="EA77" s="41" t="e">
        <f>VLOOKUP(EA76*1, FQ$27:FS$38, 3, TRUE)*FS$27</f>
        <v>#VALUE!</v>
      </c>
      <c r="ED77" s="41" t="e">
        <f>VLOOKUP(ED76*1, FT$27:FV$38, 3, TRUE)*FV$27</f>
        <v>#VALUE!</v>
      </c>
      <c r="EE77" s="41" t="e">
        <f>VLOOKUP(EE76*1, FW$27:FY$38, 3, TRUE)*FY$27</f>
        <v>#VALUE!</v>
      </c>
      <c r="EF77" s="41" t="e">
        <f>VLOOKUP(EF76*1, FK$40:FM$51, 3, TRUE)*FM$40</f>
        <v>#VALUE!</v>
      </c>
      <c r="EG77" s="57"/>
      <c r="EK77" s="40">
        <f>EM77+EO77+EP77+EQ77+ER77-ES77-ET77+EU77</f>
        <v>1.4999999999999998</v>
      </c>
      <c r="EL77" s="42">
        <f>EX77+FA77+FD77+FG77+FH77+FI77</f>
        <v>5</v>
      </c>
      <c r="EM77" s="38">
        <f>VLOOKUP(EM76*1, $FK$2:$FM$12, 3, TRUE)*$FM$1</f>
        <v>1</v>
      </c>
      <c r="EO77" s="38">
        <f>VLOOKUP(EO76*1, $FN$2:$FP$12, 3, TRUE)*$FP$1</f>
        <v>0.15</v>
      </c>
      <c r="EP77" s="38">
        <f>VLOOKUP(EP76*1, $FQ$2:$FS$12, 3, TRUE)*$FS$1</f>
        <v>0</v>
      </c>
      <c r="EQ77" s="38">
        <f>VLOOKUP(EQ76*1, $FT$2:$FV$12, 3, TRUE)*$FV$1</f>
        <v>0.4</v>
      </c>
      <c r="ER77" s="38">
        <f>VLOOKUP(ER76*1, $FW$2:$FY$12, 3, TRUE)*$FY$1</f>
        <v>0.5</v>
      </c>
      <c r="ES77" s="39">
        <f>VLOOKUP(ES76*1, $FK$14:$FM$25, 3, TRUE)*$FM$14</f>
        <v>1</v>
      </c>
      <c r="ET77" s="39">
        <f>VLOOKUP(ET76*1, $FN$14:$FP$25, 3, TRUE)*$FP$14</f>
        <v>0.60000000000000009</v>
      </c>
      <c r="EU77" s="38">
        <f>VLOOKUP(EU76*1, $FQ$14:$FS$25, 3, TRUE)*$FS$14</f>
        <v>1.05</v>
      </c>
      <c r="EX77" s="41">
        <f>VLOOKUP(EX76*1, $FK$27:$FM$38, 3, TRUE)*$FM$27</f>
        <v>0</v>
      </c>
      <c r="FA77" s="41">
        <f>VLOOKUP(FA76*1, $FN$27:$FP$38, 3, TRUE)*$FP$27</f>
        <v>0</v>
      </c>
      <c r="FD77" s="41">
        <f>VLOOKUP(FD76*1, $FQ$27:$FS$38, 3, TRUE)*$FS$27</f>
        <v>0</v>
      </c>
      <c r="FG77" s="41">
        <f>VLOOKUP(FG76*1, $FT$27:$FV$38, 3, TRUE)*$FV$27</f>
        <v>0</v>
      </c>
      <c r="FH77" s="41">
        <f>VLOOKUP(FH76*1, $FW$27:$FY$38, 3, TRUE)*$FY$27</f>
        <v>1.5</v>
      </c>
      <c r="FI77" s="41">
        <f>VLOOKUP(FI76*1, $FK$40:$FM$51, 3, TRUE)*$FM$40</f>
        <v>3.5</v>
      </c>
    </row>
    <row r="78" spans="80:165">
      <c r="DF78" s="37" t="str">
        <f>先發名單!M$4</f>
        <v>M. Mayer</v>
      </c>
      <c r="DG78" s="4" t="str">
        <f t="array" ref="DG78">IFERROR(INDEX(球員狀態!$C$2:$C$5000, MATCH(1, (球員狀態!$A$2:$A$5000=$DF$61)*(ISNUMBER(SEARCH($DF78, 球員狀態!$B$2:$B$5000))), 0)), "")</f>
        <v/>
      </c>
      <c r="DJ78" s="4" t="str">
        <f t="array" ref="DJ78">IFERROR(INDEX(球員狀態!$F$2:$F$5000,MATCH(1,(球員狀態!$A$2:$A$5000=$DF$61)*(ISNUMBER(SEARCH($DF78,球員狀態!$B$2:$B$5000))),0)),"")</f>
        <v/>
      </c>
      <c r="DK78" s="4" t="str">
        <f t="array" ref="DK78">IFERROR(INDEX(球員狀態!G$2:G$5000, MATCH(1, (球員狀態!$A$2:$A$5000=$DF$1)*(ISNUMBER(SEARCH($DF78, 球員狀態!$B$2:$B$5000))), 0)), "")</f>
        <v/>
      </c>
      <c r="DL78" s="4" t="str">
        <f t="array" ref="DL78">IFERROR(INDEX(球員狀態!H$2:H$5000, MATCH(1, (球員狀態!$A$2:$A$5000=$DF$61)*(ISNUMBER(SEARCH($DF78, 球員狀態!$B$2:$B$5000))), 0)), "")</f>
        <v/>
      </c>
      <c r="DM78" s="4" t="str">
        <f t="array" ref="DM78">IFERROR(INDEX(球員狀態!I$2:I$5000,MATCH(1,(球員狀態!$A$2:$A$5000=$DF$61)*(ISNUMBER(SEARCH($DF78,球員狀態!$B$2:$B$5000))),0)),"")</f>
        <v/>
      </c>
      <c r="DN78" s="4" t="str">
        <f t="array" ref="DN78">IFERROR(INDEX(球員狀態!J$2:J$5000,MATCH(1,(球員狀態!$A$2:$A$5000=$DF$61)*(ISNUMBER(SEARCH($DF78,球員狀態!$B$2:$B$5000))),0)),"")</f>
        <v/>
      </c>
      <c r="DO78" s="4" t="str">
        <f t="array" ref="DO78">IFERROR(INDEX(球員狀態!K$2:K$5000,MATCH(1,(球員狀態!$A$2:$A$5000=$DF$61)*(ISNUMBER(SEARCH($DF78,球員狀態!$B$2:$B$5000))),0)),"")</f>
        <v/>
      </c>
      <c r="DP78" s="4" t="str">
        <f t="array" ref="DP78">IFERROR(INDEX(球員狀態!L$2:L$5000,MATCH(1,(球員狀態!$A$2:$A$5000=$DF$61)*(ISNUMBER(SEARCH($DF78,球員狀態!$B$2:$B$5000))),0)),"")</f>
        <v/>
      </c>
      <c r="DQ78" s="4" t="str">
        <f t="array" ref="DQ78">IFERROR(INDEX(球員狀態!M$2:M$5000,MATCH(1,(球員狀態!$A$2:$A$5000=$DF$61)*(ISNUMBER(SEARCH($DF78,球員狀態!$B$2:$B$5000))),0)),"")</f>
        <v/>
      </c>
      <c r="DR78" s="4" t="str">
        <f t="array" ref="DR78">IFERROR(INDEX(球員狀態!N$2:N$5000,MATCH(1,(球員狀態!$A$2:$A$5000=$DF$61)*(ISNUMBER(SEARCH($DF78,球員狀態!$B$2:$B$5000))),0)),"")</f>
        <v/>
      </c>
      <c r="DS78" s="4" t="str">
        <f t="array" ref="DS78">IFERROR(INDEX(球員狀態!O$2:O$5000, MATCH(1, (球員狀態!$A$2:$A$5000=$DF$1)*(ISNUMBER(SEARCH($DF78, 球員狀態!$B$2:$B$5000))), 0)), "")</f>
        <v/>
      </c>
      <c r="DT78" s="4" t="str">
        <f t="array" ref="DT78">IFERROR(INDEX(球員狀態!P$2:P$5000, MATCH(1, (球員狀態!$A$2:$A$5000=$DF$1)*(ISNUMBER(SEARCH($DF78, 球員狀態!$B$2:$B$5000))), 0)), "")</f>
        <v/>
      </c>
      <c r="DU78" s="4" t="str">
        <f t="array" ref="DU78">IFERROR(INDEX(球員狀態!Q$2:Q$5000,MATCH(1,(球員狀態!$A$2:$A$5000=$DF$61)*(ISNUMBER(SEARCH($DF78,球員狀態!$B$2:$B$5000))),0)),"")</f>
        <v/>
      </c>
      <c r="DV78" s="4" t="str">
        <f t="array" ref="DV78">IFERROR(INDEX(球員狀態!R$2:R$5000, MATCH(1, (球員狀態!$A$2:$A$5000=$DF$1)*(ISNUMBER(SEARCH($DF78, 球員狀態!$B$2:$B$5000))), 0)), "")</f>
        <v/>
      </c>
      <c r="DW78" s="4" t="str">
        <f t="array" ref="DW78">IFERROR(INDEX(球員狀態!S$2:S$5000, MATCH(1, (球員狀態!$A$2:$A$5000=$DF$1)*(ISNUMBER(SEARCH($DF78, 球員狀態!$B$2:$B$5000))), 0)), "")</f>
        <v/>
      </c>
      <c r="DX78" s="4" t="str">
        <f t="array" ref="DX78">IFERROR(INDEX(球員狀態!T$2:T$5000,MATCH(1,(球員狀態!$A$2:$A$5000=$DF$61)*(ISNUMBER(SEARCH($DF78,球員狀態!$B$2:$B$5000))),0)),"")</f>
        <v/>
      </c>
      <c r="DY78" s="4" t="str">
        <f t="array" ref="DY78">IFERROR(INDEX(球員狀態!U$2:U$5000, MATCH(1, (球員狀態!$A$2:$A$5000=$DF$1)*(ISNUMBER(SEARCH($DF78, 球員狀態!$B$2:$B$5000))), 0)), "")</f>
        <v/>
      </c>
      <c r="DZ78" s="4" t="str">
        <f t="array" ref="DZ78">IFERROR(INDEX(球員狀態!V$2:V$5000, MATCH(1, (球員狀態!$A$2:$A$5000=$DF$1)*(ISNUMBER(SEARCH($DF78, 球員狀態!$B$2:$B$5000))), 0)), "")</f>
        <v/>
      </c>
      <c r="EA78" s="4" t="str">
        <f t="array" ref="EA78">IFERROR(INDEX(球員狀態!W$2:W$5000,MATCH(1,(球員狀態!$A$2:$A$5000=$DF$61)*(ISNUMBER(SEARCH($DF78,球員狀態!$B$2:$B$5000))),0)),"")</f>
        <v/>
      </c>
      <c r="EB78" s="4" t="str">
        <f t="array" ref="EB78">IFERROR(INDEX(球員狀態!X$2:X$5000, MATCH(1, (球員狀態!$A$2:$A$5000=$DF$1)*(ISNUMBER(SEARCH($DF78, 球員狀態!$B$2:$B$5000))), 0)), "")</f>
        <v/>
      </c>
      <c r="EC78" s="4" t="str">
        <f t="array" ref="EC78">IFERROR(INDEX(球員狀態!Y$2:Y$5000, MATCH(1, (球員狀態!$A$2:$A$5000=$DF$1)*(ISNUMBER(SEARCH($DF78, 球員狀態!$B$2:$B$5000))), 0)), "")</f>
        <v/>
      </c>
      <c r="ED78" s="4" t="str">
        <f t="array" ref="ED78">IFERROR(INDEX(球員狀態!Z$2:Z$5000,MATCH(1,(球員狀態!$A$2:$A$5000=$DF$61)*(ISNUMBER(SEARCH($DF78,球員狀態!$B$2:$B$5000))),0)),"")</f>
        <v/>
      </c>
      <c r="EE78" s="4" t="str">
        <f t="array" ref="EE78">IFERROR(INDEX(球員狀態!AA$2:AA$5000,MATCH(1,(球員狀態!$A$2:$A$5000=$DF$61)*(ISNUMBER(SEARCH($DF78,球員狀態!$B$2:$B$5000))),0)),"")</f>
        <v/>
      </c>
      <c r="EF78" s="4" t="str">
        <f t="array" ref="EF78">IFERROR(INDEX(球員狀態!AB$2:AB$5000,MATCH(1,(球員狀態!$A$2:$A$5000=$DF$61)*(ISNUMBER(SEARCH($DF78,球員狀態!$B$2:$B$5000))),0)),"")</f>
        <v/>
      </c>
      <c r="EG78" s="56"/>
      <c r="EI78" s="37" t="str">
        <f>先發名單!W$4</f>
        <v>A. Gimenez</v>
      </c>
      <c r="EJ78" s="4" t="str">
        <f t="array" ref="EJ78">IFERROR(INDEX(球員狀態!C$2:C$5000, MATCH(1, (球員狀態!$A$2:$A$5000=$EI$61)*(ISNUMBER(SEARCH($EI78, 球員狀態!$B$2:$B$5000))), 0)), "")</f>
        <v/>
      </c>
      <c r="EM78" s="4" t="str">
        <f t="array" ref="EM78">IFERROR(INDEX(球員狀態!F$2:F$5000, MATCH(1, (球員狀態!$A$2:$A$5000=$EI$61)*(ISNUMBER(SEARCH($EI78, 球員狀態!$B$2:$B$5000))), 0)), "")</f>
        <v/>
      </c>
      <c r="EN78" s="4" t="str">
        <f t="array" ref="EN78">IFERROR(INDEX(球員狀態!G$2:G$5000, MATCH(1, (球員狀態!$A$2:$A$5000=$EI$1)*(ISNUMBER(SEARCH($EI78, 球員狀態!$B$2:$B$5000))), 0)), "")</f>
        <v/>
      </c>
      <c r="EO78" s="4" t="str">
        <f t="array" ref="EO78">IFERROR(INDEX(球員狀態!H$2:H$5000, MATCH(1, (球員狀態!$A$2:$A$5000=$EI$61)*(ISNUMBER(SEARCH($EI78, 球員狀態!$B$2:$B$5000))), 0)), "")</f>
        <v/>
      </c>
      <c r="EP78" s="4" t="str">
        <f t="array" ref="EP78">IFERROR(INDEX(球員狀態!I$2:I$5000, MATCH(1, (球員狀態!$A$2:$A$5000=$EI$61)*(ISNUMBER(SEARCH($EI78, 球員狀態!$B$2:$B$5000))), 0)), "")</f>
        <v/>
      </c>
      <c r="EQ78" s="4" t="str">
        <f t="array" ref="EQ78">IFERROR(INDEX(球員狀態!J$2:J$5000, MATCH(1, (球員狀態!$A$2:$A$5000=$EI$61)*(ISNUMBER(SEARCH($EI78, 球員狀態!$B$2:$B$5000))), 0)), "")</f>
        <v/>
      </c>
      <c r="ER78" s="4" t="str">
        <f t="array" ref="ER78">IFERROR(INDEX(球員狀態!K$2:K$5000, MATCH(1, (球員狀態!$A$2:$A$5000=$EI$61)*(ISNUMBER(SEARCH($EI78, 球員狀態!$B$2:$B$5000))), 0)), "")</f>
        <v/>
      </c>
      <c r="ES78" s="4" t="str">
        <f t="array" ref="ES78">IFERROR(INDEX(球員狀態!L$2:L$5000, MATCH(1, (球員狀態!$A$2:$A$5000=$EI$61)*(ISNUMBER(SEARCH($EI78, 球員狀態!$B$2:$B$5000))), 0)), "")</f>
        <v/>
      </c>
      <c r="ET78" s="4" t="str">
        <f t="array" ref="ET78">IFERROR(INDEX(球員狀態!M$2:M$5000, MATCH(1, (球員狀態!$A$2:$A$5000=$EI$61)*(ISNUMBER(SEARCH($EI78, 球員狀態!$B$2:$B$5000))), 0)), "")</f>
        <v/>
      </c>
      <c r="EU78" s="4" t="str">
        <f t="array" ref="EU78">IFERROR(INDEX(球員狀態!N$2:N$5000, MATCH(1, (球員狀態!$A$2:$A$5000=$EI$61)*(ISNUMBER(SEARCH($EI78, 球員狀態!$B$2:$B$5000))), 0)), "")</f>
        <v/>
      </c>
      <c r="EV78" s="4" t="str">
        <f t="array" ref="EV78">IFERROR(INDEX(球員狀態!O$2:O$5000, MATCH(1, (球員狀態!$A$2:$A$5000=$EI$1)*(ISNUMBER(SEARCH($EI78, 球員狀態!$B$2:$B$5000))), 0)), "")</f>
        <v/>
      </c>
      <c r="EW78" s="4" t="str">
        <f t="array" ref="EW78">IFERROR(INDEX(球員狀態!P$2:P$5000, MATCH(1, (球員狀態!$A$2:$A$5000=$EI$1)*(ISNUMBER(SEARCH($EI78, 球員狀態!$B$2:$B$5000))), 0)), "")</f>
        <v/>
      </c>
      <c r="EX78" s="4" t="str">
        <f t="array" ref="EX78">IFERROR(INDEX(球員狀態!Q$2:Q$5000, MATCH(1, (球員狀態!$A$2:$A$5000=$EI$61)*(ISNUMBER(SEARCH($EI78, 球員狀態!$B$2:$B$5000))), 0)), "")</f>
        <v/>
      </c>
      <c r="EY78" s="4" t="str">
        <f t="array" ref="EY78">IFERROR(INDEX(球員狀態!R$2:R$5000, MATCH(1, (球員狀態!$A$2:$A$5000=$EI$1)*(ISNUMBER(SEARCH($EI78, 球員狀態!$B$2:$B$5000))), 0)), "")</f>
        <v/>
      </c>
      <c r="EZ78" s="4" t="str">
        <f t="array" ref="EZ78">IFERROR(INDEX(球員狀態!S$2:S$5000, MATCH(1, (球員狀態!$A$2:$A$5000=$EI$1)*(ISNUMBER(SEARCH($EI78, 球員狀態!$B$2:$B$5000))), 0)), "")</f>
        <v/>
      </c>
      <c r="FA78" s="4" t="str">
        <f t="array" ref="FA78">IFERROR(INDEX(球員狀態!T$2:T$5000, MATCH(1, (球員狀態!$A$2:$A$5000=$EI$61)*(ISNUMBER(SEARCH($EI78, 球員狀態!$B$2:$B$5000))), 0)), "")</f>
        <v/>
      </c>
      <c r="FB78" s="4" t="str">
        <f t="array" ref="FB78">IFERROR(INDEX(球員狀態!U$2:U$5000, MATCH(1, (球員狀態!$A$2:$A$5000=$EI$1)*(ISNUMBER(SEARCH($EI78, 球員狀態!$B$2:$B$5000))), 0)), "")</f>
        <v/>
      </c>
      <c r="FC78" s="4" t="str">
        <f t="array" ref="FC78">IFERROR(INDEX(球員狀態!V$2:V$5000, MATCH(1, (球員狀態!$A$2:$A$5000=$EI$1)*(ISNUMBER(SEARCH($EI78, 球員狀態!$B$2:$B$5000))), 0)), "")</f>
        <v/>
      </c>
      <c r="FD78" s="4" t="str">
        <f t="array" ref="FD78">IFERROR(INDEX(球員狀態!W$2:W$5000, MATCH(1, (球員狀態!$A$2:$A$5000=$EI$61)*(ISNUMBER(SEARCH($EI78, 球員狀態!$B$2:$B$5000))), 0)), "")</f>
        <v/>
      </c>
      <c r="FE78" s="4" t="str">
        <f t="array" ref="FE78">IFERROR(INDEX(球員狀態!X$2:X$5000, MATCH(1, (球員狀態!$A$2:$A$5000=$EI$1)*(ISNUMBER(SEARCH($EI78, 球員狀態!$B$2:$B$5000))), 0)), "")</f>
        <v/>
      </c>
      <c r="FF78" s="4" t="str">
        <f t="array" ref="FF78">IFERROR(INDEX(球員狀態!Y$2:Y$5000, MATCH(1, (球員狀態!$A$2:$A$5000=$EI$1)*(ISNUMBER(SEARCH($EI78, 球員狀態!$B$2:$B$5000))), 0)), "")</f>
        <v/>
      </c>
      <c r="FG78" s="4" t="str">
        <f t="array" ref="FG78">IFERROR(INDEX(球員狀態!Z$2:Z$5000, MATCH(1, (球員狀態!$A$2:$A$5000=$EI$61)*(ISNUMBER(SEARCH($EI78, 球員狀態!$B$2:$B$5000))), 0)), "")</f>
        <v/>
      </c>
      <c r="FH78" s="4" t="str">
        <f t="array" ref="FH78">IFERROR(INDEX(球員狀態!AA$2:AA$5000, MATCH(1, (球員狀態!$A$2:$A$5000=$EI$61)*(ISNUMBER(SEARCH($EI78, 球員狀態!$B$2:$B$5000))), 0)), "")</f>
        <v/>
      </c>
      <c r="FI78" s="4" t="str">
        <f t="array" ref="FI78">IFERROR(INDEX(球員狀態!AB$2:AB$5000, MATCH(1, (球員狀態!$A$2:$A$5000=$EI$61)*(ISNUMBER(SEARCH($EI78, 球員狀態!$B$2:$B$5000))), 0)), "")</f>
        <v/>
      </c>
    </row>
    <row r="79" spans="80:165">
      <c r="DH79" s="40" t="e">
        <f>DJ79+DL79+DM79+DN79+DO79-DP79-DQ79+DR79</f>
        <v>#VALUE!</v>
      </c>
      <c r="DI79" s="42" t="e">
        <f>DU79+DX79+EA79+ED79+EE79+EF79</f>
        <v>#VALUE!</v>
      </c>
      <c r="DJ79" s="38" t="e">
        <f>VLOOKUP(DJ78*1, FK$2:FM$12, 3, TRUE)*FM$1</f>
        <v>#VALUE!</v>
      </c>
      <c r="DL79" s="38" t="e">
        <f>VLOOKUP(DL78*1, FN$2:FP$12, 3, TRUE)*FP$1</f>
        <v>#VALUE!</v>
      </c>
      <c r="DM79" s="38" t="e">
        <f>VLOOKUP(DM78*1, FQ$2:FS$12, 3, TRUE)*FS$1</f>
        <v>#VALUE!</v>
      </c>
      <c r="DN79" s="38" t="e">
        <f>VLOOKUP(DN78*1, FT$2:FV$12, 3, TRUE)*FV$1</f>
        <v>#VALUE!</v>
      </c>
      <c r="DO79" s="38" t="e">
        <f>VLOOKUP(DO78*1, FW$2:FY$12, 3, TRUE)*FY$1</f>
        <v>#VALUE!</v>
      </c>
      <c r="DP79" s="39" t="e">
        <f>VLOOKUP(DP78*1, FK$14:FM$25, 3, TRUE)*FM$14</f>
        <v>#VALUE!</v>
      </c>
      <c r="DQ79" s="39" t="e">
        <f>VLOOKUP(DQ78*1, FN$14:FP$25, 3, TRUE)*FP$14</f>
        <v>#VALUE!</v>
      </c>
      <c r="DR79" s="38" t="e">
        <f>VLOOKUP(DR78*1, FQ$14:FS$25, 3, TRUE)*FS$14</f>
        <v>#VALUE!</v>
      </c>
      <c r="DU79" s="41" t="e">
        <f>VLOOKUP(DU78*1, FK$27:FM$38, 3, TRUE)*FM$27</f>
        <v>#VALUE!</v>
      </c>
      <c r="DX79" s="41" t="e">
        <f>VLOOKUP(DX78*1, FN$27:FP$38, 3, TRUE)*FP$27</f>
        <v>#VALUE!</v>
      </c>
      <c r="EA79" s="41" t="e">
        <f>VLOOKUP(EA78*1, FQ$27:FS$38, 3, TRUE)*FS$27</f>
        <v>#VALUE!</v>
      </c>
      <c r="ED79" s="41" t="e">
        <f>VLOOKUP(ED78*1, FT$27:FV$38, 3, TRUE)*FV$27</f>
        <v>#VALUE!</v>
      </c>
      <c r="EE79" s="41" t="e">
        <f>VLOOKUP(EE78*1, FW$27:FY$38, 3, TRUE)*FY$27</f>
        <v>#VALUE!</v>
      </c>
      <c r="EF79" s="41" t="e">
        <f>VLOOKUP(EF78*1, FK$40:FM$51, 3, TRUE)*FM$40</f>
        <v>#VALUE!</v>
      </c>
      <c r="EG79" s="57"/>
      <c r="EK79" s="40" t="e">
        <f>EM79+EO79+EP79+EQ79+ER79-ES79-ET79+EU79</f>
        <v>#VALUE!</v>
      </c>
      <c r="EL79" s="42" t="e">
        <f>EX79+FA79+FD79+FG79+FH79+FI79</f>
        <v>#VALUE!</v>
      </c>
      <c r="EM79" s="38" t="e">
        <f>VLOOKUP(EM78*1, $FK$2:$FM$12, 3, TRUE)*$FM$1</f>
        <v>#VALUE!</v>
      </c>
      <c r="EO79" s="38" t="e">
        <f>VLOOKUP(EO78*1, $FN$2:$FP$12, 3, TRUE)*$FP$1</f>
        <v>#VALUE!</v>
      </c>
      <c r="EP79" s="38" t="e">
        <f>VLOOKUP(EP78*1, $FQ$2:$FS$12, 3, TRUE)*$FS$1</f>
        <v>#VALUE!</v>
      </c>
      <c r="EQ79" s="38" t="e">
        <f>VLOOKUP(EQ78*1, $FT$2:$FV$12, 3, TRUE)*$FV$1</f>
        <v>#VALUE!</v>
      </c>
      <c r="ER79" s="38" t="e">
        <f>VLOOKUP(ER78*1, $FW$2:$FY$12, 3, TRUE)*$FY$1</f>
        <v>#VALUE!</v>
      </c>
      <c r="ES79" s="39" t="e">
        <f>VLOOKUP(ES78*1, $FK$14:$FM$25, 3, TRUE)*$FM$14</f>
        <v>#VALUE!</v>
      </c>
      <c r="ET79" s="39" t="e">
        <f>VLOOKUP(ET78*1, $FN$14:$FP$25, 3, TRUE)*$FP$14</f>
        <v>#VALUE!</v>
      </c>
      <c r="EU79" s="38" t="e">
        <f>VLOOKUP(EU78*1, $FQ$14:$FS$25, 3, TRUE)*$FS$14</f>
        <v>#VALUE!</v>
      </c>
      <c r="EX79" s="41" t="e">
        <f>VLOOKUP(EX78*1, $FK$27:$FM$38, 3, TRUE)*$FM$27</f>
        <v>#VALUE!</v>
      </c>
      <c r="FA79" s="41" t="e">
        <f>VLOOKUP(FA78*1, $FN$27:$FP$38, 3, TRUE)*$FP$27</f>
        <v>#VALUE!</v>
      </c>
      <c r="FD79" s="41" t="e">
        <f>VLOOKUP(FD78*1, $FQ$27:$FS$38, 3, TRUE)*$FS$27</f>
        <v>#VALUE!</v>
      </c>
      <c r="FG79" s="41" t="e">
        <f>VLOOKUP(FG78*1, $FT$27:$FV$38, 3, TRUE)*$FV$27</f>
        <v>#VALUE!</v>
      </c>
      <c r="FH79" s="41" t="e">
        <f>VLOOKUP(FH78*1, $FW$27:$FY$38, 3, TRUE)*$FY$27</f>
        <v>#VALUE!</v>
      </c>
      <c r="FI79" s="41" t="e">
        <f>VLOOKUP(FI78*1, $FK$40:$FM$51, 3, TRUE)*$FM$40</f>
        <v>#VALUE!</v>
      </c>
    </row>
    <row r="80" spans="80:165">
      <c r="DF80" s="37" t="e">
        <f>先發名單!#REF!</f>
        <v>#REF!</v>
      </c>
      <c r="DG80" s="4" t="str">
        <f t="array" ref="DG80">IFERROR(INDEX(球員狀態!$C$2:$C$5000, MATCH(1, (球員狀態!$A$2:$A$5000=$DF$61)*(ISNUMBER(SEARCH($DF80, 球員狀態!$B$2:$B$5000))), 0)), "")</f>
        <v/>
      </c>
      <c r="DJ80" s="4" t="str">
        <f t="array" ref="DJ80">IFERROR(INDEX(球員狀態!$F$2:$F$5000,MATCH(1,(球員狀態!$A$2:$A$5000=$DF$61)*(ISNUMBER(SEARCH($DF80,球員狀態!$B$2:$B$5000))),0)),"")</f>
        <v/>
      </c>
      <c r="DK80" s="4" t="str">
        <f t="array" ref="DK80">IFERROR(INDEX(球員狀態!G$2:G$5000, MATCH(1, (球員狀態!$A$2:$A$5000=$DF$1)*(ISNUMBER(SEARCH($DF80, 球員狀態!$B$2:$B$5000))), 0)), "")</f>
        <v/>
      </c>
      <c r="DL80" s="4" t="str">
        <f t="array" ref="DL80">IFERROR(INDEX(球員狀態!H$2:H$5000, MATCH(1, (球員狀態!$A$2:$A$5000=$DF$61)*(ISNUMBER(SEARCH($DF80, 球員狀態!$B$2:$B$5000))), 0)), "")</f>
        <v/>
      </c>
      <c r="DM80" s="4" t="str">
        <f t="array" ref="DM80">IFERROR(INDEX(球員狀態!I$2:I$5000,MATCH(1,(球員狀態!$A$2:$A$5000=$DF$61)*(ISNUMBER(SEARCH($DF80,球員狀態!$B$2:$B$5000))),0)),"")</f>
        <v/>
      </c>
      <c r="DN80" s="4" t="str">
        <f t="array" ref="DN80">IFERROR(INDEX(球員狀態!J$2:J$5000,MATCH(1,(球員狀態!$A$2:$A$5000=$DF$61)*(ISNUMBER(SEARCH($DF80,球員狀態!$B$2:$B$5000))),0)),"")</f>
        <v/>
      </c>
      <c r="DO80" s="4" t="str">
        <f t="array" ref="DO80">IFERROR(INDEX(球員狀態!K$2:K$5000,MATCH(1,(球員狀態!$A$2:$A$5000=$DF$61)*(ISNUMBER(SEARCH($DF80,球員狀態!$B$2:$B$5000))),0)),"")</f>
        <v/>
      </c>
      <c r="DP80" s="4" t="str">
        <f t="array" ref="DP80">IFERROR(INDEX(球員狀態!L$2:L$5000,MATCH(1,(球員狀態!$A$2:$A$5000=$DF$61)*(ISNUMBER(SEARCH($DF80,球員狀態!$B$2:$B$5000))),0)),"")</f>
        <v/>
      </c>
      <c r="DQ80" s="4" t="str">
        <f t="array" ref="DQ80">IFERROR(INDEX(球員狀態!M$2:M$5000,MATCH(1,(球員狀態!$A$2:$A$5000=$DF$61)*(ISNUMBER(SEARCH($DF80,球員狀態!$B$2:$B$5000))),0)),"")</f>
        <v/>
      </c>
      <c r="DR80" s="4" t="str">
        <f t="array" ref="DR80">IFERROR(INDEX(球員狀態!N$2:N$5000,MATCH(1,(球員狀態!$A$2:$A$5000=$DF$61)*(ISNUMBER(SEARCH($DF80,球員狀態!$B$2:$B$5000))),0)),"")</f>
        <v/>
      </c>
      <c r="DS80" s="4" t="str">
        <f t="array" ref="DS80">IFERROR(INDEX(球員狀態!O$2:O$5000, MATCH(1, (球員狀態!$A$2:$A$5000=$DF$1)*(ISNUMBER(SEARCH($DF80, 球員狀態!$B$2:$B$5000))), 0)), "")</f>
        <v/>
      </c>
      <c r="DT80" s="4" t="str">
        <f t="array" ref="DT80">IFERROR(INDEX(球員狀態!P$2:P$5000, MATCH(1, (球員狀態!$A$2:$A$5000=$DF$1)*(ISNUMBER(SEARCH($DF80, 球員狀態!$B$2:$B$5000))), 0)), "")</f>
        <v/>
      </c>
      <c r="DU80" s="4" t="str">
        <f t="array" ref="DU80">IFERROR(INDEX(球員狀態!Q$2:Q$5000,MATCH(1,(球員狀態!$A$2:$A$5000=$DF$61)*(ISNUMBER(SEARCH($DF80,球員狀態!$B$2:$B$5000))),0)),"")</f>
        <v/>
      </c>
      <c r="DV80" s="4" t="str">
        <f t="array" ref="DV80">IFERROR(INDEX(球員狀態!R$2:R$5000, MATCH(1, (球員狀態!$A$2:$A$5000=$DF$1)*(ISNUMBER(SEARCH($DF80, 球員狀態!$B$2:$B$5000))), 0)), "")</f>
        <v/>
      </c>
      <c r="DW80" s="4" t="str">
        <f t="array" ref="DW80">IFERROR(INDEX(球員狀態!S$2:S$5000, MATCH(1, (球員狀態!$A$2:$A$5000=$DF$1)*(ISNUMBER(SEARCH($DF80, 球員狀態!$B$2:$B$5000))), 0)), "")</f>
        <v/>
      </c>
      <c r="DX80" s="4" t="str">
        <f t="array" ref="DX80">IFERROR(INDEX(球員狀態!T$2:T$5000,MATCH(1,(球員狀態!$A$2:$A$5000=$DF$61)*(ISNUMBER(SEARCH($DF80,球員狀態!$B$2:$B$5000))),0)),"")</f>
        <v/>
      </c>
      <c r="DY80" s="4" t="str">
        <f t="array" ref="DY80">IFERROR(INDEX(球員狀態!U$2:U$5000, MATCH(1, (球員狀態!$A$2:$A$5000=$DF$1)*(ISNUMBER(SEARCH($DF80, 球員狀態!$B$2:$B$5000))), 0)), "")</f>
        <v/>
      </c>
      <c r="DZ80" s="4" t="str">
        <f t="array" ref="DZ80">IFERROR(INDEX(球員狀態!V$2:V$5000, MATCH(1, (球員狀態!$A$2:$A$5000=$DF$1)*(ISNUMBER(SEARCH($DF80, 球員狀態!$B$2:$B$5000))), 0)), "")</f>
        <v/>
      </c>
      <c r="EA80" s="4" t="str">
        <f t="array" ref="EA80">IFERROR(INDEX(球員狀態!W$2:W$5000,MATCH(1,(球員狀態!$A$2:$A$5000=$DF$61)*(ISNUMBER(SEARCH($DF80,球員狀態!$B$2:$B$5000))),0)),"")</f>
        <v/>
      </c>
      <c r="EB80" s="4" t="str">
        <f t="array" ref="EB80">IFERROR(INDEX(球員狀態!X$2:X$5000, MATCH(1, (球員狀態!$A$2:$A$5000=$DF$1)*(ISNUMBER(SEARCH($DF80, 球員狀態!$B$2:$B$5000))), 0)), "")</f>
        <v/>
      </c>
      <c r="EC80" s="4" t="str">
        <f t="array" ref="EC80">IFERROR(INDEX(球員狀態!Y$2:Y$5000, MATCH(1, (球員狀態!$A$2:$A$5000=$DF$1)*(ISNUMBER(SEARCH($DF80, 球員狀態!$B$2:$B$5000))), 0)), "")</f>
        <v/>
      </c>
      <c r="ED80" s="4" t="str">
        <f t="array" ref="ED80">IFERROR(INDEX(球員狀態!Z$2:Z$5000,MATCH(1,(球員狀態!$A$2:$A$5000=$DF$61)*(ISNUMBER(SEARCH($DF80,球員狀態!$B$2:$B$5000))),0)),"")</f>
        <v/>
      </c>
      <c r="EE80" s="4" t="str">
        <f t="array" ref="EE80">IFERROR(INDEX(球員狀態!AA$2:AA$5000,MATCH(1,(球員狀態!$A$2:$A$5000=$DF$61)*(ISNUMBER(SEARCH($DF80,球員狀態!$B$2:$B$5000))),0)),"")</f>
        <v/>
      </c>
      <c r="EF80" s="4" t="str">
        <f t="array" ref="EF80">IFERROR(INDEX(球員狀態!AB$2:AB$5000,MATCH(1,(球員狀態!$A$2:$A$5000=$DF$61)*(ISNUMBER(SEARCH($DF80,球員狀態!$B$2:$B$5000))),0)),"")</f>
        <v/>
      </c>
      <c r="EG80" s="56"/>
      <c r="EI80" s="37" t="str">
        <f>先發名單!X$4</f>
        <v>T. Heineman</v>
      </c>
      <c r="EJ80" s="4" t="str">
        <f t="array" ref="EJ80">IFERROR(INDEX(球員狀態!C$2:C$5000, MATCH(1, (球員狀態!$A$2:$A$5000=$EI$61)*(ISNUMBER(SEARCH($EI80, 球員狀態!$B$2:$B$5000))), 0)), "")</f>
        <v/>
      </c>
      <c r="EM80" s="4" t="str">
        <f t="array" ref="EM80">IFERROR(INDEX(球員狀態!F$2:F$5000, MATCH(1, (球員狀態!$A$2:$A$5000=$EI$61)*(ISNUMBER(SEARCH($EI80, 球員狀態!$B$2:$B$5000))), 0)), "")</f>
        <v/>
      </c>
      <c r="EN80" s="4" t="str">
        <f t="array" ref="EN80">IFERROR(INDEX(球員狀態!G$2:G$5000, MATCH(1, (球員狀態!$A$2:$A$5000=$EI$1)*(ISNUMBER(SEARCH($EI80, 球員狀態!$B$2:$B$5000))), 0)), "")</f>
        <v/>
      </c>
      <c r="EO80" s="4" t="str">
        <f t="array" ref="EO80">IFERROR(INDEX(球員狀態!H$2:H$5000, MATCH(1, (球員狀態!$A$2:$A$5000=$EI$61)*(ISNUMBER(SEARCH($EI80, 球員狀態!$B$2:$B$5000))), 0)), "")</f>
        <v/>
      </c>
      <c r="EP80" s="4" t="str">
        <f t="array" ref="EP80">IFERROR(INDEX(球員狀態!I$2:I$5000, MATCH(1, (球員狀態!$A$2:$A$5000=$EI$61)*(ISNUMBER(SEARCH($EI80, 球員狀態!$B$2:$B$5000))), 0)), "")</f>
        <v/>
      </c>
      <c r="EQ80" s="4" t="str">
        <f t="array" ref="EQ80">IFERROR(INDEX(球員狀態!J$2:J$5000, MATCH(1, (球員狀態!$A$2:$A$5000=$EI$61)*(ISNUMBER(SEARCH($EI80, 球員狀態!$B$2:$B$5000))), 0)), "")</f>
        <v/>
      </c>
      <c r="ER80" s="4" t="str">
        <f t="array" ref="ER80">IFERROR(INDEX(球員狀態!K$2:K$5000, MATCH(1, (球員狀態!$A$2:$A$5000=$EI$61)*(ISNUMBER(SEARCH($EI80, 球員狀態!$B$2:$B$5000))), 0)), "")</f>
        <v/>
      </c>
      <c r="ES80" s="4" t="str">
        <f t="array" ref="ES80">IFERROR(INDEX(球員狀態!L$2:L$5000, MATCH(1, (球員狀態!$A$2:$A$5000=$EI$61)*(ISNUMBER(SEARCH($EI80, 球員狀態!$B$2:$B$5000))), 0)), "")</f>
        <v/>
      </c>
      <c r="ET80" s="4" t="str">
        <f t="array" ref="ET80">IFERROR(INDEX(球員狀態!M$2:M$5000, MATCH(1, (球員狀態!$A$2:$A$5000=$EI$61)*(ISNUMBER(SEARCH($EI80, 球員狀態!$B$2:$B$5000))), 0)), "")</f>
        <v/>
      </c>
      <c r="EU80" s="4" t="str">
        <f t="array" ref="EU80">IFERROR(INDEX(球員狀態!N$2:N$5000, MATCH(1, (球員狀態!$A$2:$A$5000=$EI$61)*(ISNUMBER(SEARCH($EI80, 球員狀態!$B$2:$B$5000))), 0)), "")</f>
        <v/>
      </c>
      <c r="EV80" s="4" t="str">
        <f t="array" ref="EV80">IFERROR(INDEX(球員狀態!O$2:O$5000, MATCH(1, (球員狀態!$A$2:$A$5000=$EI$1)*(ISNUMBER(SEARCH($EI80, 球員狀態!$B$2:$B$5000))), 0)), "")</f>
        <v/>
      </c>
      <c r="EW80" s="4" t="str">
        <f t="array" ref="EW80">IFERROR(INDEX(球員狀態!P$2:P$5000, MATCH(1, (球員狀態!$A$2:$A$5000=$EI$1)*(ISNUMBER(SEARCH($EI80, 球員狀態!$B$2:$B$5000))), 0)), "")</f>
        <v/>
      </c>
      <c r="EX80" s="4" t="str">
        <f t="array" ref="EX80">IFERROR(INDEX(球員狀態!Q$2:Q$5000, MATCH(1, (球員狀態!$A$2:$A$5000=$EI$61)*(ISNUMBER(SEARCH($EI80, 球員狀態!$B$2:$B$5000))), 0)), "")</f>
        <v/>
      </c>
      <c r="EY80" s="4" t="str">
        <f t="array" ref="EY80">IFERROR(INDEX(球員狀態!R$2:R$5000, MATCH(1, (球員狀態!$A$2:$A$5000=$EI$1)*(ISNUMBER(SEARCH($EI80, 球員狀態!$B$2:$B$5000))), 0)), "")</f>
        <v/>
      </c>
      <c r="EZ80" s="4" t="str">
        <f t="array" ref="EZ80">IFERROR(INDEX(球員狀態!S$2:S$5000, MATCH(1, (球員狀態!$A$2:$A$5000=$EI$1)*(ISNUMBER(SEARCH($EI80, 球員狀態!$B$2:$B$5000))), 0)), "")</f>
        <v/>
      </c>
      <c r="FA80" s="4" t="str">
        <f t="array" ref="FA80">IFERROR(INDEX(球員狀態!T$2:T$5000, MATCH(1, (球員狀態!$A$2:$A$5000=$EI$61)*(ISNUMBER(SEARCH($EI80, 球員狀態!$B$2:$B$5000))), 0)), "")</f>
        <v/>
      </c>
      <c r="FB80" s="4" t="str">
        <f t="array" ref="FB80">IFERROR(INDEX(球員狀態!U$2:U$5000, MATCH(1, (球員狀態!$A$2:$A$5000=$EI$1)*(ISNUMBER(SEARCH($EI80, 球員狀態!$B$2:$B$5000))), 0)), "")</f>
        <v/>
      </c>
      <c r="FC80" s="4" t="str">
        <f t="array" ref="FC80">IFERROR(INDEX(球員狀態!V$2:V$5000, MATCH(1, (球員狀態!$A$2:$A$5000=$EI$1)*(ISNUMBER(SEARCH($EI80, 球員狀態!$B$2:$B$5000))), 0)), "")</f>
        <v/>
      </c>
      <c r="FD80" s="4" t="str">
        <f t="array" ref="FD80">IFERROR(INDEX(球員狀態!W$2:W$5000, MATCH(1, (球員狀態!$A$2:$A$5000=$EI$61)*(ISNUMBER(SEARCH($EI80, 球員狀態!$B$2:$B$5000))), 0)), "")</f>
        <v/>
      </c>
      <c r="FE80" s="4" t="str">
        <f t="array" ref="FE80">IFERROR(INDEX(球員狀態!X$2:X$5000, MATCH(1, (球員狀態!$A$2:$A$5000=$EI$1)*(ISNUMBER(SEARCH($EI80, 球員狀態!$B$2:$B$5000))), 0)), "")</f>
        <v/>
      </c>
      <c r="FF80" s="4" t="str">
        <f t="array" ref="FF80">IFERROR(INDEX(球員狀態!Y$2:Y$5000, MATCH(1, (球員狀態!$A$2:$A$5000=$EI$1)*(ISNUMBER(SEARCH($EI80, 球員狀態!$B$2:$B$5000))), 0)), "")</f>
        <v/>
      </c>
      <c r="FG80" s="4" t="str">
        <f t="array" ref="FG80">IFERROR(INDEX(球員狀態!Z$2:Z$5000, MATCH(1, (球員狀態!$A$2:$A$5000=$EI$61)*(ISNUMBER(SEARCH($EI80, 球員狀態!$B$2:$B$5000))), 0)), "")</f>
        <v/>
      </c>
      <c r="FH80" s="4" t="str">
        <f t="array" ref="FH80">IFERROR(INDEX(球員狀態!AA$2:AA$5000, MATCH(1, (球員狀態!$A$2:$A$5000=$EI$61)*(ISNUMBER(SEARCH($EI80, 球員狀態!$B$2:$B$5000))), 0)), "")</f>
        <v/>
      </c>
      <c r="FI80" s="4" t="str">
        <f t="array" ref="FI80">IFERROR(INDEX(球員狀態!AB$2:AB$5000, MATCH(1, (球員狀態!$A$2:$A$5000=$EI$61)*(ISNUMBER(SEARCH($EI80, 球員狀態!$B$2:$B$5000))), 0)), "")</f>
        <v/>
      </c>
    </row>
    <row r="81" spans="110:165">
      <c r="DH81" s="40" t="e">
        <f>DJ81+DL81+DM81+DN81+DO81-DP81-DQ81+DR81</f>
        <v>#VALUE!</v>
      </c>
      <c r="DI81" s="42" t="e">
        <f>DU81+DX81+EA81+ED81+EE81+EF81</f>
        <v>#VALUE!</v>
      </c>
      <c r="DJ81" s="38" t="e">
        <f>VLOOKUP(DJ80*1, FK$2:FM$12, 3, TRUE)*FM$1</f>
        <v>#VALUE!</v>
      </c>
      <c r="DL81" s="38" t="e">
        <f>VLOOKUP(DL80*1, FN$2:FP$12, 3, TRUE)*FP$1</f>
        <v>#VALUE!</v>
      </c>
      <c r="DM81" s="38" t="e">
        <f>VLOOKUP(DM80*1, FQ$2:FS$12, 3, TRUE)*FS$1</f>
        <v>#VALUE!</v>
      </c>
      <c r="DN81" s="38" t="e">
        <f>VLOOKUP(DN80*1, FT$2:FV$12, 3, TRUE)*FV$1</f>
        <v>#VALUE!</v>
      </c>
      <c r="DO81" s="38" t="e">
        <f>VLOOKUP(DO80*1, FW$2:FY$12, 3, TRUE)*FY$1</f>
        <v>#VALUE!</v>
      </c>
      <c r="DP81" s="39" t="e">
        <f>VLOOKUP(DP80*1, FK$14:FM$25, 3, TRUE)*FM$14</f>
        <v>#VALUE!</v>
      </c>
      <c r="DQ81" s="39" t="e">
        <f>VLOOKUP(DQ80*1, FN$14:FP$25, 3, TRUE)*FP$14</f>
        <v>#VALUE!</v>
      </c>
      <c r="DR81" s="38" t="e">
        <f>VLOOKUP(DR80*1, FQ$14:FS$25, 3, TRUE)*FS$14</f>
        <v>#VALUE!</v>
      </c>
      <c r="DU81" s="41" t="e">
        <f>VLOOKUP(DU80*1, FK$27:FM$38, 3, TRUE)*FM$27</f>
        <v>#VALUE!</v>
      </c>
      <c r="DX81" s="41" t="e">
        <f>VLOOKUP(DX80*1, FN$27:FP$38, 3, TRUE)*FP$27</f>
        <v>#VALUE!</v>
      </c>
      <c r="EA81" s="41" t="e">
        <f>VLOOKUP(EA80*1, FQ$27:FS$38, 3, TRUE)*FS$27</f>
        <v>#VALUE!</v>
      </c>
      <c r="ED81" s="41" t="e">
        <f>VLOOKUP(ED80*1, FT$27:FV$38, 3, TRUE)*FV$27</f>
        <v>#VALUE!</v>
      </c>
      <c r="EE81" s="41" t="e">
        <f>VLOOKUP(EE80*1, FW$27:FY$38, 3, TRUE)*FY$27</f>
        <v>#VALUE!</v>
      </c>
      <c r="EF81" s="41" t="e">
        <f>VLOOKUP(EF80*1, FK$40:FM$51, 3, TRUE)*FM$40</f>
        <v>#VALUE!</v>
      </c>
      <c r="EG81" s="57"/>
      <c r="EK81" s="40" t="e">
        <f>EM81+EO81+EP81+EQ81+ER81-ES81-ET81+EU81</f>
        <v>#VALUE!</v>
      </c>
      <c r="EL81" s="42" t="e">
        <f>EX81+FA81+FD81+FG81+FH81+FI81</f>
        <v>#VALUE!</v>
      </c>
      <c r="EM81" s="38" t="e">
        <f>VLOOKUP(EM80*1, $FK$2:$FM$12, 3, TRUE)*$FM$1</f>
        <v>#VALUE!</v>
      </c>
      <c r="EO81" s="38" t="e">
        <f>VLOOKUP(EO80*1, $FN$2:$FP$12, 3, TRUE)*$FP$1</f>
        <v>#VALUE!</v>
      </c>
      <c r="EP81" s="38" t="e">
        <f>VLOOKUP(EP80*1, $FQ$2:$FS$12, 3, TRUE)*$FS$1</f>
        <v>#VALUE!</v>
      </c>
      <c r="EQ81" s="38" t="e">
        <f>VLOOKUP(EQ80*1, $FT$2:$FV$12, 3, TRUE)*$FV$1</f>
        <v>#VALUE!</v>
      </c>
      <c r="ER81" s="38" t="e">
        <f>VLOOKUP(ER80*1, $FW$2:$FY$12, 3, TRUE)*$FY$1</f>
        <v>#VALUE!</v>
      </c>
      <c r="ES81" s="39" t="e">
        <f>VLOOKUP(ES80*1, $FK$14:$FM$25, 3, TRUE)*$FM$14</f>
        <v>#VALUE!</v>
      </c>
      <c r="ET81" s="39" t="e">
        <f>VLOOKUP(ET80*1, $FN$14:$FP$25, 3, TRUE)*$FP$14</f>
        <v>#VALUE!</v>
      </c>
      <c r="EU81" s="38" t="e">
        <f>VLOOKUP(EU80*1, $FQ$14:$FS$25, 3, TRUE)*$FS$14</f>
        <v>#VALUE!</v>
      </c>
      <c r="EX81" s="41" t="e">
        <f>VLOOKUP(EX80*1, $FK$27:$FM$38, 3, TRUE)*$FM$27</f>
        <v>#VALUE!</v>
      </c>
      <c r="FA81" s="41" t="e">
        <f>VLOOKUP(FA80*1, $FN$27:$FP$38, 3, TRUE)*$FP$27</f>
        <v>#VALUE!</v>
      </c>
      <c r="FD81" s="41" t="e">
        <f>VLOOKUP(FD80*1, $FQ$27:$FS$38, 3, TRUE)*$FS$27</f>
        <v>#VALUE!</v>
      </c>
      <c r="FG81" s="41" t="e">
        <f>VLOOKUP(FG80*1, $FT$27:$FV$38, 3, TRUE)*$FV$27</f>
        <v>#VALUE!</v>
      </c>
      <c r="FH81" s="41" t="e">
        <f>VLOOKUP(FH80*1, $FW$27:$FY$38, 3, TRUE)*$FY$27</f>
        <v>#VALUE!</v>
      </c>
      <c r="FI81" s="41" t="e">
        <f>VLOOKUP(FI80*1, $FK$40:$FM$51, 3, TRUE)*$FM$40</f>
        <v>#VALUE!</v>
      </c>
    </row>
    <row r="82" spans="110:165">
      <c r="DF82" s="37" t="e">
        <f>先發名單!#REF!</f>
        <v>#REF!</v>
      </c>
      <c r="DG82" s="4" t="str">
        <f t="array" ref="DG82">IFERROR(INDEX(球員狀態!$C$2:$C$5000, MATCH(1, (球員狀態!$A$2:$A$5000=$DF$61)*(ISNUMBER(SEARCH($DF82, 球員狀態!$B$2:$B$5000))), 0)), "")</f>
        <v/>
      </c>
      <c r="DJ82" s="4" t="str">
        <f t="array" ref="DJ82">IFERROR(INDEX(球員狀態!$F$2:$F$5000,MATCH(1,(球員狀態!$A$2:$A$5000=$DF$61)*(ISNUMBER(SEARCH($DF82,球員狀態!$B$2:$B$5000))),0)),"")</f>
        <v/>
      </c>
      <c r="DK82" s="4" t="str">
        <f t="array" ref="DK82">IFERROR(INDEX(球員狀態!G$2:G$5000, MATCH(1, (球員狀態!$A$2:$A$5000=$DF$1)*(ISNUMBER(SEARCH($DF82, 球員狀態!$B$2:$B$5000))), 0)), "")</f>
        <v/>
      </c>
      <c r="DL82" s="4" t="str">
        <f t="array" ref="DL82">IFERROR(INDEX(球員狀態!H$2:H$5000, MATCH(1, (球員狀態!$A$2:$A$5000=$DF$61)*(ISNUMBER(SEARCH($DF82, 球員狀態!$B$2:$B$5000))), 0)), "")</f>
        <v/>
      </c>
      <c r="DM82" s="4" t="str">
        <f t="array" ref="DM82">IFERROR(INDEX(球員狀態!I$2:I$5000,MATCH(1,(球員狀態!$A$2:$A$5000=$DF$61)*(ISNUMBER(SEARCH($DF82,球員狀態!$B$2:$B$5000))),0)),"")</f>
        <v/>
      </c>
      <c r="DN82" s="4" t="str">
        <f t="array" ref="DN82">IFERROR(INDEX(球員狀態!J$2:J$5000,MATCH(1,(球員狀態!$A$2:$A$5000=$DF$61)*(ISNUMBER(SEARCH($DF82,球員狀態!$B$2:$B$5000))),0)),"")</f>
        <v/>
      </c>
      <c r="DO82" s="4" t="str">
        <f t="array" ref="DO82">IFERROR(INDEX(球員狀態!K$2:K$5000,MATCH(1,(球員狀態!$A$2:$A$5000=$DF$61)*(ISNUMBER(SEARCH($DF82,球員狀態!$B$2:$B$5000))),0)),"")</f>
        <v/>
      </c>
      <c r="DP82" s="4" t="str">
        <f t="array" ref="DP82">IFERROR(INDEX(球員狀態!L$2:L$5000,MATCH(1,(球員狀態!$A$2:$A$5000=$DF$61)*(ISNUMBER(SEARCH($DF82,球員狀態!$B$2:$B$5000))),0)),"")</f>
        <v/>
      </c>
      <c r="DQ82" s="4" t="str">
        <f t="array" ref="DQ82">IFERROR(INDEX(球員狀態!M$2:M$5000,MATCH(1,(球員狀態!$A$2:$A$5000=$DF$61)*(ISNUMBER(SEARCH($DF82,球員狀態!$B$2:$B$5000))),0)),"")</f>
        <v/>
      </c>
      <c r="DR82" s="4" t="str">
        <f t="array" ref="DR82">IFERROR(INDEX(球員狀態!N$2:N$5000,MATCH(1,(球員狀態!$A$2:$A$5000=$DF$61)*(ISNUMBER(SEARCH($DF82,球員狀態!$B$2:$B$5000))),0)),"")</f>
        <v/>
      </c>
      <c r="DS82" s="4" t="str">
        <f t="array" ref="DS82">IFERROR(INDEX(球員狀態!O$2:O$5000, MATCH(1, (球員狀態!$A$2:$A$5000=$DF$1)*(ISNUMBER(SEARCH($DF82, 球員狀態!$B$2:$B$5000))), 0)), "")</f>
        <v/>
      </c>
      <c r="DT82" s="4" t="str">
        <f t="array" ref="DT82">IFERROR(INDEX(球員狀態!P$2:P$5000, MATCH(1, (球員狀態!$A$2:$A$5000=$DF$1)*(ISNUMBER(SEARCH($DF82, 球員狀態!$B$2:$B$5000))), 0)), "")</f>
        <v/>
      </c>
      <c r="DU82" s="4" t="str">
        <f t="array" ref="DU82">IFERROR(INDEX(球員狀態!Q$2:Q$5000,MATCH(1,(球員狀態!$A$2:$A$5000=$DF$61)*(ISNUMBER(SEARCH($DF82,球員狀態!$B$2:$B$5000))),0)),"")</f>
        <v/>
      </c>
      <c r="DV82" s="4" t="str">
        <f t="array" ref="DV82">IFERROR(INDEX(球員狀態!R$2:R$5000, MATCH(1, (球員狀態!$A$2:$A$5000=$DF$1)*(ISNUMBER(SEARCH($DF82, 球員狀態!$B$2:$B$5000))), 0)), "")</f>
        <v/>
      </c>
      <c r="DW82" s="4" t="str">
        <f t="array" ref="DW82">IFERROR(INDEX(球員狀態!S$2:S$5000, MATCH(1, (球員狀態!$A$2:$A$5000=$DF$1)*(ISNUMBER(SEARCH($DF82, 球員狀態!$B$2:$B$5000))), 0)), "")</f>
        <v/>
      </c>
      <c r="DX82" s="4" t="str">
        <f t="array" ref="DX82">IFERROR(INDEX(球員狀態!T$2:T$5000,MATCH(1,(球員狀態!$A$2:$A$5000=$DF$61)*(ISNUMBER(SEARCH($DF82,球員狀態!$B$2:$B$5000))),0)),"")</f>
        <v/>
      </c>
      <c r="DY82" s="4" t="str">
        <f t="array" ref="DY82">IFERROR(INDEX(球員狀態!U$2:U$5000, MATCH(1, (球員狀態!$A$2:$A$5000=$DF$1)*(ISNUMBER(SEARCH($DF82, 球員狀態!$B$2:$B$5000))), 0)), "")</f>
        <v/>
      </c>
      <c r="DZ82" s="4" t="str">
        <f t="array" ref="DZ82">IFERROR(INDEX(球員狀態!V$2:V$5000, MATCH(1, (球員狀態!$A$2:$A$5000=$DF$1)*(ISNUMBER(SEARCH($DF82, 球員狀態!$B$2:$B$5000))), 0)), "")</f>
        <v/>
      </c>
      <c r="EA82" s="4" t="str">
        <f t="array" ref="EA82">IFERROR(INDEX(球員狀態!W$2:W$5000,MATCH(1,(球員狀態!$A$2:$A$5000=$DF$61)*(ISNUMBER(SEARCH($DF82,球員狀態!$B$2:$B$5000))),0)),"")</f>
        <v/>
      </c>
      <c r="EB82" s="4" t="str">
        <f t="array" ref="EB82">IFERROR(INDEX(球員狀態!X$2:X$5000, MATCH(1, (球員狀態!$A$2:$A$5000=$DF$1)*(ISNUMBER(SEARCH($DF82, 球員狀態!$B$2:$B$5000))), 0)), "")</f>
        <v/>
      </c>
      <c r="EC82" s="4" t="str">
        <f t="array" ref="EC82">IFERROR(INDEX(球員狀態!Y$2:Y$5000, MATCH(1, (球員狀態!$A$2:$A$5000=$DF$1)*(ISNUMBER(SEARCH($DF82, 球員狀態!$B$2:$B$5000))), 0)), "")</f>
        <v/>
      </c>
      <c r="ED82" s="4" t="str">
        <f t="array" ref="ED82">IFERROR(INDEX(球員狀態!Z$2:Z$5000,MATCH(1,(球員狀態!$A$2:$A$5000=$DF$61)*(ISNUMBER(SEARCH($DF82,球員狀態!$B$2:$B$5000))),0)),"")</f>
        <v/>
      </c>
      <c r="EE82" s="4" t="str">
        <f t="array" ref="EE82">IFERROR(INDEX(球員狀態!AA$2:AA$5000,MATCH(1,(球員狀態!$A$2:$A$5000=$DF$61)*(ISNUMBER(SEARCH($DF82,球員狀態!$B$2:$B$5000))),0)),"")</f>
        <v/>
      </c>
      <c r="EF82" s="4" t="str">
        <f t="array" ref="EF82">IFERROR(INDEX(球員狀態!AB$2:AB$5000,MATCH(1,(球員狀態!$A$2:$A$5000=$DF$61)*(ISNUMBER(SEARCH($DF82,球員狀態!$B$2:$B$5000))),0)),"")</f>
        <v/>
      </c>
      <c r="EG82" s="56"/>
      <c r="EI82" s="37">
        <f>先發名單!Y$4</f>
        <v>0</v>
      </c>
      <c r="EJ82" s="4" t="str">
        <f t="array" ref="EJ82">IFERROR(INDEX(球員狀態!C$2:C$5000, MATCH(1, (球員狀態!$A$2:$A$5000=$EI$61)*(ISNUMBER(SEARCH($EI82, 球員狀態!$B$2:$B$5000))), 0)), "")</f>
        <v/>
      </c>
      <c r="EM82" s="4" t="str">
        <f t="array" ref="EM82">IFERROR(INDEX(球員狀態!F$2:F$5000, MATCH(1, (球員狀態!$A$2:$A$5000=$EI$61)*(ISNUMBER(SEARCH($EI82, 球員狀態!$B$2:$B$5000))), 0)), "")</f>
        <v/>
      </c>
      <c r="EN82" s="4" t="str">
        <f t="array" ref="EN82">IFERROR(INDEX(球員狀態!G$2:G$5000, MATCH(1, (球員狀態!$A$2:$A$5000=$EI$1)*(ISNUMBER(SEARCH($EI82, 球員狀態!$B$2:$B$5000))), 0)), "")</f>
        <v/>
      </c>
      <c r="EO82" s="4" t="str">
        <f t="array" ref="EO82">IFERROR(INDEX(球員狀態!H$2:H$5000, MATCH(1, (球員狀態!$A$2:$A$5000=$EI$61)*(ISNUMBER(SEARCH($EI82, 球員狀態!$B$2:$B$5000))), 0)), "")</f>
        <v/>
      </c>
      <c r="EP82" s="4" t="str">
        <f t="array" ref="EP82">IFERROR(INDEX(球員狀態!I$2:I$5000, MATCH(1, (球員狀態!$A$2:$A$5000=$EI$61)*(ISNUMBER(SEARCH($EI82, 球員狀態!$B$2:$B$5000))), 0)), "")</f>
        <v/>
      </c>
      <c r="EQ82" s="4" t="str">
        <f t="array" ref="EQ82">IFERROR(INDEX(球員狀態!J$2:J$5000, MATCH(1, (球員狀態!$A$2:$A$5000=$EI$61)*(ISNUMBER(SEARCH($EI82, 球員狀態!$B$2:$B$5000))), 0)), "")</f>
        <v/>
      </c>
      <c r="ER82" s="4" t="str">
        <f t="array" ref="ER82">IFERROR(INDEX(球員狀態!K$2:K$5000, MATCH(1, (球員狀態!$A$2:$A$5000=$EI$61)*(ISNUMBER(SEARCH($EI82, 球員狀態!$B$2:$B$5000))), 0)), "")</f>
        <v/>
      </c>
      <c r="ES82" s="4" t="str">
        <f t="array" ref="ES82">IFERROR(INDEX(球員狀態!L$2:L$5000, MATCH(1, (球員狀態!$A$2:$A$5000=$EI$61)*(ISNUMBER(SEARCH($EI82, 球員狀態!$B$2:$B$5000))), 0)), "")</f>
        <v/>
      </c>
      <c r="ET82" s="4" t="str">
        <f t="array" ref="ET82">IFERROR(INDEX(球員狀態!M$2:M$5000, MATCH(1, (球員狀態!$A$2:$A$5000=$EI$61)*(ISNUMBER(SEARCH($EI82, 球員狀態!$B$2:$B$5000))), 0)), "")</f>
        <v/>
      </c>
      <c r="EU82" s="4" t="str">
        <f t="array" ref="EU82">IFERROR(INDEX(球員狀態!N$2:N$5000, MATCH(1, (球員狀態!$A$2:$A$5000=$EI$61)*(ISNUMBER(SEARCH($EI82, 球員狀態!$B$2:$B$5000))), 0)), "")</f>
        <v/>
      </c>
      <c r="EV82" s="4" t="str">
        <f t="array" ref="EV82">IFERROR(INDEX(球員狀態!O$2:O$5000, MATCH(1, (球員狀態!$A$2:$A$5000=$EI$1)*(ISNUMBER(SEARCH($EI82, 球員狀態!$B$2:$B$5000))), 0)), "")</f>
        <v/>
      </c>
      <c r="EW82" s="4" t="str">
        <f t="array" ref="EW82">IFERROR(INDEX(球員狀態!P$2:P$5000, MATCH(1, (球員狀態!$A$2:$A$5000=$EI$1)*(ISNUMBER(SEARCH($EI82, 球員狀態!$B$2:$B$5000))), 0)), "")</f>
        <v/>
      </c>
      <c r="EX82" s="4" t="str">
        <f t="array" ref="EX82">IFERROR(INDEX(球員狀態!Q$2:Q$5000, MATCH(1, (球員狀態!$A$2:$A$5000=$EI$61)*(ISNUMBER(SEARCH($EI82, 球員狀態!$B$2:$B$5000))), 0)), "")</f>
        <v/>
      </c>
      <c r="EY82" s="4" t="str">
        <f t="array" ref="EY82">IFERROR(INDEX(球員狀態!R$2:R$5000, MATCH(1, (球員狀態!$A$2:$A$5000=$EI$1)*(ISNUMBER(SEARCH($EI82, 球員狀態!$B$2:$B$5000))), 0)), "")</f>
        <v/>
      </c>
      <c r="EZ82" s="4" t="str">
        <f t="array" ref="EZ82">IFERROR(INDEX(球員狀態!S$2:S$5000, MATCH(1, (球員狀態!$A$2:$A$5000=$EI$1)*(ISNUMBER(SEARCH($EI82, 球員狀態!$B$2:$B$5000))), 0)), "")</f>
        <v/>
      </c>
      <c r="FA82" s="4" t="str">
        <f t="array" ref="FA82">IFERROR(INDEX(球員狀態!T$2:T$5000, MATCH(1, (球員狀態!$A$2:$A$5000=$EI$61)*(ISNUMBER(SEARCH($EI82, 球員狀態!$B$2:$B$5000))), 0)), "")</f>
        <v/>
      </c>
      <c r="FB82" s="4" t="str">
        <f t="array" ref="FB82">IFERROR(INDEX(球員狀態!U$2:U$5000, MATCH(1, (球員狀態!$A$2:$A$5000=$EI$1)*(ISNUMBER(SEARCH($EI82, 球員狀態!$B$2:$B$5000))), 0)), "")</f>
        <v/>
      </c>
      <c r="FC82" s="4" t="str">
        <f t="array" ref="FC82">IFERROR(INDEX(球員狀態!V$2:V$5000, MATCH(1, (球員狀態!$A$2:$A$5000=$EI$1)*(ISNUMBER(SEARCH($EI82, 球員狀態!$B$2:$B$5000))), 0)), "")</f>
        <v/>
      </c>
      <c r="FD82" s="4" t="str">
        <f t="array" ref="FD82">IFERROR(INDEX(球員狀態!W$2:W$5000, MATCH(1, (球員狀態!$A$2:$A$5000=$EI$61)*(ISNUMBER(SEARCH($EI82, 球員狀態!$B$2:$B$5000))), 0)), "")</f>
        <v/>
      </c>
      <c r="FE82" s="4" t="str">
        <f t="array" ref="FE82">IFERROR(INDEX(球員狀態!X$2:X$5000, MATCH(1, (球員狀態!$A$2:$A$5000=$EI$1)*(ISNUMBER(SEARCH($EI82, 球員狀態!$B$2:$B$5000))), 0)), "")</f>
        <v/>
      </c>
      <c r="FF82" s="4" t="str">
        <f t="array" ref="FF82">IFERROR(INDEX(球員狀態!Y$2:Y$5000, MATCH(1, (球員狀態!$A$2:$A$5000=$EI$1)*(ISNUMBER(SEARCH($EI82, 球員狀態!$B$2:$B$5000))), 0)), "")</f>
        <v/>
      </c>
      <c r="FG82" s="4" t="str">
        <f t="array" ref="FG82">IFERROR(INDEX(球員狀態!Z$2:Z$5000, MATCH(1, (球員狀態!$A$2:$A$5000=$EI$61)*(ISNUMBER(SEARCH($EI82, 球員狀態!$B$2:$B$5000))), 0)), "")</f>
        <v/>
      </c>
      <c r="FH82" s="4" t="str">
        <f t="array" ref="FH82">IFERROR(INDEX(球員狀態!AA$2:AA$5000, MATCH(1, (球員狀態!$A$2:$A$5000=$EI$61)*(ISNUMBER(SEARCH($EI82, 球員狀態!$B$2:$B$5000))), 0)), "")</f>
        <v/>
      </c>
      <c r="FI82" s="4" t="str">
        <f t="array" ref="FI82">IFERROR(INDEX(球員狀態!AB$2:AB$5000, MATCH(1, (球員狀態!$A$2:$A$5000=$EI$61)*(ISNUMBER(SEARCH($EI82, 球員狀態!$B$2:$B$5000))), 0)), "")</f>
        <v/>
      </c>
    </row>
    <row r="83" spans="110:165">
      <c r="DH83" s="40" t="e">
        <f>DJ83+DL83+DM83+DN83+DO83-DP83-DQ83+DR83</f>
        <v>#VALUE!</v>
      </c>
      <c r="DI83" s="42" t="e">
        <f>DU83+DX83+EA83+ED83+EE83+EF83</f>
        <v>#VALUE!</v>
      </c>
      <c r="DJ83" s="38" t="e">
        <f>VLOOKUP(DJ82*1, FK$2:FM$12, 3, TRUE)*FM$1</f>
        <v>#VALUE!</v>
      </c>
      <c r="DL83" s="38" t="e">
        <f>VLOOKUP(DL82*1, FN$2:FP$12, 3, TRUE)*FP$1</f>
        <v>#VALUE!</v>
      </c>
      <c r="DM83" s="38" t="e">
        <f>VLOOKUP(DM82*1, FQ$2:FS$12, 3, TRUE)*FS$1</f>
        <v>#VALUE!</v>
      </c>
      <c r="DN83" s="38" t="e">
        <f>VLOOKUP(DN82*1, FT$2:FV$12, 3, TRUE)*FV$1</f>
        <v>#VALUE!</v>
      </c>
      <c r="DO83" s="38" t="e">
        <f>VLOOKUP(DO82*1, FW$2:FY$12, 3, TRUE)*FY$1</f>
        <v>#VALUE!</v>
      </c>
      <c r="DP83" s="39" t="e">
        <f>VLOOKUP(DP82*1, FK$14:FM$25, 3, TRUE)*FM$14</f>
        <v>#VALUE!</v>
      </c>
      <c r="DQ83" s="39" t="e">
        <f>VLOOKUP(DQ82*1, FN$14:FP$25, 3, TRUE)*FP$14</f>
        <v>#VALUE!</v>
      </c>
      <c r="DR83" s="38" t="e">
        <f>VLOOKUP(DR82*1, FQ$14:FS$25, 3, TRUE)*FS$14</f>
        <v>#VALUE!</v>
      </c>
      <c r="DU83" s="41" t="e">
        <f>VLOOKUP(DU82*1, FK$27:FM$38, 3, TRUE)*FM$27</f>
        <v>#VALUE!</v>
      </c>
      <c r="DX83" s="41" t="e">
        <f>VLOOKUP(DX82*1, FN$27:FP$38, 3, TRUE)*FP$27</f>
        <v>#VALUE!</v>
      </c>
      <c r="EA83" s="41" t="e">
        <f>VLOOKUP(EA82*1, FQ$27:FS$38, 3, TRUE)*FS$27</f>
        <v>#VALUE!</v>
      </c>
      <c r="ED83" s="41" t="e">
        <f>VLOOKUP(ED82*1, FT$27:FV$38, 3, TRUE)*FV$27</f>
        <v>#VALUE!</v>
      </c>
      <c r="EE83" s="41" t="e">
        <f>VLOOKUP(EE82*1, FW$27:FY$38, 3, TRUE)*FY$27</f>
        <v>#VALUE!</v>
      </c>
      <c r="EF83" s="41" t="e">
        <f>VLOOKUP(EF82*1, FK$40:FM$51, 3, TRUE)*FM$40</f>
        <v>#VALUE!</v>
      </c>
      <c r="EG83" s="57"/>
      <c r="EK83" s="40" t="e">
        <f>EM83+EO83+EP83+EQ83+ER83-ES83-ET83+EU83</f>
        <v>#VALUE!</v>
      </c>
      <c r="EL83" s="42" t="e">
        <f>EX83+FA83+FD83+FG83+FH83+FI83</f>
        <v>#VALUE!</v>
      </c>
      <c r="EM83" s="38" t="e">
        <f>VLOOKUP(EM82*1, $FK$2:$FM$12, 3, TRUE)*$FM$1</f>
        <v>#VALUE!</v>
      </c>
      <c r="EO83" s="38" t="e">
        <f>VLOOKUP(EO82*1, $FN$2:$FP$12, 3, TRUE)*$FP$1</f>
        <v>#VALUE!</v>
      </c>
      <c r="EP83" s="38" t="e">
        <f>VLOOKUP(EP82*1, $FQ$2:$FS$12, 3, TRUE)*$FS$1</f>
        <v>#VALUE!</v>
      </c>
      <c r="EQ83" s="38" t="e">
        <f>VLOOKUP(EQ82*1, $FT$2:$FV$12, 3, TRUE)*$FV$1</f>
        <v>#VALUE!</v>
      </c>
      <c r="ER83" s="38" t="e">
        <f>VLOOKUP(ER82*1, $FW$2:$FY$12, 3, TRUE)*$FY$1</f>
        <v>#VALUE!</v>
      </c>
      <c r="ES83" s="39" t="e">
        <f>VLOOKUP(ES82*1, $FK$14:$FM$25, 3, TRUE)*$FM$14</f>
        <v>#VALUE!</v>
      </c>
      <c r="ET83" s="39" t="e">
        <f>VLOOKUP(ET82*1, $FN$14:$FP$25, 3, TRUE)*$FP$14</f>
        <v>#VALUE!</v>
      </c>
      <c r="EU83" s="38" t="e">
        <f>VLOOKUP(EU82*1, $FQ$14:$FS$25, 3, TRUE)*$FS$14</f>
        <v>#VALUE!</v>
      </c>
      <c r="EX83" s="41" t="e">
        <f>VLOOKUP(EX82*1, $FK$27:$FM$38, 3, TRUE)*$FM$27</f>
        <v>#VALUE!</v>
      </c>
      <c r="FA83" s="41" t="e">
        <f>VLOOKUP(FA82*1, $FN$27:$FP$38, 3, TRUE)*$FP$27</f>
        <v>#VALUE!</v>
      </c>
      <c r="FD83" s="41" t="e">
        <f>VLOOKUP(FD82*1, $FQ$27:$FS$38, 3, TRUE)*$FS$27</f>
        <v>#VALUE!</v>
      </c>
      <c r="FG83" s="41" t="e">
        <f>VLOOKUP(FG82*1, $FT$27:$FV$38, 3, TRUE)*$FV$27</f>
        <v>#VALUE!</v>
      </c>
      <c r="FH83" s="41" t="e">
        <f>VLOOKUP(FH82*1, $FW$27:$FY$38, 3, TRUE)*$FY$27</f>
        <v>#VALUE!</v>
      </c>
      <c r="FI83" s="41" t="e">
        <f>VLOOKUP(FI82*1, $FK$40:$FM$51, 3, TRUE)*$FM$40</f>
        <v>#VALUE!</v>
      </c>
    </row>
    <row r="84" spans="110:165">
      <c r="DF84" s="37" t="e">
        <f>先發名單!#REF!</f>
        <v>#REF!</v>
      </c>
      <c r="DG84" s="4" t="str">
        <f t="array" ref="DG84">IFERROR(INDEX(球員狀態!$C$2:$C$5000, MATCH(1, (球員狀態!$A$2:$A$5000=$DF$61)*(ISNUMBER(SEARCH($DF84, 球員狀態!$B$2:$B$5000))), 0)), "")</f>
        <v/>
      </c>
      <c r="DJ84" s="4" t="str">
        <f t="array" ref="DJ84">IFERROR(INDEX(球員狀態!$F$2:$F$5000,MATCH(1,(球員狀態!$A$2:$A$5000=$DF$61)*(ISNUMBER(SEARCH($DF84,球員狀態!$B$2:$B$5000))),0)),"")</f>
        <v/>
      </c>
      <c r="DK84" s="4" t="str">
        <f t="array" ref="DK84">IFERROR(INDEX(球員狀態!G$2:G$5000, MATCH(1, (球員狀態!$A$2:$A$5000=$DF$1)*(ISNUMBER(SEARCH($DF84, 球員狀態!$B$2:$B$5000))), 0)), "")</f>
        <v/>
      </c>
      <c r="DL84" s="4" t="str">
        <f t="array" ref="DL84">IFERROR(INDEX(球員狀態!H$2:H$5000, MATCH(1, (球員狀態!$A$2:$A$5000=$DF$61)*(ISNUMBER(SEARCH($DF84, 球員狀態!$B$2:$B$5000))), 0)), "")</f>
        <v/>
      </c>
      <c r="DM84" s="4" t="str">
        <f t="array" ref="DM84">IFERROR(INDEX(球員狀態!I$2:I$5000,MATCH(1,(球員狀態!$A$2:$A$5000=$DF$61)*(ISNUMBER(SEARCH($DF84,球員狀態!$B$2:$B$5000))),0)),"")</f>
        <v/>
      </c>
      <c r="DN84" s="4" t="str">
        <f t="array" ref="DN84">IFERROR(INDEX(球員狀態!J$2:J$5000,MATCH(1,(球員狀態!$A$2:$A$5000=$DF$61)*(ISNUMBER(SEARCH($DF84,球員狀態!$B$2:$B$5000))),0)),"")</f>
        <v/>
      </c>
      <c r="DO84" s="4" t="str">
        <f t="array" ref="DO84">IFERROR(INDEX(球員狀態!K$2:K$5000,MATCH(1,(球員狀態!$A$2:$A$5000=$DF$61)*(ISNUMBER(SEARCH($DF84,球員狀態!$B$2:$B$5000))),0)),"")</f>
        <v/>
      </c>
      <c r="DP84" s="4" t="str">
        <f t="array" ref="DP84">IFERROR(INDEX(球員狀態!L$2:L$5000,MATCH(1,(球員狀態!$A$2:$A$5000=$DF$61)*(ISNUMBER(SEARCH($DF84,球員狀態!$B$2:$B$5000))),0)),"")</f>
        <v/>
      </c>
      <c r="DQ84" s="4" t="str">
        <f t="array" ref="DQ84">IFERROR(INDEX(球員狀態!M$2:M$5000,MATCH(1,(球員狀態!$A$2:$A$5000=$DF$61)*(ISNUMBER(SEARCH($DF84,球員狀態!$B$2:$B$5000))),0)),"")</f>
        <v/>
      </c>
      <c r="DR84" s="4" t="str">
        <f t="array" ref="DR84">IFERROR(INDEX(球員狀態!N$2:N$5000,MATCH(1,(球員狀態!$A$2:$A$5000=$DF$61)*(ISNUMBER(SEARCH($DF84,球員狀態!$B$2:$B$5000))),0)),"")</f>
        <v/>
      </c>
      <c r="DS84" s="4" t="str">
        <f t="array" ref="DS84">IFERROR(INDEX(球員狀態!O$2:O$5000, MATCH(1, (球員狀態!$A$2:$A$5000=$DF$1)*(ISNUMBER(SEARCH($DF84, 球員狀態!$B$2:$B$5000))), 0)), "")</f>
        <v/>
      </c>
      <c r="DT84" s="4" t="str">
        <f t="array" ref="DT84">IFERROR(INDEX(球員狀態!P$2:P$5000, MATCH(1, (球員狀態!$A$2:$A$5000=$DF$1)*(ISNUMBER(SEARCH($DF84, 球員狀態!$B$2:$B$5000))), 0)), "")</f>
        <v/>
      </c>
      <c r="DU84" s="4" t="str">
        <f t="array" ref="DU84">IFERROR(INDEX(球員狀態!Q$2:Q$5000,MATCH(1,(球員狀態!$A$2:$A$5000=$DF$61)*(ISNUMBER(SEARCH($DF84,球員狀態!$B$2:$B$5000))),0)),"")</f>
        <v/>
      </c>
      <c r="DV84" s="4" t="str">
        <f t="array" ref="DV84">IFERROR(INDEX(球員狀態!R$2:R$5000, MATCH(1, (球員狀態!$A$2:$A$5000=$DF$1)*(ISNUMBER(SEARCH($DF84, 球員狀態!$B$2:$B$5000))), 0)), "")</f>
        <v/>
      </c>
      <c r="DW84" s="4" t="str">
        <f t="array" ref="DW84">IFERROR(INDEX(球員狀態!S$2:S$5000, MATCH(1, (球員狀態!$A$2:$A$5000=$DF$1)*(ISNUMBER(SEARCH($DF84, 球員狀態!$B$2:$B$5000))), 0)), "")</f>
        <v/>
      </c>
      <c r="DX84" s="4" t="str">
        <f t="array" ref="DX84">IFERROR(INDEX(球員狀態!T$2:T$5000,MATCH(1,(球員狀態!$A$2:$A$5000=$DF$61)*(ISNUMBER(SEARCH($DF84,球員狀態!$B$2:$B$5000))),0)),"")</f>
        <v/>
      </c>
      <c r="DY84" s="4" t="str">
        <f t="array" ref="DY84">IFERROR(INDEX(球員狀態!U$2:U$5000, MATCH(1, (球員狀態!$A$2:$A$5000=$DF$1)*(ISNUMBER(SEARCH($DF84, 球員狀態!$B$2:$B$5000))), 0)), "")</f>
        <v/>
      </c>
      <c r="DZ84" s="4" t="str">
        <f t="array" ref="DZ84">IFERROR(INDEX(球員狀態!V$2:V$5000, MATCH(1, (球員狀態!$A$2:$A$5000=$DF$1)*(ISNUMBER(SEARCH($DF84, 球員狀態!$B$2:$B$5000))), 0)), "")</f>
        <v/>
      </c>
      <c r="EA84" s="4" t="str">
        <f t="array" ref="EA84">IFERROR(INDEX(球員狀態!W$2:W$5000,MATCH(1,(球員狀態!$A$2:$A$5000=$DF$61)*(ISNUMBER(SEARCH($DF84,球員狀態!$B$2:$B$5000))),0)),"")</f>
        <v/>
      </c>
      <c r="EB84" s="4" t="str">
        <f t="array" ref="EB84">IFERROR(INDEX(球員狀態!X$2:X$5000, MATCH(1, (球員狀態!$A$2:$A$5000=$DF$1)*(ISNUMBER(SEARCH($DF84, 球員狀態!$B$2:$B$5000))), 0)), "")</f>
        <v/>
      </c>
      <c r="EC84" s="4" t="str">
        <f t="array" ref="EC84">IFERROR(INDEX(球員狀態!Y$2:Y$5000, MATCH(1, (球員狀態!$A$2:$A$5000=$DF$1)*(ISNUMBER(SEARCH($DF84, 球員狀態!$B$2:$B$5000))), 0)), "")</f>
        <v/>
      </c>
      <c r="ED84" s="4" t="str">
        <f t="array" ref="ED84">IFERROR(INDEX(球員狀態!Z$2:Z$5000,MATCH(1,(球員狀態!$A$2:$A$5000=$DF$61)*(ISNUMBER(SEARCH($DF84,球員狀態!$B$2:$B$5000))),0)),"")</f>
        <v/>
      </c>
      <c r="EE84" s="4" t="str">
        <f t="array" ref="EE84">IFERROR(INDEX(球員狀態!AA$2:AA$5000,MATCH(1,(球員狀態!$A$2:$A$5000=$DF$61)*(ISNUMBER(SEARCH($DF84,球員狀態!$B$2:$B$5000))),0)),"")</f>
        <v/>
      </c>
      <c r="EF84" s="4" t="str">
        <f t="array" ref="EF84">IFERROR(INDEX(球員狀態!AB$2:AB$5000,MATCH(1,(球員狀態!$A$2:$A$5000=$DF$61)*(ISNUMBER(SEARCH($DF84,球員狀態!$B$2:$B$5000))),0)),"")</f>
        <v/>
      </c>
      <c r="EG84" s="56"/>
      <c r="EI84" s="37">
        <f>先發名單!Z$4</f>
        <v>0</v>
      </c>
      <c r="EJ84" s="4" t="str">
        <f t="array" ref="EJ84">IFERROR(INDEX(球員狀態!C$2:C$5000, MATCH(1, (球員狀態!$A$2:$A$5000=$EI$61)*(ISNUMBER(SEARCH($EI84, 球員狀態!$B$2:$B$5000))), 0)), "")</f>
        <v/>
      </c>
      <c r="EM84" s="4" t="str">
        <f t="array" ref="EM84">IFERROR(INDEX(球員狀態!F$2:F$5000, MATCH(1, (球員狀態!$A$2:$A$5000=$EI$61)*(ISNUMBER(SEARCH($EI84, 球員狀態!$B$2:$B$5000))), 0)), "")</f>
        <v/>
      </c>
      <c r="EN84" s="4" t="str">
        <f t="array" ref="EN84">IFERROR(INDEX(球員狀態!G$2:G$5000, MATCH(1, (球員狀態!$A$2:$A$5000=$EI$1)*(ISNUMBER(SEARCH($EI84, 球員狀態!$B$2:$B$5000))), 0)), "")</f>
        <v/>
      </c>
      <c r="EO84" s="4" t="str">
        <f t="array" ref="EO84">IFERROR(INDEX(球員狀態!H$2:H$5000, MATCH(1, (球員狀態!$A$2:$A$5000=$EI$61)*(ISNUMBER(SEARCH($EI84, 球員狀態!$B$2:$B$5000))), 0)), "")</f>
        <v/>
      </c>
      <c r="EP84" s="4" t="str">
        <f t="array" ref="EP84">IFERROR(INDEX(球員狀態!I$2:I$5000, MATCH(1, (球員狀態!$A$2:$A$5000=$EI$61)*(ISNUMBER(SEARCH($EI84, 球員狀態!$B$2:$B$5000))), 0)), "")</f>
        <v/>
      </c>
      <c r="EQ84" s="4" t="str">
        <f t="array" ref="EQ84">IFERROR(INDEX(球員狀態!J$2:J$5000, MATCH(1, (球員狀態!$A$2:$A$5000=$EI$61)*(ISNUMBER(SEARCH($EI84, 球員狀態!$B$2:$B$5000))), 0)), "")</f>
        <v/>
      </c>
      <c r="ER84" s="4" t="str">
        <f t="array" ref="ER84">IFERROR(INDEX(球員狀態!K$2:K$5000, MATCH(1, (球員狀態!$A$2:$A$5000=$EI$61)*(ISNUMBER(SEARCH($EI84, 球員狀態!$B$2:$B$5000))), 0)), "")</f>
        <v/>
      </c>
      <c r="ES84" s="4" t="str">
        <f t="array" ref="ES84">IFERROR(INDEX(球員狀態!L$2:L$5000, MATCH(1, (球員狀態!$A$2:$A$5000=$EI$61)*(ISNUMBER(SEARCH($EI84, 球員狀態!$B$2:$B$5000))), 0)), "")</f>
        <v/>
      </c>
      <c r="ET84" s="4" t="str">
        <f t="array" ref="ET84">IFERROR(INDEX(球員狀態!M$2:M$5000, MATCH(1, (球員狀態!$A$2:$A$5000=$EI$61)*(ISNUMBER(SEARCH($EI84, 球員狀態!$B$2:$B$5000))), 0)), "")</f>
        <v/>
      </c>
      <c r="EU84" s="4" t="str">
        <f t="array" ref="EU84">IFERROR(INDEX(球員狀態!N$2:N$5000, MATCH(1, (球員狀態!$A$2:$A$5000=$EI$61)*(ISNUMBER(SEARCH($EI84, 球員狀態!$B$2:$B$5000))), 0)), "")</f>
        <v/>
      </c>
      <c r="EV84" s="4" t="str">
        <f t="array" ref="EV84">IFERROR(INDEX(球員狀態!O$2:O$5000, MATCH(1, (球員狀態!$A$2:$A$5000=$EI$1)*(ISNUMBER(SEARCH($EI84, 球員狀態!$B$2:$B$5000))), 0)), "")</f>
        <v/>
      </c>
      <c r="EW84" s="4" t="str">
        <f t="array" ref="EW84">IFERROR(INDEX(球員狀態!P$2:P$5000, MATCH(1, (球員狀態!$A$2:$A$5000=$EI$1)*(ISNUMBER(SEARCH($EI84, 球員狀態!$B$2:$B$5000))), 0)), "")</f>
        <v/>
      </c>
      <c r="EX84" s="4" t="str">
        <f t="array" ref="EX84">IFERROR(INDEX(球員狀態!Q$2:Q$5000, MATCH(1, (球員狀態!$A$2:$A$5000=$EI$61)*(ISNUMBER(SEARCH($EI84, 球員狀態!$B$2:$B$5000))), 0)), "")</f>
        <v/>
      </c>
      <c r="EY84" s="4" t="str">
        <f t="array" ref="EY84">IFERROR(INDEX(球員狀態!R$2:R$5000, MATCH(1, (球員狀態!$A$2:$A$5000=$EI$1)*(ISNUMBER(SEARCH($EI84, 球員狀態!$B$2:$B$5000))), 0)), "")</f>
        <v/>
      </c>
      <c r="EZ84" s="4" t="str">
        <f t="array" ref="EZ84">IFERROR(INDEX(球員狀態!S$2:S$5000, MATCH(1, (球員狀態!$A$2:$A$5000=$EI$1)*(ISNUMBER(SEARCH($EI84, 球員狀態!$B$2:$B$5000))), 0)), "")</f>
        <v/>
      </c>
      <c r="FA84" s="4" t="str">
        <f t="array" ref="FA84">IFERROR(INDEX(球員狀態!T$2:T$5000, MATCH(1, (球員狀態!$A$2:$A$5000=$EI$61)*(ISNUMBER(SEARCH($EI84, 球員狀態!$B$2:$B$5000))), 0)), "")</f>
        <v/>
      </c>
      <c r="FB84" s="4" t="str">
        <f t="array" ref="FB84">IFERROR(INDEX(球員狀態!U$2:U$5000, MATCH(1, (球員狀態!$A$2:$A$5000=$EI$1)*(ISNUMBER(SEARCH($EI84, 球員狀態!$B$2:$B$5000))), 0)), "")</f>
        <v/>
      </c>
      <c r="FC84" s="4" t="str">
        <f t="array" ref="FC84">IFERROR(INDEX(球員狀態!V$2:V$5000, MATCH(1, (球員狀態!$A$2:$A$5000=$EI$1)*(ISNUMBER(SEARCH($EI84, 球員狀態!$B$2:$B$5000))), 0)), "")</f>
        <v/>
      </c>
      <c r="FD84" s="4" t="str">
        <f t="array" ref="FD84">IFERROR(INDEX(球員狀態!W$2:W$5000, MATCH(1, (球員狀態!$A$2:$A$5000=$EI$61)*(ISNUMBER(SEARCH($EI84, 球員狀態!$B$2:$B$5000))), 0)), "")</f>
        <v/>
      </c>
      <c r="FE84" s="4" t="str">
        <f t="array" ref="FE84">IFERROR(INDEX(球員狀態!X$2:X$5000, MATCH(1, (球員狀態!$A$2:$A$5000=$EI$1)*(ISNUMBER(SEARCH($EI84, 球員狀態!$B$2:$B$5000))), 0)), "")</f>
        <v/>
      </c>
      <c r="FF84" s="4" t="str">
        <f t="array" ref="FF84">IFERROR(INDEX(球員狀態!Y$2:Y$5000, MATCH(1, (球員狀態!$A$2:$A$5000=$EI$1)*(ISNUMBER(SEARCH($EI84, 球員狀態!$B$2:$B$5000))), 0)), "")</f>
        <v/>
      </c>
      <c r="FG84" s="4" t="str">
        <f t="array" ref="FG84">IFERROR(INDEX(球員狀態!Z$2:Z$5000, MATCH(1, (球員狀態!$A$2:$A$5000=$EI$61)*(ISNUMBER(SEARCH($EI84, 球員狀態!$B$2:$B$5000))), 0)), "")</f>
        <v/>
      </c>
      <c r="FH84" s="4" t="str">
        <f t="array" ref="FH84">IFERROR(INDEX(球員狀態!AA$2:AA$5000, MATCH(1, (球員狀態!$A$2:$A$5000=$EI$61)*(ISNUMBER(SEARCH($EI84, 球員狀態!$B$2:$B$5000))), 0)), "")</f>
        <v/>
      </c>
      <c r="FI84" s="4" t="str">
        <f t="array" ref="FI84">IFERROR(INDEX(球員狀態!AB$2:AB$5000, MATCH(1, (球員狀態!$A$2:$A$5000=$EI$61)*(ISNUMBER(SEARCH($EI84, 球員狀態!$B$2:$B$5000))), 0)), "")</f>
        <v/>
      </c>
    </row>
    <row r="85" spans="110:165">
      <c r="DH85" s="40" t="e">
        <f>DJ85+DL85+DM85+DN85+DO85-DP85-DQ85+DR85</f>
        <v>#VALUE!</v>
      </c>
      <c r="DI85" s="42" t="e">
        <f>DU85+DX85+EA85+ED85+EE85+EF85</f>
        <v>#VALUE!</v>
      </c>
      <c r="DJ85" s="38" t="e">
        <f>VLOOKUP(DJ84*1, FK$2:FM$12, 3, TRUE)*FM$1</f>
        <v>#VALUE!</v>
      </c>
      <c r="DL85" s="38" t="e">
        <f>VLOOKUP(DL84*1, FN$2:FP$12, 3, TRUE)*FP$1</f>
        <v>#VALUE!</v>
      </c>
      <c r="DM85" s="38" t="e">
        <f>VLOOKUP(DM84*1, FQ$2:FS$12, 3, TRUE)*FS$1</f>
        <v>#VALUE!</v>
      </c>
      <c r="DN85" s="38" t="e">
        <f>VLOOKUP(DN84*1, FT$2:FV$12, 3, TRUE)*FV$1</f>
        <v>#VALUE!</v>
      </c>
      <c r="DO85" s="38" t="e">
        <f>VLOOKUP(DO84*1, FW$2:FY$12, 3, TRUE)*FY$1</f>
        <v>#VALUE!</v>
      </c>
      <c r="DP85" s="39" t="e">
        <f>VLOOKUP(DP84*1, FK$14:FM$25, 3, TRUE)*FM$14</f>
        <v>#VALUE!</v>
      </c>
      <c r="DQ85" s="39" t="e">
        <f>VLOOKUP(DQ84*1, FN$14:FP$25, 3, TRUE)*FP$14</f>
        <v>#VALUE!</v>
      </c>
      <c r="DR85" s="38" t="e">
        <f>VLOOKUP(DR84*1, FQ$14:FS$25, 3, TRUE)*FS$14</f>
        <v>#VALUE!</v>
      </c>
      <c r="DU85" s="41" t="e">
        <f>VLOOKUP(DU84*1, FK$27:FM$38, 3, TRUE)*FM$27</f>
        <v>#VALUE!</v>
      </c>
      <c r="DX85" s="41" t="e">
        <f>VLOOKUP(DX84*1, FN$27:FP$38, 3, TRUE)*FP$27</f>
        <v>#VALUE!</v>
      </c>
      <c r="EA85" s="41" t="e">
        <f>VLOOKUP(EA84*1, FQ$27:FS$38, 3, TRUE)*FS$27</f>
        <v>#VALUE!</v>
      </c>
      <c r="ED85" s="41" t="e">
        <f>VLOOKUP(ED84*1, FT$27:FV$38, 3, TRUE)*FV$27</f>
        <v>#VALUE!</v>
      </c>
      <c r="EE85" s="41" t="e">
        <f>VLOOKUP(EE84*1, FW$27:FY$38, 3, TRUE)*FY$27</f>
        <v>#VALUE!</v>
      </c>
      <c r="EF85" s="41" t="e">
        <f>VLOOKUP(EF84*1, FK$40:FM$51, 3, TRUE)*FM$40</f>
        <v>#VALUE!</v>
      </c>
      <c r="EG85" s="57"/>
      <c r="EK85" s="40" t="e">
        <f>EM85+EO85+EP85+EQ85+ER85-ES85-ET85+EU85</f>
        <v>#VALUE!</v>
      </c>
      <c r="EL85" s="42" t="e">
        <f>EX85+FA85+FD85+FG85+FH85+FI85</f>
        <v>#VALUE!</v>
      </c>
      <c r="EM85" s="38" t="e">
        <f>VLOOKUP(EM84*1, $FK$2:$FM$12, 3, TRUE)*$FM$1</f>
        <v>#VALUE!</v>
      </c>
      <c r="EO85" s="38" t="e">
        <f>VLOOKUP(EO84*1, $FN$2:$FP$12, 3, TRUE)*$FP$1</f>
        <v>#VALUE!</v>
      </c>
      <c r="EP85" s="38" t="e">
        <f>VLOOKUP(EP84*1, $FQ$2:$FS$12, 3, TRUE)*$FS$1</f>
        <v>#VALUE!</v>
      </c>
      <c r="EQ85" s="38" t="e">
        <f>VLOOKUP(EQ84*1, $FT$2:$FV$12, 3, TRUE)*$FV$1</f>
        <v>#VALUE!</v>
      </c>
      <c r="ER85" s="38" t="e">
        <f>VLOOKUP(ER84*1, $FW$2:$FY$12, 3, TRUE)*$FY$1</f>
        <v>#VALUE!</v>
      </c>
      <c r="ES85" s="39" t="e">
        <f>VLOOKUP(ES84*1, $FK$14:$FM$25, 3, TRUE)*$FM$14</f>
        <v>#VALUE!</v>
      </c>
      <c r="ET85" s="39" t="e">
        <f>VLOOKUP(ET84*1, $FN$14:$FP$25, 3, TRUE)*$FP$14</f>
        <v>#VALUE!</v>
      </c>
      <c r="EU85" s="38" t="e">
        <f>VLOOKUP(EU84*1, $FQ$14:$FS$25, 3, TRUE)*$FS$14</f>
        <v>#VALUE!</v>
      </c>
      <c r="EX85" s="41" t="e">
        <f>VLOOKUP(EX84*1, $FK$27:$FM$38, 3, TRUE)*$FM$27</f>
        <v>#VALUE!</v>
      </c>
      <c r="FA85" s="41" t="e">
        <f>VLOOKUP(FA84*1, $FN$27:$FP$38, 3, TRUE)*$FP$27</f>
        <v>#VALUE!</v>
      </c>
      <c r="FD85" s="41" t="e">
        <f>VLOOKUP(FD84*1, $FQ$27:$FS$38, 3, TRUE)*$FS$27</f>
        <v>#VALUE!</v>
      </c>
      <c r="FG85" s="41" t="e">
        <f>VLOOKUP(FG84*1, $FT$27:$FV$38, 3, TRUE)*$FV$27</f>
        <v>#VALUE!</v>
      </c>
      <c r="FH85" s="41" t="e">
        <f>VLOOKUP(FH84*1, $FW$27:$FY$38, 3, TRUE)*$FY$27</f>
        <v>#VALUE!</v>
      </c>
      <c r="FI85" s="41" t="e">
        <f>VLOOKUP(FI84*1, $FK$40:$FM$51, 3, TRUE)*$FM$40</f>
        <v>#VALUE!</v>
      </c>
    </row>
    <row r="86" spans="110:165">
      <c r="DF86" s="37" t="e">
        <f>先發名單!#REF!</f>
        <v>#REF!</v>
      </c>
      <c r="DG86" s="4" t="str">
        <f t="array" ref="DG86">IFERROR(INDEX(球員狀態!$C$2:$C$5000, MATCH(1, (球員狀態!$A$2:$A$5000=$DF$61)*(ISNUMBER(SEARCH($DF86, 球員狀態!$B$2:$B$5000))), 0)), "")</f>
        <v/>
      </c>
      <c r="DJ86" s="4" t="str">
        <f t="array" ref="DJ86">IFERROR(INDEX(球員狀態!$F$2:$F$5000,MATCH(1,(球員狀態!$A$2:$A$5000=$DF$61)*(ISNUMBER(SEARCH($DF86,球員狀態!$B$2:$B$5000))),0)),"")</f>
        <v/>
      </c>
      <c r="DK86" s="4" t="str">
        <f t="array" ref="DK86">IFERROR(INDEX(球員狀態!G$2:G$5000, MATCH(1, (球員狀態!$A$2:$A$5000=$DF$1)*(ISNUMBER(SEARCH($DF86, 球員狀態!$B$2:$B$5000))), 0)), "")</f>
        <v/>
      </c>
      <c r="DL86" s="4" t="str">
        <f t="array" ref="DL86">IFERROR(INDEX(球員狀態!H$2:H$5000, MATCH(1, (球員狀態!$A$2:$A$5000=$DF$61)*(ISNUMBER(SEARCH($DF86, 球員狀態!$B$2:$B$5000))), 0)), "")</f>
        <v/>
      </c>
      <c r="DM86" s="4" t="str">
        <f t="array" ref="DM86">IFERROR(INDEX(球員狀態!I$2:I$5000,MATCH(1,(球員狀態!$A$2:$A$5000=$DF$61)*(ISNUMBER(SEARCH($DF86,球員狀態!$B$2:$B$5000))),0)),"")</f>
        <v/>
      </c>
      <c r="DN86" s="4" t="str">
        <f t="array" ref="DN86">IFERROR(INDEX(球員狀態!J$2:J$5000,MATCH(1,(球員狀態!$A$2:$A$5000=$DF$61)*(ISNUMBER(SEARCH($DF86,球員狀態!$B$2:$B$5000))),0)),"")</f>
        <v/>
      </c>
      <c r="DO86" s="4" t="str">
        <f t="array" ref="DO86">IFERROR(INDEX(球員狀態!K$2:K$5000,MATCH(1,(球員狀態!$A$2:$A$5000=$DF$61)*(ISNUMBER(SEARCH($DF86,球員狀態!$B$2:$B$5000))),0)),"")</f>
        <v/>
      </c>
      <c r="DP86" s="4" t="str">
        <f t="array" ref="DP86">IFERROR(INDEX(球員狀態!L$2:L$5000,MATCH(1,(球員狀態!$A$2:$A$5000=$DF$61)*(ISNUMBER(SEARCH($DF86,球員狀態!$B$2:$B$5000))),0)),"")</f>
        <v/>
      </c>
      <c r="DQ86" s="4" t="str">
        <f t="array" ref="DQ86">IFERROR(INDEX(球員狀態!M$2:M$5000,MATCH(1,(球員狀態!$A$2:$A$5000=$DF$61)*(ISNUMBER(SEARCH($DF86,球員狀態!$B$2:$B$5000))),0)),"")</f>
        <v/>
      </c>
      <c r="DR86" s="4" t="str">
        <f t="array" ref="DR86">IFERROR(INDEX(球員狀態!N$2:N$5000,MATCH(1,(球員狀態!$A$2:$A$5000=$DF$61)*(ISNUMBER(SEARCH($DF86,球員狀態!$B$2:$B$5000))),0)),"")</f>
        <v/>
      </c>
      <c r="DS86" s="4" t="str">
        <f t="array" ref="DS86">IFERROR(INDEX(球員狀態!O$2:O$5000, MATCH(1, (球員狀態!$A$2:$A$5000=$DF$1)*(ISNUMBER(SEARCH($DF86, 球員狀態!$B$2:$B$5000))), 0)), "")</f>
        <v/>
      </c>
      <c r="DT86" s="4" t="str">
        <f t="array" ref="DT86">IFERROR(INDEX(球員狀態!P$2:P$5000, MATCH(1, (球員狀態!$A$2:$A$5000=$DF$1)*(ISNUMBER(SEARCH($DF86, 球員狀態!$B$2:$B$5000))), 0)), "")</f>
        <v/>
      </c>
      <c r="DU86" s="4" t="str">
        <f t="array" ref="DU86">IFERROR(INDEX(球員狀態!Q$2:Q$5000,MATCH(1,(球員狀態!$A$2:$A$5000=$DF$61)*(ISNUMBER(SEARCH($DF86,球員狀態!$B$2:$B$5000))),0)),"")</f>
        <v/>
      </c>
      <c r="DV86" s="4" t="str">
        <f t="array" ref="DV86">IFERROR(INDEX(球員狀態!R$2:R$5000, MATCH(1, (球員狀態!$A$2:$A$5000=$DF$1)*(ISNUMBER(SEARCH($DF86, 球員狀態!$B$2:$B$5000))), 0)), "")</f>
        <v/>
      </c>
      <c r="DW86" s="4" t="str">
        <f t="array" ref="DW86">IFERROR(INDEX(球員狀態!S$2:S$5000, MATCH(1, (球員狀態!$A$2:$A$5000=$DF$1)*(ISNUMBER(SEARCH($DF86, 球員狀態!$B$2:$B$5000))), 0)), "")</f>
        <v/>
      </c>
      <c r="DX86" s="4" t="str">
        <f t="array" ref="DX86">IFERROR(INDEX(球員狀態!T$2:T$5000,MATCH(1,(球員狀態!$A$2:$A$5000=$DF$61)*(ISNUMBER(SEARCH($DF86,球員狀態!$B$2:$B$5000))),0)),"")</f>
        <v/>
      </c>
      <c r="DY86" s="4" t="str">
        <f t="array" ref="DY86">IFERROR(INDEX(球員狀態!U$2:U$5000, MATCH(1, (球員狀態!$A$2:$A$5000=$DF$1)*(ISNUMBER(SEARCH($DF86, 球員狀態!$B$2:$B$5000))), 0)), "")</f>
        <v/>
      </c>
      <c r="DZ86" s="4" t="str">
        <f t="array" ref="DZ86">IFERROR(INDEX(球員狀態!V$2:V$5000, MATCH(1, (球員狀態!$A$2:$A$5000=$DF$1)*(ISNUMBER(SEARCH($DF86, 球員狀態!$B$2:$B$5000))), 0)), "")</f>
        <v/>
      </c>
      <c r="EA86" s="4" t="str">
        <f t="array" ref="EA86">IFERROR(INDEX(球員狀態!W$2:W$5000,MATCH(1,(球員狀態!$A$2:$A$5000=$DF$61)*(ISNUMBER(SEARCH($DF86,球員狀態!$B$2:$B$5000))),0)),"")</f>
        <v/>
      </c>
      <c r="EB86" s="4" t="str">
        <f t="array" ref="EB86">IFERROR(INDEX(球員狀態!X$2:X$5000, MATCH(1, (球員狀態!$A$2:$A$5000=$DF$1)*(ISNUMBER(SEARCH($DF86, 球員狀態!$B$2:$B$5000))), 0)), "")</f>
        <v/>
      </c>
      <c r="EC86" s="4" t="str">
        <f t="array" ref="EC86">IFERROR(INDEX(球員狀態!Y$2:Y$5000, MATCH(1, (球員狀態!$A$2:$A$5000=$DF$1)*(ISNUMBER(SEARCH($DF86, 球員狀態!$B$2:$B$5000))), 0)), "")</f>
        <v/>
      </c>
      <c r="ED86" s="4" t="str">
        <f t="array" ref="ED86">IFERROR(INDEX(球員狀態!Z$2:Z$5000,MATCH(1,(球員狀態!$A$2:$A$5000=$DF$61)*(ISNUMBER(SEARCH($DF86,球員狀態!$B$2:$B$5000))),0)),"")</f>
        <v/>
      </c>
      <c r="EE86" s="4" t="str">
        <f t="array" ref="EE86">IFERROR(INDEX(球員狀態!AA$2:AA$5000,MATCH(1,(球員狀態!$A$2:$A$5000=$DF$61)*(ISNUMBER(SEARCH($DF86,球員狀態!$B$2:$B$5000))),0)),"")</f>
        <v/>
      </c>
      <c r="EF86" s="4" t="str">
        <f t="array" ref="EF86">IFERROR(INDEX(球員狀態!AB$2:AB$5000,MATCH(1,(球員狀態!$A$2:$A$5000=$DF$61)*(ISNUMBER(SEARCH($DF86,球員狀態!$B$2:$B$5000))),0)),"")</f>
        <v/>
      </c>
      <c r="EG86" s="56"/>
      <c r="EI86" s="37">
        <f>先發名單!AA$4</f>
        <v>0</v>
      </c>
      <c r="EJ86" s="4" t="str">
        <f t="array" ref="EJ86">IFERROR(INDEX(球員狀態!C$2:C$5000, MATCH(1, (球員狀態!$A$2:$A$5000=$EI$61)*(ISNUMBER(SEARCH($EI86, 球員狀態!$B$2:$B$5000))), 0)), "")</f>
        <v/>
      </c>
      <c r="EM86" s="4" t="str">
        <f t="array" ref="EM86">IFERROR(INDEX(球員狀態!F$2:F$5000, MATCH(1, (球員狀態!$A$2:$A$5000=$EI$61)*(ISNUMBER(SEARCH($EI86, 球員狀態!$B$2:$B$5000))), 0)), "")</f>
        <v/>
      </c>
      <c r="EN86" s="4" t="str">
        <f t="array" ref="EN86">IFERROR(INDEX(球員狀態!G$2:G$5000, MATCH(1, (球員狀態!$A$2:$A$5000=$EI$1)*(ISNUMBER(SEARCH($EI86, 球員狀態!$B$2:$B$5000))), 0)), "")</f>
        <v/>
      </c>
      <c r="EO86" s="4" t="str">
        <f t="array" ref="EO86">IFERROR(INDEX(球員狀態!H$2:H$5000, MATCH(1, (球員狀態!$A$2:$A$5000=$EI$61)*(ISNUMBER(SEARCH($EI86, 球員狀態!$B$2:$B$5000))), 0)), "")</f>
        <v/>
      </c>
      <c r="EP86" s="4" t="str">
        <f t="array" ref="EP86">IFERROR(INDEX(球員狀態!I$2:I$5000, MATCH(1, (球員狀態!$A$2:$A$5000=$EI$61)*(ISNUMBER(SEARCH($EI86, 球員狀態!$B$2:$B$5000))), 0)), "")</f>
        <v/>
      </c>
      <c r="EQ86" s="4" t="str">
        <f t="array" ref="EQ86">IFERROR(INDEX(球員狀態!J$2:J$5000, MATCH(1, (球員狀態!$A$2:$A$5000=$EI$61)*(ISNUMBER(SEARCH($EI86, 球員狀態!$B$2:$B$5000))), 0)), "")</f>
        <v/>
      </c>
      <c r="ER86" s="4" t="str">
        <f t="array" ref="ER86">IFERROR(INDEX(球員狀態!K$2:K$5000, MATCH(1, (球員狀態!$A$2:$A$5000=$EI$61)*(ISNUMBER(SEARCH($EI86, 球員狀態!$B$2:$B$5000))), 0)), "")</f>
        <v/>
      </c>
      <c r="ES86" s="4" t="str">
        <f t="array" ref="ES86">IFERROR(INDEX(球員狀態!L$2:L$5000, MATCH(1, (球員狀態!$A$2:$A$5000=$EI$61)*(ISNUMBER(SEARCH($EI86, 球員狀態!$B$2:$B$5000))), 0)), "")</f>
        <v/>
      </c>
      <c r="ET86" s="4" t="str">
        <f t="array" ref="ET86">IFERROR(INDEX(球員狀態!M$2:M$5000, MATCH(1, (球員狀態!$A$2:$A$5000=$EI$61)*(ISNUMBER(SEARCH($EI86, 球員狀態!$B$2:$B$5000))), 0)), "")</f>
        <v/>
      </c>
      <c r="EU86" s="4" t="str">
        <f t="array" ref="EU86">IFERROR(INDEX(球員狀態!N$2:N$5000, MATCH(1, (球員狀態!$A$2:$A$5000=$EI$61)*(ISNUMBER(SEARCH($EI86, 球員狀態!$B$2:$B$5000))), 0)), "")</f>
        <v/>
      </c>
      <c r="EV86" s="4" t="str">
        <f t="array" ref="EV86">IFERROR(INDEX(球員狀態!O$2:O$5000, MATCH(1, (球員狀態!$A$2:$A$5000=$EI$1)*(ISNUMBER(SEARCH($EI86, 球員狀態!$B$2:$B$5000))), 0)), "")</f>
        <v/>
      </c>
      <c r="EW86" s="4" t="str">
        <f t="array" ref="EW86">IFERROR(INDEX(球員狀態!P$2:P$5000, MATCH(1, (球員狀態!$A$2:$A$5000=$EI$1)*(ISNUMBER(SEARCH($EI86, 球員狀態!$B$2:$B$5000))), 0)), "")</f>
        <v/>
      </c>
      <c r="EX86" s="4" t="str">
        <f t="array" ref="EX86">IFERROR(INDEX(球員狀態!Q$2:Q$5000, MATCH(1, (球員狀態!$A$2:$A$5000=$EI$61)*(ISNUMBER(SEARCH($EI86, 球員狀態!$B$2:$B$5000))), 0)), "")</f>
        <v/>
      </c>
      <c r="EY86" s="4" t="str">
        <f t="array" ref="EY86">IFERROR(INDEX(球員狀態!R$2:R$5000, MATCH(1, (球員狀態!$A$2:$A$5000=$EI$1)*(ISNUMBER(SEARCH($EI86, 球員狀態!$B$2:$B$5000))), 0)), "")</f>
        <v/>
      </c>
      <c r="EZ86" s="4" t="str">
        <f t="array" ref="EZ86">IFERROR(INDEX(球員狀態!S$2:S$5000, MATCH(1, (球員狀態!$A$2:$A$5000=$EI$1)*(ISNUMBER(SEARCH($EI86, 球員狀態!$B$2:$B$5000))), 0)), "")</f>
        <v/>
      </c>
      <c r="FA86" s="4" t="str">
        <f t="array" ref="FA86">IFERROR(INDEX(球員狀態!T$2:T$5000, MATCH(1, (球員狀態!$A$2:$A$5000=$EI$61)*(ISNUMBER(SEARCH($EI86, 球員狀態!$B$2:$B$5000))), 0)), "")</f>
        <v/>
      </c>
      <c r="FB86" s="4" t="str">
        <f t="array" ref="FB86">IFERROR(INDEX(球員狀態!U$2:U$5000, MATCH(1, (球員狀態!$A$2:$A$5000=$EI$1)*(ISNUMBER(SEARCH($EI86, 球員狀態!$B$2:$B$5000))), 0)), "")</f>
        <v/>
      </c>
      <c r="FC86" s="4" t="str">
        <f t="array" ref="FC86">IFERROR(INDEX(球員狀態!V$2:V$5000, MATCH(1, (球員狀態!$A$2:$A$5000=$EI$1)*(ISNUMBER(SEARCH($EI86, 球員狀態!$B$2:$B$5000))), 0)), "")</f>
        <v/>
      </c>
      <c r="FD86" s="4" t="str">
        <f t="array" ref="FD86">IFERROR(INDEX(球員狀態!W$2:W$5000, MATCH(1, (球員狀態!$A$2:$A$5000=$EI$61)*(ISNUMBER(SEARCH($EI86, 球員狀態!$B$2:$B$5000))), 0)), "")</f>
        <v/>
      </c>
      <c r="FE86" s="4" t="str">
        <f t="array" ref="FE86">IFERROR(INDEX(球員狀態!X$2:X$5000, MATCH(1, (球員狀態!$A$2:$A$5000=$EI$1)*(ISNUMBER(SEARCH($EI86, 球員狀態!$B$2:$B$5000))), 0)), "")</f>
        <v/>
      </c>
      <c r="FF86" s="4" t="str">
        <f t="array" ref="FF86">IFERROR(INDEX(球員狀態!Y$2:Y$5000, MATCH(1, (球員狀態!$A$2:$A$5000=$EI$1)*(ISNUMBER(SEARCH($EI86, 球員狀態!$B$2:$B$5000))), 0)), "")</f>
        <v/>
      </c>
      <c r="FG86" s="4" t="str">
        <f t="array" ref="FG86">IFERROR(INDEX(球員狀態!Z$2:Z$5000, MATCH(1, (球員狀態!$A$2:$A$5000=$EI$61)*(ISNUMBER(SEARCH($EI86, 球員狀態!$B$2:$B$5000))), 0)), "")</f>
        <v/>
      </c>
      <c r="FH86" s="4" t="str">
        <f t="array" ref="FH86">IFERROR(INDEX(球員狀態!AA$2:AA$5000, MATCH(1, (球員狀態!$A$2:$A$5000=$EI$61)*(ISNUMBER(SEARCH($EI86, 球員狀態!$B$2:$B$5000))), 0)), "")</f>
        <v/>
      </c>
      <c r="FI86" s="4" t="str">
        <f t="array" ref="FI86">IFERROR(INDEX(球員狀態!AB$2:AB$5000, MATCH(1, (球員狀態!$A$2:$A$5000=$EI$61)*(ISNUMBER(SEARCH($EI86, 球員狀態!$B$2:$B$5000))), 0)), "")</f>
        <v/>
      </c>
    </row>
    <row r="87" spans="110:165">
      <c r="DH87" s="40" t="e">
        <f>DJ87+DL87+DM87+DN87+DO87-DP87-DQ87+DR87</f>
        <v>#VALUE!</v>
      </c>
      <c r="DI87" s="42" t="e">
        <f>DU87+DX87+EA87+ED87+EE87+EF87</f>
        <v>#VALUE!</v>
      </c>
      <c r="DJ87" s="38" t="e">
        <f>VLOOKUP(DJ86*1, FK$2:FM$12, 3, TRUE)*FM$1</f>
        <v>#VALUE!</v>
      </c>
      <c r="DL87" s="38" t="e">
        <f>VLOOKUP(DL86*1, FN$2:FP$12, 3, TRUE)*FP$1</f>
        <v>#VALUE!</v>
      </c>
      <c r="DM87" s="38" t="e">
        <f>VLOOKUP(DM86*1, FQ$2:FS$12, 3, TRUE)*FS$1</f>
        <v>#VALUE!</v>
      </c>
      <c r="DN87" s="38" t="e">
        <f>VLOOKUP(DN86*1, FT$2:FV$12, 3, TRUE)*FV$1</f>
        <v>#VALUE!</v>
      </c>
      <c r="DO87" s="38" t="e">
        <f>VLOOKUP(DO86*1, FW$2:FY$12, 3, TRUE)*FY$1</f>
        <v>#VALUE!</v>
      </c>
      <c r="DP87" s="39" t="e">
        <f>VLOOKUP(DP86*1, FK$14:FM$25, 3, TRUE)*FM$14</f>
        <v>#VALUE!</v>
      </c>
      <c r="DQ87" s="39" t="e">
        <f>VLOOKUP(DQ86*1, FN$14:FP$25, 3, TRUE)*FP$14</f>
        <v>#VALUE!</v>
      </c>
      <c r="DR87" s="38" t="e">
        <f>VLOOKUP(DR86*1, FQ$14:FS$25, 3, TRUE)*FS$14</f>
        <v>#VALUE!</v>
      </c>
      <c r="DU87" s="41" t="e">
        <f>VLOOKUP(DU86*1, FK$27:FM$38, 3, TRUE)*FM$27</f>
        <v>#VALUE!</v>
      </c>
      <c r="DX87" s="41" t="e">
        <f>VLOOKUP(DX86*1, FN$27:FP$38, 3, TRUE)*FP$27</f>
        <v>#VALUE!</v>
      </c>
      <c r="EA87" s="41" t="e">
        <f>VLOOKUP(EA86*1, FQ$27:FS$38, 3, TRUE)*FS$27</f>
        <v>#VALUE!</v>
      </c>
      <c r="ED87" s="41" t="e">
        <f>VLOOKUP(ED86*1, FT$27:FV$38, 3, TRUE)*FV$27</f>
        <v>#VALUE!</v>
      </c>
      <c r="EE87" s="41" t="e">
        <f>VLOOKUP(EE86*1, FW$27:FY$38, 3, TRUE)*FY$27</f>
        <v>#VALUE!</v>
      </c>
      <c r="EF87" s="41" t="e">
        <f>VLOOKUP(EF86*1, FK$40:FM$51, 3, TRUE)*FM$40</f>
        <v>#VALUE!</v>
      </c>
      <c r="EG87" s="57"/>
      <c r="EK87" s="40" t="e">
        <f>EM87+EO87+EP87+EQ87+ER87-ES87-ET87+EU87</f>
        <v>#VALUE!</v>
      </c>
      <c r="EL87" s="42" t="e">
        <f>EX87+FA87+FD87+FG87+FH87+FI87</f>
        <v>#VALUE!</v>
      </c>
      <c r="EM87" s="38" t="e">
        <f>VLOOKUP(EM86*1, $FK$2:$FM$12, 3, TRUE)*$FM$1</f>
        <v>#VALUE!</v>
      </c>
      <c r="EO87" s="38" t="e">
        <f>VLOOKUP(EO86*1, $FN$2:$FP$12, 3, TRUE)*$FP$1</f>
        <v>#VALUE!</v>
      </c>
      <c r="EP87" s="38" t="e">
        <f>VLOOKUP(EP86*1, $FQ$2:$FS$12, 3, TRUE)*$FS$1</f>
        <v>#VALUE!</v>
      </c>
      <c r="EQ87" s="38" t="e">
        <f>VLOOKUP(EQ86*1, $FT$2:$FV$12, 3, TRUE)*$FV$1</f>
        <v>#VALUE!</v>
      </c>
      <c r="ER87" s="38" t="e">
        <f>VLOOKUP(ER86*1, $FW$2:$FY$12, 3, TRUE)*$FY$1</f>
        <v>#VALUE!</v>
      </c>
      <c r="ES87" s="39" t="e">
        <f>VLOOKUP(ES86*1, $FK$14:$FM$25, 3, TRUE)*$FM$14</f>
        <v>#VALUE!</v>
      </c>
      <c r="ET87" s="39" t="e">
        <f>VLOOKUP(ET86*1, $FN$14:$FP$25, 3, TRUE)*$FP$14</f>
        <v>#VALUE!</v>
      </c>
      <c r="EU87" s="38" t="e">
        <f>VLOOKUP(EU86*1, $FQ$14:$FS$25, 3, TRUE)*$FS$14</f>
        <v>#VALUE!</v>
      </c>
      <c r="EX87" s="41" t="e">
        <f>VLOOKUP(EX86*1, $FK$27:$FM$38, 3, TRUE)*$FM$27</f>
        <v>#VALUE!</v>
      </c>
      <c r="FA87" s="41" t="e">
        <f>VLOOKUP(FA86*1, $FN$27:$FP$38, 3, TRUE)*$FP$27</f>
        <v>#VALUE!</v>
      </c>
      <c r="FD87" s="41" t="e">
        <f>VLOOKUP(FD86*1, $FQ$27:$FS$38, 3, TRUE)*$FS$27</f>
        <v>#VALUE!</v>
      </c>
      <c r="FG87" s="41" t="e">
        <f>VLOOKUP(FG86*1, $FT$27:$FV$38, 3, TRUE)*$FV$27</f>
        <v>#VALUE!</v>
      </c>
      <c r="FH87" s="41" t="e">
        <f>VLOOKUP(FH86*1, $FW$27:$FY$38, 3, TRUE)*$FY$27</f>
        <v>#VALUE!</v>
      </c>
      <c r="FI87" s="41" t="e">
        <f>VLOOKUP(FI86*1, $FK$40:$FM$51, 3, TRUE)*$FM$40</f>
        <v>#VALUE!</v>
      </c>
    </row>
    <row r="88" spans="110:165">
      <c r="DF88" s="82" t="str">
        <f>$DF61&amp;"整體"</f>
        <v>紅襪整體</v>
      </c>
      <c r="DG88" t="s">
        <v>487</v>
      </c>
      <c r="DH88" t="s">
        <v>488</v>
      </c>
      <c r="DJ88" s="82" t="str">
        <f>$DF61&amp;"先發"</f>
        <v>紅襪先發</v>
      </c>
      <c r="DK88" s="78"/>
      <c r="DL88" t="s">
        <v>487</v>
      </c>
      <c r="DM88" t="s">
        <v>488</v>
      </c>
      <c r="DO88" s="82" t="str">
        <f>$DF61&amp;"板凳"</f>
        <v>紅襪板凳</v>
      </c>
      <c r="DP88" s="78"/>
      <c r="DQ88" t="s">
        <v>487</v>
      </c>
      <c r="DR88" t="s">
        <v>488</v>
      </c>
      <c r="EI88" s="82" t="str">
        <f>$EI61&amp;"整體"</f>
        <v>藍鳥整體</v>
      </c>
      <c r="EJ88" t="s">
        <v>487</v>
      </c>
      <c r="EK88" t="s">
        <v>488</v>
      </c>
      <c r="EM88" s="82" t="str">
        <f>$EI61&amp;"先發"</f>
        <v>藍鳥先發</v>
      </c>
      <c r="EN88" s="78"/>
      <c r="EO88" t="s">
        <v>487</v>
      </c>
      <c r="EP88" t="s">
        <v>488</v>
      </c>
      <c r="ER88" s="82" t="str">
        <f>$EI61&amp;"板凳"</f>
        <v>藍鳥板凳</v>
      </c>
      <c r="ES88" s="78"/>
      <c r="ET88" t="s">
        <v>487</v>
      </c>
      <c r="EU88" t="s">
        <v>488</v>
      </c>
    </row>
    <row r="89" spans="110:165">
      <c r="DF89" s="78"/>
      <c r="DG89" s="43" t="e">
        <f>(DH63+DH65+DH67+DH69+DH71+DH73+DH75+DH77+DH79+DH81+DH83+DH85+DH87)/13</f>
        <v>#VALUE!</v>
      </c>
      <c r="DH89" s="43" t="e">
        <f>(DI63+DI65+DI67+DI69+DI71+DI73+DI75+DI77+DI79+DI81+DI83+DI85+DI87)/13</f>
        <v>#VALUE!</v>
      </c>
      <c r="DJ89" s="78"/>
      <c r="DK89" s="78"/>
      <c r="DL89" s="4" t="e">
        <f>(DH63+DH65+DH67+DH69+DH71)/5</f>
        <v>#VALUE!</v>
      </c>
      <c r="DM89" s="4" t="e">
        <f>(DI63+DI65+DI67+DI69+DI71)/5</f>
        <v>#VALUE!</v>
      </c>
      <c r="DO89" s="78"/>
      <c r="DP89" s="78"/>
      <c r="DQ89" s="43" t="e">
        <f>(DH73+DH75+DH77+DH79+DH81+DH83+DH85+DH85+DH87)/8</f>
        <v>#VALUE!</v>
      </c>
      <c r="DR89" s="43" t="e">
        <f>(DI73+DI75+DI77+DI79+DI81+DI83+DI85+DI87)/8</f>
        <v>#VALUE!</v>
      </c>
      <c r="EI89" s="78"/>
      <c r="EJ89" s="43" t="e">
        <f>(EK63+EK65+EK67+EK69+EK71+EK73+EK75+EK77+EK79+EK81+EK83+EK85+EK87)/13</f>
        <v>#VALUE!</v>
      </c>
      <c r="EK89" s="43" t="e">
        <f>(EL63+EL65+EL67+EL69+EL71+EL73+EL75+EL77+EL79+EL81+EL83+EL85+EL87)/13</f>
        <v>#VALUE!</v>
      </c>
      <c r="EM89" s="78"/>
      <c r="EN89" s="78"/>
      <c r="EO89" s="4" t="e">
        <f>(EK63+EK65+EK67+EK69+EK71)/5</f>
        <v>#VALUE!</v>
      </c>
      <c r="EP89" s="4" t="e">
        <f>(EL63+EL65+EL67+EL69+EL71)/5</f>
        <v>#VALUE!</v>
      </c>
      <c r="ER89" s="78"/>
      <c r="ES89" s="78"/>
      <c r="ET89" s="43" t="e">
        <f>(EK73+EK75+EK77+EK79+EK81+EK83+EK85+EK85+EK87)/8</f>
        <v>#VALUE!</v>
      </c>
      <c r="EU89" s="43" t="e">
        <f>(EL73+EL75+EL77+EL79+EL81+EL83+EL85+EL87)/8</f>
        <v>#VALUE!</v>
      </c>
    </row>
    <row r="91" spans="110:165">
      <c r="DF91" s="34" t="str">
        <f>CB14</f>
        <v>水手</v>
      </c>
      <c r="DG91" t="s">
        <v>486</v>
      </c>
      <c r="DH91" s="1" t="s">
        <v>487</v>
      </c>
      <c r="DI91" s="1" t="s">
        <v>488</v>
      </c>
      <c r="DJ91" t="s">
        <v>517</v>
      </c>
      <c r="DK91" t="s">
        <v>554</v>
      </c>
      <c r="DL91" t="s">
        <v>518</v>
      </c>
      <c r="DM91" t="s">
        <v>519</v>
      </c>
      <c r="DN91" t="s">
        <v>520</v>
      </c>
      <c r="DO91" t="s">
        <v>521</v>
      </c>
      <c r="DP91" t="s">
        <v>532</v>
      </c>
      <c r="DQ91" t="s">
        <v>533</v>
      </c>
      <c r="DR91" t="s">
        <v>534</v>
      </c>
      <c r="DS91" t="s">
        <v>555</v>
      </c>
      <c r="DT91" t="s">
        <v>556</v>
      </c>
      <c r="DU91" t="s">
        <v>549</v>
      </c>
      <c r="DV91" t="s">
        <v>557</v>
      </c>
      <c r="DW91" t="s">
        <v>558</v>
      </c>
      <c r="DX91" t="s">
        <v>550</v>
      </c>
      <c r="DY91" t="s">
        <v>559</v>
      </c>
      <c r="DZ91" t="s">
        <v>560</v>
      </c>
      <c r="EA91" t="s">
        <v>551</v>
      </c>
      <c r="EB91" t="s">
        <v>561</v>
      </c>
      <c r="EC91" t="s">
        <v>562</v>
      </c>
      <c r="ED91" t="s">
        <v>552</v>
      </c>
      <c r="EE91" t="s">
        <v>553</v>
      </c>
      <c r="EF91" t="s">
        <v>563</v>
      </c>
      <c r="EH91" s="14"/>
      <c r="EI91" s="34" t="str">
        <f>CB16</f>
        <v>雙城</v>
      </c>
      <c r="EJ91" t="s">
        <v>486</v>
      </c>
      <c r="EK91" s="1" t="s">
        <v>487</v>
      </c>
      <c r="EL91" s="1" t="s">
        <v>488</v>
      </c>
      <c r="EM91" t="s">
        <v>517</v>
      </c>
      <c r="EN91" t="s">
        <v>554</v>
      </c>
      <c r="EO91" t="s">
        <v>518</v>
      </c>
      <c r="EP91" t="s">
        <v>519</v>
      </c>
      <c r="EQ91" t="s">
        <v>520</v>
      </c>
      <c r="ER91" t="s">
        <v>521</v>
      </c>
      <c r="ES91" t="s">
        <v>532</v>
      </c>
      <c r="ET91" t="s">
        <v>533</v>
      </c>
      <c r="EU91" t="s">
        <v>534</v>
      </c>
      <c r="EV91" t="s">
        <v>555</v>
      </c>
      <c r="EW91" t="s">
        <v>556</v>
      </c>
      <c r="EX91" t="s">
        <v>549</v>
      </c>
      <c r="EY91" t="s">
        <v>557</v>
      </c>
      <c r="EZ91" t="s">
        <v>558</v>
      </c>
      <c r="FA91" t="s">
        <v>550</v>
      </c>
      <c r="FB91" t="s">
        <v>559</v>
      </c>
      <c r="FC91" t="s">
        <v>560</v>
      </c>
      <c r="FD91" t="s">
        <v>551</v>
      </c>
      <c r="FE91" t="s">
        <v>561</v>
      </c>
      <c r="FF91" t="s">
        <v>562</v>
      </c>
      <c r="FG91" t="s">
        <v>552</v>
      </c>
      <c r="FH91" t="s">
        <v>553</v>
      </c>
      <c r="FI91" t="s">
        <v>563</v>
      </c>
    </row>
    <row r="92" spans="110:165">
      <c r="DF92" s="35" t="str">
        <f>先發名單!E$5</f>
        <v>Jack Kochanowicz</v>
      </c>
      <c r="DG92" s="4" t="str">
        <f t="array" ref="DG92">IFERROR(INDEX(球員狀態!$C$2:$C$5000, MATCH(1, (球員狀態!$A$2:$A$5000=$DF$91)*(ISNUMBER(SEARCH($DF92, 球員狀態!$B$2:$B$5000))), 0)), "")</f>
        <v/>
      </c>
      <c r="DJ92" s="4" t="str">
        <f t="array" ref="DJ92">IFERROR(INDEX(球員狀態!$F$2:$F$5000,MATCH(1,(球員狀態!$A$2:$A$5000=$DF$91)*(ISNUMBER(SEARCH($DF92,球員狀態!$B$2:$B$5000))),0)),"")</f>
        <v/>
      </c>
      <c r="DK92" s="4" t="str">
        <f t="array" ref="DK92">IFERROR(INDEX(球員狀態!G$2:G$5000, MATCH(1, (球員狀態!$A$2:$A$5000=$DF$1)*(ISNUMBER(SEARCH($DF92, 球員狀態!$B$2:$B$5000))), 0)), "")</f>
        <v/>
      </c>
      <c r="DL92" s="4" t="str">
        <f t="array" ref="DL92">IFERROR(INDEX(球員狀態!H$2:H$5000, MATCH(1, (球員狀態!$A$2:$A$5000=$DF$91)*(ISNUMBER(SEARCH($DF92, 球員狀態!$B$2:$B$5000))), 0)), "")</f>
        <v/>
      </c>
      <c r="DM92" s="4" t="str">
        <f t="array" ref="DM92">IFERROR(INDEX(球員狀態!I$2:I$5000,MATCH(1,(球員狀態!$A$2:$A$5000=$DF$91)*(ISNUMBER(SEARCH($DF92,球員狀態!$B$2:$B$5000))),0)),"")</f>
        <v/>
      </c>
      <c r="DN92" s="4" t="str">
        <f t="array" ref="DN92">IFERROR(INDEX(球員狀態!J$2:J$5000,MATCH(1,(球員狀態!$A$2:$A$5000=$DF$91)*(ISNUMBER(SEARCH($DF92,球員狀態!$B$2:$B$5000))),0)),"")</f>
        <v/>
      </c>
      <c r="DO92" s="4" t="str">
        <f t="array" ref="DO92">IFERROR(INDEX(球員狀態!K$2:K$5000,MATCH(1,(球員狀態!$A$2:$A$5000=$DF$91)*(ISNUMBER(SEARCH($DF92,球員狀態!$B$2:$B$5000))),0)),"")</f>
        <v/>
      </c>
      <c r="DP92" s="4" t="str">
        <f t="array" ref="DP92">IFERROR(INDEX(球員狀態!L$2:L$5000,MATCH(1,(球員狀態!$A$2:$A$5000=$DF$91)*(ISNUMBER(SEARCH($DF92,球員狀態!$B$2:$B$5000))),0)),"")</f>
        <v/>
      </c>
      <c r="DQ92" s="4" t="str">
        <f t="array" ref="DQ92">IFERROR(INDEX(球員狀態!M$2:M$5000,MATCH(1,(球員狀態!$A$2:$A$5000=$DF$91)*(ISNUMBER(SEARCH($DF92,球員狀態!$B$2:$B$5000))),0)),"")</f>
        <v/>
      </c>
      <c r="DR92" s="4" t="str">
        <f t="array" ref="DR92">IFERROR(INDEX(球員狀態!N$2:N$5000,MATCH(1,(球員狀態!$A$2:$A$5000=$DF$91)*(ISNUMBER(SEARCH($DF92,球員狀態!$B$2:$B$5000))),0)),"")</f>
        <v/>
      </c>
      <c r="DS92" s="4" t="str">
        <f t="array" ref="DS92">IFERROR(INDEX(球員狀態!O$2:O$5000, MATCH(1, (球員狀態!$A$2:$A$5000=$DF$1)*(ISNUMBER(SEARCH($DF92, 球員狀態!$B$2:$B$5000))), 0)), "")</f>
        <v/>
      </c>
      <c r="DT92" s="4" t="str">
        <f t="array" ref="DT92">IFERROR(INDEX(球員狀態!P$2:P$5000, MATCH(1, (球員狀態!$A$2:$A$5000=$DF$1)*(ISNUMBER(SEARCH($DF92, 球員狀態!$B$2:$B$5000))), 0)), "")</f>
        <v/>
      </c>
      <c r="DU92" s="4" t="str">
        <f t="array" ref="DU92">IFERROR(INDEX(球員狀態!Q$2:Q$5000,MATCH(1,(球員狀態!$A$2:$A$5000=$DF$91)*(ISNUMBER(SEARCH($DF92,球員狀態!$B$2:$B$5000))),0)),"")</f>
        <v/>
      </c>
      <c r="DV92" s="4" t="str">
        <f t="array" ref="DV92">IFERROR(INDEX(球員狀態!R$2:R$5000, MATCH(1, (球員狀態!$A$2:$A$5000=$DF$1)*(ISNUMBER(SEARCH($DF92, 球員狀態!$B$2:$B$5000))), 0)), "")</f>
        <v/>
      </c>
      <c r="DW92" s="4" t="str">
        <f t="array" ref="DW92">IFERROR(INDEX(球員狀態!S$2:S$5000, MATCH(1, (球員狀態!$A$2:$A$5000=$DF$1)*(ISNUMBER(SEARCH($DF92, 球員狀態!$B$2:$B$5000))), 0)), "")</f>
        <v/>
      </c>
      <c r="DX92" s="4" t="str">
        <f t="array" ref="DX92">IFERROR(INDEX(球員狀態!T$2:T$5000,MATCH(1,(球員狀態!$A$2:$A$5000=$DF$91)*(ISNUMBER(SEARCH($DF92,球員狀態!$B$2:$B$5000))),0)),"")</f>
        <v/>
      </c>
      <c r="DY92" s="4" t="str">
        <f t="array" ref="DY92">IFERROR(INDEX(球員狀態!U$2:U$5000, MATCH(1, (球員狀態!$A$2:$A$5000=$DF$1)*(ISNUMBER(SEARCH($DF92, 球員狀態!$B$2:$B$5000))), 0)), "")</f>
        <v/>
      </c>
      <c r="DZ92" s="4" t="str">
        <f t="array" ref="DZ92">IFERROR(INDEX(球員狀態!V$2:V$5000, MATCH(1, (球員狀態!$A$2:$A$5000=$DF$1)*(ISNUMBER(SEARCH($DF92, 球員狀態!$B$2:$B$5000))), 0)), "")</f>
        <v/>
      </c>
      <c r="EA92" s="4" t="str">
        <f t="array" ref="EA92">IFERROR(INDEX(球員狀態!W$2:W$5000,MATCH(1,(球員狀態!$A$2:$A$5000=$DF$91)*(ISNUMBER(SEARCH($DF92,球員狀態!$B$2:$B$5000))),0)),"")</f>
        <v/>
      </c>
      <c r="EB92" s="4" t="str">
        <f t="array" ref="EB92">IFERROR(INDEX(球員狀態!X$2:X$5000, MATCH(1, (球員狀態!$A$2:$A$5000=$DF$1)*(ISNUMBER(SEARCH($DF92, 球員狀態!$B$2:$B$5000))), 0)), "")</f>
        <v/>
      </c>
      <c r="EC92" s="4" t="str">
        <f t="array" ref="EC92">IFERROR(INDEX(球員狀態!Y$2:Y$5000, MATCH(1, (球員狀態!$A$2:$A$5000=$DF$1)*(ISNUMBER(SEARCH($DF92, 球員狀態!$B$2:$B$5000))), 0)), "")</f>
        <v/>
      </c>
      <c r="ED92" s="4" t="str">
        <f t="array" ref="ED92">IFERROR(INDEX(球員狀態!Z$2:Z$5000,MATCH(1,(球員狀態!$A$2:$A$5000=$DF$91)*(ISNUMBER(SEARCH($DF92,球員狀態!$B$2:$B$5000))),0)),"")</f>
        <v/>
      </c>
      <c r="EE92" s="4" t="str">
        <f t="array" ref="EE92">IFERROR(INDEX(球員狀態!AA$2:AA$5000,MATCH(1,(球員狀態!$A$2:$A$5000=$DF$91)*(ISNUMBER(SEARCH($DF92,球員狀態!$B$2:$B$5000))),0)),"")</f>
        <v/>
      </c>
      <c r="EF92" s="4" t="str">
        <f t="array" ref="EF92">IFERROR(INDEX(球員狀態!AB$2:AB$5000,MATCH(1,(球員狀態!$A$2:$A$5000=$DF$91)*(ISNUMBER(SEARCH($DF92,球員狀態!$B$2:$B$5000))),0)),"")</f>
        <v/>
      </c>
      <c r="EG92" s="56"/>
      <c r="EI92" s="35" t="str">
        <f>先發名單!O$5</f>
        <v>B. Teodosio</v>
      </c>
      <c r="EJ92" s="4" t="str">
        <f t="array" ref="EJ92">IFERROR(INDEX(球員狀態!C$2:C$5000, MATCH(1, (球員狀態!$A$2:$A$5000=$EI$91)*(ISNUMBER(SEARCH($EI92, 球員狀態!$B$2:$B$5000))), 0)), "")</f>
        <v/>
      </c>
      <c r="EM92" s="4" t="str">
        <f t="array" ref="EM92">IFERROR(INDEX(球員狀態!F$2:F$5000, MATCH(1, (球員狀態!$A$2:$A$5000=$EI$91)*(ISNUMBER(SEARCH($EI92, 球員狀態!$B$2:$B$5000))), 0)), "")</f>
        <v/>
      </c>
      <c r="EN92" s="4" t="str">
        <f t="array" ref="EN92">IFERROR(INDEX(球員狀態!G$2:G$5000, MATCH(1, (球員狀態!$A$2:$A$5000=$EI$1)*(ISNUMBER(SEARCH($EI92, 球員狀態!$B$2:$B$5000))), 0)), "")</f>
        <v/>
      </c>
      <c r="EO92" s="4" t="str">
        <f t="array" ref="EO92">IFERROR(INDEX(球員狀態!H$2:H$5000, MATCH(1, (球員狀態!$A$2:$A$5000=$EI$91)*(ISNUMBER(SEARCH($EI92, 球員狀態!$B$2:$B$5000))), 0)), "")</f>
        <v/>
      </c>
      <c r="EP92" s="4" t="str">
        <f t="array" ref="EP92">IFERROR(INDEX(球員狀態!I$2:I$5000, MATCH(1, (球員狀態!$A$2:$A$5000=$EI$91)*(ISNUMBER(SEARCH($EI92, 球員狀態!$B$2:$B$5000))), 0)), "")</f>
        <v/>
      </c>
      <c r="EQ92" s="4" t="str">
        <f t="array" ref="EQ92">IFERROR(INDEX(球員狀態!J$2:J$5000, MATCH(1, (球員狀態!$A$2:$A$5000=$EI$91)*(ISNUMBER(SEARCH($EI92, 球員狀態!$B$2:$B$5000))), 0)), "")</f>
        <v/>
      </c>
      <c r="ER92" s="4" t="str">
        <f t="array" ref="ER92">IFERROR(INDEX(球員狀態!K$2:K$5000, MATCH(1, (球員狀態!$A$2:$A$5000=$EI$91)*(ISNUMBER(SEARCH($EI92, 球員狀態!$B$2:$B$5000))), 0)), "")</f>
        <v/>
      </c>
      <c r="ES92" s="4" t="str">
        <f t="array" ref="ES92">IFERROR(INDEX(球員狀態!L$2:L$5000, MATCH(1, (球員狀態!$A$2:$A$5000=$EI$91)*(ISNUMBER(SEARCH($EI92, 球員狀態!$B$2:$B$5000))), 0)), "")</f>
        <v/>
      </c>
      <c r="ET92" s="4" t="str">
        <f t="array" ref="ET92">IFERROR(INDEX(球員狀態!M$2:M$5000, MATCH(1, (球員狀態!$A$2:$A$5000=$EI$91)*(ISNUMBER(SEARCH($EI92, 球員狀態!$B$2:$B$5000))), 0)), "")</f>
        <v/>
      </c>
      <c r="EU92" s="4" t="str">
        <f t="array" ref="EU92">IFERROR(INDEX(球員狀態!N$2:N$5000, MATCH(1, (球員狀態!$A$2:$A$5000=$EI$91)*(ISNUMBER(SEARCH($EI92, 球員狀態!$B$2:$B$5000))), 0)), "")</f>
        <v/>
      </c>
      <c r="EV92" s="4" t="str">
        <f t="array" ref="EV92">IFERROR(INDEX(球員狀態!O$2:O$5000, MATCH(1, (球員狀態!$A$2:$A$5000=$EI$1)*(ISNUMBER(SEARCH($EI92, 球員狀態!$B$2:$B$5000))), 0)), "")</f>
        <v/>
      </c>
      <c r="EW92" s="4" t="str">
        <f t="array" ref="EW92">IFERROR(INDEX(球員狀態!P$2:P$5000, MATCH(1, (球員狀態!$A$2:$A$5000=$EI$1)*(ISNUMBER(SEARCH($EI92, 球員狀態!$B$2:$B$5000))), 0)), "")</f>
        <v/>
      </c>
      <c r="EX92" s="4" t="str">
        <f t="array" ref="EX92">IFERROR(INDEX(球員狀態!Q$2:Q$5000, MATCH(1, (球員狀態!$A$2:$A$5000=$EI$91)*(ISNUMBER(SEARCH($EI92, 球員狀態!$B$2:$B$5000))), 0)), "")</f>
        <v/>
      </c>
      <c r="EY92" s="4" t="str">
        <f t="array" ref="EY92">IFERROR(INDEX(球員狀態!R$2:R$5000, MATCH(1, (球員狀態!$A$2:$A$5000=$EI$1)*(ISNUMBER(SEARCH($EI92, 球員狀態!$B$2:$B$5000))), 0)), "")</f>
        <v/>
      </c>
      <c r="EZ92" s="4" t="str">
        <f t="array" ref="EZ92">IFERROR(INDEX(球員狀態!S$2:S$5000, MATCH(1, (球員狀態!$A$2:$A$5000=$EI$1)*(ISNUMBER(SEARCH($EI92, 球員狀態!$B$2:$B$5000))), 0)), "")</f>
        <v/>
      </c>
      <c r="FA92" s="4" t="str">
        <f t="array" ref="FA92">IFERROR(INDEX(球員狀態!T$2:T$5000, MATCH(1, (球員狀態!$A$2:$A$5000=$EI$91)*(ISNUMBER(SEARCH($EI92, 球員狀態!$B$2:$B$5000))), 0)), "")</f>
        <v/>
      </c>
      <c r="FB92" s="4" t="str">
        <f t="array" ref="FB92">IFERROR(INDEX(球員狀態!U$2:U$5000, MATCH(1, (球員狀態!$A$2:$A$5000=$EI$1)*(ISNUMBER(SEARCH($EI92, 球員狀態!$B$2:$B$5000))), 0)), "")</f>
        <v/>
      </c>
      <c r="FC92" s="4" t="str">
        <f t="array" ref="FC92">IFERROR(INDEX(球員狀態!V$2:V$5000, MATCH(1, (球員狀態!$A$2:$A$5000=$EI$1)*(ISNUMBER(SEARCH($EI92, 球員狀態!$B$2:$B$5000))), 0)), "")</f>
        <v/>
      </c>
      <c r="FD92" s="4" t="str">
        <f t="array" ref="FD92">IFERROR(INDEX(球員狀態!W$2:W$5000, MATCH(1, (球員狀態!$A$2:$A$5000=$EI$91)*(ISNUMBER(SEARCH($EI92, 球員狀態!$B$2:$B$5000))), 0)), "")</f>
        <v/>
      </c>
      <c r="FE92" s="4" t="str">
        <f t="array" ref="FE92">IFERROR(INDEX(球員狀態!X$2:X$5000, MATCH(1, (球員狀態!$A$2:$A$5000=$EI$1)*(ISNUMBER(SEARCH($EI92, 球員狀態!$B$2:$B$5000))), 0)), "")</f>
        <v/>
      </c>
      <c r="FF92" s="4" t="str">
        <f t="array" ref="FF92">IFERROR(INDEX(球員狀態!Y$2:Y$5000, MATCH(1, (球員狀態!$A$2:$A$5000=$EI$1)*(ISNUMBER(SEARCH($EI92, 球員狀態!$B$2:$B$5000))), 0)), "")</f>
        <v/>
      </c>
      <c r="FG92" s="4" t="str">
        <f t="array" ref="FG92">IFERROR(INDEX(球員狀態!Z$2:Z$5000, MATCH(1, (球員狀態!$A$2:$A$5000=$EI$91)*(ISNUMBER(SEARCH($EI92, 球員狀態!$B$2:$B$5000))), 0)), "")</f>
        <v/>
      </c>
      <c r="FH92" s="4" t="str">
        <f t="array" ref="FH92">IFERROR(INDEX(球員狀態!AA$2:AA$5000, MATCH(1, (球員狀態!$A$2:$A$5000=$EI$91)*(ISNUMBER(SEARCH($EI92, 球員狀態!$B$2:$B$5000))), 0)), "")</f>
        <v/>
      </c>
      <c r="FI92" s="4" t="str">
        <f t="array" ref="FI92">IFERROR(INDEX(球員狀態!AB$2:AB$5000, MATCH(1, (球員狀態!$A$2:$A$5000=$EI$91)*(ISNUMBER(SEARCH($EI92, 球員狀態!$B$2:$B$5000))), 0)), "")</f>
        <v/>
      </c>
    </row>
    <row r="93" spans="110:165">
      <c r="DF93" s="36"/>
      <c r="DG93" s="4"/>
      <c r="DH93" s="40" t="e">
        <f>DJ93+DL93+DM93+DN93+DO93-DP93-DQ93+DR93</f>
        <v>#VALUE!</v>
      </c>
      <c r="DI93" s="42" t="e">
        <f>DU93+DX93+EA93+ED93+EE93+EF93</f>
        <v>#VALUE!</v>
      </c>
      <c r="DJ93" s="38" t="e">
        <f>VLOOKUP(DJ92*1, $FK$2:$FM$12, 3, TRUE)*$FM$1</f>
        <v>#VALUE!</v>
      </c>
      <c r="DL93" s="38" t="e">
        <f>VLOOKUP(DL92*1, $FN$2:$FP$12, 3, TRUE)*$FP$1</f>
        <v>#VALUE!</v>
      </c>
      <c r="DM93" s="38" t="e">
        <f>VLOOKUP(DM92*1, $FQ$2:$FS$12, 3, TRUE)*$FS$1</f>
        <v>#VALUE!</v>
      </c>
      <c r="DN93" s="38" t="e">
        <f>VLOOKUP(DN92*1, $FT$2:$FV$12, 3, TRUE)*$FV$1</f>
        <v>#VALUE!</v>
      </c>
      <c r="DO93" s="38" t="e">
        <f>VLOOKUP(DO92*1, $FW$2:$FY$12, 3, TRUE)*$FY$1</f>
        <v>#VALUE!</v>
      </c>
      <c r="DP93" s="39" t="e">
        <f>VLOOKUP(DP92*1, $FK$14:$FM$25, 3, TRUE)*$FM$14</f>
        <v>#VALUE!</v>
      </c>
      <c r="DQ93" s="39" t="e">
        <f>VLOOKUP(DQ92*1, $FN$14:$FP$25, 3, TRUE)*$FP$14</f>
        <v>#VALUE!</v>
      </c>
      <c r="DR93" s="38" t="e">
        <f>VLOOKUP(DR92*1, $FQ$14:$FS$25, 3, TRUE)*$FS$14</f>
        <v>#VALUE!</v>
      </c>
      <c r="DU93" s="41" t="e">
        <f>VLOOKUP(DU92*1, $FK$27:$FM$38, 3, TRUE)*$FM$27</f>
        <v>#VALUE!</v>
      </c>
      <c r="DX93" s="41" t="e">
        <f>VLOOKUP(DX92*1, $FN$27:$FP$38, 3, TRUE)*$FP$27</f>
        <v>#VALUE!</v>
      </c>
      <c r="EA93" s="41" t="e">
        <f>VLOOKUP(EA92*1, $FQ$27:$FS$38, 3, TRUE)*$FS$27</f>
        <v>#VALUE!</v>
      </c>
      <c r="ED93" s="41" t="e">
        <f>VLOOKUP(ED92*1, $FT$27:$FV$38, 3, TRUE)*$FV$27</f>
        <v>#VALUE!</v>
      </c>
      <c r="EE93" s="41" t="e">
        <f>VLOOKUP(EE92*1, $FW$27:$FY$38, 3, TRUE)*$FY$27</f>
        <v>#VALUE!</v>
      </c>
      <c r="EF93" s="41" t="e">
        <f>VLOOKUP(EF92*1, $FK$40:$FM$51, 3, TRUE)*$FM$40</f>
        <v>#VALUE!</v>
      </c>
      <c r="EG93" s="57"/>
      <c r="EI93" s="36"/>
      <c r="EJ93" s="4"/>
      <c r="EK93" s="40" t="e">
        <f>EM93+EO93+EP93+EQ93+ER93-ES93-ET93+EU93</f>
        <v>#VALUE!</v>
      </c>
      <c r="EL93" s="42" t="e">
        <f>EX93+FA93+FD93+FG93+FH93+FI93</f>
        <v>#VALUE!</v>
      </c>
      <c r="EM93" s="38" t="e">
        <f>VLOOKUP(EM92*1, $FK$2:$FM$12, 3, TRUE)*$FM$1</f>
        <v>#VALUE!</v>
      </c>
      <c r="EO93" s="38" t="e">
        <f>VLOOKUP(EO92*1, $FN$2:$FP$12, 3, TRUE)*$FP$1</f>
        <v>#VALUE!</v>
      </c>
      <c r="EP93" s="38" t="e">
        <f>VLOOKUP(EP92*1, $FQ$2:$FS$12, 3, TRUE)*$FS$1</f>
        <v>#VALUE!</v>
      </c>
      <c r="EQ93" s="38" t="e">
        <f>VLOOKUP(EQ92*1, $FT$2:$FV$12, 3, TRUE)*$FV$1</f>
        <v>#VALUE!</v>
      </c>
      <c r="ER93" s="38" t="e">
        <f>VLOOKUP(ER92*1, $FW$2:$FY$12, 3, TRUE)*$FY$1</f>
        <v>#VALUE!</v>
      </c>
      <c r="ES93" s="39" t="e">
        <f>VLOOKUP(ES92*1, $FK$14:$FM$25, 3, TRUE)*$FM$14</f>
        <v>#VALUE!</v>
      </c>
      <c r="ET93" s="39" t="e">
        <f>VLOOKUP(ET92*1, $FN$14:$FP$25, 3, TRUE)*$FP$14</f>
        <v>#VALUE!</v>
      </c>
      <c r="EU93" s="38" t="e">
        <f>VLOOKUP(EU92*1, $FQ$14:$FS$25, 3, TRUE)*$FS$14</f>
        <v>#VALUE!</v>
      </c>
      <c r="EX93" s="41" t="e">
        <f>VLOOKUP(EX92*1, $FK$27:$FM$38, 3, TRUE)*$FM$27</f>
        <v>#VALUE!</v>
      </c>
      <c r="FA93" s="41" t="e">
        <f>VLOOKUP(FA92*1, $FN$27:$FP$38, 3, TRUE)*$FP$27</f>
        <v>#VALUE!</v>
      </c>
      <c r="FD93" s="41" t="e">
        <f>VLOOKUP(FD92*1, $FQ$27:$FS$38, 3, TRUE)*$FS$27</f>
        <v>#VALUE!</v>
      </c>
      <c r="FG93" s="41" t="e">
        <f>VLOOKUP(FG92*1, $FT$27:$FV$38, 3, TRUE)*$FV$27</f>
        <v>#VALUE!</v>
      </c>
      <c r="FH93" s="41" t="e">
        <f>VLOOKUP(FH92*1, $FW$27:$FY$38, 3, TRUE)*$FY$27</f>
        <v>#VALUE!</v>
      </c>
      <c r="FI93" s="41" t="e">
        <f>VLOOKUP(FI92*1, $FK$40:$FM$51, 3, TRUE)*$FM$40</f>
        <v>#VALUE!</v>
      </c>
    </row>
    <row r="94" spans="110:165">
      <c r="DF94" s="35" t="str">
        <f>先發名單!F5</f>
        <v>Anthony Kay</v>
      </c>
      <c r="DG94" s="4" t="str">
        <f t="array" ref="DG94">IFERROR(INDEX(球員狀態!$C$2:$C$5000, MATCH(1, (球員狀態!$A$2:$A$5000=$DF$91)*(ISNUMBER(SEARCH($DF94, 球員狀態!$B$2:$B$5000))), 0)), "")</f>
        <v/>
      </c>
      <c r="DJ94" s="4" t="str">
        <f t="array" ref="DJ94">IFERROR(INDEX(球員狀態!$F$2:$F$5000,MATCH(1,(球員狀態!$A$2:$A$5000=$DF$91)*(ISNUMBER(SEARCH($DF94,球員狀態!$B$2:$B$5000))),0)),"")</f>
        <v/>
      </c>
      <c r="DK94" s="4" t="str">
        <f t="array" ref="DK94">IFERROR(INDEX(球員狀態!G$2:G$5000, MATCH(1, (球員狀態!$A$2:$A$5000=$DF$1)*(ISNUMBER(SEARCH($DF94, 球員狀態!$B$2:$B$5000))), 0)), "")</f>
        <v/>
      </c>
      <c r="DL94" s="4" t="str">
        <f t="array" ref="DL94">IFERROR(INDEX(球員狀態!H$2:H$5000, MATCH(1, (球員狀態!$A$2:$A$5000=$DF$91)*(ISNUMBER(SEARCH($DF94, 球員狀態!$B$2:$B$5000))), 0)), "")</f>
        <v/>
      </c>
      <c r="DM94" s="4" t="str">
        <f t="array" ref="DM94">IFERROR(INDEX(球員狀態!I$2:I$5000,MATCH(1,(球員狀態!$A$2:$A$5000=$DF$91)*(ISNUMBER(SEARCH($DF94,球員狀態!$B$2:$B$5000))),0)),"")</f>
        <v/>
      </c>
      <c r="DN94" s="4" t="str">
        <f t="array" ref="DN94">IFERROR(INDEX(球員狀態!J$2:J$5000,MATCH(1,(球員狀態!$A$2:$A$5000=$DF$91)*(ISNUMBER(SEARCH($DF94,球員狀態!$B$2:$B$5000))),0)),"")</f>
        <v/>
      </c>
      <c r="DO94" s="4" t="str">
        <f t="array" ref="DO94">IFERROR(INDEX(球員狀態!K$2:K$5000,MATCH(1,(球員狀態!$A$2:$A$5000=$DF$91)*(ISNUMBER(SEARCH($DF94,球員狀態!$B$2:$B$5000))),0)),"")</f>
        <v/>
      </c>
      <c r="DP94" s="4" t="str">
        <f t="array" ref="DP94">IFERROR(INDEX(球員狀態!L$2:L$5000,MATCH(1,(球員狀態!$A$2:$A$5000=$DF$91)*(ISNUMBER(SEARCH($DF94,球員狀態!$B$2:$B$5000))),0)),"")</f>
        <v/>
      </c>
      <c r="DQ94" s="4" t="str">
        <f t="array" ref="DQ94">IFERROR(INDEX(球員狀態!M$2:M$5000,MATCH(1,(球員狀態!$A$2:$A$5000=$DF$91)*(ISNUMBER(SEARCH($DF94,球員狀態!$B$2:$B$5000))),0)),"")</f>
        <v/>
      </c>
      <c r="DR94" s="4" t="str">
        <f t="array" ref="DR94">IFERROR(INDEX(球員狀態!N$2:N$5000,MATCH(1,(球員狀態!$A$2:$A$5000=$DF$91)*(ISNUMBER(SEARCH($DF94,球員狀態!$B$2:$B$5000))),0)),"")</f>
        <v/>
      </c>
      <c r="DS94" s="4" t="str">
        <f t="array" ref="DS94">IFERROR(INDEX(球員狀態!O$2:O$5000, MATCH(1, (球員狀態!$A$2:$A$5000=$DF$1)*(ISNUMBER(SEARCH($DF94, 球員狀態!$B$2:$B$5000))), 0)), "")</f>
        <v/>
      </c>
      <c r="DT94" s="4" t="str">
        <f t="array" ref="DT94">IFERROR(INDEX(球員狀態!P$2:P$5000, MATCH(1, (球員狀態!$A$2:$A$5000=$DF$1)*(ISNUMBER(SEARCH($DF94, 球員狀態!$B$2:$B$5000))), 0)), "")</f>
        <v/>
      </c>
      <c r="DU94" s="4" t="str">
        <f t="array" ref="DU94">IFERROR(INDEX(球員狀態!Q$2:Q$5000,MATCH(1,(球員狀態!$A$2:$A$5000=$DF$91)*(ISNUMBER(SEARCH($DF94,球員狀態!$B$2:$B$5000))),0)),"")</f>
        <v/>
      </c>
      <c r="DV94" s="4" t="str">
        <f t="array" ref="DV94">IFERROR(INDEX(球員狀態!R$2:R$5000, MATCH(1, (球員狀態!$A$2:$A$5000=$DF$1)*(ISNUMBER(SEARCH($DF94, 球員狀態!$B$2:$B$5000))), 0)), "")</f>
        <v/>
      </c>
      <c r="DW94" s="4" t="str">
        <f t="array" ref="DW94">IFERROR(INDEX(球員狀態!S$2:S$5000, MATCH(1, (球員狀態!$A$2:$A$5000=$DF$1)*(ISNUMBER(SEARCH($DF94, 球員狀態!$B$2:$B$5000))), 0)), "")</f>
        <v/>
      </c>
      <c r="DX94" s="4" t="str">
        <f t="array" ref="DX94">IFERROR(INDEX(球員狀態!T$2:T$5000,MATCH(1,(球員狀態!$A$2:$A$5000=$DF$91)*(ISNUMBER(SEARCH($DF94,球員狀態!$B$2:$B$5000))),0)),"")</f>
        <v/>
      </c>
      <c r="DY94" s="4" t="str">
        <f t="array" ref="DY94">IFERROR(INDEX(球員狀態!U$2:U$5000, MATCH(1, (球員狀態!$A$2:$A$5000=$DF$1)*(ISNUMBER(SEARCH($DF94, 球員狀態!$B$2:$B$5000))), 0)), "")</f>
        <v/>
      </c>
      <c r="DZ94" s="4" t="str">
        <f t="array" ref="DZ94">IFERROR(INDEX(球員狀態!V$2:V$5000, MATCH(1, (球員狀態!$A$2:$A$5000=$DF$1)*(ISNUMBER(SEARCH($DF94, 球員狀態!$B$2:$B$5000))), 0)), "")</f>
        <v/>
      </c>
      <c r="EA94" s="4" t="str">
        <f t="array" ref="EA94">IFERROR(INDEX(球員狀態!W$2:W$5000,MATCH(1,(球員狀態!$A$2:$A$5000=$DF$91)*(ISNUMBER(SEARCH($DF94,球員狀態!$B$2:$B$5000))),0)),"")</f>
        <v/>
      </c>
      <c r="EB94" s="4" t="str">
        <f t="array" ref="EB94">IFERROR(INDEX(球員狀態!X$2:X$5000, MATCH(1, (球員狀態!$A$2:$A$5000=$DF$1)*(ISNUMBER(SEARCH($DF94, 球員狀態!$B$2:$B$5000))), 0)), "")</f>
        <v/>
      </c>
      <c r="EC94" s="4" t="str">
        <f t="array" ref="EC94">IFERROR(INDEX(球員狀態!Y$2:Y$5000, MATCH(1, (球員狀態!$A$2:$A$5000=$DF$1)*(ISNUMBER(SEARCH($DF94, 球員狀態!$B$2:$B$5000))), 0)), "")</f>
        <v/>
      </c>
      <c r="ED94" s="4" t="str">
        <f t="array" ref="ED94">IFERROR(INDEX(球員狀態!Z$2:Z$5000,MATCH(1,(球員狀態!$A$2:$A$5000=$DF$91)*(ISNUMBER(SEARCH($DF94,球員狀態!$B$2:$B$5000))),0)),"")</f>
        <v/>
      </c>
      <c r="EE94" s="4" t="str">
        <f t="array" ref="EE94">IFERROR(INDEX(球員狀態!AA$2:AA$5000,MATCH(1,(球員狀態!$A$2:$A$5000=$DF$91)*(ISNUMBER(SEARCH($DF94,球員狀態!$B$2:$B$5000))),0)),"")</f>
        <v/>
      </c>
      <c r="EF94" s="4" t="str">
        <f t="array" ref="EF94">IFERROR(INDEX(球員狀態!AB$2:AB$5000,MATCH(1,(球員狀態!$A$2:$A$5000=$DF$91)*(ISNUMBER(SEARCH($DF94,球員狀態!$B$2:$B$5000))),0)),"")</f>
        <v/>
      </c>
      <c r="EG94" s="56"/>
      <c r="EI94" s="35" t="str">
        <f>先發名單!P$5</f>
        <v>A. Benintendi</v>
      </c>
      <c r="EJ94" s="4" t="str">
        <f t="array" ref="EJ94">IFERROR(INDEX(球員狀態!C$2:C$5000, MATCH(1, (球員狀態!$A$2:$A$5000=$EI$91)*(ISNUMBER(SEARCH($EI94, 球員狀態!$B$2:$B$5000))), 0)), "")</f>
        <v/>
      </c>
      <c r="EM94" s="4" t="str">
        <f t="array" ref="EM94">IFERROR(INDEX(球員狀態!F$2:F$5000, MATCH(1, (球員狀態!$A$2:$A$5000=$EI$91)*(ISNUMBER(SEARCH($EI94, 球員狀態!$B$2:$B$5000))), 0)), "")</f>
        <v/>
      </c>
      <c r="EN94" s="4" t="str">
        <f t="array" ref="EN94">IFERROR(INDEX(球員狀態!G$2:G$5000, MATCH(1, (球員狀態!$A$2:$A$5000=$EI$1)*(ISNUMBER(SEARCH($EI94, 球員狀態!$B$2:$B$5000))), 0)), "")</f>
        <v/>
      </c>
      <c r="EO94" s="4" t="str">
        <f t="array" ref="EO94">IFERROR(INDEX(球員狀態!H$2:H$5000, MATCH(1, (球員狀態!$A$2:$A$5000=$EI$91)*(ISNUMBER(SEARCH($EI94, 球員狀態!$B$2:$B$5000))), 0)), "")</f>
        <v/>
      </c>
      <c r="EP94" s="4" t="str">
        <f t="array" ref="EP94">IFERROR(INDEX(球員狀態!I$2:I$5000, MATCH(1, (球員狀態!$A$2:$A$5000=$EI$91)*(ISNUMBER(SEARCH($EI94, 球員狀態!$B$2:$B$5000))), 0)), "")</f>
        <v/>
      </c>
      <c r="EQ94" s="4" t="str">
        <f t="array" ref="EQ94">IFERROR(INDEX(球員狀態!J$2:J$5000, MATCH(1, (球員狀態!$A$2:$A$5000=$EI$91)*(ISNUMBER(SEARCH($EI94, 球員狀態!$B$2:$B$5000))), 0)), "")</f>
        <v/>
      </c>
      <c r="ER94" s="4" t="str">
        <f t="array" ref="ER94">IFERROR(INDEX(球員狀態!K$2:K$5000, MATCH(1, (球員狀態!$A$2:$A$5000=$EI$91)*(ISNUMBER(SEARCH($EI94, 球員狀態!$B$2:$B$5000))), 0)), "")</f>
        <v/>
      </c>
      <c r="ES94" s="4" t="str">
        <f t="array" ref="ES94">IFERROR(INDEX(球員狀態!L$2:L$5000, MATCH(1, (球員狀態!$A$2:$A$5000=$EI$91)*(ISNUMBER(SEARCH($EI94, 球員狀態!$B$2:$B$5000))), 0)), "")</f>
        <v/>
      </c>
      <c r="ET94" s="4" t="str">
        <f t="array" ref="ET94">IFERROR(INDEX(球員狀態!M$2:M$5000, MATCH(1, (球員狀態!$A$2:$A$5000=$EI$91)*(ISNUMBER(SEARCH($EI94, 球員狀態!$B$2:$B$5000))), 0)), "")</f>
        <v/>
      </c>
      <c r="EU94" s="4" t="str">
        <f t="array" ref="EU94">IFERROR(INDEX(球員狀態!N$2:N$5000, MATCH(1, (球員狀態!$A$2:$A$5000=$EI$91)*(ISNUMBER(SEARCH($EI94, 球員狀態!$B$2:$B$5000))), 0)), "")</f>
        <v/>
      </c>
      <c r="EV94" s="4" t="str">
        <f t="array" ref="EV94">IFERROR(INDEX(球員狀態!O$2:O$5000, MATCH(1, (球員狀態!$A$2:$A$5000=$EI$1)*(ISNUMBER(SEARCH($EI94, 球員狀態!$B$2:$B$5000))), 0)), "")</f>
        <v/>
      </c>
      <c r="EW94" s="4" t="str">
        <f t="array" ref="EW94">IFERROR(INDEX(球員狀態!P$2:P$5000, MATCH(1, (球員狀態!$A$2:$A$5000=$EI$1)*(ISNUMBER(SEARCH($EI94, 球員狀態!$B$2:$B$5000))), 0)), "")</f>
        <v/>
      </c>
      <c r="EX94" s="4" t="str">
        <f t="array" ref="EX94">IFERROR(INDEX(球員狀態!Q$2:Q$5000, MATCH(1, (球員狀態!$A$2:$A$5000=$EI$91)*(ISNUMBER(SEARCH($EI94, 球員狀態!$B$2:$B$5000))), 0)), "")</f>
        <v/>
      </c>
      <c r="EY94" s="4" t="str">
        <f t="array" ref="EY94">IFERROR(INDEX(球員狀態!R$2:R$5000, MATCH(1, (球員狀態!$A$2:$A$5000=$EI$1)*(ISNUMBER(SEARCH($EI94, 球員狀態!$B$2:$B$5000))), 0)), "")</f>
        <v/>
      </c>
      <c r="EZ94" s="4" t="str">
        <f t="array" ref="EZ94">IFERROR(INDEX(球員狀態!S$2:S$5000, MATCH(1, (球員狀態!$A$2:$A$5000=$EI$1)*(ISNUMBER(SEARCH($EI94, 球員狀態!$B$2:$B$5000))), 0)), "")</f>
        <v/>
      </c>
      <c r="FA94" s="4" t="str">
        <f t="array" ref="FA94">IFERROR(INDEX(球員狀態!T$2:T$5000, MATCH(1, (球員狀態!$A$2:$A$5000=$EI$91)*(ISNUMBER(SEARCH($EI94, 球員狀態!$B$2:$B$5000))), 0)), "")</f>
        <v/>
      </c>
      <c r="FB94" s="4" t="str">
        <f t="array" ref="FB94">IFERROR(INDEX(球員狀態!U$2:U$5000, MATCH(1, (球員狀態!$A$2:$A$5000=$EI$1)*(ISNUMBER(SEARCH($EI94, 球員狀態!$B$2:$B$5000))), 0)), "")</f>
        <v/>
      </c>
      <c r="FC94" s="4" t="str">
        <f t="array" ref="FC94">IFERROR(INDEX(球員狀態!V$2:V$5000, MATCH(1, (球員狀態!$A$2:$A$5000=$EI$1)*(ISNUMBER(SEARCH($EI94, 球員狀態!$B$2:$B$5000))), 0)), "")</f>
        <v/>
      </c>
      <c r="FD94" s="4" t="str">
        <f t="array" ref="FD94">IFERROR(INDEX(球員狀態!W$2:W$5000, MATCH(1, (球員狀態!$A$2:$A$5000=$EI$91)*(ISNUMBER(SEARCH($EI94, 球員狀態!$B$2:$B$5000))), 0)), "")</f>
        <v/>
      </c>
      <c r="FE94" s="4" t="str">
        <f t="array" ref="FE94">IFERROR(INDEX(球員狀態!X$2:X$5000, MATCH(1, (球員狀態!$A$2:$A$5000=$EI$1)*(ISNUMBER(SEARCH($EI94, 球員狀態!$B$2:$B$5000))), 0)), "")</f>
        <v/>
      </c>
      <c r="FF94" s="4" t="str">
        <f t="array" ref="FF94">IFERROR(INDEX(球員狀態!Y$2:Y$5000, MATCH(1, (球員狀態!$A$2:$A$5000=$EI$1)*(ISNUMBER(SEARCH($EI94, 球員狀態!$B$2:$B$5000))), 0)), "")</f>
        <v/>
      </c>
      <c r="FG94" s="4" t="str">
        <f t="array" ref="FG94">IFERROR(INDEX(球員狀態!Z$2:Z$5000, MATCH(1, (球員狀態!$A$2:$A$5000=$EI$91)*(ISNUMBER(SEARCH($EI94, 球員狀態!$B$2:$B$5000))), 0)), "")</f>
        <v/>
      </c>
      <c r="FH94" s="4" t="str">
        <f t="array" ref="FH94">IFERROR(INDEX(球員狀態!AA$2:AA$5000, MATCH(1, (球員狀態!$A$2:$A$5000=$EI$91)*(ISNUMBER(SEARCH($EI94, 球員狀態!$B$2:$B$5000))), 0)), "")</f>
        <v/>
      </c>
      <c r="FI94" s="4" t="str">
        <f t="array" ref="FI94">IFERROR(INDEX(球員狀態!AB$2:AB$5000, MATCH(1, (球員狀態!$A$2:$A$5000=$EI$91)*(ISNUMBER(SEARCH($EI94, 球員狀態!$B$2:$B$5000))), 0)), "")</f>
        <v/>
      </c>
    </row>
    <row r="95" spans="110:165">
      <c r="DF95" s="36"/>
      <c r="DG95" s="4"/>
      <c r="DH95" s="40" t="e">
        <f>DJ95+DL95+DM95+DN95+DO95-DP95-DQ95+DR95</f>
        <v>#VALUE!</v>
      </c>
      <c r="DI95" s="42" t="e">
        <f>DU95+DX95+EA95+ED95+EE95+EF95</f>
        <v>#VALUE!</v>
      </c>
      <c r="DJ95" s="38" t="e">
        <f>VLOOKUP(DJ94*1, FK$2:FM$12, 3, TRUE)*FM$1</f>
        <v>#VALUE!</v>
      </c>
      <c r="DL95" s="38" t="e">
        <f>VLOOKUP(DL94*1, FN$2:FP$12, 3, TRUE)*FP$1</f>
        <v>#VALUE!</v>
      </c>
      <c r="DM95" s="38" t="e">
        <f>VLOOKUP(DM94*1, FQ$2:FS$12, 3, TRUE)*FS$1</f>
        <v>#VALUE!</v>
      </c>
      <c r="DN95" s="38" t="e">
        <f>VLOOKUP(DN94*1, FT$2:FV$12, 3, TRUE)*FV$1</f>
        <v>#VALUE!</v>
      </c>
      <c r="DO95" s="38" t="e">
        <f>VLOOKUP(DO94*1, FW$2:FY$12, 3, TRUE)*FY$1</f>
        <v>#VALUE!</v>
      </c>
      <c r="DP95" s="39" t="e">
        <f>VLOOKUP(DP94*1, FK$14:FM$25, 3, TRUE)*FM$14</f>
        <v>#VALUE!</v>
      </c>
      <c r="DQ95" s="39" t="e">
        <f>VLOOKUP(DQ94*1, FN$14:FP$25, 3, TRUE)*FP$14</f>
        <v>#VALUE!</v>
      </c>
      <c r="DR95" s="38" t="e">
        <f>VLOOKUP(DR94*1, FQ$14:FS$25, 3, TRUE)*FS$14</f>
        <v>#VALUE!</v>
      </c>
      <c r="DU95" s="41" t="e">
        <f>VLOOKUP(DU94*1, FK$27:FM$38, 3, TRUE)*FM$27</f>
        <v>#VALUE!</v>
      </c>
      <c r="DX95" s="41" t="e">
        <f>VLOOKUP(DX94*1, FN$27:FP$38, 3, TRUE)*FP$27</f>
        <v>#VALUE!</v>
      </c>
      <c r="EA95" s="41" t="e">
        <f>VLOOKUP(EA94*1, FQ$27:FS$38, 3, TRUE)*FS$27</f>
        <v>#VALUE!</v>
      </c>
      <c r="ED95" s="41" t="e">
        <f>VLOOKUP(ED94*1, FT$27:FV$38, 3, TRUE)*FV$27</f>
        <v>#VALUE!</v>
      </c>
      <c r="EE95" s="41" t="e">
        <f>VLOOKUP(EE94*1, FW$27:FY$38, 3, TRUE)*FY$27</f>
        <v>#VALUE!</v>
      </c>
      <c r="EF95" s="41" t="e">
        <f>VLOOKUP(EF94*1, FK$40:FM$51, 3, TRUE)*FM$40</f>
        <v>#VALUE!</v>
      </c>
      <c r="EG95" s="57"/>
      <c r="EI95" s="36"/>
      <c r="EJ95" s="4"/>
      <c r="EK95" s="40" t="e">
        <f>EM95+EO95+EP95+EQ95+ER95-ES95-ET95+EU95</f>
        <v>#VALUE!</v>
      </c>
      <c r="EL95" s="42" t="e">
        <f>EX95+FA95+FD95+FG95+FH95+FI95</f>
        <v>#VALUE!</v>
      </c>
      <c r="EM95" s="38" t="e">
        <f>VLOOKUP(EM94*1, $FK$2:$FM$12, 3, TRUE)*$FM$1</f>
        <v>#VALUE!</v>
      </c>
      <c r="EO95" s="38" t="e">
        <f>VLOOKUP(EO94*1, $FN$2:$FP$12, 3, TRUE)*$FP$1</f>
        <v>#VALUE!</v>
      </c>
      <c r="EP95" s="38" t="e">
        <f>VLOOKUP(EP94*1, $FQ$2:$FS$12, 3, TRUE)*$FS$1</f>
        <v>#VALUE!</v>
      </c>
      <c r="EQ95" s="38" t="e">
        <f>VLOOKUP(EQ94*1, $FT$2:$FV$12, 3, TRUE)*$FV$1</f>
        <v>#VALUE!</v>
      </c>
      <c r="ER95" s="38" t="e">
        <f>VLOOKUP(ER94*1, $FW$2:$FY$12, 3, TRUE)*$FY$1</f>
        <v>#VALUE!</v>
      </c>
      <c r="ES95" s="39" t="e">
        <f>VLOOKUP(ES94*1, $FK$14:$FM$25, 3, TRUE)*$FM$14</f>
        <v>#VALUE!</v>
      </c>
      <c r="ET95" s="39" t="e">
        <f>VLOOKUP(ET94*1, $FN$14:$FP$25, 3, TRUE)*$FP$14</f>
        <v>#VALUE!</v>
      </c>
      <c r="EU95" s="38" t="e">
        <f>VLOOKUP(EU94*1, $FQ$14:$FS$25, 3, TRUE)*$FS$14</f>
        <v>#VALUE!</v>
      </c>
      <c r="EX95" s="41" t="e">
        <f>VLOOKUP(EX94*1, $FK$27:$FM$38, 3, TRUE)*$FM$27</f>
        <v>#VALUE!</v>
      </c>
      <c r="FA95" s="41" t="e">
        <f>VLOOKUP(FA94*1, $FN$27:$FP$38, 3, TRUE)*$FP$27</f>
        <v>#VALUE!</v>
      </c>
      <c r="FD95" s="41" t="e">
        <f>VLOOKUP(FD94*1, $FQ$27:$FS$38, 3, TRUE)*$FS$27</f>
        <v>#VALUE!</v>
      </c>
      <c r="FG95" s="41" t="e">
        <f>VLOOKUP(FG94*1, $FT$27:$FV$38, 3, TRUE)*$FV$27</f>
        <v>#VALUE!</v>
      </c>
      <c r="FH95" s="41" t="e">
        <f>VLOOKUP(FH94*1, $FW$27:$FY$38, 3, TRUE)*$FY$27</f>
        <v>#VALUE!</v>
      </c>
      <c r="FI95" s="41" t="e">
        <f>VLOOKUP(FI94*1, $FK$40:$FM$51, 3, TRUE)*$FM$40</f>
        <v>#VALUE!</v>
      </c>
    </row>
    <row r="96" spans="110:165">
      <c r="DF96" s="35" t="str">
        <f>先發名單!G$5</f>
        <v>Zach Neto</v>
      </c>
      <c r="DG96" s="4" t="str">
        <f t="array" ref="DG96">IFERROR(INDEX(球員狀態!$C$2:$C$5000, MATCH(1, (球員狀態!$A$2:$A$5000=$DF$91)*(ISNUMBER(SEARCH($DF96, 球員狀態!$B$2:$B$5000))), 0)), "")</f>
        <v/>
      </c>
      <c r="DJ96" s="4" t="str">
        <f t="array" ref="DJ96">IFERROR(INDEX(球員狀態!$F$2:$F$5000,MATCH(1,(球員狀態!$A$2:$A$5000=$DF$91)*(ISNUMBER(SEARCH($DF96,球員狀態!$B$2:$B$5000))),0)),"")</f>
        <v/>
      </c>
      <c r="DK96" s="4" t="str">
        <f t="array" ref="DK96">IFERROR(INDEX(球員狀態!G$2:G$5000, MATCH(1, (球員狀態!$A$2:$A$5000=$DF$1)*(ISNUMBER(SEARCH($DF96, 球員狀態!$B$2:$B$5000))), 0)), "")</f>
        <v/>
      </c>
      <c r="DL96" s="4" t="str">
        <f t="array" ref="DL96">IFERROR(INDEX(球員狀態!H$2:H$5000, MATCH(1, (球員狀態!$A$2:$A$5000=$DF$91)*(ISNUMBER(SEARCH($DF96, 球員狀態!$B$2:$B$5000))), 0)), "")</f>
        <v/>
      </c>
      <c r="DM96" s="4" t="str">
        <f t="array" ref="DM96">IFERROR(INDEX(球員狀態!I$2:I$5000,MATCH(1,(球員狀態!$A$2:$A$5000=$DF$91)*(ISNUMBER(SEARCH($DF96,球員狀態!$B$2:$B$5000))),0)),"")</f>
        <v/>
      </c>
      <c r="DN96" s="4" t="str">
        <f t="array" ref="DN96">IFERROR(INDEX(球員狀態!J$2:J$5000,MATCH(1,(球員狀態!$A$2:$A$5000=$DF$91)*(ISNUMBER(SEARCH($DF96,球員狀態!$B$2:$B$5000))),0)),"")</f>
        <v/>
      </c>
      <c r="DO96" s="4" t="str">
        <f t="array" ref="DO96">IFERROR(INDEX(球員狀態!K$2:K$5000,MATCH(1,(球員狀態!$A$2:$A$5000=$DF$91)*(ISNUMBER(SEARCH($DF96,球員狀態!$B$2:$B$5000))),0)),"")</f>
        <v/>
      </c>
      <c r="DP96" s="4" t="str">
        <f t="array" ref="DP96">IFERROR(INDEX(球員狀態!L$2:L$5000,MATCH(1,(球員狀態!$A$2:$A$5000=$DF$91)*(ISNUMBER(SEARCH($DF96,球員狀態!$B$2:$B$5000))),0)),"")</f>
        <v/>
      </c>
      <c r="DQ96" s="4" t="str">
        <f t="array" ref="DQ96">IFERROR(INDEX(球員狀態!M$2:M$5000,MATCH(1,(球員狀態!$A$2:$A$5000=$DF$91)*(ISNUMBER(SEARCH($DF96,球員狀態!$B$2:$B$5000))),0)),"")</f>
        <v/>
      </c>
      <c r="DR96" s="4" t="str">
        <f t="array" ref="DR96">IFERROR(INDEX(球員狀態!N$2:N$5000,MATCH(1,(球員狀態!$A$2:$A$5000=$DF$91)*(ISNUMBER(SEARCH($DF96,球員狀態!$B$2:$B$5000))),0)),"")</f>
        <v/>
      </c>
      <c r="DS96" s="4" t="str">
        <f t="array" ref="DS96">IFERROR(INDEX(球員狀態!O$2:O$5000, MATCH(1, (球員狀態!$A$2:$A$5000=$DF$1)*(ISNUMBER(SEARCH($DF96, 球員狀態!$B$2:$B$5000))), 0)), "")</f>
        <v/>
      </c>
      <c r="DT96" s="4" t="str">
        <f t="array" ref="DT96">IFERROR(INDEX(球員狀態!P$2:P$5000, MATCH(1, (球員狀態!$A$2:$A$5000=$DF$1)*(ISNUMBER(SEARCH($DF96, 球員狀態!$B$2:$B$5000))), 0)), "")</f>
        <v/>
      </c>
      <c r="DU96" s="4" t="str">
        <f t="array" ref="DU96">IFERROR(INDEX(球員狀態!Q$2:Q$5000,MATCH(1,(球員狀態!$A$2:$A$5000=$DF$91)*(ISNUMBER(SEARCH($DF96,球員狀態!$B$2:$B$5000))),0)),"")</f>
        <v/>
      </c>
      <c r="DV96" s="4" t="str">
        <f t="array" ref="DV96">IFERROR(INDEX(球員狀態!R$2:R$5000, MATCH(1, (球員狀態!$A$2:$A$5000=$DF$1)*(ISNUMBER(SEARCH($DF96, 球員狀態!$B$2:$B$5000))), 0)), "")</f>
        <v/>
      </c>
      <c r="DW96" s="4" t="str">
        <f t="array" ref="DW96">IFERROR(INDEX(球員狀態!S$2:S$5000, MATCH(1, (球員狀態!$A$2:$A$5000=$DF$1)*(ISNUMBER(SEARCH($DF96, 球員狀態!$B$2:$B$5000))), 0)), "")</f>
        <v/>
      </c>
      <c r="DX96" s="4" t="str">
        <f t="array" ref="DX96">IFERROR(INDEX(球員狀態!T$2:T$5000,MATCH(1,(球員狀態!$A$2:$A$5000=$DF$91)*(ISNUMBER(SEARCH($DF96,球員狀態!$B$2:$B$5000))),0)),"")</f>
        <v/>
      </c>
      <c r="DY96" s="4" t="str">
        <f t="array" ref="DY96">IFERROR(INDEX(球員狀態!U$2:U$5000, MATCH(1, (球員狀態!$A$2:$A$5000=$DF$1)*(ISNUMBER(SEARCH($DF96, 球員狀態!$B$2:$B$5000))), 0)), "")</f>
        <v/>
      </c>
      <c r="DZ96" s="4" t="str">
        <f t="array" ref="DZ96">IFERROR(INDEX(球員狀態!V$2:V$5000, MATCH(1, (球員狀態!$A$2:$A$5000=$DF$1)*(ISNUMBER(SEARCH($DF96, 球員狀態!$B$2:$B$5000))), 0)), "")</f>
        <v/>
      </c>
      <c r="EA96" s="4" t="str">
        <f t="array" ref="EA96">IFERROR(INDEX(球員狀態!W$2:W$5000,MATCH(1,(球員狀態!$A$2:$A$5000=$DF$91)*(ISNUMBER(SEARCH($DF96,球員狀態!$B$2:$B$5000))),0)),"")</f>
        <v/>
      </c>
      <c r="EB96" s="4" t="str">
        <f t="array" ref="EB96">IFERROR(INDEX(球員狀態!X$2:X$5000, MATCH(1, (球員狀態!$A$2:$A$5000=$DF$1)*(ISNUMBER(SEARCH($DF96, 球員狀態!$B$2:$B$5000))), 0)), "")</f>
        <v/>
      </c>
      <c r="EC96" s="4" t="str">
        <f t="array" ref="EC96">IFERROR(INDEX(球員狀態!Y$2:Y$5000, MATCH(1, (球員狀態!$A$2:$A$5000=$DF$1)*(ISNUMBER(SEARCH($DF96, 球員狀態!$B$2:$B$5000))), 0)), "")</f>
        <v/>
      </c>
      <c r="ED96" s="4" t="str">
        <f t="array" ref="ED96">IFERROR(INDEX(球員狀態!Z$2:Z$5000,MATCH(1,(球員狀態!$A$2:$A$5000=$DF$91)*(ISNUMBER(SEARCH($DF96,球員狀態!$B$2:$B$5000))),0)),"")</f>
        <v/>
      </c>
      <c r="EE96" s="4" t="str">
        <f t="array" ref="EE96">IFERROR(INDEX(球員狀態!AA$2:AA$5000,MATCH(1,(球員狀態!$A$2:$A$5000=$DF$91)*(ISNUMBER(SEARCH($DF96,球員狀態!$B$2:$B$5000))),0)),"")</f>
        <v/>
      </c>
      <c r="EF96" s="4" t="str">
        <f t="array" ref="EF96">IFERROR(INDEX(球員狀態!AB$2:AB$5000,MATCH(1,(球員狀態!$A$2:$A$5000=$DF$91)*(ISNUMBER(SEARCH($DF96,球員狀態!$B$2:$B$5000))),0)),"")</f>
        <v/>
      </c>
      <c r="EG96" s="56"/>
      <c r="EI96" s="35" t="str">
        <f>先發名單!Q$5</f>
        <v>M. Murakami</v>
      </c>
      <c r="EJ96" s="4" t="str">
        <f t="array" ref="EJ96">IFERROR(INDEX(球員狀態!C$2:C$5000, MATCH(1, (球員狀態!$A$2:$A$5000=$EI$91)*(ISNUMBER(SEARCH($EI96, 球員狀態!$B$2:$B$5000))), 0)), "")</f>
        <v/>
      </c>
      <c r="EM96" s="4" t="str">
        <f t="array" ref="EM96">IFERROR(INDEX(球員狀態!F$2:F$5000, MATCH(1, (球員狀態!$A$2:$A$5000=$EI$91)*(ISNUMBER(SEARCH($EI96, 球員狀態!$B$2:$B$5000))), 0)), "")</f>
        <v/>
      </c>
      <c r="EN96" s="4" t="str">
        <f t="array" ref="EN96">IFERROR(INDEX(球員狀態!G$2:G$5000, MATCH(1, (球員狀態!$A$2:$A$5000=$EI$1)*(ISNUMBER(SEARCH($EI96, 球員狀態!$B$2:$B$5000))), 0)), "")</f>
        <v/>
      </c>
      <c r="EO96" s="4" t="str">
        <f t="array" ref="EO96">IFERROR(INDEX(球員狀態!H$2:H$5000, MATCH(1, (球員狀態!$A$2:$A$5000=$EI$91)*(ISNUMBER(SEARCH($EI96, 球員狀態!$B$2:$B$5000))), 0)), "")</f>
        <v/>
      </c>
      <c r="EP96" s="4" t="str">
        <f t="array" ref="EP96">IFERROR(INDEX(球員狀態!I$2:I$5000, MATCH(1, (球員狀態!$A$2:$A$5000=$EI$91)*(ISNUMBER(SEARCH($EI96, 球員狀態!$B$2:$B$5000))), 0)), "")</f>
        <v/>
      </c>
      <c r="EQ96" s="4" t="str">
        <f t="array" ref="EQ96">IFERROR(INDEX(球員狀態!J$2:J$5000, MATCH(1, (球員狀態!$A$2:$A$5000=$EI$91)*(ISNUMBER(SEARCH($EI96, 球員狀態!$B$2:$B$5000))), 0)), "")</f>
        <v/>
      </c>
      <c r="ER96" s="4" t="str">
        <f t="array" ref="ER96">IFERROR(INDEX(球員狀態!K$2:K$5000, MATCH(1, (球員狀態!$A$2:$A$5000=$EI$91)*(ISNUMBER(SEARCH($EI96, 球員狀態!$B$2:$B$5000))), 0)), "")</f>
        <v/>
      </c>
      <c r="ES96" s="4" t="str">
        <f t="array" ref="ES96">IFERROR(INDEX(球員狀態!L$2:L$5000, MATCH(1, (球員狀態!$A$2:$A$5000=$EI$91)*(ISNUMBER(SEARCH($EI96, 球員狀態!$B$2:$B$5000))), 0)), "")</f>
        <v/>
      </c>
      <c r="ET96" s="4" t="str">
        <f t="array" ref="ET96">IFERROR(INDEX(球員狀態!M$2:M$5000, MATCH(1, (球員狀態!$A$2:$A$5000=$EI$91)*(ISNUMBER(SEARCH($EI96, 球員狀態!$B$2:$B$5000))), 0)), "")</f>
        <v/>
      </c>
      <c r="EU96" s="4" t="str">
        <f t="array" ref="EU96">IFERROR(INDEX(球員狀態!N$2:N$5000, MATCH(1, (球員狀態!$A$2:$A$5000=$EI$91)*(ISNUMBER(SEARCH($EI96, 球員狀態!$B$2:$B$5000))), 0)), "")</f>
        <v/>
      </c>
      <c r="EV96" s="4" t="str">
        <f t="array" ref="EV96">IFERROR(INDEX(球員狀態!O$2:O$5000, MATCH(1, (球員狀態!$A$2:$A$5000=$EI$1)*(ISNUMBER(SEARCH($EI96, 球員狀態!$B$2:$B$5000))), 0)), "")</f>
        <v/>
      </c>
      <c r="EW96" s="4" t="str">
        <f t="array" ref="EW96">IFERROR(INDEX(球員狀態!P$2:P$5000, MATCH(1, (球員狀態!$A$2:$A$5000=$EI$1)*(ISNUMBER(SEARCH($EI96, 球員狀態!$B$2:$B$5000))), 0)), "")</f>
        <v/>
      </c>
      <c r="EX96" s="4" t="str">
        <f t="array" ref="EX96">IFERROR(INDEX(球員狀態!Q$2:Q$5000, MATCH(1, (球員狀態!$A$2:$A$5000=$EI$91)*(ISNUMBER(SEARCH($EI96, 球員狀態!$B$2:$B$5000))), 0)), "")</f>
        <v/>
      </c>
      <c r="EY96" s="4" t="str">
        <f t="array" ref="EY96">IFERROR(INDEX(球員狀態!R$2:R$5000, MATCH(1, (球員狀態!$A$2:$A$5000=$EI$1)*(ISNUMBER(SEARCH($EI96, 球員狀態!$B$2:$B$5000))), 0)), "")</f>
        <v/>
      </c>
      <c r="EZ96" s="4" t="str">
        <f t="array" ref="EZ96">IFERROR(INDEX(球員狀態!S$2:S$5000, MATCH(1, (球員狀態!$A$2:$A$5000=$EI$1)*(ISNUMBER(SEARCH($EI96, 球員狀態!$B$2:$B$5000))), 0)), "")</f>
        <v/>
      </c>
      <c r="FA96" s="4" t="str">
        <f t="array" ref="FA96">IFERROR(INDEX(球員狀態!T$2:T$5000, MATCH(1, (球員狀態!$A$2:$A$5000=$EI$91)*(ISNUMBER(SEARCH($EI96, 球員狀態!$B$2:$B$5000))), 0)), "")</f>
        <v/>
      </c>
      <c r="FB96" s="4" t="str">
        <f t="array" ref="FB96">IFERROR(INDEX(球員狀態!U$2:U$5000, MATCH(1, (球員狀態!$A$2:$A$5000=$EI$1)*(ISNUMBER(SEARCH($EI96, 球員狀態!$B$2:$B$5000))), 0)), "")</f>
        <v/>
      </c>
      <c r="FC96" s="4" t="str">
        <f t="array" ref="FC96">IFERROR(INDEX(球員狀態!V$2:V$5000, MATCH(1, (球員狀態!$A$2:$A$5000=$EI$1)*(ISNUMBER(SEARCH($EI96, 球員狀態!$B$2:$B$5000))), 0)), "")</f>
        <v/>
      </c>
      <c r="FD96" s="4" t="str">
        <f t="array" ref="FD96">IFERROR(INDEX(球員狀態!W$2:W$5000, MATCH(1, (球員狀態!$A$2:$A$5000=$EI$91)*(ISNUMBER(SEARCH($EI96, 球員狀態!$B$2:$B$5000))), 0)), "")</f>
        <v/>
      </c>
      <c r="FE96" s="4" t="str">
        <f t="array" ref="FE96">IFERROR(INDEX(球員狀態!X$2:X$5000, MATCH(1, (球員狀態!$A$2:$A$5000=$EI$1)*(ISNUMBER(SEARCH($EI96, 球員狀態!$B$2:$B$5000))), 0)), "")</f>
        <v/>
      </c>
      <c r="FF96" s="4" t="str">
        <f t="array" ref="FF96">IFERROR(INDEX(球員狀態!Y$2:Y$5000, MATCH(1, (球員狀態!$A$2:$A$5000=$EI$1)*(ISNUMBER(SEARCH($EI96, 球員狀態!$B$2:$B$5000))), 0)), "")</f>
        <v/>
      </c>
      <c r="FG96" s="4" t="str">
        <f t="array" ref="FG96">IFERROR(INDEX(球員狀態!Z$2:Z$5000, MATCH(1, (球員狀態!$A$2:$A$5000=$EI$91)*(ISNUMBER(SEARCH($EI96, 球員狀態!$B$2:$B$5000))), 0)), "")</f>
        <v/>
      </c>
      <c r="FH96" s="4" t="str">
        <f t="array" ref="FH96">IFERROR(INDEX(球員狀態!AA$2:AA$5000, MATCH(1, (球員狀態!$A$2:$A$5000=$EI$91)*(ISNUMBER(SEARCH($EI96, 球員狀態!$B$2:$B$5000))), 0)), "")</f>
        <v/>
      </c>
      <c r="FI96" s="4" t="str">
        <f t="array" ref="FI96">IFERROR(INDEX(球員狀態!AB$2:AB$5000, MATCH(1, (球員狀態!$A$2:$A$5000=$EI$91)*(ISNUMBER(SEARCH($EI96, 球員狀態!$B$2:$B$5000))), 0)), "")</f>
        <v/>
      </c>
    </row>
    <row r="97" spans="110:165">
      <c r="DF97" s="33"/>
      <c r="DG97" s="4"/>
      <c r="DH97" s="40" t="e">
        <f>DJ97+DL97+DM97+DN97+DO97-DP97-DQ97+DR97</f>
        <v>#VALUE!</v>
      </c>
      <c r="DI97" s="42" t="e">
        <f>DU97+DX97+EA97+ED97+EE97+EF97</f>
        <v>#VALUE!</v>
      </c>
      <c r="DJ97" s="38" t="e">
        <f>VLOOKUP(DJ96*1, FK$2:FM$12, 3, TRUE)*FM$1</f>
        <v>#VALUE!</v>
      </c>
      <c r="DL97" s="38" t="e">
        <f>VLOOKUP(DL96*1, FN$2:FP$12, 3, TRUE)*FP$1</f>
        <v>#VALUE!</v>
      </c>
      <c r="DM97" s="38" t="e">
        <f>VLOOKUP(DM96*1, FQ$2:FS$12, 3, TRUE)*FS$1</f>
        <v>#VALUE!</v>
      </c>
      <c r="DN97" s="38" t="e">
        <f>VLOOKUP(DN96*1, FT$2:FV$12, 3, TRUE)*FV$1</f>
        <v>#VALUE!</v>
      </c>
      <c r="DO97" s="38" t="e">
        <f>VLOOKUP(DO96*1, FW$2:FY$12, 3, TRUE)*FY$1</f>
        <v>#VALUE!</v>
      </c>
      <c r="DP97" s="39" t="e">
        <f>VLOOKUP(DP96*1, FK$14:FM$25, 3, TRUE)*FM$14</f>
        <v>#VALUE!</v>
      </c>
      <c r="DQ97" s="39" t="e">
        <f>VLOOKUP(DQ96*1, FN$14:FP$25, 3, TRUE)*FP$14</f>
        <v>#VALUE!</v>
      </c>
      <c r="DR97" s="38" t="e">
        <f>VLOOKUP(DR96*1, FQ$14:FS$25, 3, TRUE)*FS$14</f>
        <v>#VALUE!</v>
      </c>
      <c r="DU97" s="41" t="e">
        <f>VLOOKUP(DU96*1, FK$27:FM$38, 3, TRUE)*FM$27</f>
        <v>#VALUE!</v>
      </c>
      <c r="DX97" s="41" t="e">
        <f>VLOOKUP(DX96*1, FN$27:FP$38, 3, TRUE)*FP$27</f>
        <v>#VALUE!</v>
      </c>
      <c r="EA97" s="41" t="e">
        <f>VLOOKUP(EA96*1, FQ$27:FS$38, 3, TRUE)*FS$27</f>
        <v>#VALUE!</v>
      </c>
      <c r="ED97" s="41" t="e">
        <f>VLOOKUP(ED96*1, FT$27:FV$38, 3, TRUE)*FV$27</f>
        <v>#VALUE!</v>
      </c>
      <c r="EE97" s="41" t="e">
        <f>VLOOKUP(EE96*1, FW$27:FY$38, 3, TRUE)*FY$27</f>
        <v>#VALUE!</v>
      </c>
      <c r="EF97" s="41" t="e">
        <f>VLOOKUP(EF96*1, FK$40:FM$51, 3, TRUE)*FM$40</f>
        <v>#VALUE!</v>
      </c>
      <c r="EG97" s="57"/>
      <c r="EI97" s="33"/>
      <c r="EJ97" s="4"/>
      <c r="EK97" s="40" t="e">
        <f>EM97+EO97+EP97+EQ97+ER97-ES97-ET97+EU97</f>
        <v>#VALUE!</v>
      </c>
      <c r="EL97" s="42" t="e">
        <f>EX97+FA97+FD97+FG97+FH97+FI97</f>
        <v>#VALUE!</v>
      </c>
      <c r="EM97" s="38" t="e">
        <f>VLOOKUP(EM96*1, $FK$2:$FM$12, 3, TRUE)*$FM$1</f>
        <v>#VALUE!</v>
      </c>
      <c r="EO97" s="38" t="e">
        <f>VLOOKUP(EO96*1, $FN$2:$FP$12, 3, TRUE)*$FP$1</f>
        <v>#VALUE!</v>
      </c>
      <c r="EP97" s="38" t="e">
        <f>VLOOKUP(EP96*1, $FQ$2:$FS$12, 3, TRUE)*$FS$1</f>
        <v>#VALUE!</v>
      </c>
      <c r="EQ97" s="38" t="e">
        <f>VLOOKUP(EQ96*1, $FT$2:$FV$12, 3, TRUE)*$FV$1</f>
        <v>#VALUE!</v>
      </c>
      <c r="ER97" s="38" t="e">
        <f>VLOOKUP(ER96*1, $FW$2:$FY$12, 3, TRUE)*$FY$1</f>
        <v>#VALUE!</v>
      </c>
      <c r="ES97" s="39" t="e">
        <f>VLOOKUP(ES96*1, $FK$14:$FM$25, 3, TRUE)*$FM$14</f>
        <v>#VALUE!</v>
      </c>
      <c r="ET97" s="39" t="e">
        <f>VLOOKUP(ET96*1, $FN$14:$FP$25, 3, TRUE)*$FP$14</f>
        <v>#VALUE!</v>
      </c>
      <c r="EU97" s="38" t="e">
        <f>VLOOKUP(EU96*1, $FQ$14:$FS$25, 3, TRUE)*$FS$14</f>
        <v>#VALUE!</v>
      </c>
      <c r="EX97" s="41" t="e">
        <f>VLOOKUP(EX96*1, $FK$27:$FM$38, 3, TRUE)*$FM$27</f>
        <v>#VALUE!</v>
      </c>
      <c r="FA97" s="41" t="e">
        <f>VLOOKUP(FA96*1, $FN$27:$FP$38, 3, TRUE)*$FP$27</f>
        <v>#VALUE!</v>
      </c>
      <c r="FD97" s="41" t="e">
        <f>VLOOKUP(FD96*1, $FQ$27:$FS$38, 3, TRUE)*$FS$27</f>
        <v>#VALUE!</v>
      </c>
      <c r="FG97" s="41" t="e">
        <f>VLOOKUP(FG96*1, $FT$27:$FV$38, 3, TRUE)*$FV$27</f>
        <v>#VALUE!</v>
      </c>
      <c r="FH97" s="41" t="e">
        <f>VLOOKUP(FH96*1, $FW$27:$FY$38, 3, TRUE)*$FY$27</f>
        <v>#VALUE!</v>
      </c>
      <c r="FI97" s="41" t="e">
        <f>VLOOKUP(FI96*1, $FK$40:$FM$51, 3, TRUE)*$FM$40</f>
        <v>#VALUE!</v>
      </c>
    </row>
    <row r="98" spans="110:165">
      <c r="DF98" s="35" t="str">
        <f>先發名單!H$5</f>
        <v>Mike Trout</v>
      </c>
      <c r="DG98" s="4" t="str">
        <f t="array" ref="DG98">IFERROR(INDEX(球員狀態!$C$2:$C$5000, MATCH(1, (球員狀態!$A$2:$A$5000=$DF$91)*(ISNUMBER(SEARCH($DF98, 球員狀態!$B$2:$B$5000))), 0)), "")</f>
        <v/>
      </c>
      <c r="DJ98" s="4" t="str">
        <f t="array" ref="DJ98">IFERROR(INDEX(球員狀態!$F$2:$F$5000,MATCH(1,(球員狀態!$A$2:$A$5000=$DF$91)*(ISNUMBER(SEARCH($DF98,球員狀態!$B$2:$B$5000))),0)),"")</f>
        <v/>
      </c>
      <c r="DK98" s="4" t="str">
        <f t="array" ref="DK98">IFERROR(INDEX(球員狀態!G$2:G$5000, MATCH(1, (球員狀態!$A$2:$A$5000=$DF$1)*(ISNUMBER(SEARCH($DF98, 球員狀態!$B$2:$B$5000))), 0)), "")</f>
        <v/>
      </c>
      <c r="DL98" s="4" t="str">
        <f t="array" ref="DL98">IFERROR(INDEX(球員狀態!H$2:H$5000, MATCH(1, (球員狀態!$A$2:$A$5000=$DF$91)*(ISNUMBER(SEARCH($DF98, 球員狀態!$B$2:$B$5000))), 0)), "")</f>
        <v/>
      </c>
      <c r="DM98" s="4" t="str">
        <f t="array" ref="DM98">IFERROR(INDEX(球員狀態!I$2:I$5000,MATCH(1,(球員狀態!$A$2:$A$5000=$DF$91)*(ISNUMBER(SEARCH($DF98,球員狀態!$B$2:$B$5000))),0)),"")</f>
        <v/>
      </c>
      <c r="DN98" s="4" t="str">
        <f t="array" ref="DN98">IFERROR(INDEX(球員狀態!J$2:J$5000,MATCH(1,(球員狀態!$A$2:$A$5000=$DF$91)*(ISNUMBER(SEARCH($DF98,球員狀態!$B$2:$B$5000))),0)),"")</f>
        <v/>
      </c>
      <c r="DO98" s="4" t="str">
        <f t="array" ref="DO98">IFERROR(INDEX(球員狀態!K$2:K$5000,MATCH(1,(球員狀態!$A$2:$A$5000=$DF$91)*(ISNUMBER(SEARCH($DF98,球員狀態!$B$2:$B$5000))),0)),"")</f>
        <v/>
      </c>
      <c r="DP98" s="4" t="str">
        <f t="array" ref="DP98">IFERROR(INDEX(球員狀態!L$2:L$5000,MATCH(1,(球員狀態!$A$2:$A$5000=$DF$91)*(ISNUMBER(SEARCH($DF98,球員狀態!$B$2:$B$5000))),0)),"")</f>
        <v/>
      </c>
      <c r="DQ98" s="4" t="str">
        <f t="array" ref="DQ98">IFERROR(INDEX(球員狀態!M$2:M$5000,MATCH(1,(球員狀態!$A$2:$A$5000=$DF$91)*(ISNUMBER(SEARCH($DF98,球員狀態!$B$2:$B$5000))),0)),"")</f>
        <v/>
      </c>
      <c r="DR98" s="4" t="str">
        <f t="array" ref="DR98">IFERROR(INDEX(球員狀態!N$2:N$5000,MATCH(1,(球員狀態!$A$2:$A$5000=$DF$91)*(ISNUMBER(SEARCH($DF98,球員狀態!$B$2:$B$5000))),0)),"")</f>
        <v/>
      </c>
      <c r="DS98" s="4" t="str">
        <f t="array" ref="DS98">IFERROR(INDEX(球員狀態!O$2:O$5000, MATCH(1, (球員狀態!$A$2:$A$5000=$DF$1)*(ISNUMBER(SEARCH($DF98, 球員狀態!$B$2:$B$5000))), 0)), "")</f>
        <v/>
      </c>
      <c r="DT98" s="4" t="str">
        <f t="array" ref="DT98">IFERROR(INDEX(球員狀態!P$2:P$5000, MATCH(1, (球員狀態!$A$2:$A$5000=$DF$1)*(ISNUMBER(SEARCH($DF98, 球員狀態!$B$2:$B$5000))), 0)), "")</f>
        <v/>
      </c>
      <c r="DU98" s="4" t="str">
        <f t="array" ref="DU98">IFERROR(INDEX(球員狀態!Q$2:Q$5000,MATCH(1,(球員狀態!$A$2:$A$5000=$DF$91)*(ISNUMBER(SEARCH($DF98,球員狀態!$B$2:$B$5000))),0)),"")</f>
        <v/>
      </c>
      <c r="DV98" s="4" t="str">
        <f t="array" ref="DV98">IFERROR(INDEX(球員狀態!R$2:R$5000, MATCH(1, (球員狀態!$A$2:$A$5000=$DF$1)*(ISNUMBER(SEARCH($DF98, 球員狀態!$B$2:$B$5000))), 0)), "")</f>
        <v/>
      </c>
      <c r="DW98" s="4" t="str">
        <f t="array" ref="DW98">IFERROR(INDEX(球員狀態!S$2:S$5000, MATCH(1, (球員狀態!$A$2:$A$5000=$DF$1)*(ISNUMBER(SEARCH($DF98, 球員狀態!$B$2:$B$5000))), 0)), "")</f>
        <v/>
      </c>
      <c r="DX98" s="4" t="str">
        <f t="array" ref="DX98">IFERROR(INDEX(球員狀態!T$2:T$5000,MATCH(1,(球員狀態!$A$2:$A$5000=$DF$91)*(ISNUMBER(SEARCH($DF98,球員狀態!$B$2:$B$5000))),0)),"")</f>
        <v/>
      </c>
      <c r="DY98" s="4" t="str">
        <f t="array" ref="DY98">IFERROR(INDEX(球員狀態!U$2:U$5000, MATCH(1, (球員狀態!$A$2:$A$5000=$DF$1)*(ISNUMBER(SEARCH($DF98, 球員狀態!$B$2:$B$5000))), 0)), "")</f>
        <v/>
      </c>
      <c r="DZ98" s="4" t="str">
        <f t="array" ref="DZ98">IFERROR(INDEX(球員狀態!V$2:V$5000, MATCH(1, (球員狀態!$A$2:$A$5000=$DF$1)*(ISNUMBER(SEARCH($DF98, 球員狀態!$B$2:$B$5000))), 0)), "")</f>
        <v/>
      </c>
      <c r="EA98" s="4" t="str">
        <f t="array" ref="EA98">IFERROR(INDEX(球員狀態!W$2:W$5000,MATCH(1,(球員狀態!$A$2:$A$5000=$DF$91)*(ISNUMBER(SEARCH($DF98,球員狀態!$B$2:$B$5000))),0)),"")</f>
        <v/>
      </c>
      <c r="EB98" s="4" t="str">
        <f t="array" ref="EB98">IFERROR(INDEX(球員狀態!X$2:X$5000, MATCH(1, (球員狀態!$A$2:$A$5000=$DF$1)*(ISNUMBER(SEARCH($DF98, 球員狀態!$B$2:$B$5000))), 0)), "")</f>
        <v/>
      </c>
      <c r="EC98" s="4" t="str">
        <f t="array" ref="EC98">IFERROR(INDEX(球員狀態!Y$2:Y$5000, MATCH(1, (球員狀態!$A$2:$A$5000=$DF$1)*(ISNUMBER(SEARCH($DF98, 球員狀態!$B$2:$B$5000))), 0)), "")</f>
        <v/>
      </c>
      <c r="ED98" s="4" t="str">
        <f t="array" ref="ED98">IFERROR(INDEX(球員狀態!Z$2:Z$5000,MATCH(1,(球員狀態!$A$2:$A$5000=$DF$91)*(ISNUMBER(SEARCH($DF98,球員狀態!$B$2:$B$5000))),0)),"")</f>
        <v/>
      </c>
      <c r="EE98" s="4" t="str">
        <f t="array" ref="EE98">IFERROR(INDEX(球員狀態!AA$2:AA$5000,MATCH(1,(球員狀態!$A$2:$A$5000=$DF$91)*(ISNUMBER(SEARCH($DF98,球員狀態!$B$2:$B$5000))),0)),"")</f>
        <v/>
      </c>
      <c r="EF98" s="4" t="str">
        <f t="array" ref="EF98">IFERROR(INDEX(球員狀態!AB$2:AB$5000,MATCH(1,(球員狀態!$A$2:$A$5000=$DF$91)*(ISNUMBER(SEARCH($DF98,球員狀態!$B$2:$B$5000))),0)),"")</f>
        <v/>
      </c>
      <c r="EG98" s="56"/>
      <c r="EI98" s="35" t="str">
        <f>先發名單!R$5</f>
        <v>M. Vargas</v>
      </c>
      <c r="EJ98" s="4" t="str">
        <f t="array" ref="EJ98">IFERROR(INDEX(球員狀態!C$2:C$5000, MATCH(1, (球員狀態!$A$2:$A$5000=$EI$91)*(ISNUMBER(SEARCH($EI98, 球員狀態!$B$2:$B$5000))), 0)), "")</f>
        <v/>
      </c>
      <c r="EM98" s="4" t="str">
        <f t="array" ref="EM98">IFERROR(INDEX(球員狀態!F$2:F$5000, MATCH(1, (球員狀態!$A$2:$A$5000=$EI$91)*(ISNUMBER(SEARCH($EI98, 球員狀態!$B$2:$B$5000))), 0)), "")</f>
        <v/>
      </c>
      <c r="EN98" s="4" t="str">
        <f t="array" ref="EN98">IFERROR(INDEX(球員狀態!G$2:G$5000, MATCH(1, (球員狀態!$A$2:$A$5000=$EI$1)*(ISNUMBER(SEARCH($EI98, 球員狀態!$B$2:$B$5000))), 0)), "")</f>
        <v/>
      </c>
      <c r="EO98" s="4" t="str">
        <f t="array" ref="EO98">IFERROR(INDEX(球員狀態!H$2:H$5000, MATCH(1, (球員狀態!$A$2:$A$5000=$EI$91)*(ISNUMBER(SEARCH($EI98, 球員狀態!$B$2:$B$5000))), 0)), "")</f>
        <v/>
      </c>
      <c r="EP98" s="4" t="str">
        <f t="array" ref="EP98">IFERROR(INDEX(球員狀態!I$2:I$5000, MATCH(1, (球員狀態!$A$2:$A$5000=$EI$91)*(ISNUMBER(SEARCH($EI98, 球員狀態!$B$2:$B$5000))), 0)), "")</f>
        <v/>
      </c>
      <c r="EQ98" s="4" t="str">
        <f t="array" ref="EQ98">IFERROR(INDEX(球員狀態!J$2:J$5000, MATCH(1, (球員狀態!$A$2:$A$5000=$EI$91)*(ISNUMBER(SEARCH($EI98, 球員狀態!$B$2:$B$5000))), 0)), "")</f>
        <v/>
      </c>
      <c r="ER98" s="4" t="str">
        <f t="array" ref="ER98">IFERROR(INDEX(球員狀態!K$2:K$5000, MATCH(1, (球員狀態!$A$2:$A$5000=$EI$91)*(ISNUMBER(SEARCH($EI98, 球員狀態!$B$2:$B$5000))), 0)), "")</f>
        <v/>
      </c>
      <c r="ES98" s="4" t="str">
        <f t="array" ref="ES98">IFERROR(INDEX(球員狀態!L$2:L$5000, MATCH(1, (球員狀態!$A$2:$A$5000=$EI$91)*(ISNUMBER(SEARCH($EI98, 球員狀態!$B$2:$B$5000))), 0)), "")</f>
        <v/>
      </c>
      <c r="ET98" s="4" t="str">
        <f t="array" ref="ET98">IFERROR(INDEX(球員狀態!M$2:M$5000, MATCH(1, (球員狀態!$A$2:$A$5000=$EI$91)*(ISNUMBER(SEARCH($EI98, 球員狀態!$B$2:$B$5000))), 0)), "")</f>
        <v/>
      </c>
      <c r="EU98" s="4" t="str">
        <f t="array" ref="EU98">IFERROR(INDEX(球員狀態!N$2:N$5000, MATCH(1, (球員狀態!$A$2:$A$5000=$EI$91)*(ISNUMBER(SEARCH($EI98, 球員狀態!$B$2:$B$5000))), 0)), "")</f>
        <v/>
      </c>
      <c r="EV98" s="4" t="str">
        <f t="array" ref="EV98">IFERROR(INDEX(球員狀態!O$2:O$5000, MATCH(1, (球員狀態!$A$2:$A$5000=$EI$1)*(ISNUMBER(SEARCH($EI98, 球員狀態!$B$2:$B$5000))), 0)), "")</f>
        <v/>
      </c>
      <c r="EW98" s="4" t="str">
        <f t="array" ref="EW98">IFERROR(INDEX(球員狀態!P$2:P$5000, MATCH(1, (球員狀態!$A$2:$A$5000=$EI$1)*(ISNUMBER(SEARCH($EI98, 球員狀態!$B$2:$B$5000))), 0)), "")</f>
        <v/>
      </c>
      <c r="EX98" s="4" t="str">
        <f t="array" ref="EX98">IFERROR(INDEX(球員狀態!Q$2:Q$5000, MATCH(1, (球員狀態!$A$2:$A$5000=$EI$91)*(ISNUMBER(SEARCH($EI98, 球員狀態!$B$2:$B$5000))), 0)), "")</f>
        <v/>
      </c>
      <c r="EY98" s="4" t="str">
        <f t="array" ref="EY98">IFERROR(INDEX(球員狀態!R$2:R$5000, MATCH(1, (球員狀態!$A$2:$A$5000=$EI$1)*(ISNUMBER(SEARCH($EI98, 球員狀態!$B$2:$B$5000))), 0)), "")</f>
        <v/>
      </c>
      <c r="EZ98" s="4" t="str">
        <f t="array" ref="EZ98">IFERROR(INDEX(球員狀態!S$2:S$5000, MATCH(1, (球員狀態!$A$2:$A$5000=$EI$1)*(ISNUMBER(SEARCH($EI98, 球員狀態!$B$2:$B$5000))), 0)), "")</f>
        <v/>
      </c>
      <c r="FA98" s="4" t="str">
        <f t="array" ref="FA98">IFERROR(INDEX(球員狀態!T$2:T$5000, MATCH(1, (球員狀態!$A$2:$A$5000=$EI$91)*(ISNUMBER(SEARCH($EI98, 球員狀態!$B$2:$B$5000))), 0)), "")</f>
        <v/>
      </c>
      <c r="FB98" s="4" t="str">
        <f t="array" ref="FB98">IFERROR(INDEX(球員狀態!U$2:U$5000, MATCH(1, (球員狀態!$A$2:$A$5000=$EI$1)*(ISNUMBER(SEARCH($EI98, 球員狀態!$B$2:$B$5000))), 0)), "")</f>
        <v/>
      </c>
      <c r="FC98" s="4" t="str">
        <f t="array" ref="FC98">IFERROR(INDEX(球員狀態!V$2:V$5000, MATCH(1, (球員狀態!$A$2:$A$5000=$EI$1)*(ISNUMBER(SEARCH($EI98, 球員狀態!$B$2:$B$5000))), 0)), "")</f>
        <v/>
      </c>
      <c r="FD98" s="4" t="str">
        <f t="array" ref="FD98">IFERROR(INDEX(球員狀態!W$2:W$5000, MATCH(1, (球員狀態!$A$2:$A$5000=$EI$91)*(ISNUMBER(SEARCH($EI98, 球員狀態!$B$2:$B$5000))), 0)), "")</f>
        <v/>
      </c>
      <c r="FE98" s="4" t="str">
        <f t="array" ref="FE98">IFERROR(INDEX(球員狀態!X$2:X$5000, MATCH(1, (球員狀態!$A$2:$A$5000=$EI$1)*(ISNUMBER(SEARCH($EI98, 球員狀態!$B$2:$B$5000))), 0)), "")</f>
        <v/>
      </c>
      <c r="FF98" s="4" t="str">
        <f t="array" ref="FF98">IFERROR(INDEX(球員狀態!Y$2:Y$5000, MATCH(1, (球員狀態!$A$2:$A$5000=$EI$1)*(ISNUMBER(SEARCH($EI98, 球員狀態!$B$2:$B$5000))), 0)), "")</f>
        <v/>
      </c>
      <c r="FG98" s="4" t="str">
        <f t="array" ref="FG98">IFERROR(INDEX(球員狀態!Z$2:Z$5000, MATCH(1, (球員狀態!$A$2:$A$5000=$EI$91)*(ISNUMBER(SEARCH($EI98, 球員狀態!$B$2:$B$5000))), 0)), "")</f>
        <v/>
      </c>
      <c r="FH98" s="4" t="str">
        <f t="array" ref="FH98">IFERROR(INDEX(球員狀態!AA$2:AA$5000, MATCH(1, (球員狀態!$A$2:$A$5000=$EI$91)*(ISNUMBER(SEARCH($EI98, 球員狀態!$B$2:$B$5000))), 0)), "")</f>
        <v/>
      </c>
      <c r="FI98" s="4" t="str">
        <f t="array" ref="FI98">IFERROR(INDEX(球員狀態!AB$2:AB$5000, MATCH(1, (球員狀態!$A$2:$A$5000=$EI$91)*(ISNUMBER(SEARCH($EI98, 球員狀態!$B$2:$B$5000))), 0)), "")</f>
        <v/>
      </c>
    </row>
    <row r="99" spans="110:165">
      <c r="DF99" s="33"/>
      <c r="DG99" s="4"/>
      <c r="DH99" s="40" t="e">
        <f>DJ99+DL99+DM99+DN99+DO99-DP99-DQ99+DR99</f>
        <v>#VALUE!</v>
      </c>
      <c r="DI99" s="42" t="e">
        <f>DU99+DX99+EA99+ED99+EE99+EF99</f>
        <v>#VALUE!</v>
      </c>
      <c r="DJ99" s="38" t="e">
        <f>VLOOKUP(DJ98*1, FK$2:FM$12, 3, TRUE)*FM$1</f>
        <v>#VALUE!</v>
      </c>
      <c r="DL99" s="38" t="e">
        <f>VLOOKUP(DL98*1, FN$2:FP$12, 3, TRUE)*FP$1</f>
        <v>#VALUE!</v>
      </c>
      <c r="DM99" s="38" t="e">
        <f>VLOOKUP(DM98*1, FQ$2:FS$12, 3, TRUE)*FS$1</f>
        <v>#VALUE!</v>
      </c>
      <c r="DN99" s="38" t="e">
        <f>VLOOKUP(DN98*1, FT$2:FV$12, 3, TRUE)*FV$1</f>
        <v>#VALUE!</v>
      </c>
      <c r="DO99" s="38" t="e">
        <f>VLOOKUP(DO98*1, FW$2:FY$12, 3, TRUE)*FY$1</f>
        <v>#VALUE!</v>
      </c>
      <c r="DP99" s="39" t="e">
        <f>VLOOKUP(DP98*1, FK$14:FM$25, 3, TRUE)*FM$14</f>
        <v>#VALUE!</v>
      </c>
      <c r="DQ99" s="39" t="e">
        <f>VLOOKUP(DQ98*1, FN$14:FP$25, 3, TRUE)*FP$14</f>
        <v>#VALUE!</v>
      </c>
      <c r="DR99" s="38" t="e">
        <f>VLOOKUP(DR98*1, FQ$14:FS$25, 3, TRUE)*FS$14</f>
        <v>#VALUE!</v>
      </c>
      <c r="DU99" s="41" t="e">
        <f>VLOOKUP(DU98*1, FK$27:FM$38, 3, TRUE)*FM$27</f>
        <v>#VALUE!</v>
      </c>
      <c r="DX99" s="41" t="e">
        <f>VLOOKUP(DX98*1, FN$27:FP$38, 3, TRUE)*FP$27</f>
        <v>#VALUE!</v>
      </c>
      <c r="EA99" s="41" t="e">
        <f>VLOOKUP(EA98*1, FQ$27:FS$38, 3, TRUE)*FS$27</f>
        <v>#VALUE!</v>
      </c>
      <c r="ED99" s="41" t="e">
        <f>VLOOKUP(ED98*1, FT$27:FV$38, 3, TRUE)*FV$27</f>
        <v>#VALUE!</v>
      </c>
      <c r="EE99" s="41" t="e">
        <f>VLOOKUP(EE98*1, FW$27:FY$38, 3, TRUE)*FY$27</f>
        <v>#VALUE!</v>
      </c>
      <c r="EF99" s="41" t="e">
        <f>VLOOKUP(EF98*1, FK$40:FM$51, 3, TRUE)*FM$40</f>
        <v>#VALUE!</v>
      </c>
      <c r="EG99" s="57"/>
      <c r="EI99" s="33"/>
      <c r="EJ99" s="4"/>
      <c r="EK99" s="40" t="e">
        <f>EM99+EO99+EP99+EQ99+ER99-ES99-ET99+EU99</f>
        <v>#VALUE!</v>
      </c>
      <c r="EL99" s="42" t="e">
        <f>EX99+FA99+FD99+FG99+FH99+FI99</f>
        <v>#VALUE!</v>
      </c>
      <c r="EM99" s="38" t="e">
        <f>VLOOKUP(EM98*1, $FK$2:$FM$12, 3, TRUE)*$FM$1</f>
        <v>#VALUE!</v>
      </c>
      <c r="EO99" s="38" t="e">
        <f>VLOOKUP(EO98*1, $FN$2:$FP$12, 3, TRUE)*$FP$1</f>
        <v>#VALUE!</v>
      </c>
      <c r="EP99" s="38" t="e">
        <f>VLOOKUP(EP98*1, $FQ$2:$FS$12, 3, TRUE)*$FS$1</f>
        <v>#VALUE!</v>
      </c>
      <c r="EQ99" s="38" t="e">
        <f>VLOOKUP(EQ98*1, $FT$2:$FV$12, 3, TRUE)*$FV$1</f>
        <v>#VALUE!</v>
      </c>
      <c r="ER99" s="38" t="e">
        <f>VLOOKUP(ER98*1, $FW$2:$FY$12, 3, TRUE)*$FY$1</f>
        <v>#VALUE!</v>
      </c>
      <c r="ES99" s="39" t="e">
        <f>VLOOKUP(ES98*1, $FK$14:$FM$25, 3, TRUE)*$FM$14</f>
        <v>#VALUE!</v>
      </c>
      <c r="ET99" s="39" t="e">
        <f>VLOOKUP(ET98*1, $FN$14:$FP$25, 3, TRUE)*$FP$14</f>
        <v>#VALUE!</v>
      </c>
      <c r="EU99" s="38" t="e">
        <f>VLOOKUP(EU98*1, $FQ$14:$FS$25, 3, TRUE)*$FS$14</f>
        <v>#VALUE!</v>
      </c>
      <c r="EX99" s="41" t="e">
        <f>VLOOKUP(EX98*1, $FK$27:$FM$38, 3, TRUE)*$FM$27</f>
        <v>#VALUE!</v>
      </c>
      <c r="FA99" s="41" t="e">
        <f>VLOOKUP(FA98*1, $FN$27:$FP$38, 3, TRUE)*$FP$27</f>
        <v>#VALUE!</v>
      </c>
      <c r="FD99" s="41" t="e">
        <f>VLOOKUP(FD98*1, $FQ$27:$FS$38, 3, TRUE)*$FS$27</f>
        <v>#VALUE!</v>
      </c>
      <c r="FG99" s="41" t="e">
        <f>VLOOKUP(FG98*1, $FT$27:$FV$38, 3, TRUE)*$FV$27</f>
        <v>#VALUE!</v>
      </c>
      <c r="FH99" s="41" t="e">
        <f>VLOOKUP(FH98*1, $FW$27:$FY$38, 3, TRUE)*$FY$27</f>
        <v>#VALUE!</v>
      </c>
      <c r="FI99" s="41" t="e">
        <f>VLOOKUP(FI98*1, $FK$40:$FM$51, 3, TRUE)*$FM$40</f>
        <v>#VALUE!</v>
      </c>
    </row>
    <row r="100" spans="110:165">
      <c r="DF100" s="35" t="str">
        <f>先發名單!I$5</f>
        <v>Jo Adell</v>
      </c>
      <c r="DG100" s="4" t="str">
        <f t="array" ref="DG100">IFERROR(INDEX(球員狀態!$C$2:$C$5000, MATCH(1, (球員狀態!$A$2:$A$5000=$DF$91)*(ISNUMBER(SEARCH($DF100, 球員狀態!$B$2:$B$5000))), 0)), "")</f>
        <v/>
      </c>
      <c r="DJ100" s="4" t="str">
        <f t="array" ref="DJ100">IFERROR(INDEX(球員狀態!$F$2:$F$5000,MATCH(1,(球員狀態!$A$2:$A$5000=$DF$91)*(ISNUMBER(SEARCH($DF100,球員狀態!$B$2:$B$5000))),0)),"")</f>
        <v/>
      </c>
      <c r="DK100" s="4" t="str">
        <f t="array" ref="DK100">IFERROR(INDEX(球員狀態!G$2:G$5000, MATCH(1, (球員狀態!$A$2:$A$5000=$DF$1)*(ISNUMBER(SEARCH($DF100, 球員狀態!$B$2:$B$5000))), 0)), "")</f>
        <v/>
      </c>
      <c r="DL100" s="4" t="str">
        <f t="array" ref="DL100">IFERROR(INDEX(球員狀態!H$2:H$5000, MATCH(1, (球員狀態!$A$2:$A$5000=$DF$91)*(ISNUMBER(SEARCH($DF100, 球員狀態!$B$2:$B$5000))), 0)), "")</f>
        <v/>
      </c>
      <c r="DM100" s="4" t="str">
        <f t="array" ref="DM100">IFERROR(INDEX(球員狀態!I$2:I$5000,MATCH(1,(球員狀態!$A$2:$A$5000=$DF$91)*(ISNUMBER(SEARCH($DF100,球員狀態!$B$2:$B$5000))),0)),"")</f>
        <v/>
      </c>
      <c r="DN100" s="4" t="str">
        <f t="array" ref="DN100">IFERROR(INDEX(球員狀態!J$2:J$5000,MATCH(1,(球員狀態!$A$2:$A$5000=$DF$91)*(ISNUMBER(SEARCH($DF100,球員狀態!$B$2:$B$5000))),0)),"")</f>
        <v/>
      </c>
      <c r="DO100" s="4" t="str">
        <f t="array" ref="DO100">IFERROR(INDEX(球員狀態!K$2:K$5000,MATCH(1,(球員狀態!$A$2:$A$5000=$DF$91)*(ISNUMBER(SEARCH($DF100,球員狀態!$B$2:$B$5000))),0)),"")</f>
        <v/>
      </c>
      <c r="DP100" s="4" t="str">
        <f t="array" ref="DP100">IFERROR(INDEX(球員狀態!L$2:L$5000,MATCH(1,(球員狀態!$A$2:$A$5000=$DF$91)*(ISNUMBER(SEARCH($DF100,球員狀態!$B$2:$B$5000))),0)),"")</f>
        <v/>
      </c>
      <c r="DQ100" s="4" t="str">
        <f t="array" ref="DQ100">IFERROR(INDEX(球員狀態!M$2:M$5000,MATCH(1,(球員狀態!$A$2:$A$5000=$DF$91)*(ISNUMBER(SEARCH($DF100,球員狀態!$B$2:$B$5000))),0)),"")</f>
        <v/>
      </c>
      <c r="DR100" s="4" t="str">
        <f t="array" ref="DR100">IFERROR(INDEX(球員狀態!N$2:N$5000,MATCH(1,(球員狀態!$A$2:$A$5000=$DF$91)*(ISNUMBER(SEARCH($DF100,球員狀態!$B$2:$B$5000))),0)),"")</f>
        <v/>
      </c>
      <c r="DS100" s="4" t="str">
        <f t="array" ref="DS100">IFERROR(INDEX(球員狀態!O$2:O$5000, MATCH(1, (球員狀態!$A$2:$A$5000=$DF$1)*(ISNUMBER(SEARCH($DF100, 球員狀態!$B$2:$B$5000))), 0)), "")</f>
        <v/>
      </c>
      <c r="DT100" s="4" t="str">
        <f t="array" ref="DT100">IFERROR(INDEX(球員狀態!P$2:P$5000, MATCH(1, (球員狀態!$A$2:$A$5000=$DF$1)*(ISNUMBER(SEARCH($DF100, 球員狀態!$B$2:$B$5000))), 0)), "")</f>
        <v/>
      </c>
      <c r="DU100" s="4" t="str">
        <f t="array" ref="DU100">IFERROR(INDEX(球員狀態!Q$2:Q$5000,MATCH(1,(球員狀態!$A$2:$A$5000=$DF$91)*(ISNUMBER(SEARCH($DF100,球員狀態!$B$2:$B$5000))),0)),"")</f>
        <v/>
      </c>
      <c r="DV100" s="4" t="str">
        <f t="array" ref="DV100">IFERROR(INDEX(球員狀態!R$2:R$5000, MATCH(1, (球員狀態!$A$2:$A$5000=$DF$1)*(ISNUMBER(SEARCH($DF100, 球員狀態!$B$2:$B$5000))), 0)), "")</f>
        <v/>
      </c>
      <c r="DW100" s="4" t="str">
        <f t="array" ref="DW100">IFERROR(INDEX(球員狀態!S$2:S$5000, MATCH(1, (球員狀態!$A$2:$A$5000=$DF$1)*(ISNUMBER(SEARCH($DF100, 球員狀態!$B$2:$B$5000))), 0)), "")</f>
        <v/>
      </c>
      <c r="DX100" s="4" t="str">
        <f t="array" ref="DX100">IFERROR(INDEX(球員狀態!T$2:T$5000,MATCH(1,(球員狀態!$A$2:$A$5000=$DF$91)*(ISNUMBER(SEARCH($DF100,球員狀態!$B$2:$B$5000))),0)),"")</f>
        <v/>
      </c>
      <c r="DY100" s="4" t="str">
        <f t="array" ref="DY100">IFERROR(INDEX(球員狀態!U$2:U$5000, MATCH(1, (球員狀態!$A$2:$A$5000=$DF$1)*(ISNUMBER(SEARCH($DF100, 球員狀態!$B$2:$B$5000))), 0)), "")</f>
        <v/>
      </c>
      <c r="DZ100" s="4" t="str">
        <f t="array" ref="DZ100">IFERROR(INDEX(球員狀態!V$2:V$5000, MATCH(1, (球員狀態!$A$2:$A$5000=$DF$1)*(ISNUMBER(SEARCH($DF100, 球員狀態!$B$2:$B$5000))), 0)), "")</f>
        <v/>
      </c>
      <c r="EA100" s="4" t="str">
        <f t="array" ref="EA100">IFERROR(INDEX(球員狀態!W$2:W$5000,MATCH(1,(球員狀態!$A$2:$A$5000=$DF$91)*(ISNUMBER(SEARCH($DF100,球員狀態!$B$2:$B$5000))),0)),"")</f>
        <v/>
      </c>
      <c r="EB100" s="4" t="str">
        <f t="array" ref="EB100">IFERROR(INDEX(球員狀態!X$2:X$5000, MATCH(1, (球員狀態!$A$2:$A$5000=$DF$1)*(ISNUMBER(SEARCH($DF100, 球員狀態!$B$2:$B$5000))), 0)), "")</f>
        <v/>
      </c>
      <c r="EC100" s="4" t="str">
        <f t="array" ref="EC100">IFERROR(INDEX(球員狀態!Y$2:Y$5000, MATCH(1, (球員狀態!$A$2:$A$5000=$DF$1)*(ISNUMBER(SEARCH($DF100, 球員狀態!$B$2:$B$5000))), 0)), "")</f>
        <v/>
      </c>
      <c r="ED100" s="4" t="str">
        <f t="array" ref="ED100">IFERROR(INDEX(球員狀態!Z$2:Z$5000,MATCH(1,(球員狀態!$A$2:$A$5000=$DF$91)*(ISNUMBER(SEARCH($DF100,球員狀態!$B$2:$B$5000))),0)),"")</f>
        <v/>
      </c>
      <c r="EE100" s="4" t="str">
        <f t="array" ref="EE100">IFERROR(INDEX(球員狀態!AA$2:AA$5000,MATCH(1,(球員狀態!$A$2:$A$5000=$DF$91)*(ISNUMBER(SEARCH($DF100,球員狀態!$B$2:$B$5000))),0)),"")</f>
        <v/>
      </c>
      <c r="EF100" s="4" t="str">
        <f t="array" ref="EF100">IFERROR(INDEX(球員狀態!AB$2:AB$5000,MATCH(1,(球員狀態!$A$2:$A$5000=$DF$91)*(ISNUMBER(SEARCH($DF100,球員狀態!$B$2:$B$5000))),0)),"")</f>
        <v/>
      </c>
      <c r="EG100" s="56"/>
      <c r="EI100" s="35" t="str">
        <f>先發名單!S$5</f>
        <v>C. Montgomery</v>
      </c>
      <c r="EJ100" s="4" t="str">
        <f t="array" ref="EJ100">IFERROR(INDEX(球員狀態!C$2:C$5000, MATCH(1, (球員狀態!$A$2:$A$5000=$EI$91)*(ISNUMBER(SEARCH($EI100, 球員狀態!$B$2:$B$5000))), 0)), "")</f>
        <v/>
      </c>
      <c r="EM100" s="4" t="str">
        <f t="array" ref="EM100">IFERROR(INDEX(球員狀態!F$2:F$5000, MATCH(1, (球員狀態!$A$2:$A$5000=$EI$91)*(ISNUMBER(SEARCH($EI100, 球員狀態!$B$2:$B$5000))), 0)), "")</f>
        <v/>
      </c>
      <c r="EN100" s="4" t="str">
        <f t="array" ref="EN100">IFERROR(INDEX(球員狀態!G$2:G$5000, MATCH(1, (球員狀態!$A$2:$A$5000=$EI$1)*(ISNUMBER(SEARCH($EI100, 球員狀態!$B$2:$B$5000))), 0)), "")</f>
        <v/>
      </c>
      <c r="EO100" s="4" t="str">
        <f t="array" ref="EO100">IFERROR(INDEX(球員狀態!H$2:H$5000, MATCH(1, (球員狀態!$A$2:$A$5000=$EI$91)*(ISNUMBER(SEARCH($EI100, 球員狀態!$B$2:$B$5000))), 0)), "")</f>
        <v/>
      </c>
      <c r="EP100" s="4" t="str">
        <f t="array" ref="EP100">IFERROR(INDEX(球員狀態!I$2:I$5000, MATCH(1, (球員狀態!$A$2:$A$5000=$EI$91)*(ISNUMBER(SEARCH($EI100, 球員狀態!$B$2:$B$5000))), 0)), "")</f>
        <v/>
      </c>
      <c r="EQ100" s="4" t="str">
        <f t="array" ref="EQ100">IFERROR(INDEX(球員狀態!J$2:J$5000, MATCH(1, (球員狀態!$A$2:$A$5000=$EI$91)*(ISNUMBER(SEARCH($EI100, 球員狀態!$B$2:$B$5000))), 0)), "")</f>
        <v/>
      </c>
      <c r="ER100" s="4" t="str">
        <f t="array" ref="ER100">IFERROR(INDEX(球員狀態!K$2:K$5000, MATCH(1, (球員狀態!$A$2:$A$5000=$EI$91)*(ISNUMBER(SEARCH($EI100, 球員狀態!$B$2:$B$5000))), 0)), "")</f>
        <v/>
      </c>
      <c r="ES100" s="4" t="str">
        <f t="array" ref="ES100">IFERROR(INDEX(球員狀態!L$2:L$5000, MATCH(1, (球員狀態!$A$2:$A$5000=$EI$91)*(ISNUMBER(SEARCH($EI100, 球員狀態!$B$2:$B$5000))), 0)), "")</f>
        <v/>
      </c>
      <c r="ET100" s="4" t="str">
        <f t="array" ref="ET100">IFERROR(INDEX(球員狀態!M$2:M$5000, MATCH(1, (球員狀態!$A$2:$A$5000=$EI$91)*(ISNUMBER(SEARCH($EI100, 球員狀態!$B$2:$B$5000))), 0)), "")</f>
        <v/>
      </c>
      <c r="EU100" s="4" t="str">
        <f t="array" ref="EU100">IFERROR(INDEX(球員狀態!N$2:N$5000, MATCH(1, (球員狀態!$A$2:$A$5000=$EI$91)*(ISNUMBER(SEARCH($EI100, 球員狀態!$B$2:$B$5000))), 0)), "")</f>
        <v/>
      </c>
      <c r="EV100" s="4" t="str">
        <f t="array" ref="EV100">IFERROR(INDEX(球員狀態!O$2:O$5000, MATCH(1, (球員狀態!$A$2:$A$5000=$EI$1)*(ISNUMBER(SEARCH($EI100, 球員狀態!$B$2:$B$5000))), 0)), "")</f>
        <v/>
      </c>
      <c r="EW100" s="4" t="str">
        <f t="array" ref="EW100">IFERROR(INDEX(球員狀態!P$2:P$5000, MATCH(1, (球員狀態!$A$2:$A$5000=$EI$1)*(ISNUMBER(SEARCH($EI100, 球員狀態!$B$2:$B$5000))), 0)), "")</f>
        <v/>
      </c>
      <c r="EX100" s="4" t="str">
        <f t="array" ref="EX100">IFERROR(INDEX(球員狀態!Q$2:Q$5000, MATCH(1, (球員狀態!$A$2:$A$5000=$EI$91)*(ISNUMBER(SEARCH($EI100, 球員狀態!$B$2:$B$5000))), 0)), "")</f>
        <v/>
      </c>
      <c r="EY100" s="4" t="str">
        <f t="array" ref="EY100">IFERROR(INDEX(球員狀態!R$2:R$5000, MATCH(1, (球員狀態!$A$2:$A$5000=$EI$1)*(ISNUMBER(SEARCH($EI100, 球員狀態!$B$2:$B$5000))), 0)), "")</f>
        <v/>
      </c>
      <c r="EZ100" s="4" t="str">
        <f t="array" ref="EZ100">IFERROR(INDEX(球員狀態!S$2:S$5000, MATCH(1, (球員狀態!$A$2:$A$5000=$EI$1)*(ISNUMBER(SEARCH($EI100, 球員狀態!$B$2:$B$5000))), 0)), "")</f>
        <v/>
      </c>
      <c r="FA100" s="4" t="str">
        <f t="array" ref="FA100">IFERROR(INDEX(球員狀態!T$2:T$5000, MATCH(1, (球員狀態!$A$2:$A$5000=$EI$91)*(ISNUMBER(SEARCH($EI100, 球員狀態!$B$2:$B$5000))), 0)), "")</f>
        <v/>
      </c>
      <c r="FB100" s="4" t="str">
        <f t="array" ref="FB100">IFERROR(INDEX(球員狀態!U$2:U$5000, MATCH(1, (球員狀態!$A$2:$A$5000=$EI$1)*(ISNUMBER(SEARCH($EI100, 球員狀態!$B$2:$B$5000))), 0)), "")</f>
        <v/>
      </c>
      <c r="FC100" s="4" t="str">
        <f t="array" ref="FC100">IFERROR(INDEX(球員狀態!V$2:V$5000, MATCH(1, (球員狀態!$A$2:$A$5000=$EI$1)*(ISNUMBER(SEARCH($EI100, 球員狀態!$B$2:$B$5000))), 0)), "")</f>
        <v/>
      </c>
      <c r="FD100" s="4" t="str">
        <f t="array" ref="FD100">IFERROR(INDEX(球員狀態!W$2:W$5000, MATCH(1, (球員狀態!$A$2:$A$5000=$EI$91)*(ISNUMBER(SEARCH($EI100, 球員狀態!$B$2:$B$5000))), 0)), "")</f>
        <v/>
      </c>
      <c r="FE100" s="4" t="str">
        <f t="array" ref="FE100">IFERROR(INDEX(球員狀態!X$2:X$5000, MATCH(1, (球員狀態!$A$2:$A$5000=$EI$1)*(ISNUMBER(SEARCH($EI100, 球員狀態!$B$2:$B$5000))), 0)), "")</f>
        <v/>
      </c>
      <c r="FF100" s="4" t="str">
        <f t="array" ref="FF100">IFERROR(INDEX(球員狀態!Y$2:Y$5000, MATCH(1, (球員狀態!$A$2:$A$5000=$EI$1)*(ISNUMBER(SEARCH($EI100, 球員狀態!$B$2:$B$5000))), 0)), "")</f>
        <v/>
      </c>
      <c r="FG100" s="4" t="str">
        <f t="array" ref="FG100">IFERROR(INDEX(球員狀態!Z$2:Z$5000, MATCH(1, (球員狀態!$A$2:$A$5000=$EI$91)*(ISNUMBER(SEARCH($EI100, 球員狀態!$B$2:$B$5000))), 0)), "")</f>
        <v/>
      </c>
      <c r="FH100" s="4" t="str">
        <f t="array" ref="FH100">IFERROR(INDEX(球員狀態!AA$2:AA$5000, MATCH(1, (球員狀態!$A$2:$A$5000=$EI$91)*(ISNUMBER(SEARCH($EI100, 球員狀態!$B$2:$B$5000))), 0)), "")</f>
        <v/>
      </c>
      <c r="FI100" s="4" t="str">
        <f t="array" ref="FI100">IFERROR(INDEX(球員狀態!AB$2:AB$5000, MATCH(1, (球員狀態!$A$2:$A$5000=$EI$91)*(ISNUMBER(SEARCH($EI100, 球員狀態!$B$2:$B$5000))), 0)), "")</f>
        <v/>
      </c>
    </row>
    <row r="101" spans="110:165">
      <c r="DF101" s="33"/>
      <c r="DH101" s="40" t="e">
        <f>DJ101+DL101+DM101+DN101+DO101-DP101-DQ101+DR101</f>
        <v>#VALUE!</v>
      </c>
      <c r="DI101" s="42" t="e">
        <f>DU101+DX101+EA101+ED101+EE101+EF101</f>
        <v>#VALUE!</v>
      </c>
      <c r="DJ101" s="38" t="e">
        <f>VLOOKUP(DJ100*1, FK$2:FM$12, 3, TRUE)*FM$1</f>
        <v>#VALUE!</v>
      </c>
      <c r="DL101" s="38" t="e">
        <f>VLOOKUP(DL100*1, FN$2:FP$12, 3, TRUE)*FP$1</f>
        <v>#VALUE!</v>
      </c>
      <c r="DM101" s="38" t="e">
        <f>VLOOKUP(DM100*1, FQ$2:FS$12, 3, TRUE)*FS$1</f>
        <v>#VALUE!</v>
      </c>
      <c r="DN101" s="38" t="e">
        <f>VLOOKUP(DN100*1, FT$2:FV$12, 3, TRUE)*FV$1</f>
        <v>#VALUE!</v>
      </c>
      <c r="DO101" s="38" t="e">
        <f>VLOOKUP(DO100*1, FW$2:FY$12, 3, TRUE)*FY$1</f>
        <v>#VALUE!</v>
      </c>
      <c r="DP101" s="39" t="e">
        <f>VLOOKUP(DP100*1, FK$14:FM$25, 3, TRUE)*FM$14</f>
        <v>#VALUE!</v>
      </c>
      <c r="DQ101" s="39" t="e">
        <f>VLOOKUP(DQ100*1, FN$14:FP$25, 3, TRUE)*FP$14</f>
        <v>#VALUE!</v>
      </c>
      <c r="DR101" s="38" t="e">
        <f>VLOOKUP(DR100*1, FQ$14:FS$25, 3, TRUE)*FS$14</f>
        <v>#VALUE!</v>
      </c>
      <c r="DU101" s="41" t="e">
        <f>VLOOKUP(DU100*1, FK$27:FM$38, 3, TRUE)*FM$27</f>
        <v>#VALUE!</v>
      </c>
      <c r="DX101" s="41" t="e">
        <f>VLOOKUP(DX100*1, FN$27:FP$38, 3, TRUE)*FP$27</f>
        <v>#VALUE!</v>
      </c>
      <c r="EA101" s="41" t="e">
        <f>VLOOKUP(EA100*1, FQ$27:FS$38, 3, TRUE)*FS$27</f>
        <v>#VALUE!</v>
      </c>
      <c r="ED101" s="41" t="e">
        <f>VLOOKUP(ED100*1, FT$27:FV$38, 3, TRUE)*FV$27</f>
        <v>#VALUE!</v>
      </c>
      <c r="EE101" s="41" t="e">
        <f>VLOOKUP(EE100*1, FW$27:FY$38, 3, TRUE)*FY$27</f>
        <v>#VALUE!</v>
      </c>
      <c r="EF101" s="41" t="e">
        <f>VLOOKUP(EF100*1, FK$40:FM$51, 3, TRUE)*FM$40</f>
        <v>#VALUE!</v>
      </c>
      <c r="EG101" s="57"/>
      <c r="EI101" s="33"/>
      <c r="EK101" s="40" t="e">
        <f>EM101+EO101+EP101+EQ101+ER101-ES101-ET101+EU101</f>
        <v>#VALUE!</v>
      </c>
      <c r="EL101" s="42" t="e">
        <f>EX101+FA101+FD101+FG101+FH101+FI101</f>
        <v>#VALUE!</v>
      </c>
      <c r="EM101" s="38" t="e">
        <f>VLOOKUP(EM100*1, $FK$2:$FM$12, 3, TRUE)*$FM$1</f>
        <v>#VALUE!</v>
      </c>
      <c r="EO101" s="38" t="e">
        <f>VLOOKUP(EO100*1, $FN$2:$FP$12, 3, TRUE)*$FP$1</f>
        <v>#VALUE!</v>
      </c>
      <c r="EP101" s="38" t="e">
        <f>VLOOKUP(EP100*1, $FQ$2:$FS$12, 3, TRUE)*$FS$1</f>
        <v>#VALUE!</v>
      </c>
      <c r="EQ101" s="38" t="e">
        <f>VLOOKUP(EQ100*1, $FT$2:$FV$12, 3, TRUE)*$FV$1</f>
        <v>#VALUE!</v>
      </c>
      <c r="ER101" s="38" t="e">
        <f>VLOOKUP(ER100*1, $FW$2:$FY$12, 3, TRUE)*$FY$1</f>
        <v>#VALUE!</v>
      </c>
      <c r="ES101" s="39" t="e">
        <f>VLOOKUP(ES100*1, $FK$14:$FM$25, 3, TRUE)*$FM$14</f>
        <v>#VALUE!</v>
      </c>
      <c r="ET101" s="39" t="e">
        <f>VLOOKUP(ET100*1, $FN$14:$FP$25, 3, TRUE)*$FP$14</f>
        <v>#VALUE!</v>
      </c>
      <c r="EU101" s="38" t="e">
        <f>VLOOKUP(EU100*1, $FQ$14:$FS$25, 3, TRUE)*$FS$14</f>
        <v>#VALUE!</v>
      </c>
      <c r="EX101" s="41" t="e">
        <f>VLOOKUP(EX100*1, $FK$27:$FM$38, 3, TRUE)*$FM$27</f>
        <v>#VALUE!</v>
      </c>
      <c r="FA101" s="41" t="e">
        <f>VLOOKUP(FA100*1, $FN$27:$FP$38, 3, TRUE)*$FP$27</f>
        <v>#VALUE!</v>
      </c>
      <c r="FD101" s="41" t="e">
        <f>VLOOKUP(FD100*1, $FQ$27:$FS$38, 3, TRUE)*$FS$27</f>
        <v>#VALUE!</v>
      </c>
      <c r="FG101" s="41" t="e">
        <f>VLOOKUP(FG100*1, $FT$27:$FV$38, 3, TRUE)*$FV$27</f>
        <v>#VALUE!</v>
      </c>
      <c r="FH101" s="41" t="e">
        <f>VLOOKUP(FH100*1, $FW$27:$FY$38, 3, TRUE)*$FY$27</f>
        <v>#VALUE!</v>
      </c>
      <c r="FI101" s="41" t="e">
        <f>VLOOKUP(FI100*1, $FK$40:$FM$51, 3, TRUE)*$FM$40</f>
        <v>#VALUE!</v>
      </c>
    </row>
    <row r="102" spans="110:165">
      <c r="DF102" s="37" t="str">
        <f>先發名單!J$5</f>
        <v>Jorge Soler</v>
      </c>
      <c r="DG102" s="4" t="str">
        <f t="array" ref="DG102">IFERROR(INDEX(球員狀態!$C$2:$C$5000, MATCH(1, (球員狀態!$A$2:$A$5000=$DF$91)*(ISNUMBER(SEARCH($DF102, 球員狀態!$B$2:$B$5000))), 0)), "")</f>
        <v/>
      </c>
      <c r="DJ102" s="4" t="str">
        <f t="array" ref="DJ102">IFERROR(INDEX(球員狀態!$F$2:$F$5000,MATCH(1,(球員狀態!$A$2:$A$5000=$DF$91)*(ISNUMBER(SEARCH($DF102,球員狀態!$B$2:$B$5000))),0)),"")</f>
        <v/>
      </c>
      <c r="DK102" s="4" t="str">
        <f t="array" ref="DK102">IFERROR(INDEX(球員狀態!G$2:G$5000, MATCH(1, (球員狀態!$A$2:$A$5000=$DF$1)*(ISNUMBER(SEARCH($DF102, 球員狀態!$B$2:$B$5000))), 0)), "")</f>
        <v/>
      </c>
      <c r="DL102" s="4" t="str">
        <f t="array" ref="DL102">IFERROR(INDEX(球員狀態!H$2:H$5000, MATCH(1, (球員狀態!$A$2:$A$5000=$DF$91)*(ISNUMBER(SEARCH($DF102, 球員狀態!$B$2:$B$5000))), 0)), "")</f>
        <v/>
      </c>
      <c r="DM102" s="4" t="str">
        <f t="array" ref="DM102">IFERROR(INDEX(球員狀態!I$2:I$5000,MATCH(1,(球員狀態!$A$2:$A$5000=$DF$91)*(ISNUMBER(SEARCH($DF102,球員狀態!$B$2:$B$5000))),0)),"")</f>
        <v/>
      </c>
      <c r="DN102" s="4" t="str">
        <f t="array" ref="DN102">IFERROR(INDEX(球員狀態!J$2:J$5000,MATCH(1,(球員狀態!$A$2:$A$5000=$DF$91)*(ISNUMBER(SEARCH($DF102,球員狀態!$B$2:$B$5000))),0)),"")</f>
        <v/>
      </c>
      <c r="DO102" s="4" t="str">
        <f t="array" ref="DO102">IFERROR(INDEX(球員狀態!K$2:K$5000,MATCH(1,(球員狀態!$A$2:$A$5000=$DF$91)*(ISNUMBER(SEARCH($DF102,球員狀態!$B$2:$B$5000))),0)),"")</f>
        <v/>
      </c>
      <c r="DP102" s="4" t="str">
        <f t="array" ref="DP102">IFERROR(INDEX(球員狀態!L$2:L$5000,MATCH(1,(球員狀態!$A$2:$A$5000=$DF$91)*(ISNUMBER(SEARCH($DF102,球員狀態!$B$2:$B$5000))),0)),"")</f>
        <v/>
      </c>
      <c r="DQ102" s="4" t="str">
        <f t="array" ref="DQ102">IFERROR(INDEX(球員狀態!M$2:M$5000,MATCH(1,(球員狀態!$A$2:$A$5000=$DF$91)*(ISNUMBER(SEARCH($DF102,球員狀態!$B$2:$B$5000))),0)),"")</f>
        <v/>
      </c>
      <c r="DR102" s="4" t="str">
        <f t="array" ref="DR102">IFERROR(INDEX(球員狀態!N$2:N$5000,MATCH(1,(球員狀態!$A$2:$A$5000=$DF$91)*(ISNUMBER(SEARCH($DF102,球員狀態!$B$2:$B$5000))),0)),"")</f>
        <v/>
      </c>
      <c r="DS102" s="4" t="str">
        <f t="array" ref="DS102">IFERROR(INDEX(球員狀態!O$2:O$5000, MATCH(1, (球員狀態!$A$2:$A$5000=$DF$1)*(ISNUMBER(SEARCH($DF102, 球員狀態!$B$2:$B$5000))), 0)), "")</f>
        <v/>
      </c>
      <c r="DT102" s="4" t="str">
        <f t="array" ref="DT102">IFERROR(INDEX(球員狀態!P$2:P$5000, MATCH(1, (球員狀態!$A$2:$A$5000=$DF$1)*(ISNUMBER(SEARCH($DF102, 球員狀態!$B$2:$B$5000))), 0)), "")</f>
        <v/>
      </c>
      <c r="DU102" s="4" t="str">
        <f t="array" ref="DU102">IFERROR(INDEX(球員狀態!Q$2:Q$5000,MATCH(1,(球員狀態!$A$2:$A$5000=$DF$91)*(ISNUMBER(SEARCH($DF102,球員狀態!$B$2:$B$5000))),0)),"")</f>
        <v/>
      </c>
      <c r="DV102" s="4" t="str">
        <f t="array" ref="DV102">IFERROR(INDEX(球員狀態!R$2:R$5000, MATCH(1, (球員狀態!$A$2:$A$5000=$DF$1)*(ISNUMBER(SEARCH($DF102, 球員狀態!$B$2:$B$5000))), 0)), "")</f>
        <v/>
      </c>
      <c r="DW102" s="4" t="str">
        <f t="array" ref="DW102">IFERROR(INDEX(球員狀態!S$2:S$5000, MATCH(1, (球員狀態!$A$2:$A$5000=$DF$1)*(ISNUMBER(SEARCH($DF102, 球員狀態!$B$2:$B$5000))), 0)), "")</f>
        <v/>
      </c>
      <c r="DX102" s="4" t="str">
        <f t="array" ref="DX102">IFERROR(INDEX(球員狀態!T$2:T$5000,MATCH(1,(球員狀態!$A$2:$A$5000=$DF$91)*(ISNUMBER(SEARCH($DF102,球員狀態!$B$2:$B$5000))),0)),"")</f>
        <v/>
      </c>
      <c r="DY102" s="4" t="str">
        <f t="array" ref="DY102">IFERROR(INDEX(球員狀態!U$2:U$5000, MATCH(1, (球員狀態!$A$2:$A$5000=$DF$1)*(ISNUMBER(SEARCH($DF102, 球員狀態!$B$2:$B$5000))), 0)), "")</f>
        <v/>
      </c>
      <c r="DZ102" s="4" t="str">
        <f t="array" ref="DZ102">IFERROR(INDEX(球員狀態!V$2:V$5000, MATCH(1, (球員狀態!$A$2:$A$5000=$DF$1)*(ISNUMBER(SEARCH($DF102, 球員狀態!$B$2:$B$5000))), 0)), "")</f>
        <v/>
      </c>
      <c r="EA102" s="4" t="str">
        <f t="array" ref="EA102">IFERROR(INDEX(球員狀態!W$2:W$5000,MATCH(1,(球員狀態!$A$2:$A$5000=$DF$91)*(ISNUMBER(SEARCH($DF102,球員狀態!$B$2:$B$5000))),0)),"")</f>
        <v/>
      </c>
      <c r="EB102" s="4" t="str">
        <f t="array" ref="EB102">IFERROR(INDEX(球員狀態!X$2:X$5000, MATCH(1, (球員狀態!$A$2:$A$5000=$DF$1)*(ISNUMBER(SEARCH($DF102, 球員狀態!$B$2:$B$5000))), 0)), "")</f>
        <v/>
      </c>
      <c r="EC102" s="4" t="str">
        <f t="array" ref="EC102">IFERROR(INDEX(球員狀態!Y$2:Y$5000, MATCH(1, (球員狀態!$A$2:$A$5000=$DF$1)*(ISNUMBER(SEARCH($DF102, 球員狀態!$B$2:$B$5000))), 0)), "")</f>
        <v/>
      </c>
      <c r="ED102" s="4" t="str">
        <f t="array" ref="ED102">IFERROR(INDEX(球員狀態!Z$2:Z$5000,MATCH(1,(球員狀態!$A$2:$A$5000=$DF$91)*(ISNUMBER(SEARCH($DF102,球員狀態!$B$2:$B$5000))),0)),"")</f>
        <v/>
      </c>
      <c r="EE102" s="4" t="str">
        <f t="array" ref="EE102">IFERROR(INDEX(球員狀態!AA$2:AA$5000,MATCH(1,(球員狀態!$A$2:$A$5000=$DF$91)*(ISNUMBER(SEARCH($DF102,球員狀態!$B$2:$B$5000))),0)),"")</f>
        <v/>
      </c>
      <c r="EF102" s="4" t="str">
        <f t="array" ref="EF102">IFERROR(INDEX(球員狀態!AB$2:AB$5000,MATCH(1,(球員狀態!$A$2:$A$5000=$DF$91)*(ISNUMBER(SEARCH($DF102,球員狀態!$B$2:$B$5000))),0)),"")</f>
        <v/>
      </c>
      <c r="EG102" s="56"/>
      <c r="EI102" s="37" t="str">
        <f>先發名單!T$5</f>
        <v>E. Pereira</v>
      </c>
      <c r="EJ102" s="4" t="str">
        <f t="array" ref="EJ102">IFERROR(INDEX(球員狀態!C$2:C$5000, MATCH(1, (球員狀態!$A$2:$A$5000=$EI$91)*(ISNUMBER(SEARCH($EI102, 球員狀態!$B$2:$B$5000))), 0)), "")</f>
        <v/>
      </c>
      <c r="EM102" s="4" t="str">
        <f t="array" ref="EM102">IFERROR(INDEX(球員狀態!F$2:F$5000, MATCH(1, (球員狀態!$A$2:$A$5000=$EI$91)*(ISNUMBER(SEARCH($EI102, 球員狀態!$B$2:$B$5000))), 0)), "")</f>
        <v/>
      </c>
      <c r="EN102" s="4" t="str">
        <f t="array" ref="EN102">IFERROR(INDEX(球員狀態!G$2:G$5000, MATCH(1, (球員狀態!$A$2:$A$5000=$EI$1)*(ISNUMBER(SEARCH($EI102, 球員狀態!$B$2:$B$5000))), 0)), "")</f>
        <v/>
      </c>
      <c r="EO102" s="4" t="str">
        <f t="array" ref="EO102">IFERROR(INDEX(球員狀態!H$2:H$5000, MATCH(1, (球員狀態!$A$2:$A$5000=$EI$91)*(ISNUMBER(SEARCH($EI102, 球員狀態!$B$2:$B$5000))), 0)), "")</f>
        <v/>
      </c>
      <c r="EP102" s="4" t="str">
        <f t="array" ref="EP102">IFERROR(INDEX(球員狀態!I$2:I$5000, MATCH(1, (球員狀態!$A$2:$A$5000=$EI$91)*(ISNUMBER(SEARCH($EI102, 球員狀態!$B$2:$B$5000))), 0)), "")</f>
        <v/>
      </c>
      <c r="EQ102" s="4" t="str">
        <f t="array" ref="EQ102">IFERROR(INDEX(球員狀態!J$2:J$5000, MATCH(1, (球員狀態!$A$2:$A$5000=$EI$91)*(ISNUMBER(SEARCH($EI102, 球員狀態!$B$2:$B$5000))), 0)), "")</f>
        <v/>
      </c>
      <c r="ER102" s="4" t="str">
        <f t="array" ref="ER102">IFERROR(INDEX(球員狀態!K$2:K$5000, MATCH(1, (球員狀態!$A$2:$A$5000=$EI$91)*(ISNUMBER(SEARCH($EI102, 球員狀態!$B$2:$B$5000))), 0)), "")</f>
        <v/>
      </c>
      <c r="ES102" s="4" t="str">
        <f t="array" ref="ES102">IFERROR(INDEX(球員狀態!L$2:L$5000, MATCH(1, (球員狀態!$A$2:$A$5000=$EI$91)*(ISNUMBER(SEARCH($EI102, 球員狀態!$B$2:$B$5000))), 0)), "")</f>
        <v/>
      </c>
      <c r="ET102" s="4" t="str">
        <f t="array" ref="ET102">IFERROR(INDEX(球員狀態!M$2:M$5000, MATCH(1, (球員狀態!$A$2:$A$5000=$EI$91)*(ISNUMBER(SEARCH($EI102, 球員狀態!$B$2:$B$5000))), 0)), "")</f>
        <v/>
      </c>
      <c r="EU102" s="4" t="str">
        <f t="array" ref="EU102">IFERROR(INDEX(球員狀態!N$2:N$5000, MATCH(1, (球員狀態!$A$2:$A$5000=$EI$91)*(ISNUMBER(SEARCH($EI102, 球員狀態!$B$2:$B$5000))), 0)), "")</f>
        <v/>
      </c>
      <c r="EV102" s="4" t="str">
        <f t="array" ref="EV102">IFERROR(INDEX(球員狀態!O$2:O$5000, MATCH(1, (球員狀態!$A$2:$A$5000=$EI$1)*(ISNUMBER(SEARCH($EI102, 球員狀態!$B$2:$B$5000))), 0)), "")</f>
        <v/>
      </c>
      <c r="EW102" s="4" t="str">
        <f t="array" ref="EW102">IFERROR(INDEX(球員狀態!P$2:P$5000, MATCH(1, (球員狀態!$A$2:$A$5000=$EI$1)*(ISNUMBER(SEARCH($EI102, 球員狀態!$B$2:$B$5000))), 0)), "")</f>
        <v/>
      </c>
      <c r="EX102" s="4" t="str">
        <f t="array" ref="EX102">IFERROR(INDEX(球員狀態!Q$2:Q$5000, MATCH(1, (球員狀態!$A$2:$A$5000=$EI$91)*(ISNUMBER(SEARCH($EI102, 球員狀態!$B$2:$B$5000))), 0)), "")</f>
        <v/>
      </c>
      <c r="EY102" s="4" t="str">
        <f t="array" ref="EY102">IFERROR(INDEX(球員狀態!R$2:R$5000, MATCH(1, (球員狀態!$A$2:$A$5000=$EI$1)*(ISNUMBER(SEARCH($EI102, 球員狀態!$B$2:$B$5000))), 0)), "")</f>
        <v/>
      </c>
      <c r="EZ102" s="4" t="str">
        <f t="array" ref="EZ102">IFERROR(INDEX(球員狀態!S$2:S$5000, MATCH(1, (球員狀態!$A$2:$A$5000=$EI$1)*(ISNUMBER(SEARCH($EI102, 球員狀態!$B$2:$B$5000))), 0)), "")</f>
        <v/>
      </c>
      <c r="FA102" s="4" t="str">
        <f t="array" ref="FA102">IFERROR(INDEX(球員狀態!T$2:T$5000, MATCH(1, (球員狀態!$A$2:$A$5000=$EI$91)*(ISNUMBER(SEARCH($EI102, 球員狀態!$B$2:$B$5000))), 0)), "")</f>
        <v/>
      </c>
      <c r="FB102" s="4" t="str">
        <f t="array" ref="FB102">IFERROR(INDEX(球員狀態!U$2:U$5000, MATCH(1, (球員狀態!$A$2:$A$5000=$EI$1)*(ISNUMBER(SEARCH($EI102, 球員狀態!$B$2:$B$5000))), 0)), "")</f>
        <v/>
      </c>
      <c r="FC102" s="4" t="str">
        <f t="array" ref="FC102">IFERROR(INDEX(球員狀態!V$2:V$5000, MATCH(1, (球員狀態!$A$2:$A$5000=$EI$1)*(ISNUMBER(SEARCH($EI102, 球員狀態!$B$2:$B$5000))), 0)), "")</f>
        <v/>
      </c>
      <c r="FD102" s="4" t="str">
        <f t="array" ref="FD102">IFERROR(INDEX(球員狀態!W$2:W$5000, MATCH(1, (球員狀態!$A$2:$A$5000=$EI$91)*(ISNUMBER(SEARCH($EI102, 球員狀態!$B$2:$B$5000))), 0)), "")</f>
        <v/>
      </c>
      <c r="FE102" s="4" t="str">
        <f t="array" ref="FE102">IFERROR(INDEX(球員狀態!X$2:X$5000, MATCH(1, (球員狀態!$A$2:$A$5000=$EI$1)*(ISNUMBER(SEARCH($EI102, 球員狀態!$B$2:$B$5000))), 0)), "")</f>
        <v/>
      </c>
      <c r="FF102" s="4" t="str">
        <f t="array" ref="FF102">IFERROR(INDEX(球員狀態!Y$2:Y$5000, MATCH(1, (球員狀態!$A$2:$A$5000=$EI$1)*(ISNUMBER(SEARCH($EI102, 球員狀態!$B$2:$B$5000))), 0)), "")</f>
        <v/>
      </c>
      <c r="FG102" s="4" t="str">
        <f t="array" ref="FG102">IFERROR(INDEX(球員狀態!Z$2:Z$5000, MATCH(1, (球員狀態!$A$2:$A$5000=$EI$91)*(ISNUMBER(SEARCH($EI102, 球員狀態!$B$2:$B$5000))), 0)), "")</f>
        <v/>
      </c>
      <c r="FH102" s="4" t="str">
        <f t="array" ref="FH102">IFERROR(INDEX(球員狀態!AA$2:AA$5000, MATCH(1, (球員狀態!$A$2:$A$5000=$EI$91)*(ISNUMBER(SEARCH($EI102, 球員狀態!$B$2:$B$5000))), 0)), "")</f>
        <v/>
      </c>
      <c r="FI102" s="4" t="str">
        <f t="array" ref="FI102">IFERROR(INDEX(球員狀態!AB$2:AB$5000, MATCH(1, (球員狀態!$A$2:$A$5000=$EI$91)*(ISNUMBER(SEARCH($EI102, 球員狀態!$B$2:$B$5000))), 0)), "")</f>
        <v/>
      </c>
    </row>
    <row r="103" spans="110:165">
      <c r="DF103" s="33"/>
      <c r="DH103" s="40" t="e">
        <f>DJ103+DL103+DM103+DN103+DO103-DP103-DQ103+DR103</f>
        <v>#VALUE!</v>
      </c>
      <c r="DI103" s="42" t="e">
        <f>DU103+DX103+EA103+ED103+EE103+EF103</f>
        <v>#VALUE!</v>
      </c>
      <c r="DJ103" s="38" t="e">
        <f>VLOOKUP(DJ102*1, FK$2:FM$12, 3, TRUE)*FM$1</f>
        <v>#VALUE!</v>
      </c>
      <c r="DL103" s="38" t="e">
        <f>VLOOKUP(DL102*1, FN$2:FP$12, 3, TRUE)*FP$1</f>
        <v>#VALUE!</v>
      </c>
      <c r="DM103" s="38" t="e">
        <f>VLOOKUP(DM102*1, FQ$2:FS$12, 3, TRUE)*FS$1</f>
        <v>#VALUE!</v>
      </c>
      <c r="DN103" s="38" t="e">
        <f>VLOOKUP(DN102*1, FT$2:FV$12, 3, TRUE)*FV$1</f>
        <v>#VALUE!</v>
      </c>
      <c r="DO103" s="38" t="e">
        <f>VLOOKUP(DO102*1, FW$2:FY$12, 3, TRUE)*FY$1</f>
        <v>#VALUE!</v>
      </c>
      <c r="DP103" s="39" t="e">
        <f>VLOOKUP(DP102*1, FK$14:FM$25, 3, TRUE)*FM$14</f>
        <v>#VALUE!</v>
      </c>
      <c r="DQ103" s="39" t="e">
        <f>VLOOKUP(DQ102*1, FN$14:FP$25, 3, TRUE)*FP$14</f>
        <v>#VALUE!</v>
      </c>
      <c r="DR103" s="38" t="e">
        <f>VLOOKUP(DR102*1, FQ$14:FS$25, 3, TRUE)*FS$14</f>
        <v>#VALUE!</v>
      </c>
      <c r="DU103" s="41" t="e">
        <f>VLOOKUP(DU102*1, FK$27:FM$38, 3, TRUE)*FM$27</f>
        <v>#VALUE!</v>
      </c>
      <c r="DX103" s="41" t="e">
        <f>VLOOKUP(DX102*1, FN$27:FP$38, 3, TRUE)*FP$27</f>
        <v>#VALUE!</v>
      </c>
      <c r="EA103" s="41" t="e">
        <f>VLOOKUP(EA102*1, FQ$27:FS$38, 3, TRUE)*FS$27</f>
        <v>#VALUE!</v>
      </c>
      <c r="ED103" s="41" t="e">
        <f>VLOOKUP(ED102*1, FT$27:FV$38, 3, TRUE)*FV$27</f>
        <v>#VALUE!</v>
      </c>
      <c r="EE103" s="41" t="e">
        <f>VLOOKUP(EE102*1, FW$27:FY$38, 3, TRUE)*FY$27</f>
        <v>#VALUE!</v>
      </c>
      <c r="EF103" s="41" t="e">
        <f>VLOOKUP(EF102*1, FK$40:FM$51, 3, TRUE)*FM$40</f>
        <v>#VALUE!</v>
      </c>
      <c r="EG103" s="57"/>
      <c r="EI103" s="33"/>
      <c r="EK103" s="40" t="e">
        <f>EM103+EO103+EP103+EQ103+ER103-ES103-ET103+EU103</f>
        <v>#VALUE!</v>
      </c>
      <c r="EL103" s="42" t="e">
        <f>EX103+FA103+FD103+FG103+FH103+FI103</f>
        <v>#VALUE!</v>
      </c>
      <c r="EM103" s="38" t="e">
        <f>VLOOKUP(EM102*1, $FK$2:$FM$12, 3, TRUE)*$FM$1</f>
        <v>#VALUE!</v>
      </c>
      <c r="EO103" s="38" t="e">
        <f>VLOOKUP(EO102*1, $FN$2:$FP$12, 3, TRUE)*$FP$1</f>
        <v>#VALUE!</v>
      </c>
      <c r="EP103" s="38" t="e">
        <f>VLOOKUP(EP102*1, $FQ$2:$FS$12, 3, TRUE)*$FS$1</f>
        <v>#VALUE!</v>
      </c>
      <c r="EQ103" s="38" t="e">
        <f>VLOOKUP(EQ102*1, $FT$2:$FV$12, 3, TRUE)*$FV$1</f>
        <v>#VALUE!</v>
      </c>
      <c r="ER103" s="38" t="e">
        <f>VLOOKUP(ER102*1, $FW$2:$FY$12, 3, TRUE)*$FY$1</f>
        <v>#VALUE!</v>
      </c>
      <c r="ES103" s="39" t="e">
        <f>VLOOKUP(ES102*1, $FK$14:$FM$25, 3, TRUE)*$FM$14</f>
        <v>#VALUE!</v>
      </c>
      <c r="ET103" s="39" t="e">
        <f>VLOOKUP(ET102*1, $FN$14:$FP$25, 3, TRUE)*$FP$14</f>
        <v>#VALUE!</v>
      </c>
      <c r="EU103" s="38" t="e">
        <f>VLOOKUP(EU102*1, $FQ$14:$FS$25, 3, TRUE)*$FS$14</f>
        <v>#VALUE!</v>
      </c>
      <c r="EX103" s="41" t="e">
        <f>VLOOKUP(EX102*1, $FK$27:$FM$38, 3, TRUE)*$FM$27</f>
        <v>#VALUE!</v>
      </c>
      <c r="FA103" s="41" t="e">
        <f>VLOOKUP(FA102*1, $FN$27:$FP$38, 3, TRUE)*$FP$27</f>
        <v>#VALUE!</v>
      </c>
      <c r="FD103" s="41" t="e">
        <f>VLOOKUP(FD102*1, $FQ$27:$FS$38, 3, TRUE)*$FS$27</f>
        <v>#VALUE!</v>
      </c>
      <c r="FG103" s="41" t="e">
        <f>VLOOKUP(FG102*1, $FT$27:$FV$38, 3, TRUE)*$FV$27</f>
        <v>#VALUE!</v>
      </c>
      <c r="FH103" s="41" t="e">
        <f>VLOOKUP(FH102*1, $FW$27:$FY$38, 3, TRUE)*$FY$27</f>
        <v>#VALUE!</v>
      </c>
      <c r="FI103" s="41" t="e">
        <f>VLOOKUP(FI102*1, $FK$40:$FM$51, 3, TRUE)*$FM$40</f>
        <v>#VALUE!</v>
      </c>
    </row>
    <row r="104" spans="110:165">
      <c r="DF104" s="37" t="str">
        <f>先發名單!K$5</f>
        <v>O. Peraza</v>
      </c>
      <c r="DG104" s="4" t="str">
        <f t="array" ref="DG104">IFERROR(INDEX(球員狀態!$C$2:$C$5000, MATCH(1, (球員狀態!$A$2:$A$5000=$DF$91)*(ISNUMBER(SEARCH($DF104, 球員狀態!$B$2:$B$5000))), 0)), "")</f>
        <v/>
      </c>
      <c r="DJ104" s="4" t="str">
        <f t="array" ref="DJ104">IFERROR(INDEX(球員狀態!$F$2:$F$5000,MATCH(1,(球員狀態!$A$2:$A$5000=$DF$91)*(ISNUMBER(SEARCH($DF104,球員狀態!$B$2:$B$5000))),0)),"")</f>
        <v/>
      </c>
      <c r="DK104" s="4" t="str">
        <f t="array" ref="DK104">IFERROR(INDEX(球員狀態!G$2:G$5000, MATCH(1, (球員狀態!$A$2:$A$5000=$DF$1)*(ISNUMBER(SEARCH($DF104, 球員狀態!$B$2:$B$5000))), 0)), "")</f>
        <v/>
      </c>
      <c r="DL104" s="4" t="str">
        <f t="array" ref="DL104">IFERROR(INDEX(球員狀態!H$2:H$5000, MATCH(1, (球員狀態!$A$2:$A$5000=$DF$91)*(ISNUMBER(SEARCH($DF104, 球員狀態!$B$2:$B$5000))), 0)), "")</f>
        <v/>
      </c>
      <c r="DM104" s="4" t="str">
        <f t="array" ref="DM104">IFERROR(INDEX(球員狀態!I$2:I$5000,MATCH(1,(球員狀態!$A$2:$A$5000=$DF$91)*(ISNUMBER(SEARCH($DF104,球員狀態!$B$2:$B$5000))),0)),"")</f>
        <v/>
      </c>
      <c r="DN104" s="4" t="str">
        <f t="array" ref="DN104">IFERROR(INDEX(球員狀態!J$2:J$5000,MATCH(1,(球員狀態!$A$2:$A$5000=$DF$91)*(ISNUMBER(SEARCH($DF104,球員狀態!$B$2:$B$5000))),0)),"")</f>
        <v/>
      </c>
      <c r="DO104" s="4" t="str">
        <f t="array" ref="DO104">IFERROR(INDEX(球員狀態!K$2:K$5000,MATCH(1,(球員狀態!$A$2:$A$5000=$DF$91)*(ISNUMBER(SEARCH($DF104,球員狀態!$B$2:$B$5000))),0)),"")</f>
        <v/>
      </c>
      <c r="DP104" s="4" t="str">
        <f t="array" ref="DP104">IFERROR(INDEX(球員狀態!L$2:L$5000,MATCH(1,(球員狀態!$A$2:$A$5000=$DF$91)*(ISNUMBER(SEARCH($DF104,球員狀態!$B$2:$B$5000))),0)),"")</f>
        <v/>
      </c>
      <c r="DQ104" s="4" t="str">
        <f t="array" ref="DQ104">IFERROR(INDEX(球員狀態!M$2:M$5000,MATCH(1,(球員狀態!$A$2:$A$5000=$DF$91)*(ISNUMBER(SEARCH($DF104,球員狀態!$B$2:$B$5000))),0)),"")</f>
        <v/>
      </c>
      <c r="DR104" s="4" t="str">
        <f t="array" ref="DR104">IFERROR(INDEX(球員狀態!N$2:N$5000,MATCH(1,(球員狀態!$A$2:$A$5000=$DF$91)*(ISNUMBER(SEARCH($DF104,球員狀態!$B$2:$B$5000))),0)),"")</f>
        <v/>
      </c>
      <c r="DS104" s="4" t="str">
        <f t="array" ref="DS104">IFERROR(INDEX(球員狀態!O$2:O$5000, MATCH(1, (球員狀態!$A$2:$A$5000=$DF$1)*(ISNUMBER(SEARCH($DF104, 球員狀態!$B$2:$B$5000))), 0)), "")</f>
        <v/>
      </c>
      <c r="DT104" s="4" t="str">
        <f t="array" ref="DT104">IFERROR(INDEX(球員狀態!P$2:P$5000, MATCH(1, (球員狀態!$A$2:$A$5000=$DF$1)*(ISNUMBER(SEARCH($DF104, 球員狀態!$B$2:$B$5000))), 0)), "")</f>
        <v/>
      </c>
      <c r="DU104" s="4" t="str">
        <f t="array" ref="DU104">IFERROR(INDEX(球員狀態!Q$2:Q$5000,MATCH(1,(球員狀態!$A$2:$A$5000=$DF$91)*(ISNUMBER(SEARCH($DF104,球員狀態!$B$2:$B$5000))),0)),"")</f>
        <v/>
      </c>
      <c r="DV104" s="4" t="str">
        <f t="array" ref="DV104">IFERROR(INDEX(球員狀態!R$2:R$5000, MATCH(1, (球員狀態!$A$2:$A$5000=$DF$1)*(ISNUMBER(SEARCH($DF104, 球員狀態!$B$2:$B$5000))), 0)), "")</f>
        <v/>
      </c>
      <c r="DW104" s="4" t="str">
        <f t="array" ref="DW104">IFERROR(INDEX(球員狀態!S$2:S$5000, MATCH(1, (球員狀態!$A$2:$A$5000=$DF$1)*(ISNUMBER(SEARCH($DF104, 球員狀態!$B$2:$B$5000))), 0)), "")</f>
        <v/>
      </c>
      <c r="DX104" s="4" t="str">
        <f t="array" ref="DX104">IFERROR(INDEX(球員狀態!T$2:T$5000,MATCH(1,(球員狀態!$A$2:$A$5000=$DF$91)*(ISNUMBER(SEARCH($DF104,球員狀態!$B$2:$B$5000))),0)),"")</f>
        <v/>
      </c>
      <c r="DY104" s="4" t="str">
        <f t="array" ref="DY104">IFERROR(INDEX(球員狀態!U$2:U$5000, MATCH(1, (球員狀態!$A$2:$A$5000=$DF$1)*(ISNUMBER(SEARCH($DF104, 球員狀態!$B$2:$B$5000))), 0)), "")</f>
        <v/>
      </c>
      <c r="DZ104" s="4" t="str">
        <f t="array" ref="DZ104">IFERROR(INDEX(球員狀態!V$2:V$5000, MATCH(1, (球員狀態!$A$2:$A$5000=$DF$1)*(ISNUMBER(SEARCH($DF104, 球員狀態!$B$2:$B$5000))), 0)), "")</f>
        <v/>
      </c>
      <c r="EA104" s="4" t="str">
        <f t="array" ref="EA104">IFERROR(INDEX(球員狀態!W$2:W$5000,MATCH(1,(球員狀態!$A$2:$A$5000=$DF$91)*(ISNUMBER(SEARCH($DF104,球員狀態!$B$2:$B$5000))),0)),"")</f>
        <v/>
      </c>
      <c r="EB104" s="4" t="str">
        <f t="array" ref="EB104">IFERROR(INDEX(球員狀態!X$2:X$5000, MATCH(1, (球員狀態!$A$2:$A$5000=$DF$1)*(ISNUMBER(SEARCH($DF104, 球員狀態!$B$2:$B$5000))), 0)), "")</f>
        <v/>
      </c>
      <c r="EC104" s="4" t="str">
        <f t="array" ref="EC104">IFERROR(INDEX(球員狀態!Y$2:Y$5000, MATCH(1, (球員狀態!$A$2:$A$5000=$DF$1)*(ISNUMBER(SEARCH($DF104, 球員狀態!$B$2:$B$5000))), 0)), "")</f>
        <v/>
      </c>
      <c r="ED104" s="4" t="str">
        <f t="array" ref="ED104">IFERROR(INDEX(球員狀態!Z$2:Z$5000,MATCH(1,(球員狀態!$A$2:$A$5000=$DF$91)*(ISNUMBER(SEARCH($DF104,球員狀態!$B$2:$B$5000))),0)),"")</f>
        <v/>
      </c>
      <c r="EE104" s="4" t="str">
        <f t="array" ref="EE104">IFERROR(INDEX(球員狀態!AA$2:AA$5000,MATCH(1,(球員狀態!$A$2:$A$5000=$DF$91)*(ISNUMBER(SEARCH($DF104,球員狀態!$B$2:$B$5000))),0)),"")</f>
        <v/>
      </c>
      <c r="EF104" s="4" t="str">
        <f t="array" ref="EF104">IFERROR(INDEX(球員狀態!AB$2:AB$5000,MATCH(1,(球員狀態!$A$2:$A$5000=$DF$91)*(ISNUMBER(SEARCH($DF104,球員狀態!$B$2:$B$5000))),0)),"")</f>
        <v/>
      </c>
      <c r="EG104" s="56"/>
      <c r="EI104" s="37" t="str">
        <f>先發名單!U$5</f>
        <v>S. Antonacci</v>
      </c>
      <c r="EJ104" s="4" t="str">
        <f t="array" ref="EJ104">IFERROR(INDEX(球員狀態!C$2:C$5000, MATCH(1, (球員狀態!$A$2:$A$5000=$EI$91)*(ISNUMBER(SEARCH($EI104, 球員狀態!$B$2:$B$5000))), 0)), "")</f>
        <v/>
      </c>
      <c r="EM104" s="4" t="str">
        <f t="array" ref="EM104">IFERROR(INDEX(球員狀態!F$2:F$5000, MATCH(1, (球員狀態!$A$2:$A$5000=$EI$91)*(ISNUMBER(SEARCH($EI104, 球員狀態!$B$2:$B$5000))), 0)), "")</f>
        <v/>
      </c>
      <c r="EN104" s="4" t="str">
        <f t="array" ref="EN104">IFERROR(INDEX(球員狀態!G$2:G$5000, MATCH(1, (球員狀態!$A$2:$A$5000=$EI$1)*(ISNUMBER(SEARCH($EI104, 球員狀態!$B$2:$B$5000))), 0)), "")</f>
        <v/>
      </c>
      <c r="EO104" s="4" t="str">
        <f t="array" ref="EO104">IFERROR(INDEX(球員狀態!H$2:H$5000, MATCH(1, (球員狀態!$A$2:$A$5000=$EI$91)*(ISNUMBER(SEARCH($EI104, 球員狀態!$B$2:$B$5000))), 0)), "")</f>
        <v/>
      </c>
      <c r="EP104" s="4" t="str">
        <f t="array" ref="EP104">IFERROR(INDEX(球員狀態!I$2:I$5000, MATCH(1, (球員狀態!$A$2:$A$5000=$EI$91)*(ISNUMBER(SEARCH($EI104, 球員狀態!$B$2:$B$5000))), 0)), "")</f>
        <v/>
      </c>
      <c r="EQ104" s="4" t="str">
        <f t="array" ref="EQ104">IFERROR(INDEX(球員狀態!J$2:J$5000, MATCH(1, (球員狀態!$A$2:$A$5000=$EI$91)*(ISNUMBER(SEARCH($EI104, 球員狀態!$B$2:$B$5000))), 0)), "")</f>
        <v/>
      </c>
      <c r="ER104" s="4" t="str">
        <f t="array" ref="ER104">IFERROR(INDEX(球員狀態!K$2:K$5000, MATCH(1, (球員狀態!$A$2:$A$5000=$EI$91)*(ISNUMBER(SEARCH($EI104, 球員狀態!$B$2:$B$5000))), 0)), "")</f>
        <v/>
      </c>
      <c r="ES104" s="4" t="str">
        <f t="array" ref="ES104">IFERROR(INDEX(球員狀態!L$2:L$5000, MATCH(1, (球員狀態!$A$2:$A$5000=$EI$91)*(ISNUMBER(SEARCH($EI104, 球員狀態!$B$2:$B$5000))), 0)), "")</f>
        <v/>
      </c>
      <c r="ET104" s="4" t="str">
        <f t="array" ref="ET104">IFERROR(INDEX(球員狀態!M$2:M$5000, MATCH(1, (球員狀態!$A$2:$A$5000=$EI$91)*(ISNUMBER(SEARCH($EI104, 球員狀態!$B$2:$B$5000))), 0)), "")</f>
        <v/>
      </c>
      <c r="EU104" s="4" t="str">
        <f t="array" ref="EU104">IFERROR(INDEX(球員狀態!N$2:N$5000, MATCH(1, (球員狀態!$A$2:$A$5000=$EI$91)*(ISNUMBER(SEARCH($EI104, 球員狀態!$B$2:$B$5000))), 0)), "")</f>
        <v/>
      </c>
      <c r="EV104" s="4" t="str">
        <f t="array" ref="EV104">IFERROR(INDEX(球員狀態!O$2:O$5000, MATCH(1, (球員狀態!$A$2:$A$5000=$EI$1)*(ISNUMBER(SEARCH($EI104, 球員狀態!$B$2:$B$5000))), 0)), "")</f>
        <v/>
      </c>
      <c r="EW104" s="4" t="str">
        <f t="array" ref="EW104">IFERROR(INDEX(球員狀態!P$2:P$5000, MATCH(1, (球員狀態!$A$2:$A$5000=$EI$1)*(ISNUMBER(SEARCH($EI104, 球員狀態!$B$2:$B$5000))), 0)), "")</f>
        <v/>
      </c>
      <c r="EX104" s="4" t="str">
        <f t="array" ref="EX104">IFERROR(INDEX(球員狀態!Q$2:Q$5000, MATCH(1, (球員狀態!$A$2:$A$5000=$EI$91)*(ISNUMBER(SEARCH($EI104, 球員狀態!$B$2:$B$5000))), 0)), "")</f>
        <v/>
      </c>
      <c r="EY104" s="4" t="str">
        <f t="array" ref="EY104">IFERROR(INDEX(球員狀態!R$2:R$5000, MATCH(1, (球員狀態!$A$2:$A$5000=$EI$1)*(ISNUMBER(SEARCH($EI104, 球員狀態!$B$2:$B$5000))), 0)), "")</f>
        <v/>
      </c>
      <c r="EZ104" s="4" t="str">
        <f t="array" ref="EZ104">IFERROR(INDEX(球員狀態!S$2:S$5000, MATCH(1, (球員狀態!$A$2:$A$5000=$EI$1)*(ISNUMBER(SEARCH($EI104, 球員狀態!$B$2:$B$5000))), 0)), "")</f>
        <v/>
      </c>
      <c r="FA104" s="4" t="str">
        <f t="array" ref="FA104">IFERROR(INDEX(球員狀態!T$2:T$5000, MATCH(1, (球員狀態!$A$2:$A$5000=$EI$91)*(ISNUMBER(SEARCH($EI104, 球員狀態!$B$2:$B$5000))), 0)), "")</f>
        <v/>
      </c>
      <c r="FB104" s="4" t="str">
        <f t="array" ref="FB104">IFERROR(INDEX(球員狀態!U$2:U$5000, MATCH(1, (球員狀態!$A$2:$A$5000=$EI$1)*(ISNUMBER(SEARCH($EI104, 球員狀態!$B$2:$B$5000))), 0)), "")</f>
        <v/>
      </c>
      <c r="FC104" s="4" t="str">
        <f t="array" ref="FC104">IFERROR(INDEX(球員狀態!V$2:V$5000, MATCH(1, (球員狀態!$A$2:$A$5000=$EI$1)*(ISNUMBER(SEARCH($EI104, 球員狀態!$B$2:$B$5000))), 0)), "")</f>
        <v/>
      </c>
      <c r="FD104" s="4" t="str">
        <f t="array" ref="FD104">IFERROR(INDEX(球員狀態!W$2:W$5000, MATCH(1, (球員狀態!$A$2:$A$5000=$EI$91)*(ISNUMBER(SEARCH($EI104, 球員狀態!$B$2:$B$5000))), 0)), "")</f>
        <v/>
      </c>
      <c r="FE104" s="4" t="str">
        <f t="array" ref="FE104">IFERROR(INDEX(球員狀態!X$2:X$5000, MATCH(1, (球員狀態!$A$2:$A$5000=$EI$1)*(ISNUMBER(SEARCH($EI104, 球員狀態!$B$2:$B$5000))), 0)), "")</f>
        <v/>
      </c>
      <c r="FF104" s="4" t="str">
        <f t="array" ref="FF104">IFERROR(INDEX(球員狀態!Y$2:Y$5000, MATCH(1, (球員狀態!$A$2:$A$5000=$EI$1)*(ISNUMBER(SEARCH($EI104, 球員狀態!$B$2:$B$5000))), 0)), "")</f>
        <v/>
      </c>
      <c r="FG104" s="4" t="str">
        <f t="array" ref="FG104">IFERROR(INDEX(球員狀態!Z$2:Z$5000, MATCH(1, (球員狀態!$A$2:$A$5000=$EI$91)*(ISNUMBER(SEARCH($EI104, 球員狀態!$B$2:$B$5000))), 0)), "")</f>
        <v/>
      </c>
      <c r="FH104" s="4" t="str">
        <f t="array" ref="FH104">IFERROR(INDEX(球員狀態!AA$2:AA$5000, MATCH(1, (球員狀態!$A$2:$A$5000=$EI$91)*(ISNUMBER(SEARCH($EI104, 球員狀態!$B$2:$B$5000))), 0)), "")</f>
        <v/>
      </c>
      <c r="FI104" s="4" t="str">
        <f t="array" ref="FI104">IFERROR(INDEX(球員狀態!AB$2:AB$5000, MATCH(1, (球員狀態!$A$2:$A$5000=$EI$91)*(ISNUMBER(SEARCH($EI104, 球員狀態!$B$2:$B$5000))), 0)), "")</f>
        <v/>
      </c>
    </row>
    <row r="105" spans="110:165">
      <c r="DH105" s="40" t="e">
        <f>DJ105+DL105+DM105+DN105+DO105-DP105-DQ105+DR105</f>
        <v>#VALUE!</v>
      </c>
      <c r="DI105" s="42" t="e">
        <f>DU105+DX105+EA105+ED105+EE105+EF105</f>
        <v>#VALUE!</v>
      </c>
      <c r="DJ105" s="38" t="e">
        <f>VLOOKUP(DJ104*1, FK$2:FM$12, 3, TRUE)*FM$1</f>
        <v>#VALUE!</v>
      </c>
      <c r="DL105" s="38" t="e">
        <f>VLOOKUP(DL104*1, FN$2:FP$12, 3, TRUE)*FP$1</f>
        <v>#VALUE!</v>
      </c>
      <c r="DM105" s="38" t="e">
        <f>VLOOKUP(DM104*1, FQ$2:FS$12, 3, TRUE)*FS$1</f>
        <v>#VALUE!</v>
      </c>
      <c r="DN105" s="38" t="e">
        <f>VLOOKUP(DN104*1, FT$2:FV$12, 3, TRUE)*FV$1</f>
        <v>#VALUE!</v>
      </c>
      <c r="DO105" s="38" t="e">
        <f>VLOOKUP(DO104*1, FW$2:FY$12, 3, TRUE)*FY$1</f>
        <v>#VALUE!</v>
      </c>
      <c r="DP105" s="39" t="e">
        <f>VLOOKUP(DP104*1, FK$14:FM$25, 3, TRUE)*FM$14</f>
        <v>#VALUE!</v>
      </c>
      <c r="DQ105" s="39" t="e">
        <f>VLOOKUP(DQ104*1, FN$14:FP$25, 3, TRUE)*FP$14</f>
        <v>#VALUE!</v>
      </c>
      <c r="DR105" s="38" t="e">
        <f>VLOOKUP(DR104*1, FQ$14:FS$25, 3, TRUE)*FS$14</f>
        <v>#VALUE!</v>
      </c>
      <c r="DU105" s="41" t="e">
        <f>VLOOKUP(DU104*1, FK$27:FM$38, 3, TRUE)*FM$27</f>
        <v>#VALUE!</v>
      </c>
      <c r="DX105" s="41" t="e">
        <f>VLOOKUP(DX104*1, FN$27:FP$38, 3, TRUE)*FP$27</f>
        <v>#VALUE!</v>
      </c>
      <c r="EA105" s="41" t="e">
        <f>VLOOKUP(EA104*1, FQ$27:FS$38, 3, TRUE)*FS$27</f>
        <v>#VALUE!</v>
      </c>
      <c r="ED105" s="41" t="e">
        <f>VLOOKUP(ED104*1, FT$27:FV$38, 3, TRUE)*FV$27</f>
        <v>#VALUE!</v>
      </c>
      <c r="EE105" s="41" t="e">
        <f>VLOOKUP(EE104*1, FW$27:FY$38, 3, TRUE)*FY$27</f>
        <v>#VALUE!</v>
      </c>
      <c r="EF105" s="41" t="e">
        <f>VLOOKUP(EF104*1, FK$40:FM$51, 3, TRUE)*FM$40</f>
        <v>#VALUE!</v>
      </c>
      <c r="EG105" s="57"/>
      <c r="EK105" s="40" t="e">
        <f>EM105+EO105+EP105+EQ105+ER105-ES105-ET105+EU105</f>
        <v>#VALUE!</v>
      </c>
      <c r="EL105" s="42" t="e">
        <f>EX105+FA105+FD105+FG105+FH105+FI105</f>
        <v>#VALUE!</v>
      </c>
      <c r="EM105" s="38" t="e">
        <f>VLOOKUP(EM104*1, $FK$2:$FM$12, 3, TRUE)*$FM$1</f>
        <v>#VALUE!</v>
      </c>
      <c r="EO105" s="38" t="e">
        <f>VLOOKUP(EO104*1, $FN$2:$FP$12, 3, TRUE)*$FP$1</f>
        <v>#VALUE!</v>
      </c>
      <c r="EP105" s="38" t="e">
        <f>VLOOKUP(EP104*1, $FQ$2:$FS$12, 3, TRUE)*$FS$1</f>
        <v>#VALUE!</v>
      </c>
      <c r="EQ105" s="38" t="e">
        <f>VLOOKUP(EQ104*1, $FT$2:$FV$12, 3, TRUE)*$FV$1</f>
        <v>#VALUE!</v>
      </c>
      <c r="ER105" s="38" t="e">
        <f>VLOOKUP(ER104*1, $FW$2:$FY$12, 3, TRUE)*$FY$1</f>
        <v>#VALUE!</v>
      </c>
      <c r="ES105" s="39" t="e">
        <f>VLOOKUP(ES104*1, $FK$14:$FM$25, 3, TRUE)*$FM$14</f>
        <v>#VALUE!</v>
      </c>
      <c r="ET105" s="39" t="e">
        <f>VLOOKUP(ET104*1, $FN$14:$FP$25, 3, TRUE)*$FP$14</f>
        <v>#VALUE!</v>
      </c>
      <c r="EU105" s="38" t="e">
        <f>VLOOKUP(EU104*1, $FQ$14:$FS$25, 3, TRUE)*$FS$14</f>
        <v>#VALUE!</v>
      </c>
      <c r="EX105" s="41" t="e">
        <f>VLOOKUP(EX104*1, $FK$27:$FM$38, 3, TRUE)*$FM$27</f>
        <v>#VALUE!</v>
      </c>
      <c r="FA105" s="41" t="e">
        <f>VLOOKUP(FA104*1, $FN$27:$FP$38, 3, TRUE)*$FP$27</f>
        <v>#VALUE!</v>
      </c>
      <c r="FD105" s="41" t="e">
        <f>VLOOKUP(FD104*1, $FQ$27:$FS$38, 3, TRUE)*$FS$27</f>
        <v>#VALUE!</v>
      </c>
      <c r="FG105" s="41" t="e">
        <f>VLOOKUP(FG104*1, $FT$27:$FV$38, 3, TRUE)*$FV$27</f>
        <v>#VALUE!</v>
      </c>
      <c r="FH105" s="41" t="e">
        <f>VLOOKUP(FH104*1, $FW$27:$FY$38, 3, TRUE)*$FY$27</f>
        <v>#VALUE!</v>
      </c>
      <c r="FI105" s="41" t="e">
        <f>VLOOKUP(FI104*1, $FK$40:$FM$51, 3, TRUE)*$FM$40</f>
        <v>#VALUE!</v>
      </c>
    </row>
    <row r="106" spans="110:165">
      <c r="DF106" s="37" t="str">
        <f>先發名單!L$5</f>
        <v>N. Schanuel</v>
      </c>
      <c r="DG106" s="4" t="str">
        <f t="array" ref="DG106">IFERROR(INDEX(球員狀態!$C$2:$C$5000, MATCH(1, (球員狀態!$A$2:$A$5000=$DF$91)*(ISNUMBER(SEARCH($DF106, 球員狀態!$B$2:$B$5000))), 0)), "")</f>
        <v/>
      </c>
      <c r="DJ106" s="4" t="str">
        <f t="array" ref="DJ106">IFERROR(INDEX(球員狀態!$F$2:$F$5000,MATCH(1,(球員狀態!$A$2:$A$5000=$DF$91)*(ISNUMBER(SEARCH($DF106,球員狀態!$B$2:$B$5000))),0)),"")</f>
        <v/>
      </c>
      <c r="DK106" s="4" t="str">
        <f t="array" ref="DK106">IFERROR(INDEX(球員狀態!G$2:G$5000, MATCH(1, (球員狀態!$A$2:$A$5000=$DF$1)*(ISNUMBER(SEARCH($DF106, 球員狀態!$B$2:$B$5000))), 0)), "")</f>
        <v/>
      </c>
      <c r="DL106" s="4" t="str">
        <f t="array" ref="DL106">IFERROR(INDEX(球員狀態!H$2:H$5000, MATCH(1, (球員狀態!$A$2:$A$5000=$DF$91)*(ISNUMBER(SEARCH($DF106, 球員狀態!$B$2:$B$5000))), 0)), "")</f>
        <v/>
      </c>
      <c r="DM106" s="4" t="str">
        <f t="array" ref="DM106">IFERROR(INDEX(球員狀態!I$2:I$5000,MATCH(1,(球員狀態!$A$2:$A$5000=$DF$91)*(ISNUMBER(SEARCH($DF106,球員狀態!$B$2:$B$5000))),0)),"")</f>
        <v/>
      </c>
      <c r="DN106" s="4" t="str">
        <f t="array" ref="DN106">IFERROR(INDEX(球員狀態!J$2:J$5000,MATCH(1,(球員狀態!$A$2:$A$5000=$DF$91)*(ISNUMBER(SEARCH($DF106,球員狀態!$B$2:$B$5000))),0)),"")</f>
        <v/>
      </c>
      <c r="DO106" s="4" t="str">
        <f t="array" ref="DO106">IFERROR(INDEX(球員狀態!K$2:K$5000,MATCH(1,(球員狀態!$A$2:$A$5000=$DF$91)*(ISNUMBER(SEARCH($DF106,球員狀態!$B$2:$B$5000))),0)),"")</f>
        <v/>
      </c>
      <c r="DP106" s="4" t="str">
        <f t="array" ref="DP106">IFERROR(INDEX(球員狀態!L$2:L$5000,MATCH(1,(球員狀態!$A$2:$A$5000=$DF$91)*(ISNUMBER(SEARCH($DF106,球員狀態!$B$2:$B$5000))),0)),"")</f>
        <v/>
      </c>
      <c r="DQ106" s="4" t="str">
        <f t="array" ref="DQ106">IFERROR(INDEX(球員狀態!M$2:M$5000,MATCH(1,(球員狀態!$A$2:$A$5000=$DF$91)*(ISNUMBER(SEARCH($DF106,球員狀態!$B$2:$B$5000))),0)),"")</f>
        <v/>
      </c>
      <c r="DR106" s="4" t="str">
        <f t="array" ref="DR106">IFERROR(INDEX(球員狀態!N$2:N$5000,MATCH(1,(球員狀態!$A$2:$A$5000=$DF$91)*(ISNUMBER(SEARCH($DF106,球員狀態!$B$2:$B$5000))),0)),"")</f>
        <v/>
      </c>
      <c r="DS106" s="4" t="str">
        <f t="array" ref="DS106">IFERROR(INDEX(球員狀態!O$2:O$5000, MATCH(1, (球員狀態!$A$2:$A$5000=$DF$1)*(ISNUMBER(SEARCH($DF106, 球員狀態!$B$2:$B$5000))), 0)), "")</f>
        <v/>
      </c>
      <c r="DT106" s="4" t="str">
        <f t="array" ref="DT106">IFERROR(INDEX(球員狀態!P$2:P$5000, MATCH(1, (球員狀態!$A$2:$A$5000=$DF$1)*(ISNUMBER(SEARCH($DF106, 球員狀態!$B$2:$B$5000))), 0)), "")</f>
        <v/>
      </c>
      <c r="DU106" s="4" t="str">
        <f t="array" ref="DU106">IFERROR(INDEX(球員狀態!Q$2:Q$5000,MATCH(1,(球員狀態!$A$2:$A$5000=$DF$91)*(ISNUMBER(SEARCH($DF106,球員狀態!$B$2:$B$5000))),0)),"")</f>
        <v/>
      </c>
      <c r="DV106" s="4" t="str">
        <f t="array" ref="DV106">IFERROR(INDEX(球員狀態!R$2:R$5000, MATCH(1, (球員狀態!$A$2:$A$5000=$DF$1)*(ISNUMBER(SEARCH($DF106, 球員狀態!$B$2:$B$5000))), 0)), "")</f>
        <v/>
      </c>
      <c r="DW106" s="4" t="str">
        <f t="array" ref="DW106">IFERROR(INDEX(球員狀態!S$2:S$5000, MATCH(1, (球員狀態!$A$2:$A$5000=$DF$1)*(ISNUMBER(SEARCH($DF106, 球員狀態!$B$2:$B$5000))), 0)), "")</f>
        <v/>
      </c>
      <c r="DX106" s="4" t="str">
        <f t="array" ref="DX106">IFERROR(INDEX(球員狀態!T$2:T$5000,MATCH(1,(球員狀態!$A$2:$A$5000=$DF$91)*(ISNUMBER(SEARCH($DF106,球員狀態!$B$2:$B$5000))),0)),"")</f>
        <v/>
      </c>
      <c r="DY106" s="4" t="str">
        <f t="array" ref="DY106">IFERROR(INDEX(球員狀態!U$2:U$5000, MATCH(1, (球員狀態!$A$2:$A$5000=$DF$1)*(ISNUMBER(SEARCH($DF106, 球員狀態!$B$2:$B$5000))), 0)), "")</f>
        <v/>
      </c>
      <c r="DZ106" s="4" t="str">
        <f t="array" ref="DZ106">IFERROR(INDEX(球員狀態!V$2:V$5000, MATCH(1, (球員狀態!$A$2:$A$5000=$DF$1)*(ISNUMBER(SEARCH($DF106, 球員狀態!$B$2:$B$5000))), 0)), "")</f>
        <v/>
      </c>
      <c r="EA106" s="4" t="str">
        <f t="array" ref="EA106">IFERROR(INDEX(球員狀態!W$2:W$5000,MATCH(1,(球員狀態!$A$2:$A$5000=$DF$91)*(ISNUMBER(SEARCH($DF106,球員狀態!$B$2:$B$5000))),0)),"")</f>
        <v/>
      </c>
      <c r="EB106" s="4" t="str">
        <f t="array" ref="EB106">IFERROR(INDEX(球員狀態!X$2:X$5000, MATCH(1, (球員狀態!$A$2:$A$5000=$DF$1)*(ISNUMBER(SEARCH($DF106, 球員狀態!$B$2:$B$5000))), 0)), "")</f>
        <v/>
      </c>
      <c r="EC106" s="4" t="str">
        <f t="array" ref="EC106">IFERROR(INDEX(球員狀態!Y$2:Y$5000, MATCH(1, (球員狀態!$A$2:$A$5000=$DF$1)*(ISNUMBER(SEARCH($DF106, 球員狀態!$B$2:$B$5000))), 0)), "")</f>
        <v/>
      </c>
      <c r="ED106" s="4" t="str">
        <f t="array" ref="ED106">IFERROR(INDEX(球員狀態!Z$2:Z$5000,MATCH(1,(球員狀態!$A$2:$A$5000=$DF$91)*(ISNUMBER(SEARCH($DF106,球員狀態!$B$2:$B$5000))),0)),"")</f>
        <v/>
      </c>
      <c r="EE106" s="4" t="str">
        <f t="array" ref="EE106">IFERROR(INDEX(球員狀態!AA$2:AA$5000,MATCH(1,(球員狀態!$A$2:$A$5000=$DF$91)*(ISNUMBER(SEARCH($DF106,球員狀態!$B$2:$B$5000))),0)),"")</f>
        <v/>
      </c>
      <c r="EF106" s="4" t="str">
        <f t="array" ref="EF106">IFERROR(INDEX(球員狀態!AB$2:AB$5000,MATCH(1,(球員狀態!$A$2:$A$5000=$DF$91)*(ISNUMBER(SEARCH($DF106,球員狀態!$B$2:$B$5000))),0)),"")</f>
        <v/>
      </c>
      <c r="EG106" s="56"/>
      <c r="EI106" s="37" t="str">
        <f>先發名單!V$5</f>
        <v>Edgar Quero</v>
      </c>
      <c r="EJ106" s="4" t="str">
        <f t="array" ref="EJ106">IFERROR(INDEX(球員狀態!C$2:C$5000, MATCH(1, (球員狀態!$A$2:$A$5000=$EI$91)*(ISNUMBER(SEARCH($EI106, 球員狀態!$B$2:$B$5000))), 0)), "")</f>
        <v/>
      </c>
      <c r="EM106" s="4" t="str">
        <f t="array" ref="EM106">IFERROR(INDEX(球員狀態!F$2:F$5000, MATCH(1, (球員狀態!$A$2:$A$5000=$EI$91)*(ISNUMBER(SEARCH($EI106, 球員狀態!$B$2:$B$5000))), 0)), "")</f>
        <v/>
      </c>
      <c r="EN106" s="4" t="str">
        <f t="array" ref="EN106">IFERROR(INDEX(球員狀態!G$2:G$5000, MATCH(1, (球員狀態!$A$2:$A$5000=$EI$1)*(ISNUMBER(SEARCH($EI106, 球員狀態!$B$2:$B$5000))), 0)), "")</f>
        <v/>
      </c>
      <c r="EO106" s="4" t="str">
        <f t="array" ref="EO106">IFERROR(INDEX(球員狀態!H$2:H$5000, MATCH(1, (球員狀態!$A$2:$A$5000=$EI$91)*(ISNUMBER(SEARCH($EI106, 球員狀態!$B$2:$B$5000))), 0)), "")</f>
        <v/>
      </c>
      <c r="EP106" s="4" t="str">
        <f t="array" ref="EP106">IFERROR(INDEX(球員狀態!I$2:I$5000, MATCH(1, (球員狀態!$A$2:$A$5000=$EI$91)*(ISNUMBER(SEARCH($EI106, 球員狀態!$B$2:$B$5000))), 0)), "")</f>
        <v/>
      </c>
      <c r="EQ106" s="4" t="str">
        <f t="array" ref="EQ106">IFERROR(INDEX(球員狀態!J$2:J$5000, MATCH(1, (球員狀態!$A$2:$A$5000=$EI$91)*(ISNUMBER(SEARCH($EI106, 球員狀態!$B$2:$B$5000))), 0)), "")</f>
        <v/>
      </c>
      <c r="ER106" s="4" t="str">
        <f t="array" ref="ER106">IFERROR(INDEX(球員狀態!K$2:K$5000, MATCH(1, (球員狀態!$A$2:$A$5000=$EI$91)*(ISNUMBER(SEARCH($EI106, 球員狀態!$B$2:$B$5000))), 0)), "")</f>
        <v/>
      </c>
      <c r="ES106" s="4" t="str">
        <f t="array" ref="ES106">IFERROR(INDEX(球員狀態!L$2:L$5000, MATCH(1, (球員狀態!$A$2:$A$5000=$EI$91)*(ISNUMBER(SEARCH($EI106, 球員狀態!$B$2:$B$5000))), 0)), "")</f>
        <v/>
      </c>
      <c r="ET106" s="4" t="str">
        <f t="array" ref="ET106">IFERROR(INDEX(球員狀態!M$2:M$5000, MATCH(1, (球員狀態!$A$2:$A$5000=$EI$91)*(ISNUMBER(SEARCH($EI106, 球員狀態!$B$2:$B$5000))), 0)), "")</f>
        <v/>
      </c>
      <c r="EU106" s="4" t="str">
        <f t="array" ref="EU106">IFERROR(INDEX(球員狀態!N$2:N$5000, MATCH(1, (球員狀態!$A$2:$A$5000=$EI$91)*(ISNUMBER(SEARCH($EI106, 球員狀態!$B$2:$B$5000))), 0)), "")</f>
        <v/>
      </c>
      <c r="EV106" s="4" t="str">
        <f t="array" ref="EV106">IFERROR(INDEX(球員狀態!O$2:O$5000, MATCH(1, (球員狀態!$A$2:$A$5000=$EI$1)*(ISNUMBER(SEARCH($EI106, 球員狀態!$B$2:$B$5000))), 0)), "")</f>
        <v/>
      </c>
      <c r="EW106" s="4" t="str">
        <f t="array" ref="EW106">IFERROR(INDEX(球員狀態!P$2:P$5000, MATCH(1, (球員狀態!$A$2:$A$5000=$EI$1)*(ISNUMBER(SEARCH($EI106, 球員狀態!$B$2:$B$5000))), 0)), "")</f>
        <v/>
      </c>
      <c r="EX106" s="4" t="str">
        <f t="array" ref="EX106">IFERROR(INDEX(球員狀態!Q$2:Q$5000, MATCH(1, (球員狀態!$A$2:$A$5000=$EI$91)*(ISNUMBER(SEARCH($EI106, 球員狀態!$B$2:$B$5000))), 0)), "")</f>
        <v/>
      </c>
      <c r="EY106" s="4" t="str">
        <f t="array" ref="EY106">IFERROR(INDEX(球員狀態!R$2:R$5000, MATCH(1, (球員狀態!$A$2:$A$5000=$EI$1)*(ISNUMBER(SEARCH($EI106, 球員狀態!$B$2:$B$5000))), 0)), "")</f>
        <v/>
      </c>
      <c r="EZ106" s="4" t="str">
        <f t="array" ref="EZ106">IFERROR(INDEX(球員狀態!S$2:S$5000, MATCH(1, (球員狀態!$A$2:$A$5000=$EI$1)*(ISNUMBER(SEARCH($EI106, 球員狀態!$B$2:$B$5000))), 0)), "")</f>
        <v/>
      </c>
      <c r="FA106" s="4" t="str">
        <f t="array" ref="FA106">IFERROR(INDEX(球員狀態!T$2:T$5000, MATCH(1, (球員狀態!$A$2:$A$5000=$EI$91)*(ISNUMBER(SEARCH($EI106, 球員狀態!$B$2:$B$5000))), 0)), "")</f>
        <v/>
      </c>
      <c r="FB106" s="4" t="str">
        <f t="array" ref="FB106">IFERROR(INDEX(球員狀態!U$2:U$5000, MATCH(1, (球員狀態!$A$2:$A$5000=$EI$1)*(ISNUMBER(SEARCH($EI106, 球員狀態!$B$2:$B$5000))), 0)), "")</f>
        <v/>
      </c>
      <c r="FC106" s="4" t="str">
        <f t="array" ref="FC106">IFERROR(INDEX(球員狀態!V$2:V$5000, MATCH(1, (球員狀態!$A$2:$A$5000=$EI$1)*(ISNUMBER(SEARCH($EI106, 球員狀態!$B$2:$B$5000))), 0)), "")</f>
        <v/>
      </c>
      <c r="FD106" s="4" t="str">
        <f t="array" ref="FD106">IFERROR(INDEX(球員狀態!W$2:W$5000, MATCH(1, (球員狀態!$A$2:$A$5000=$EI$91)*(ISNUMBER(SEARCH($EI106, 球員狀態!$B$2:$B$5000))), 0)), "")</f>
        <v/>
      </c>
      <c r="FE106" s="4" t="str">
        <f t="array" ref="FE106">IFERROR(INDEX(球員狀態!X$2:X$5000, MATCH(1, (球員狀態!$A$2:$A$5000=$EI$1)*(ISNUMBER(SEARCH($EI106, 球員狀態!$B$2:$B$5000))), 0)), "")</f>
        <v/>
      </c>
      <c r="FF106" s="4" t="str">
        <f t="array" ref="FF106">IFERROR(INDEX(球員狀態!Y$2:Y$5000, MATCH(1, (球員狀態!$A$2:$A$5000=$EI$1)*(ISNUMBER(SEARCH($EI106, 球員狀態!$B$2:$B$5000))), 0)), "")</f>
        <v/>
      </c>
      <c r="FG106" s="4" t="str">
        <f t="array" ref="FG106">IFERROR(INDEX(球員狀態!Z$2:Z$5000, MATCH(1, (球員狀態!$A$2:$A$5000=$EI$91)*(ISNUMBER(SEARCH($EI106, 球員狀態!$B$2:$B$5000))), 0)), "")</f>
        <v/>
      </c>
      <c r="FH106" s="4" t="str">
        <f t="array" ref="FH106">IFERROR(INDEX(球員狀態!AA$2:AA$5000, MATCH(1, (球員狀態!$A$2:$A$5000=$EI$91)*(ISNUMBER(SEARCH($EI106, 球員狀態!$B$2:$B$5000))), 0)), "")</f>
        <v/>
      </c>
      <c r="FI106" s="4" t="str">
        <f t="array" ref="FI106">IFERROR(INDEX(球員狀態!AB$2:AB$5000, MATCH(1, (球員狀態!$A$2:$A$5000=$EI$91)*(ISNUMBER(SEARCH($EI106, 球員狀態!$B$2:$B$5000))), 0)), "")</f>
        <v/>
      </c>
    </row>
    <row r="107" spans="110:165">
      <c r="DH107" s="40" t="e">
        <f>DJ107+DL107+DM107+DN107+DO107-DP107-DQ107+DR107</f>
        <v>#VALUE!</v>
      </c>
      <c r="DI107" s="42" t="e">
        <f>DU107+DX107+EA107+ED107+EE107+EF107</f>
        <v>#VALUE!</v>
      </c>
      <c r="DJ107" s="38" t="e">
        <f>VLOOKUP(DJ106*1, FK$2:FM$12, 3, TRUE)*FM$1</f>
        <v>#VALUE!</v>
      </c>
      <c r="DL107" s="38" t="e">
        <f>VLOOKUP(DL106*1, FN$2:FP$12, 3, TRUE)*FP$1</f>
        <v>#VALUE!</v>
      </c>
      <c r="DM107" s="38" t="e">
        <f>VLOOKUP(DM106*1, FQ$2:FS$12, 3, TRUE)*FS$1</f>
        <v>#VALUE!</v>
      </c>
      <c r="DN107" s="38" t="e">
        <f>VLOOKUP(DN106*1, FT$2:FV$12, 3, TRUE)*FV$1</f>
        <v>#VALUE!</v>
      </c>
      <c r="DO107" s="38" t="e">
        <f>VLOOKUP(DO106*1, FW$2:FY$12, 3, TRUE)*FY$1</f>
        <v>#VALUE!</v>
      </c>
      <c r="DP107" s="39" t="e">
        <f>VLOOKUP(DP106*1, FK$14:FM$25, 3, TRUE)*FM$14</f>
        <v>#VALUE!</v>
      </c>
      <c r="DQ107" s="39" t="e">
        <f>VLOOKUP(DQ106*1, FN$14:FP$25, 3, TRUE)*FP$14</f>
        <v>#VALUE!</v>
      </c>
      <c r="DR107" s="38" t="e">
        <f>VLOOKUP(DR106*1, FQ$14:FS$25, 3, TRUE)*FS$14</f>
        <v>#VALUE!</v>
      </c>
      <c r="DU107" s="41" t="e">
        <f>VLOOKUP(DU106*1, FK$27:FM$38, 3, TRUE)*FM$27</f>
        <v>#VALUE!</v>
      </c>
      <c r="DX107" s="41" t="e">
        <f>VLOOKUP(DX106*1, FN$27:FP$38, 3, TRUE)*FP$27</f>
        <v>#VALUE!</v>
      </c>
      <c r="EA107" s="41" t="e">
        <f>VLOOKUP(EA106*1, FQ$27:FS$38, 3, TRUE)*FS$27</f>
        <v>#VALUE!</v>
      </c>
      <c r="ED107" s="41" t="e">
        <f>VLOOKUP(ED106*1, FT$27:FV$38, 3, TRUE)*FV$27</f>
        <v>#VALUE!</v>
      </c>
      <c r="EE107" s="41" t="e">
        <f>VLOOKUP(EE106*1, FW$27:FY$38, 3, TRUE)*FY$27</f>
        <v>#VALUE!</v>
      </c>
      <c r="EF107" s="41" t="e">
        <f>VLOOKUP(EF106*1, FK$40:FM$51, 3, TRUE)*FM$40</f>
        <v>#VALUE!</v>
      </c>
      <c r="EG107" s="57"/>
      <c r="EK107" s="40" t="e">
        <f>EM107+EO107+EP107+EQ107+ER107-ES107-ET107+EU107</f>
        <v>#VALUE!</v>
      </c>
      <c r="EL107" s="42" t="e">
        <f>EX107+FA107+FD107+FG107+FH107+FI107</f>
        <v>#VALUE!</v>
      </c>
      <c r="EM107" s="38" t="e">
        <f>VLOOKUP(EM106*1, $FK$2:$FM$12, 3, TRUE)*$FM$1</f>
        <v>#VALUE!</v>
      </c>
      <c r="EO107" s="38" t="e">
        <f>VLOOKUP(EO106*1, $FN$2:$FP$12, 3, TRUE)*$FP$1</f>
        <v>#VALUE!</v>
      </c>
      <c r="EP107" s="38" t="e">
        <f>VLOOKUP(EP106*1, $FQ$2:$FS$12, 3, TRUE)*$FS$1</f>
        <v>#VALUE!</v>
      </c>
      <c r="EQ107" s="38" t="e">
        <f>VLOOKUP(EQ106*1, $FT$2:$FV$12, 3, TRUE)*$FV$1</f>
        <v>#VALUE!</v>
      </c>
      <c r="ER107" s="38" t="e">
        <f>VLOOKUP(ER106*1, $FW$2:$FY$12, 3, TRUE)*$FY$1</f>
        <v>#VALUE!</v>
      </c>
      <c r="ES107" s="39" t="e">
        <f>VLOOKUP(ES106*1, $FK$14:$FM$25, 3, TRUE)*$FM$14</f>
        <v>#VALUE!</v>
      </c>
      <c r="ET107" s="39" t="e">
        <f>VLOOKUP(ET106*1, $FN$14:$FP$25, 3, TRUE)*$FP$14</f>
        <v>#VALUE!</v>
      </c>
      <c r="EU107" s="38" t="e">
        <f>VLOOKUP(EU106*1, $FQ$14:$FS$25, 3, TRUE)*$FS$14</f>
        <v>#VALUE!</v>
      </c>
      <c r="EX107" s="41" t="e">
        <f>VLOOKUP(EX106*1, $FK$27:$FM$38, 3, TRUE)*$FM$27</f>
        <v>#VALUE!</v>
      </c>
      <c r="FA107" s="41" t="e">
        <f>VLOOKUP(FA106*1, $FN$27:$FP$38, 3, TRUE)*$FP$27</f>
        <v>#VALUE!</v>
      </c>
      <c r="FD107" s="41" t="e">
        <f>VLOOKUP(FD106*1, $FQ$27:$FS$38, 3, TRUE)*$FS$27</f>
        <v>#VALUE!</v>
      </c>
      <c r="FG107" s="41" t="e">
        <f>VLOOKUP(FG106*1, $FT$27:$FV$38, 3, TRUE)*$FV$27</f>
        <v>#VALUE!</v>
      </c>
      <c r="FH107" s="41" t="e">
        <f>VLOOKUP(FH106*1, $FW$27:$FY$38, 3, TRUE)*$FY$27</f>
        <v>#VALUE!</v>
      </c>
      <c r="FI107" s="41" t="e">
        <f>VLOOKUP(FI106*1, $FK$40:$FM$51, 3, TRUE)*$FM$40</f>
        <v>#VALUE!</v>
      </c>
    </row>
    <row r="108" spans="110:165">
      <c r="DF108" s="37" t="str">
        <f>先發名單!M$5</f>
        <v>V. Grissom</v>
      </c>
      <c r="DG108" s="4" t="str">
        <f t="array" ref="DG108">IFERROR(INDEX(球員狀態!$C$2:$C$5000, MATCH(1, (球員狀態!$A$2:$A$5000=$DF$91)*(ISNUMBER(SEARCH($DF108, 球員狀態!$B$2:$B$5000))), 0)), "")</f>
        <v/>
      </c>
      <c r="DJ108" s="4" t="str">
        <f t="array" ref="DJ108">IFERROR(INDEX(球員狀態!$F$2:$F$5000,MATCH(1,(球員狀態!$A$2:$A$5000=$DF$91)*(ISNUMBER(SEARCH($DF108,球員狀態!$B$2:$B$5000))),0)),"")</f>
        <v/>
      </c>
      <c r="DK108" s="4" t="str">
        <f t="array" ref="DK108">IFERROR(INDEX(球員狀態!G$2:G$5000, MATCH(1, (球員狀態!$A$2:$A$5000=$DF$1)*(ISNUMBER(SEARCH($DF108, 球員狀態!$B$2:$B$5000))), 0)), "")</f>
        <v/>
      </c>
      <c r="DL108" s="4" t="str">
        <f t="array" ref="DL108">IFERROR(INDEX(球員狀態!H$2:H$5000, MATCH(1, (球員狀態!$A$2:$A$5000=$DF$91)*(ISNUMBER(SEARCH($DF108, 球員狀態!$B$2:$B$5000))), 0)), "")</f>
        <v/>
      </c>
      <c r="DM108" s="4" t="str">
        <f t="array" ref="DM108">IFERROR(INDEX(球員狀態!I$2:I$5000,MATCH(1,(球員狀態!$A$2:$A$5000=$DF$91)*(ISNUMBER(SEARCH($DF108,球員狀態!$B$2:$B$5000))),0)),"")</f>
        <v/>
      </c>
      <c r="DN108" s="4" t="str">
        <f t="array" ref="DN108">IFERROR(INDEX(球員狀態!J$2:J$5000,MATCH(1,(球員狀態!$A$2:$A$5000=$DF$91)*(ISNUMBER(SEARCH($DF108,球員狀態!$B$2:$B$5000))),0)),"")</f>
        <v/>
      </c>
      <c r="DO108" s="4" t="str">
        <f t="array" ref="DO108">IFERROR(INDEX(球員狀態!K$2:K$5000,MATCH(1,(球員狀態!$A$2:$A$5000=$DF$91)*(ISNUMBER(SEARCH($DF108,球員狀態!$B$2:$B$5000))),0)),"")</f>
        <v/>
      </c>
      <c r="DP108" s="4" t="str">
        <f t="array" ref="DP108">IFERROR(INDEX(球員狀態!L$2:L$5000,MATCH(1,(球員狀態!$A$2:$A$5000=$DF$91)*(ISNUMBER(SEARCH($DF108,球員狀態!$B$2:$B$5000))),0)),"")</f>
        <v/>
      </c>
      <c r="DQ108" s="4" t="str">
        <f t="array" ref="DQ108">IFERROR(INDEX(球員狀態!M$2:M$5000,MATCH(1,(球員狀態!$A$2:$A$5000=$DF$91)*(ISNUMBER(SEARCH($DF108,球員狀態!$B$2:$B$5000))),0)),"")</f>
        <v/>
      </c>
      <c r="DR108" s="4" t="str">
        <f t="array" ref="DR108">IFERROR(INDEX(球員狀態!N$2:N$5000,MATCH(1,(球員狀態!$A$2:$A$5000=$DF$91)*(ISNUMBER(SEARCH($DF108,球員狀態!$B$2:$B$5000))),0)),"")</f>
        <v/>
      </c>
      <c r="DS108" s="4" t="str">
        <f t="array" ref="DS108">IFERROR(INDEX(球員狀態!O$2:O$5000, MATCH(1, (球員狀態!$A$2:$A$5000=$DF$1)*(ISNUMBER(SEARCH($DF108, 球員狀態!$B$2:$B$5000))), 0)), "")</f>
        <v/>
      </c>
      <c r="DT108" s="4" t="str">
        <f t="array" ref="DT108">IFERROR(INDEX(球員狀態!P$2:P$5000, MATCH(1, (球員狀態!$A$2:$A$5000=$DF$1)*(ISNUMBER(SEARCH($DF108, 球員狀態!$B$2:$B$5000))), 0)), "")</f>
        <v/>
      </c>
      <c r="DU108" s="4" t="str">
        <f t="array" ref="DU108">IFERROR(INDEX(球員狀態!Q$2:Q$5000,MATCH(1,(球員狀態!$A$2:$A$5000=$DF$91)*(ISNUMBER(SEARCH($DF108,球員狀態!$B$2:$B$5000))),0)),"")</f>
        <v/>
      </c>
      <c r="DV108" s="4" t="str">
        <f t="array" ref="DV108">IFERROR(INDEX(球員狀態!R$2:R$5000, MATCH(1, (球員狀態!$A$2:$A$5000=$DF$1)*(ISNUMBER(SEARCH($DF108, 球員狀態!$B$2:$B$5000))), 0)), "")</f>
        <v/>
      </c>
      <c r="DW108" s="4" t="str">
        <f t="array" ref="DW108">IFERROR(INDEX(球員狀態!S$2:S$5000, MATCH(1, (球員狀態!$A$2:$A$5000=$DF$1)*(ISNUMBER(SEARCH($DF108, 球員狀態!$B$2:$B$5000))), 0)), "")</f>
        <v/>
      </c>
      <c r="DX108" s="4" t="str">
        <f t="array" ref="DX108">IFERROR(INDEX(球員狀態!T$2:T$5000,MATCH(1,(球員狀態!$A$2:$A$5000=$DF$91)*(ISNUMBER(SEARCH($DF108,球員狀態!$B$2:$B$5000))),0)),"")</f>
        <v/>
      </c>
      <c r="DY108" s="4" t="str">
        <f t="array" ref="DY108">IFERROR(INDEX(球員狀態!U$2:U$5000, MATCH(1, (球員狀態!$A$2:$A$5000=$DF$1)*(ISNUMBER(SEARCH($DF108, 球員狀態!$B$2:$B$5000))), 0)), "")</f>
        <v/>
      </c>
      <c r="DZ108" s="4" t="str">
        <f t="array" ref="DZ108">IFERROR(INDEX(球員狀態!V$2:V$5000, MATCH(1, (球員狀態!$A$2:$A$5000=$DF$1)*(ISNUMBER(SEARCH($DF108, 球員狀態!$B$2:$B$5000))), 0)), "")</f>
        <v/>
      </c>
      <c r="EA108" s="4" t="str">
        <f t="array" ref="EA108">IFERROR(INDEX(球員狀態!W$2:W$5000,MATCH(1,(球員狀態!$A$2:$A$5000=$DF$91)*(ISNUMBER(SEARCH($DF108,球員狀態!$B$2:$B$5000))),0)),"")</f>
        <v/>
      </c>
      <c r="EB108" s="4" t="str">
        <f t="array" ref="EB108">IFERROR(INDEX(球員狀態!X$2:X$5000, MATCH(1, (球員狀態!$A$2:$A$5000=$DF$1)*(ISNUMBER(SEARCH($DF108, 球員狀態!$B$2:$B$5000))), 0)), "")</f>
        <v/>
      </c>
      <c r="EC108" s="4" t="str">
        <f t="array" ref="EC108">IFERROR(INDEX(球員狀態!Y$2:Y$5000, MATCH(1, (球員狀態!$A$2:$A$5000=$DF$1)*(ISNUMBER(SEARCH($DF108, 球員狀態!$B$2:$B$5000))), 0)), "")</f>
        <v/>
      </c>
      <c r="ED108" s="4" t="str">
        <f t="array" ref="ED108">IFERROR(INDEX(球員狀態!Z$2:Z$5000,MATCH(1,(球員狀態!$A$2:$A$5000=$DF$91)*(ISNUMBER(SEARCH($DF108,球員狀態!$B$2:$B$5000))),0)),"")</f>
        <v/>
      </c>
      <c r="EE108" s="4" t="str">
        <f t="array" ref="EE108">IFERROR(INDEX(球員狀態!AA$2:AA$5000,MATCH(1,(球員狀態!$A$2:$A$5000=$DF$91)*(ISNUMBER(SEARCH($DF108,球員狀態!$B$2:$B$5000))),0)),"")</f>
        <v/>
      </c>
      <c r="EF108" s="4" t="str">
        <f t="array" ref="EF108">IFERROR(INDEX(球員狀態!AB$2:AB$5000,MATCH(1,(球員狀態!$A$2:$A$5000=$DF$91)*(ISNUMBER(SEARCH($DF108,球員狀態!$B$2:$B$5000))),0)),"")</f>
        <v/>
      </c>
      <c r="EG108" s="56"/>
      <c r="EI108" s="37" t="str">
        <f>先發名單!W$5</f>
        <v>C. Meidroth</v>
      </c>
      <c r="EJ108" s="4" t="str">
        <f t="array" ref="EJ108">IFERROR(INDEX(球員狀態!C$2:C$5000, MATCH(1, (球員狀態!$A$2:$A$5000=$EI$91)*(ISNUMBER(SEARCH($EI108, 球員狀態!$B$2:$B$5000))), 0)), "")</f>
        <v/>
      </c>
      <c r="EM108" s="4" t="str">
        <f t="array" ref="EM108">IFERROR(INDEX(球員狀態!F$2:F$5000, MATCH(1, (球員狀態!$A$2:$A$5000=$EI$91)*(ISNUMBER(SEARCH($EI108, 球員狀態!$B$2:$B$5000))), 0)), "")</f>
        <v/>
      </c>
      <c r="EN108" s="4" t="str">
        <f t="array" ref="EN108">IFERROR(INDEX(球員狀態!G$2:G$5000, MATCH(1, (球員狀態!$A$2:$A$5000=$EI$1)*(ISNUMBER(SEARCH($EI108, 球員狀態!$B$2:$B$5000))), 0)), "")</f>
        <v/>
      </c>
      <c r="EO108" s="4" t="str">
        <f t="array" ref="EO108">IFERROR(INDEX(球員狀態!H$2:H$5000, MATCH(1, (球員狀態!$A$2:$A$5000=$EI$91)*(ISNUMBER(SEARCH($EI108, 球員狀態!$B$2:$B$5000))), 0)), "")</f>
        <v/>
      </c>
      <c r="EP108" s="4" t="str">
        <f t="array" ref="EP108">IFERROR(INDEX(球員狀態!I$2:I$5000, MATCH(1, (球員狀態!$A$2:$A$5000=$EI$91)*(ISNUMBER(SEARCH($EI108, 球員狀態!$B$2:$B$5000))), 0)), "")</f>
        <v/>
      </c>
      <c r="EQ108" s="4" t="str">
        <f t="array" ref="EQ108">IFERROR(INDEX(球員狀態!J$2:J$5000, MATCH(1, (球員狀態!$A$2:$A$5000=$EI$91)*(ISNUMBER(SEARCH($EI108, 球員狀態!$B$2:$B$5000))), 0)), "")</f>
        <v/>
      </c>
      <c r="ER108" s="4" t="str">
        <f t="array" ref="ER108">IFERROR(INDEX(球員狀態!K$2:K$5000, MATCH(1, (球員狀態!$A$2:$A$5000=$EI$91)*(ISNUMBER(SEARCH($EI108, 球員狀態!$B$2:$B$5000))), 0)), "")</f>
        <v/>
      </c>
      <c r="ES108" s="4" t="str">
        <f t="array" ref="ES108">IFERROR(INDEX(球員狀態!L$2:L$5000, MATCH(1, (球員狀態!$A$2:$A$5000=$EI$91)*(ISNUMBER(SEARCH($EI108, 球員狀態!$B$2:$B$5000))), 0)), "")</f>
        <v/>
      </c>
      <c r="ET108" s="4" t="str">
        <f t="array" ref="ET108">IFERROR(INDEX(球員狀態!M$2:M$5000, MATCH(1, (球員狀態!$A$2:$A$5000=$EI$91)*(ISNUMBER(SEARCH($EI108, 球員狀態!$B$2:$B$5000))), 0)), "")</f>
        <v/>
      </c>
      <c r="EU108" s="4" t="str">
        <f t="array" ref="EU108">IFERROR(INDEX(球員狀態!N$2:N$5000, MATCH(1, (球員狀態!$A$2:$A$5000=$EI$91)*(ISNUMBER(SEARCH($EI108, 球員狀態!$B$2:$B$5000))), 0)), "")</f>
        <v/>
      </c>
      <c r="EV108" s="4" t="str">
        <f t="array" ref="EV108">IFERROR(INDEX(球員狀態!O$2:O$5000, MATCH(1, (球員狀態!$A$2:$A$5000=$EI$1)*(ISNUMBER(SEARCH($EI108, 球員狀態!$B$2:$B$5000))), 0)), "")</f>
        <v/>
      </c>
      <c r="EW108" s="4" t="str">
        <f t="array" ref="EW108">IFERROR(INDEX(球員狀態!P$2:P$5000, MATCH(1, (球員狀態!$A$2:$A$5000=$EI$1)*(ISNUMBER(SEARCH($EI108, 球員狀態!$B$2:$B$5000))), 0)), "")</f>
        <v/>
      </c>
      <c r="EX108" s="4" t="str">
        <f t="array" ref="EX108">IFERROR(INDEX(球員狀態!Q$2:Q$5000, MATCH(1, (球員狀態!$A$2:$A$5000=$EI$91)*(ISNUMBER(SEARCH($EI108, 球員狀態!$B$2:$B$5000))), 0)), "")</f>
        <v/>
      </c>
      <c r="EY108" s="4" t="str">
        <f t="array" ref="EY108">IFERROR(INDEX(球員狀態!R$2:R$5000, MATCH(1, (球員狀態!$A$2:$A$5000=$EI$1)*(ISNUMBER(SEARCH($EI108, 球員狀態!$B$2:$B$5000))), 0)), "")</f>
        <v/>
      </c>
      <c r="EZ108" s="4" t="str">
        <f t="array" ref="EZ108">IFERROR(INDEX(球員狀態!S$2:S$5000, MATCH(1, (球員狀態!$A$2:$A$5000=$EI$1)*(ISNUMBER(SEARCH($EI108, 球員狀態!$B$2:$B$5000))), 0)), "")</f>
        <v/>
      </c>
      <c r="FA108" s="4" t="str">
        <f t="array" ref="FA108">IFERROR(INDEX(球員狀態!T$2:T$5000, MATCH(1, (球員狀態!$A$2:$A$5000=$EI$91)*(ISNUMBER(SEARCH($EI108, 球員狀態!$B$2:$B$5000))), 0)), "")</f>
        <v/>
      </c>
      <c r="FB108" s="4" t="str">
        <f t="array" ref="FB108">IFERROR(INDEX(球員狀態!U$2:U$5000, MATCH(1, (球員狀態!$A$2:$A$5000=$EI$1)*(ISNUMBER(SEARCH($EI108, 球員狀態!$B$2:$B$5000))), 0)), "")</f>
        <v/>
      </c>
      <c r="FC108" s="4" t="str">
        <f t="array" ref="FC108">IFERROR(INDEX(球員狀態!V$2:V$5000, MATCH(1, (球員狀態!$A$2:$A$5000=$EI$1)*(ISNUMBER(SEARCH($EI108, 球員狀態!$B$2:$B$5000))), 0)), "")</f>
        <v/>
      </c>
      <c r="FD108" s="4" t="str">
        <f t="array" ref="FD108">IFERROR(INDEX(球員狀態!W$2:W$5000, MATCH(1, (球員狀態!$A$2:$A$5000=$EI$91)*(ISNUMBER(SEARCH($EI108, 球員狀態!$B$2:$B$5000))), 0)), "")</f>
        <v/>
      </c>
      <c r="FE108" s="4" t="str">
        <f t="array" ref="FE108">IFERROR(INDEX(球員狀態!X$2:X$5000, MATCH(1, (球員狀態!$A$2:$A$5000=$EI$1)*(ISNUMBER(SEARCH($EI108, 球員狀態!$B$2:$B$5000))), 0)), "")</f>
        <v/>
      </c>
      <c r="FF108" s="4" t="str">
        <f t="array" ref="FF108">IFERROR(INDEX(球員狀態!Y$2:Y$5000, MATCH(1, (球員狀態!$A$2:$A$5000=$EI$1)*(ISNUMBER(SEARCH($EI108, 球員狀態!$B$2:$B$5000))), 0)), "")</f>
        <v/>
      </c>
      <c r="FG108" s="4" t="str">
        <f t="array" ref="FG108">IFERROR(INDEX(球員狀態!Z$2:Z$5000, MATCH(1, (球員狀態!$A$2:$A$5000=$EI$91)*(ISNUMBER(SEARCH($EI108, 球員狀態!$B$2:$B$5000))), 0)), "")</f>
        <v/>
      </c>
      <c r="FH108" s="4" t="str">
        <f t="array" ref="FH108">IFERROR(INDEX(球員狀態!AA$2:AA$5000, MATCH(1, (球員狀態!$A$2:$A$5000=$EI$91)*(ISNUMBER(SEARCH($EI108, 球員狀態!$B$2:$B$5000))), 0)), "")</f>
        <v/>
      </c>
      <c r="FI108" s="4" t="str">
        <f t="array" ref="FI108">IFERROR(INDEX(球員狀態!AB$2:AB$5000, MATCH(1, (球員狀態!$A$2:$A$5000=$EI$91)*(ISNUMBER(SEARCH($EI108, 球員狀態!$B$2:$B$5000))), 0)), "")</f>
        <v/>
      </c>
    </row>
    <row r="109" spans="110:165">
      <c r="DH109" s="40" t="e">
        <f>DJ109+DL109+DM109+DN109+DO109-DP109-DQ109+DR109</f>
        <v>#VALUE!</v>
      </c>
      <c r="DI109" s="42" t="e">
        <f>DU109+DX109+EA109+ED109+EE109+EF109</f>
        <v>#VALUE!</v>
      </c>
      <c r="DJ109" s="38" t="e">
        <f>VLOOKUP(DJ108*1, FK$2:FM$12, 3, TRUE)*FM$1</f>
        <v>#VALUE!</v>
      </c>
      <c r="DL109" s="38" t="e">
        <f>VLOOKUP(DL108*1, FN$2:FP$12, 3, TRUE)*FP$1</f>
        <v>#VALUE!</v>
      </c>
      <c r="DM109" s="38" t="e">
        <f>VLOOKUP(DM108*1, FQ$2:FS$12, 3, TRUE)*FS$1</f>
        <v>#VALUE!</v>
      </c>
      <c r="DN109" s="38" t="e">
        <f>VLOOKUP(DN108*1, FT$2:FV$12, 3, TRUE)*FV$1</f>
        <v>#VALUE!</v>
      </c>
      <c r="DO109" s="38" t="e">
        <f>VLOOKUP(DO108*1, FW$2:FY$12, 3, TRUE)*FY$1</f>
        <v>#VALUE!</v>
      </c>
      <c r="DP109" s="39" t="e">
        <f>VLOOKUP(DP108*1, FK$14:FM$25, 3, TRUE)*FM$14</f>
        <v>#VALUE!</v>
      </c>
      <c r="DQ109" s="39" t="e">
        <f>VLOOKUP(DQ108*1, FN$14:FP$25, 3, TRUE)*FP$14</f>
        <v>#VALUE!</v>
      </c>
      <c r="DR109" s="38" t="e">
        <f>VLOOKUP(DR108*1, FQ$14:FS$25, 3, TRUE)*FS$14</f>
        <v>#VALUE!</v>
      </c>
      <c r="DU109" s="41" t="e">
        <f>VLOOKUP(DU108*1, FK$27:FM$38, 3, TRUE)*FM$27</f>
        <v>#VALUE!</v>
      </c>
      <c r="DX109" s="41" t="e">
        <f>VLOOKUP(DX108*1, FN$27:FP$38, 3, TRUE)*FP$27</f>
        <v>#VALUE!</v>
      </c>
      <c r="EA109" s="41" t="e">
        <f>VLOOKUP(EA108*1, FQ$27:FS$38, 3, TRUE)*FS$27</f>
        <v>#VALUE!</v>
      </c>
      <c r="ED109" s="41" t="e">
        <f>VLOOKUP(ED108*1, FT$27:FV$38, 3, TRUE)*FV$27</f>
        <v>#VALUE!</v>
      </c>
      <c r="EE109" s="41" t="e">
        <f>VLOOKUP(EE108*1, FW$27:FY$38, 3, TRUE)*FY$27</f>
        <v>#VALUE!</v>
      </c>
      <c r="EF109" s="41" t="e">
        <f>VLOOKUP(EF108*1, FK$40:FM$51, 3, TRUE)*FM$40</f>
        <v>#VALUE!</v>
      </c>
      <c r="EG109" s="57"/>
      <c r="EK109" s="40" t="e">
        <f>EM109+EO109+EP109+EQ109+ER109-ES109-ET109+EU109</f>
        <v>#VALUE!</v>
      </c>
      <c r="EL109" s="42" t="e">
        <f>EX109+FA109+FD109+FG109+FH109+FI109</f>
        <v>#VALUE!</v>
      </c>
      <c r="EM109" s="38" t="e">
        <f>VLOOKUP(EM108*1, $FK$2:$FM$12, 3, TRUE)*$FM$1</f>
        <v>#VALUE!</v>
      </c>
      <c r="EO109" s="38" t="e">
        <f>VLOOKUP(EO108*1, $FN$2:$FP$12, 3, TRUE)*$FP$1</f>
        <v>#VALUE!</v>
      </c>
      <c r="EP109" s="38" t="e">
        <f>VLOOKUP(EP108*1, $FQ$2:$FS$12, 3, TRUE)*$FS$1</f>
        <v>#VALUE!</v>
      </c>
      <c r="EQ109" s="38" t="e">
        <f>VLOOKUP(EQ108*1, $FT$2:$FV$12, 3, TRUE)*$FV$1</f>
        <v>#VALUE!</v>
      </c>
      <c r="ER109" s="38" t="e">
        <f>VLOOKUP(ER108*1, $FW$2:$FY$12, 3, TRUE)*$FY$1</f>
        <v>#VALUE!</v>
      </c>
      <c r="ES109" s="39" t="e">
        <f>VLOOKUP(ES108*1, $FK$14:$FM$25, 3, TRUE)*$FM$14</f>
        <v>#VALUE!</v>
      </c>
      <c r="ET109" s="39" t="e">
        <f>VLOOKUP(ET108*1, $FN$14:$FP$25, 3, TRUE)*$FP$14</f>
        <v>#VALUE!</v>
      </c>
      <c r="EU109" s="38" t="e">
        <f>VLOOKUP(EU108*1, $FQ$14:$FS$25, 3, TRUE)*$FS$14</f>
        <v>#VALUE!</v>
      </c>
      <c r="EX109" s="41" t="e">
        <f>VLOOKUP(EX108*1, $FK$27:$FM$38, 3, TRUE)*$FM$27</f>
        <v>#VALUE!</v>
      </c>
      <c r="FA109" s="41" t="e">
        <f>VLOOKUP(FA108*1, $FN$27:$FP$38, 3, TRUE)*$FP$27</f>
        <v>#VALUE!</v>
      </c>
      <c r="FD109" s="41" t="e">
        <f>VLOOKUP(FD108*1, $FQ$27:$FS$38, 3, TRUE)*$FS$27</f>
        <v>#VALUE!</v>
      </c>
      <c r="FG109" s="41" t="e">
        <f>VLOOKUP(FG108*1, $FT$27:$FV$38, 3, TRUE)*$FV$27</f>
        <v>#VALUE!</v>
      </c>
      <c r="FH109" s="41" t="e">
        <f>VLOOKUP(FH108*1, $FW$27:$FY$38, 3, TRUE)*$FY$27</f>
        <v>#VALUE!</v>
      </c>
      <c r="FI109" s="41" t="e">
        <f>VLOOKUP(FI108*1, $FK$40:$FM$51, 3, TRUE)*$FM$40</f>
        <v>#VALUE!</v>
      </c>
    </row>
    <row r="110" spans="110:165">
      <c r="DF110" s="37" t="e">
        <f>先發名單!#REF!</f>
        <v>#REF!</v>
      </c>
      <c r="DG110" s="4" t="str">
        <f t="array" ref="DG110">IFERROR(INDEX(球員狀態!$C$2:$C$5000, MATCH(1, (球員狀態!$A$2:$A$5000=$DF$91)*(ISNUMBER(SEARCH($DF110, 球員狀態!$B$2:$B$5000))), 0)), "")</f>
        <v/>
      </c>
      <c r="DJ110" s="4" t="str">
        <f t="array" ref="DJ110">IFERROR(INDEX(球員狀態!$F$2:$F$5000,MATCH(1,(球員狀態!$A$2:$A$5000=$DF$91)*(ISNUMBER(SEARCH($DF110,球員狀態!$B$2:$B$5000))),0)),"")</f>
        <v/>
      </c>
      <c r="DK110" s="4" t="str">
        <f t="array" ref="DK110">IFERROR(INDEX(球員狀態!G$2:G$5000, MATCH(1, (球員狀態!$A$2:$A$5000=$DF$1)*(ISNUMBER(SEARCH($DF110, 球員狀態!$B$2:$B$5000))), 0)), "")</f>
        <v/>
      </c>
      <c r="DL110" s="4" t="str">
        <f t="array" ref="DL110">IFERROR(INDEX(球員狀態!H$2:H$5000, MATCH(1, (球員狀態!$A$2:$A$5000=$DF$91)*(ISNUMBER(SEARCH($DF110, 球員狀態!$B$2:$B$5000))), 0)), "")</f>
        <v/>
      </c>
      <c r="DM110" s="4" t="str">
        <f t="array" ref="DM110">IFERROR(INDEX(球員狀態!I$2:I$5000,MATCH(1,(球員狀態!$A$2:$A$5000=$DF$91)*(ISNUMBER(SEARCH($DF110,球員狀態!$B$2:$B$5000))),0)),"")</f>
        <v/>
      </c>
      <c r="DN110" s="4" t="str">
        <f t="array" ref="DN110">IFERROR(INDEX(球員狀態!J$2:J$5000,MATCH(1,(球員狀態!$A$2:$A$5000=$DF$91)*(ISNUMBER(SEARCH($DF110,球員狀態!$B$2:$B$5000))),0)),"")</f>
        <v/>
      </c>
      <c r="DO110" s="4" t="str">
        <f t="array" ref="DO110">IFERROR(INDEX(球員狀態!K$2:K$5000,MATCH(1,(球員狀態!$A$2:$A$5000=$DF$91)*(ISNUMBER(SEARCH($DF110,球員狀態!$B$2:$B$5000))),0)),"")</f>
        <v/>
      </c>
      <c r="DP110" s="4" t="str">
        <f t="array" ref="DP110">IFERROR(INDEX(球員狀態!L$2:L$5000,MATCH(1,(球員狀態!$A$2:$A$5000=$DF$91)*(ISNUMBER(SEARCH($DF110,球員狀態!$B$2:$B$5000))),0)),"")</f>
        <v/>
      </c>
      <c r="DQ110" s="4" t="str">
        <f t="array" ref="DQ110">IFERROR(INDEX(球員狀態!M$2:M$5000,MATCH(1,(球員狀態!$A$2:$A$5000=$DF$91)*(ISNUMBER(SEARCH($DF110,球員狀態!$B$2:$B$5000))),0)),"")</f>
        <v/>
      </c>
      <c r="DR110" s="4" t="str">
        <f t="array" ref="DR110">IFERROR(INDEX(球員狀態!N$2:N$5000,MATCH(1,(球員狀態!$A$2:$A$5000=$DF$91)*(ISNUMBER(SEARCH($DF110,球員狀態!$B$2:$B$5000))),0)),"")</f>
        <v/>
      </c>
      <c r="DS110" s="4" t="str">
        <f t="array" ref="DS110">IFERROR(INDEX(球員狀態!O$2:O$5000, MATCH(1, (球員狀態!$A$2:$A$5000=$DF$1)*(ISNUMBER(SEARCH($DF110, 球員狀態!$B$2:$B$5000))), 0)), "")</f>
        <v/>
      </c>
      <c r="DT110" s="4" t="str">
        <f t="array" ref="DT110">IFERROR(INDEX(球員狀態!P$2:P$5000, MATCH(1, (球員狀態!$A$2:$A$5000=$DF$1)*(ISNUMBER(SEARCH($DF110, 球員狀態!$B$2:$B$5000))), 0)), "")</f>
        <v/>
      </c>
      <c r="DU110" s="4" t="str">
        <f t="array" ref="DU110">IFERROR(INDEX(球員狀態!Q$2:Q$5000,MATCH(1,(球員狀態!$A$2:$A$5000=$DF$91)*(ISNUMBER(SEARCH($DF110,球員狀態!$B$2:$B$5000))),0)),"")</f>
        <v/>
      </c>
      <c r="DV110" s="4" t="str">
        <f t="array" ref="DV110">IFERROR(INDEX(球員狀態!R$2:R$5000, MATCH(1, (球員狀態!$A$2:$A$5000=$DF$1)*(ISNUMBER(SEARCH($DF110, 球員狀態!$B$2:$B$5000))), 0)), "")</f>
        <v/>
      </c>
      <c r="DW110" s="4" t="str">
        <f t="array" ref="DW110">IFERROR(INDEX(球員狀態!S$2:S$5000, MATCH(1, (球員狀態!$A$2:$A$5000=$DF$1)*(ISNUMBER(SEARCH($DF110, 球員狀態!$B$2:$B$5000))), 0)), "")</f>
        <v/>
      </c>
      <c r="DX110" s="4" t="str">
        <f t="array" ref="DX110">IFERROR(INDEX(球員狀態!T$2:T$5000,MATCH(1,(球員狀態!$A$2:$A$5000=$DF$91)*(ISNUMBER(SEARCH($DF110,球員狀態!$B$2:$B$5000))),0)),"")</f>
        <v/>
      </c>
      <c r="DY110" s="4" t="str">
        <f t="array" ref="DY110">IFERROR(INDEX(球員狀態!U$2:U$5000, MATCH(1, (球員狀態!$A$2:$A$5000=$DF$1)*(ISNUMBER(SEARCH($DF110, 球員狀態!$B$2:$B$5000))), 0)), "")</f>
        <v/>
      </c>
      <c r="DZ110" s="4" t="str">
        <f t="array" ref="DZ110">IFERROR(INDEX(球員狀態!V$2:V$5000, MATCH(1, (球員狀態!$A$2:$A$5000=$DF$1)*(ISNUMBER(SEARCH($DF110, 球員狀態!$B$2:$B$5000))), 0)), "")</f>
        <v/>
      </c>
      <c r="EA110" s="4" t="str">
        <f t="array" ref="EA110">IFERROR(INDEX(球員狀態!W$2:W$5000,MATCH(1,(球員狀態!$A$2:$A$5000=$DF$91)*(ISNUMBER(SEARCH($DF110,球員狀態!$B$2:$B$5000))),0)),"")</f>
        <v/>
      </c>
      <c r="EB110" s="4" t="str">
        <f t="array" ref="EB110">IFERROR(INDEX(球員狀態!X$2:X$5000, MATCH(1, (球員狀態!$A$2:$A$5000=$DF$1)*(ISNUMBER(SEARCH($DF110, 球員狀態!$B$2:$B$5000))), 0)), "")</f>
        <v/>
      </c>
      <c r="EC110" s="4" t="str">
        <f t="array" ref="EC110">IFERROR(INDEX(球員狀態!Y$2:Y$5000, MATCH(1, (球員狀態!$A$2:$A$5000=$DF$1)*(ISNUMBER(SEARCH($DF110, 球員狀態!$B$2:$B$5000))), 0)), "")</f>
        <v/>
      </c>
      <c r="ED110" s="4" t="str">
        <f t="array" ref="ED110">IFERROR(INDEX(球員狀態!Z$2:Z$5000,MATCH(1,(球員狀態!$A$2:$A$5000=$DF$91)*(ISNUMBER(SEARCH($DF110,球員狀態!$B$2:$B$5000))),0)),"")</f>
        <v/>
      </c>
      <c r="EE110" s="4" t="str">
        <f t="array" ref="EE110">IFERROR(INDEX(球員狀態!AA$2:AA$5000,MATCH(1,(球員狀態!$A$2:$A$5000=$DF$91)*(ISNUMBER(SEARCH($DF110,球員狀態!$B$2:$B$5000))),0)),"")</f>
        <v/>
      </c>
      <c r="EF110" s="4" t="str">
        <f t="array" ref="EF110">IFERROR(INDEX(球員狀態!AB$2:AB$5000,MATCH(1,(球員狀態!$A$2:$A$5000=$DF$91)*(ISNUMBER(SEARCH($DF110,球員狀態!$B$2:$B$5000))),0)),"")</f>
        <v/>
      </c>
      <c r="EG110" s="56"/>
      <c r="EI110" s="37" t="str">
        <f>先發名單!X$5</f>
        <v>L. Acuna</v>
      </c>
      <c r="EJ110" s="4" t="str">
        <f t="array" ref="EJ110">IFERROR(INDEX(球員狀態!C$2:C$5000, MATCH(1, (球員狀態!$A$2:$A$5000=$EI$91)*(ISNUMBER(SEARCH($EI110, 球員狀態!$B$2:$B$5000))), 0)), "")</f>
        <v/>
      </c>
      <c r="EM110" s="4" t="str">
        <f t="array" ref="EM110">IFERROR(INDEX(球員狀態!F$2:F$5000, MATCH(1, (球員狀態!$A$2:$A$5000=$EI$91)*(ISNUMBER(SEARCH($EI110, 球員狀態!$B$2:$B$5000))), 0)), "")</f>
        <v/>
      </c>
      <c r="EN110" s="4" t="str">
        <f t="array" ref="EN110">IFERROR(INDEX(球員狀態!G$2:G$5000, MATCH(1, (球員狀態!$A$2:$A$5000=$EI$1)*(ISNUMBER(SEARCH($EI110, 球員狀態!$B$2:$B$5000))), 0)), "")</f>
        <v/>
      </c>
      <c r="EO110" s="4" t="str">
        <f t="array" ref="EO110">IFERROR(INDEX(球員狀態!H$2:H$5000, MATCH(1, (球員狀態!$A$2:$A$5000=$EI$91)*(ISNUMBER(SEARCH($EI110, 球員狀態!$B$2:$B$5000))), 0)), "")</f>
        <v/>
      </c>
      <c r="EP110" s="4" t="str">
        <f t="array" ref="EP110">IFERROR(INDEX(球員狀態!I$2:I$5000, MATCH(1, (球員狀態!$A$2:$A$5000=$EI$91)*(ISNUMBER(SEARCH($EI110, 球員狀態!$B$2:$B$5000))), 0)), "")</f>
        <v/>
      </c>
      <c r="EQ110" s="4" t="str">
        <f t="array" ref="EQ110">IFERROR(INDEX(球員狀態!J$2:J$5000, MATCH(1, (球員狀態!$A$2:$A$5000=$EI$91)*(ISNUMBER(SEARCH($EI110, 球員狀態!$B$2:$B$5000))), 0)), "")</f>
        <v/>
      </c>
      <c r="ER110" s="4" t="str">
        <f t="array" ref="ER110">IFERROR(INDEX(球員狀態!K$2:K$5000, MATCH(1, (球員狀態!$A$2:$A$5000=$EI$91)*(ISNUMBER(SEARCH($EI110, 球員狀態!$B$2:$B$5000))), 0)), "")</f>
        <v/>
      </c>
      <c r="ES110" s="4" t="str">
        <f t="array" ref="ES110">IFERROR(INDEX(球員狀態!L$2:L$5000, MATCH(1, (球員狀態!$A$2:$A$5000=$EI$91)*(ISNUMBER(SEARCH($EI110, 球員狀態!$B$2:$B$5000))), 0)), "")</f>
        <v/>
      </c>
      <c r="ET110" s="4" t="str">
        <f t="array" ref="ET110">IFERROR(INDEX(球員狀態!M$2:M$5000, MATCH(1, (球員狀態!$A$2:$A$5000=$EI$91)*(ISNUMBER(SEARCH($EI110, 球員狀態!$B$2:$B$5000))), 0)), "")</f>
        <v/>
      </c>
      <c r="EU110" s="4" t="str">
        <f t="array" ref="EU110">IFERROR(INDEX(球員狀態!N$2:N$5000, MATCH(1, (球員狀態!$A$2:$A$5000=$EI$91)*(ISNUMBER(SEARCH($EI110, 球員狀態!$B$2:$B$5000))), 0)), "")</f>
        <v/>
      </c>
      <c r="EV110" s="4" t="str">
        <f t="array" ref="EV110">IFERROR(INDEX(球員狀態!O$2:O$5000, MATCH(1, (球員狀態!$A$2:$A$5000=$EI$1)*(ISNUMBER(SEARCH($EI110, 球員狀態!$B$2:$B$5000))), 0)), "")</f>
        <v/>
      </c>
      <c r="EW110" s="4" t="str">
        <f t="array" ref="EW110">IFERROR(INDEX(球員狀態!P$2:P$5000, MATCH(1, (球員狀態!$A$2:$A$5000=$EI$1)*(ISNUMBER(SEARCH($EI110, 球員狀態!$B$2:$B$5000))), 0)), "")</f>
        <v/>
      </c>
      <c r="EX110" s="4" t="str">
        <f t="array" ref="EX110">IFERROR(INDEX(球員狀態!Q$2:Q$5000, MATCH(1, (球員狀態!$A$2:$A$5000=$EI$91)*(ISNUMBER(SEARCH($EI110, 球員狀態!$B$2:$B$5000))), 0)), "")</f>
        <v/>
      </c>
      <c r="EY110" s="4" t="str">
        <f t="array" ref="EY110">IFERROR(INDEX(球員狀態!R$2:R$5000, MATCH(1, (球員狀態!$A$2:$A$5000=$EI$1)*(ISNUMBER(SEARCH($EI110, 球員狀態!$B$2:$B$5000))), 0)), "")</f>
        <v/>
      </c>
      <c r="EZ110" s="4" t="str">
        <f t="array" ref="EZ110">IFERROR(INDEX(球員狀態!S$2:S$5000, MATCH(1, (球員狀態!$A$2:$A$5000=$EI$1)*(ISNUMBER(SEARCH($EI110, 球員狀態!$B$2:$B$5000))), 0)), "")</f>
        <v/>
      </c>
      <c r="FA110" s="4" t="str">
        <f t="array" ref="FA110">IFERROR(INDEX(球員狀態!T$2:T$5000, MATCH(1, (球員狀態!$A$2:$A$5000=$EI$91)*(ISNUMBER(SEARCH($EI110, 球員狀態!$B$2:$B$5000))), 0)), "")</f>
        <v/>
      </c>
      <c r="FB110" s="4" t="str">
        <f t="array" ref="FB110">IFERROR(INDEX(球員狀態!U$2:U$5000, MATCH(1, (球員狀態!$A$2:$A$5000=$EI$1)*(ISNUMBER(SEARCH($EI110, 球員狀態!$B$2:$B$5000))), 0)), "")</f>
        <v/>
      </c>
      <c r="FC110" s="4" t="str">
        <f t="array" ref="FC110">IFERROR(INDEX(球員狀態!V$2:V$5000, MATCH(1, (球員狀態!$A$2:$A$5000=$EI$1)*(ISNUMBER(SEARCH($EI110, 球員狀態!$B$2:$B$5000))), 0)), "")</f>
        <v/>
      </c>
      <c r="FD110" s="4" t="str">
        <f t="array" ref="FD110">IFERROR(INDEX(球員狀態!W$2:W$5000, MATCH(1, (球員狀態!$A$2:$A$5000=$EI$91)*(ISNUMBER(SEARCH($EI110, 球員狀態!$B$2:$B$5000))), 0)), "")</f>
        <v/>
      </c>
      <c r="FE110" s="4" t="str">
        <f t="array" ref="FE110">IFERROR(INDEX(球員狀態!X$2:X$5000, MATCH(1, (球員狀態!$A$2:$A$5000=$EI$1)*(ISNUMBER(SEARCH($EI110, 球員狀態!$B$2:$B$5000))), 0)), "")</f>
        <v/>
      </c>
      <c r="FF110" s="4" t="str">
        <f t="array" ref="FF110">IFERROR(INDEX(球員狀態!Y$2:Y$5000, MATCH(1, (球員狀態!$A$2:$A$5000=$EI$1)*(ISNUMBER(SEARCH($EI110, 球員狀態!$B$2:$B$5000))), 0)), "")</f>
        <v/>
      </c>
      <c r="FG110" s="4" t="str">
        <f t="array" ref="FG110">IFERROR(INDEX(球員狀態!Z$2:Z$5000, MATCH(1, (球員狀態!$A$2:$A$5000=$EI$91)*(ISNUMBER(SEARCH($EI110, 球員狀態!$B$2:$B$5000))), 0)), "")</f>
        <v/>
      </c>
      <c r="FH110" s="4" t="str">
        <f t="array" ref="FH110">IFERROR(INDEX(球員狀態!AA$2:AA$5000, MATCH(1, (球員狀態!$A$2:$A$5000=$EI$91)*(ISNUMBER(SEARCH($EI110, 球員狀態!$B$2:$B$5000))), 0)), "")</f>
        <v/>
      </c>
      <c r="FI110" s="4" t="str">
        <f t="array" ref="FI110">IFERROR(INDEX(球員狀態!AB$2:AB$5000, MATCH(1, (球員狀態!$A$2:$A$5000=$EI$91)*(ISNUMBER(SEARCH($EI110, 球員狀態!$B$2:$B$5000))), 0)), "")</f>
        <v/>
      </c>
    </row>
    <row r="111" spans="110:165">
      <c r="DH111" s="40" t="e">
        <f>DJ111+DL111+DM111+DN111+DO111-DP111-DQ111+DR111</f>
        <v>#VALUE!</v>
      </c>
      <c r="DI111" s="42" t="e">
        <f>DU111+DX111+EA111+ED111+EE111+EF111</f>
        <v>#VALUE!</v>
      </c>
      <c r="DJ111" s="38" t="e">
        <f>VLOOKUP(DJ110*1, FK$2:FM$12, 3, TRUE)*FM$1</f>
        <v>#VALUE!</v>
      </c>
      <c r="DL111" s="38" t="e">
        <f>VLOOKUP(DL110*1, FN$2:FP$12, 3, TRUE)*FP$1</f>
        <v>#VALUE!</v>
      </c>
      <c r="DM111" s="38" t="e">
        <f>VLOOKUP(DM110*1, FQ$2:FS$12, 3, TRUE)*FS$1</f>
        <v>#VALUE!</v>
      </c>
      <c r="DN111" s="38" t="e">
        <f>VLOOKUP(DN110*1, FT$2:FV$12, 3, TRUE)*FV$1</f>
        <v>#VALUE!</v>
      </c>
      <c r="DO111" s="38" t="e">
        <f>VLOOKUP(DO110*1, FW$2:FY$12, 3, TRUE)*FY$1</f>
        <v>#VALUE!</v>
      </c>
      <c r="DP111" s="39" t="e">
        <f>VLOOKUP(DP110*1, FK$14:FM$25, 3, TRUE)*FM$14</f>
        <v>#VALUE!</v>
      </c>
      <c r="DQ111" s="39" t="e">
        <f>VLOOKUP(DQ110*1, FN$14:FP$25, 3, TRUE)*FP$14</f>
        <v>#VALUE!</v>
      </c>
      <c r="DR111" s="38" t="e">
        <f>VLOOKUP(DR110*1, FQ$14:FS$25, 3, TRUE)*FS$14</f>
        <v>#VALUE!</v>
      </c>
      <c r="DU111" s="41" t="e">
        <f>VLOOKUP(DU110*1, FK$27:FM$38, 3, TRUE)*FM$27</f>
        <v>#VALUE!</v>
      </c>
      <c r="DX111" s="41" t="e">
        <f>VLOOKUP(DX110*1, FN$27:FP$38, 3, TRUE)*FP$27</f>
        <v>#VALUE!</v>
      </c>
      <c r="EA111" s="41" t="e">
        <f>VLOOKUP(EA110*1, FQ$27:FS$38, 3, TRUE)*FS$27</f>
        <v>#VALUE!</v>
      </c>
      <c r="ED111" s="41" t="e">
        <f>VLOOKUP(ED110*1, FT$27:FV$38, 3, TRUE)*FV$27</f>
        <v>#VALUE!</v>
      </c>
      <c r="EE111" s="41" t="e">
        <f>VLOOKUP(EE110*1, FW$27:FY$38, 3, TRUE)*FY$27</f>
        <v>#VALUE!</v>
      </c>
      <c r="EF111" s="41" t="e">
        <f>VLOOKUP(EF110*1, FK$40:FM$51, 3, TRUE)*FM$40</f>
        <v>#VALUE!</v>
      </c>
      <c r="EG111" s="57"/>
      <c r="EK111" s="40" t="e">
        <f>EM111+EO111+EP111+EQ111+ER111-ES111-ET111+EU111</f>
        <v>#VALUE!</v>
      </c>
      <c r="EL111" s="42" t="e">
        <f>EX111+FA111+FD111+FG111+FH111+FI111</f>
        <v>#VALUE!</v>
      </c>
      <c r="EM111" s="38" t="e">
        <f>VLOOKUP(EM110*1, $FK$2:$FM$12, 3, TRUE)*$FM$1</f>
        <v>#VALUE!</v>
      </c>
      <c r="EO111" s="38" t="e">
        <f>VLOOKUP(EO110*1, $FN$2:$FP$12, 3, TRUE)*$FP$1</f>
        <v>#VALUE!</v>
      </c>
      <c r="EP111" s="38" t="e">
        <f>VLOOKUP(EP110*1, $FQ$2:$FS$12, 3, TRUE)*$FS$1</f>
        <v>#VALUE!</v>
      </c>
      <c r="EQ111" s="38" t="e">
        <f>VLOOKUP(EQ110*1, $FT$2:$FV$12, 3, TRUE)*$FV$1</f>
        <v>#VALUE!</v>
      </c>
      <c r="ER111" s="38" t="e">
        <f>VLOOKUP(ER110*1, $FW$2:$FY$12, 3, TRUE)*$FY$1</f>
        <v>#VALUE!</v>
      </c>
      <c r="ES111" s="39" t="e">
        <f>VLOOKUP(ES110*1, $FK$14:$FM$25, 3, TRUE)*$FM$14</f>
        <v>#VALUE!</v>
      </c>
      <c r="ET111" s="39" t="e">
        <f>VLOOKUP(ET110*1, $FN$14:$FP$25, 3, TRUE)*$FP$14</f>
        <v>#VALUE!</v>
      </c>
      <c r="EU111" s="38" t="e">
        <f>VLOOKUP(EU110*1, $FQ$14:$FS$25, 3, TRUE)*$FS$14</f>
        <v>#VALUE!</v>
      </c>
      <c r="EX111" s="41" t="e">
        <f>VLOOKUP(EX110*1, $FK$27:$FM$38, 3, TRUE)*$FM$27</f>
        <v>#VALUE!</v>
      </c>
      <c r="FA111" s="41" t="e">
        <f>VLOOKUP(FA110*1, $FN$27:$FP$38, 3, TRUE)*$FP$27</f>
        <v>#VALUE!</v>
      </c>
      <c r="FD111" s="41" t="e">
        <f>VLOOKUP(FD110*1, $FQ$27:$FS$38, 3, TRUE)*$FS$27</f>
        <v>#VALUE!</v>
      </c>
      <c r="FG111" s="41" t="e">
        <f>VLOOKUP(FG110*1, $FT$27:$FV$38, 3, TRUE)*$FV$27</f>
        <v>#VALUE!</v>
      </c>
      <c r="FH111" s="41" t="e">
        <f>VLOOKUP(FH110*1, $FW$27:$FY$38, 3, TRUE)*$FY$27</f>
        <v>#VALUE!</v>
      </c>
      <c r="FI111" s="41" t="e">
        <f>VLOOKUP(FI110*1, $FK$40:$FM$51, 3, TRUE)*$FM$40</f>
        <v>#VALUE!</v>
      </c>
    </row>
    <row r="112" spans="110:165">
      <c r="DF112" s="37" t="e">
        <f>先發名單!#REF!</f>
        <v>#REF!</v>
      </c>
      <c r="DG112" s="4" t="str">
        <f t="array" ref="DG112">IFERROR(INDEX(球員狀態!$C$2:$C$5000, MATCH(1, (球員狀態!$A$2:$A$5000=$DF$91)*(ISNUMBER(SEARCH($DF112, 球員狀態!$B$2:$B$5000))), 0)), "")</f>
        <v/>
      </c>
      <c r="DJ112" s="4" t="str">
        <f t="array" ref="DJ112">IFERROR(INDEX(球員狀態!$F$2:$F$5000,MATCH(1,(球員狀態!$A$2:$A$5000=$DF$91)*(ISNUMBER(SEARCH($DF112,球員狀態!$B$2:$B$5000))),0)),"")</f>
        <v/>
      </c>
      <c r="DK112" s="4" t="str">
        <f t="array" ref="DK112">IFERROR(INDEX(球員狀態!G$2:G$5000, MATCH(1, (球員狀態!$A$2:$A$5000=$DF$1)*(ISNUMBER(SEARCH($DF112, 球員狀態!$B$2:$B$5000))), 0)), "")</f>
        <v/>
      </c>
      <c r="DL112" s="4" t="str">
        <f t="array" ref="DL112">IFERROR(INDEX(球員狀態!H$2:H$5000, MATCH(1, (球員狀態!$A$2:$A$5000=$DF$91)*(ISNUMBER(SEARCH($DF112, 球員狀態!$B$2:$B$5000))), 0)), "")</f>
        <v/>
      </c>
      <c r="DM112" s="4" t="str">
        <f t="array" ref="DM112">IFERROR(INDEX(球員狀態!I$2:I$5000,MATCH(1,(球員狀態!$A$2:$A$5000=$DF$91)*(ISNUMBER(SEARCH($DF112,球員狀態!$B$2:$B$5000))),0)),"")</f>
        <v/>
      </c>
      <c r="DN112" s="4" t="str">
        <f t="array" ref="DN112">IFERROR(INDEX(球員狀態!J$2:J$5000,MATCH(1,(球員狀態!$A$2:$A$5000=$DF$91)*(ISNUMBER(SEARCH($DF112,球員狀態!$B$2:$B$5000))),0)),"")</f>
        <v/>
      </c>
      <c r="DO112" s="4" t="str">
        <f t="array" ref="DO112">IFERROR(INDEX(球員狀態!K$2:K$5000,MATCH(1,(球員狀態!$A$2:$A$5000=$DF$91)*(ISNUMBER(SEARCH($DF112,球員狀態!$B$2:$B$5000))),0)),"")</f>
        <v/>
      </c>
      <c r="DP112" s="4" t="str">
        <f t="array" ref="DP112">IFERROR(INDEX(球員狀態!L$2:L$5000,MATCH(1,(球員狀態!$A$2:$A$5000=$DF$91)*(ISNUMBER(SEARCH($DF112,球員狀態!$B$2:$B$5000))),0)),"")</f>
        <v/>
      </c>
      <c r="DQ112" s="4" t="str">
        <f t="array" ref="DQ112">IFERROR(INDEX(球員狀態!M$2:M$5000,MATCH(1,(球員狀態!$A$2:$A$5000=$DF$91)*(ISNUMBER(SEARCH($DF112,球員狀態!$B$2:$B$5000))),0)),"")</f>
        <v/>
      </c>
      <c r="DR112" s="4" t="str">
        <f t="array" ref="DR112">IFERROR(INDEX(球員狀態!N$2:N$5000,MATCH(1,(球員狀態!$A$2:$A$5000=$DF$91)*(ISNUMBER(SEARCH($DF112,球員狀態!$B$2:$B$5000))),0)),"")</f>
        <v/>
      </c>
      <c r="DS112" s="4" t="str">
        <f t="array" ref="DS112">IFERROR(INDEX(球員狀態!O$2:O$5000, MATCH(1, (球員狀態!$A$2:$A$5000=$DF$1)*(ISNUMBER(SEARCH($DF112, 球員狀態!$B$2:$B$5000))), 0)), "")</f>
        <v/>
      </c>
      <c r="DT112" s="4" t="str">
        <f t="array" ref="DT112">IFERROR(INDEX(球員狀態!P$2:P$5000, MATCH(1, (球員狀態!$A$2:$A$5000=$DF$1)*(ISNUMBER(SEARCH($DF112, 球員狀態!$B$2:$B$5000))), 0)), "")</f>
        <v/>
      </c>
      <c r="DU112" s="4" t="str">
        <f t="array" ref="DU112">IFERROR(INDEX(球員狀態!Q$2:Q$5000,MATCH(1,(球員狀態!$A$2:$A$5000=$DF$91)*(ISNUMBER(SEARCH($DF112,球員狀態!$B$2:$B$5000))),0)),"")</f>
        <v/>
      </c>
      <c r="DV112" s="4" t="str">
        <f t="array" ref="DV112">IFERROR(INDEX(球員狀態!R$2:R$5000, MATCH(1, (球員狀態!$A$2:$A$5000=$DF$1)*(ISNUMBER(SEARCH($DF112, 球員狀態!$B$2:$B$5000))), 0)), "")</f>
        <v/>
      </c>
      <c r="DW112" s="4" t="str">
        <f t="array" ref="DW112">IFERROR(INDEX(球員狀態!S$2:S$5000, MATCH(1, (球員狀態!$A$2:$A$5000=$DF$1)*(ISNUMBER(SEARCH($DF112, 球員狀態!$B$2:$B$5000))), 0)), "")</f>
        <v/>
      </c>
      <c r="DX112" s="4" t="str">
        <f t="array" ref="DX112">IFERROR(INDEX(球員狀態!T$2:T$5000,MATCH(1,(球員狀態!$A$2:$A$5000=$DF$91)*(ISNUMBER(SEARCH($DF112,球員狀態!$B$2:$B$5000))),0)),"")</f>
        <v/>
      </c>
      <c r="DY112" s="4" t="str">
        <f t="array" ref="DY112">IFERROR(INDEX(球員狀態!U$2:U$5000, MATCH(1, (球員狀態!$A$2:$A$5000=$DF$1)*(ISNUMBER(SEARCH($DF112, 球員狀態!$B$2:$B$5000))), 0)), "")</f>
        <v/>
      </c>
      <c r="DZ112" s="4" t="str">
        <f t="array" ref="DZ112">IFERROR(INDEX(球員狀態!V$2:V$5000, MATCH(1, (球員狀態!$A$2:$A$5000=$DF$1)*(ISNUMBER(SEARCH($DF112, 球員狀態!$B$2:$B$5000))), 0)), "")</f>
        <v/>
      </c>
      <c r="EA112" s="4" t="str">
        <f t="array" ref="EA112">IFERROR(INDEX(球員狀態!W$2:W$5000,MATCH(1,(球員狀態!$A$2:$A$5000=$DF$91)*(ISNUMBER(SEARCH($DF112,球員狀態!$B$2:$B$5000))),0)),"")</f>
        <v/>
      </c>
      <c r="EB112" s="4" t="str">
        <f t="array" ref="EB112">IFERROR(INDEX(球員狀態!X$2:X$5000, MATCH(1, (球員狀態!$A$2:$A$5000=$DF$1)*(ISNUMBER(SEARCH($DF112, 球員狀態!$B$2:$B$5000))), 0)), "")</f>
        <v/>
      </c>
      <c r="EC112" s="4" t="str">
        <f t="array" ref="EC112">IFERROR(INDEX(球員狀態!Y$2:Y$5000, MATCH(1, (球員狀態!$A$2:$A$5000=$DF$1)*(ISNUMBER(SEARCH($DF112, 球員狀態!$B$2:$B$5000))), 0)), "")</f>
        <v/>
      </c>
      <c r="ED112" s="4" t="str">
        <f t="array" ref="ED112">IFERROR(INDEX(球員狀態!Z$2:Z$5000,MATCH(1,(球員狀態!$A$2:$A$5000=$DF$91)*(ISNUMBER(SEARCH($DF112,球員狀態!$B$2:$B$5000))),0)),"")</f>
        <v/>
      </c>
      <c r="EE112" s="4" t="str">
        <f t="array" ref="EE112">IFERROR(INDEX(球員狀態!AA$2:AA$5000,MATCH(1,(球員狀態!$A$2:$A$5000=$DF$91)*(ISNUMBER(SEARCH($DF112,球員狀態!$B$2:$B$5000))),0)),"")</f>
        <v/>
      </c>
      <c r="EF112" s="4" t="str">
        <f t="array" ref="EF112">IFERROR(INDEX(球員狀態!AB$2:AB$5000,MATCH(1,(球員狀態!$A$2:$A$5000=$DF$91)*(ISNUMBER(SEARCH($DF112,球員狀態!$B$2:$B$5000))),0)),"")</f>
        <v/>
      </c>
      <c r="EG112" s="56"/>
      <c r="EI112" s="37">
        <f>先發名單!Y$5</f>
        <v>0</v>
      </c>
      <c r="EJ112" s="4" t="str">
        <f t="array" ref="EJ112">IFERROR(INDEX(球員狀態!C$2:C$5000, MATCH(1, (球員狀態!$A$2:$A$5000=$EI$91)*(ISNUMBER(SEARCH($EI112, 球員狀態!$B$2:$B$5000))), 0)), "")</f>
        <v/>
      </c>
      <c r="EM112" s="4" t="str">
        <f t="array" ref="EM112">IFERROR(INDEX(球員狀態!F$2:F$5000, MATCH(1, (球員狀態!$A$2:$A$5000=$EI$91)*(ISNUMBER(SEARCH($EI112, 球員狀態!$B$2:$B$5000))), 0)), "")</f>
        <v/>
      </c>
      <c r="EN112" s="4" t="str">
        <f t="array" ref="EN112">IFERROR(INDEX(球員狀態!G$2:G$5000, MATCH(1, (球員狀態!$A$2:$A$5000=$EI$1)*(ISNUMBER(SEARCH($EI112, 球員狀態!$B$2:$B$5000))), 0)), "")</f>
        <v/>
      </c>
      <c r="EO112" s="4" t="str">
        <f t="array" ref="EO112">IFERROR(INDEX(球員狀態!H$2:H$5000, MATCH(1, (球員狀態!$A$2:$A$5000=$EI$91)*(ISNUMBER(SEARCH($EI112, 球員狀態!$B$2:$B$5000))), 0)), "")</f>
        <v/>
      </c>
      <c r="EP112" s="4" t="str">
        <f t="array" ref="EP112">IFERROR(INDEX(球員狀態!I$2:I$5000, MATCH(1, (球員狀態!$A$2:$A$5000=$EI$91)*(ISNUMBER(SEARCH($EI112, 球員狀態!$B$2:$B$5000))), 0)), "")</f>
        <v/>
      </c>
      <c r="EQ112" s="4" t="str">
        <f t="array" ref="EQ112">IFERROR(INDEX(球員狀態!J$2:J$5000, MATCH(1, (球員狀態!$A$2:$A$5000=$EI$91)*(ISNUMBER(SEARCH($EI112, 球員狀態!$B$2:$B$5000))), 0)), "")</f>
        <v/>
      </c>
      <c r="ER112" s="4" t="str">
        <f t="array" ref="ER112">IFERROR(INDEX(球員狀態!K$2:K$5000, MATCH(1, (球員狀態!$A$2:$A$5000=$EI$91)*(ISNUMBER(SEARCH($EI112, 球員狀態!$B$2:$B$5000))), 0)), "")</f>
        <v/>
      </c>
      <c r="ES112" s="4" t="str">
        <f t="array" ref="ES112">IFERROR(INDEX(球員狀態!L$2:L$5000, MATCH(1, (球員狀態!$A$2:$A$5000=$EI$91)*(ISNUMBER(SEARCH($EI112, 球員狀態!$B$2:$B$5000))), 0)), "")</f>
        <v/>
      </c>
      <c r="ET112" s="4" t="str">
        <f t="array" ref="ET112">IFERROR(INDEX(球員狀態!M$2:M$5000, MATCH(1, (球員狀態!$A$2:$A$5000=$EI$91)*(ISNUMBER(SEARCH($EI112, 球員狀態!$B$2:$B$5000))), 0)), "")</f>
        <v/>
      </c>
      <c r="EU112" s="4" t="str">
        <f t="array" ref="EU112">IFERROR(INDEX(球員狀態!N$2:N$5000, MATCH(1, (球員狀態!$A$2:$A$5000=$EI$91)*(ISNUMBER(SEARCH($EI112, 球員狀態!$B$2:$B$5000))), 0)), "")</f>
        <v/>
      </c>
      <c r="EV112" s="4" t="str">
        <f t="array" ref="EV112">IFERROR(INDEX(球員狀態!O$2:O$5000, MATCH(1, (球員狀態!$A$2:$A$5000=$EI$1)*(ISNUMBER(SEARCH($EI112, 球員狀態!$B$2:$B$5000))), 0)), "")</f>
        <v/>
      </c>
      <c r="EW112" s="4" t="str">
        <f t="array" ref="EW112">IFERROR(INDEX(球員狀態!P$2:P$5000, MATCH(1, (球員狀態!$A$2:$A$5000=$EI$1)*(ISNUMBER(SEARCH($EI112, 球員狀態!$B$2:$B$5000))), 0)), "")</f>
        <v/>
      </c>
      <c r="EX112" s="4" t="str">
        <f t="array" ref="EX112">IFERROR(INDEX(球員狀態!Q$2:Q$5000, MATCH(1, (球員狀態!$A$2:$A$5000=$EI$91)*(ISNUMBER(SEARCH($EI112, 球員狀態!$B$2:$B$5000))), 0)), "")</f>
        <v/>
      </c>
      <c r="EY112" s="4" t="str">
        <f t="array" ref="EY112">IFERROR(INDEX(球員狀態!R$2:R$5000, MATCH(1, (球員狀態!$A$2:$A$5000=$EI$1)*(ISNUMBER(SEARCH($EI112, 球員狀態!$B$2:$B$5000))), 0)), "")</f>
        <v/>
      </c>
      <c r="EZ112" s="4" t="str">
        <f t="array" ref="EZ112">IFERROR(INDEX(球員狀態!S$2:S$5000, MATCH(1, (球員狀態!$A$2:$A$5000=$EI$1)*(ISNUMBER(SEARCH($EI112, 球員狀態!$B$2:$B$5000))), 0)), "")</f>
        <v/>
      </c>
      <c r="FA112" s="4" t="str">
        <f t="array" ref="FA112">IFERROR(INDEX(球員狀態!T$2:T$5000, MATCH(1, (球員狀態!$A$2:$A$5000=$EI$91)*(ISNUMBER(SEARCH($EI112, 球員狀態!$B$2:$B$5000))), 0)), "")</f>
        <v/>
      </c>
      <c r="FB112" s="4" t="str">
        <f t="array" ref="FB112">IFERROR(INDEX(球員狀態!U$2:U$5000, MATCH(1, (球員狀態!$A$2:$A$5000=$EI$1)*(ISNUMBER(SEARCH($EI112, 球員狀態!$B$2:$B$5000))), 0)), "")</f>
        <v/>
      </c>
      <c r="FC112" s="4" t="str">
        <f t="array" ref="FC112">IFERROR(INDEX(球員狀態!V$2:V$5000, MATCH(1, (球員狀態!$A$2:$A$5000=$EI$1)*(ISNUMBER(SEARCH($EI112, 球員狀態!$B$2:$B$5000))), 0)), "")</f>
        <v/>
      </c>
      <c r="FD112" s="4" t="str">
        <f t="array" ref="FD112">IFERROR(INDEX(球員狀態!W$2:W$5000, MATCH(1, (球員狀態!$A$2:$A$5000=$EI$91)*(ISNUMBER(SEARCH($EI112, 球員狀態!$B$2:$B$5000))), 0)), "")</f>
        <v/>
      </c>
      <c r="FE112" s="4" t="str">
        <f t="array" ref="FE112">IFERROR(INDEX(球員狀態!X$2:X$5000, MATCH(1, (球員狀態!$A$2:$A$5000=$EI$1)*(ISNUMBER(SEARCH($EI112, 球員狀態!$B$2:$B$5000))), 0)), "")</f>
        <v/>
      </c>
      <c r="FF112" s="4" t="str">
        <f t="array" ref="FF112">IFERROR(INDEX(球員狀態!Y$2:Y$5000, MATCH(1, (球員狀態!$A$2:$A$5000=$EI$1)*(ISNUMBER(SEARCH($EI112, 球員狀態!$B$2:$B$5000))), 0)), "")</f>
        <v/>
      </c>
      <c r="FG112" s="4" t="str">
        <f t="array" ref="FG112">IFERROR(INDEX(球員狀態!Z$2:Z$5000, MATCH(1, (球員狀態!$A$2:$A$5000=$EI$91)*(ISNUMBER(SEARCH($EI112, 球員狀態!$B$2:$B$5000))), 0)), "")</f>
        <v/>
      </c>
      <c r="FH112" s="4" t="str">
        <f t="array" ref="FH112">IFERROR(INDEX(球員狀態!AA$2:AA$5000, MATCH(1, (球員狀態!$A$2:$A$5000=$EI$91)*(ISNUMBER(SEARCH($EI112, 球員狀態!$B$2:$B$5000))), 0)), "")</f>
        <v/>
      </c>
      <c r="FI112" s="4" t="str">
        <f t="array" ref="FI112">IFERROR(INDEX(球員狀態!AB$2:AB$5000, MATCH(1, (球員狀態!$A$2:$A$5000=$EI$91)*(ISNUMBER(SEARCH($EI112, 球員狀態!$B$2:$B$5000))), 0)), "")</f>
        <v/>
      </c>
    </row>
    <row r="113" spans="110:165">
      <c r="DH113" s="40" t="e">
        <f>DJ113+DL113+DM113+DN113+DO113-DP113-DQ113+DR113</f>
        <v>#VALUE!</v>
      </c>
      <c r="DI113" s="42" t="e">
        <f>DU113+DX113+EA113+ED113+EE113+EF113</f>
        <v>#VALUE!</v>
      </c>
      <c r="DJ113" s="38" t="e">
        <f>VLOOKUP(DJ112*1, FK$2:FM$12, 3, TRUE)*FM$1</f>
        <v>#VALUE!</v>
      </c>
      <c r="DL113" s="38" t="e">
        <f>VLOOKUP(DL112*1, FN$2:FP$12, 3, TRUE)*FP$1</f>
        <v>#VALUE!</v>
      </c>
      <c r="DM113" s="38" t="e">
        <f>VLOOKUP(DM112*1, FQ$2:FS$12, 3, TRUE)*FS$1</f>
        <v>#VALUE!</v>
      </c>
      <c r="DN113" s="38" t="e">
        <f>VLOOKUP(DN112*1, FT$2:FV$12, 3, TRUE)*FV$1</f>
        <v>#VALUE!</v>
      </c>
      <c r="DO113" s="38" t="e">
        <f>VLOOKUP(DO112*1, FW$2:FY$12, 3, TRUE)*FY$1</f>
        <v>#VALUE!</v>
      </c>
      <c r="DP113" s="39" t="e">
        <f>VLOOKUP(DP112*1, FK$14:FM$25, 3, TRUE)*FM$14</f>
        <v>#VALUE!</v>
      </c>
      <c r="DQ113" s="39" t="e">
        <f>VLOOKUP(DQ112*1, FN$14:FP$25, 3, TRUE)*FP$14</f>
        <v>#VALUE!</v>
      </c>
      <c r="DR113" s="38" t="e">
        <f>VLOOKUP(DR112*1, FQ$14:FS$25, 3, TRUE)*FS$14</f>
        <v>#VALUE!</v>
      </c>
      <c r="DU113" s="41" t="e">
        <f>VLOOKUP(DU112*1, FK$27:FM$38, 3, TRUE)*FM$27</f>
        <v>#VALUE!</v>
      </c>
      <c r="DX113" s="41" t="e">
        <f>VLOOKUP(DX112*1, FN$27:FP$38, 3, TRUE)*FP$27</f>
        <v>#VALUE!</v>
      </c>
      <c r="EA113" s="41" t="e">
        <f>VLOOKUP(EA112*1, FQ$27:FS$38, 3, TRUE)*FS$27</f>
        <v>#VALUE!</v>
      </c>
      <c r="ED113" s="41" t="e">
        <f>VLOOKUP(ED112*1, FT$27:FV$38, 3, TRUE)*FV$27</f>
        <v>#VALUE!</v>
      </c>
      <c r="EE113" s="41" t="e">
        <f>VLOOKUP(EE112*1, FW$27:FY$38, 3, TRUE)*FY$27</f>
        <v>#VALUE!</v>
      </c>
      <c r="EF113" s="41" t="e">
        <f>VLOOKUP(EF112*1, FK$40:FM$51, 3, TRUE)*FM$40</f>
        <v>#VALUE!</v>
      </c>
      <c r="EG113" s="57"/>
      <c r="EK113" s="40" t="e">
        <f>EM113+EO113+EP113+EQ113+ER113-ES113-ET113+EU113</f>
        <v>#VALUE!</v>
      </c>
      <c r="EL113" s="42" t="e">
        <f>EX113+FA113+FD113+FG113+FH113+FI113</f>
        <v>#VALUE!</v>
      </c>
      <c r="EM113" s="38" t="e">
        <f>VLOOKUP(EM112*1, $FK$2:$FM$12, 3, TRUE)*$FM$1</f>
        <v>#VALUE!</v>
      </c>
      <c r="EO113" s="38" t="e">
        <f>VLOOKUP(EO112*1, $FN$2:$FP$12, 3, TRUE)*$FP$1</f>
        <v>#VALUE!</v>
      </c>
      <c r="EP113" s="38" t="e">
        <f>VLOOKUP(EP112*1, $FQ$2:$FS$12, 3, TRUE)*$FS$1</f>
        <v>#VALUE!</v>
      </c>
      <c r="EQ113" s="38" t="e">
        <f>VLOOKUP(EQ112*1, $FT$2:$FV$12, 3, TRUE)*$FV$1</f>
        <v>#VALUE!</v>
      </c>
      <c r="ER113" s="38" t="e">
        <f>VLOOKUP(ER112*1, $FW$2:$FY$12, 3, TRUE)*$FY$1</f>
        <v>#VALUE!</v>
      </c>
      <c r="ES113" s="39" t="e">
        <f>VLOOKUP(ES112*1, $FK$14:$FM$25, 3, TRUE)*$FM$14</f>
        <v>#VALUE!</v>
      </c>
      <c r="ET113" s="39" t="e">
        <f>VLOOKUP(ET112*1, $FN$14:$FP$25, 3, TRUE)*$FP$14</f>
        <v>#VALUE!</v>
      </c>
      <c r="EU113" s="38" t="e">
        <f>VLOOKUP(EU112*1, $FQ$14:$FS$25, 3, TRUE)*$FS$14</f>
        <v>#VALUE!</v>
      </c>
      <c r="EX113" s="41" t="e">
        <f>VLOOKUP(EX112*1, $FK$27:$FM$38, 3, TRUE)*$FM$27</f>
        <v>#VALUE!</v>
      </c>
      <c r="FA113" s="41" t="e">
        <f>VLOOKUP(FA112*1, $FN$27:$FP$38, 3, TRUE)*$FP$27</f>
        <v>#VALUE!</v>
      </c>
      <c r="FD113" s="41" t="e">
        <f>VLOOKUP(FD112*1, $FQ$27:$FS$38, 3, TRUE)*$FS$27</f>
        <v>#VALUE!</v>
      </c>
      <c r="FG113" s="41" t="e">
        <f>VLOOKUP(FG112*1, $FT$27:$FV$38, 3, TRUE)*$FV$27</f>
        <v>#VALUE!</v>
      </c>
      <c r="FH113" s="41" t="e">
        <f>VLOOKUP(FH112*1, $FW$27:$FY$38, 3, TRUE)*$FY$27</f>
        <v>#VALUE!</v>
      </c>
      <c r="FI113" s="41" t="e">
        <f>VLOOKUP(FI112*1, $FK$40:$FM$51, 3, TRUE)*$FM$40</f>
        <v>#VALUE!</v>
      </c>
    </row>
    <row r="114" spans="110:165">
      <c r="DF114" s="37" t="e">
        <f>先發名單!#REF!</f>
        <v>#REF!</v>
      </c>
      <c r="DG114" s="4" t="str">
        <f t="array" ref="DG114">IFERROR(INDEX(球員狀態!$C$2:$C$5000, MATCH(1, (球員狀態!$A$2:$A$5000=$DF$91)*(ISNUMBER(SEARCH($DF114, 球員狀態!$B$2:$B$5000))), 0)), "")</f>
        <v/>
      </c>
      <c r="DJ114" s="4" t="str">
        <f t="array" ref="DJ114">IFERROR(INDEX(球員狀態!$F$2:$F$5000,MATCH(1,(球員狀態!$A$2:$A$5000=$DF$91)*(ISNUMBER(SEARCH($DF114,球員狀態!$B$2:$B$5000))),0)),"")</f>
        <v/>
      </c>
      <c r="DK114" s="4" t="str">
        <f t="array" ref="DK114">IFERROR(INDEX(球員狀態!G$2:G$5000, MATCH(1, (球員狀態!$A$2:$A$5000=$DF$1)*(ISNUMBER(SEARCH($DF114, 球員狀態!$B$2:$B$5000))), 0)), "")</f>
        <v/>
      </c>
      <c r="DL114" s="4" t="str">
        <f t="array" ref="DL114">IFERROR(INDEX(球員狀態!H$2:H$5000, MATCH(1, (球員狀態!$A$2:$A$5000=$DF$91)*(ISNUMBER(SEARCH($DF114, 球員狀態!$B$2:$B$5000))), 0)), "")</f>
        <v/>
      </c>
      <c r="DM114" s="4" t="str">
        <f t="array" ref="DM114">IFERROR(INDEX(球員狀態!I$2:I$5000,MATCH(1,(球員狀態!$A$2:$A$5000=$DF$91)*(ISNUMBER(SEARCH($DF114,球員狀態!$B$2:$B$5000))),0)),"")</f>
        <v/>
      </c>
      <c r="DN114" s="4" t="str">
        <f t="array" ref="DN114">IFERROR(INDEX(球員狀態!J$2:J$5000,MATCH(1,(球員狀態!$A$2:$A$5000=$DF$91)*(ISNUMBER(SEARCH($DF114,球員狀態!$B$2:$B$5000))),0)),"")</f>
        <v/>
      </c>
      <c r="DO114" s="4" t="str">
        <f t="array" ref="DO114">IFERROR(INDEX(球員狀態!K$2:K$5000,MATCH(1,(球員狀態!$A$2:$A$5000=$DF$91)*(ISNUMBER(SEARCH($DF114,球員狀態!$B$2:$B$5000))),0)),"")</f>
        <v/>
      </c>
      <c r="DP114" s="4" t="str">
        <f t="array" ref="DP114">IFERROR(INDEX(球員狀態!L$2:L$5000,MATCH(1,(球員狀態!$A$2:$A$5000=$DF$91)*(ISNUMBER(SEARCH($DF114,球員狀態!$B$2:$B$5000))),0)),"")</f>
        <v/>
      </c>
      <c r="DQ114" s="4" t="str">
        <f t="array" ref="DQ114">IFERROR(INDEX(球員狀態!M$2:M$5000,MATCH(1,(球員狀態!$A$2:$A$5000=$DF$91)*(ISNUMBER(SEARCH($DF114,球員狀態!$B$2:$B$5000))),0)),"")</f>
        <v/>
      </c>
      <c r="DR114" s="4" t="str">
        <f t="array" ref="DR114">IFERROR(INDEX(球員狀態!N$2:N$5000,MATCH(1,(球員狀態!$A$2:$A$5000=$DF$91)*(ISNUMBER(SEARCH($DF114,球員狀態!$B$2:$B$5000))),0)),"")</f>
        <v/>
      </c>
      <c r="DS114" s="4" t="str">
        <f t="array" ref="DS114">IFERROR(INDEX(球員狀態!O$2:O$5000, MATCH(1, (球員狀態!$A$2:$A$5000=$DF$1)*(ISNUMBER(SEARCH($DF114, 球員狀態!$B$2:$B$5000))), 0)), "")</f>
        <v/>
      </c>
      <c r="DT114" s="4" t="str">
        <f t="array" ref="DT114">IFERROR(INDEX(球員狀態!P$2:P$5000, MATCH(1, (球員狀態!$A$2:$A$5000=$DF$1)*(ISNUMBER(SEARCH($DF114, 球員狀態!$B$2:$B$5000))), 0)), "")</f>
        <v/>
      </c>
      <c r="DU114" s="4" t="str">
        <f t="array" ref="DU114">IFERROR(INDEX(球員狀態!Q$2:Q$5000,MATCH(1,(球員狀態!$A$2:$A$5000=$DF$91)*(ISNUMBER(SEARCH($DF114,球員狀態!$B$2:$B$5000))),0)),"")</f>
        <v/>
      </c>
      <c r="DV114" s="4" t="str">
        <f t="array" ref="DV114">IFERROR(INDEX(球員狀態!R$2:R$5000, MATCH(1, (球員狀態!$A$2:$A$5000=$DF$1)*(ISNUMBER(SEARCH($DF114, 球員狀態!$B$2:$B$5000))), 0)), "")</f>
        <v/>
      </c>
      <c r="DW114" s="4" t="str">
        <f t="array" ref="DW114">IFERROR(INDEX(球員狀態!S$2:S$5000, MATCH(1, (球員狀態!$A$2:$A$5000=$DF$1)*(ISNUMBER(SEARCH($DF114, 球員狀態!$B$2:$B$5000))), 0)), "")</f>
        <v/>
      </c>
      <c r="DX114" s="4" t="str">
        <f t="array" ref="DX114">IFERROR(INDEX(球員狀態!T$2:T$5000,MATCH(1,(球員狀態!$A$2:$A$5000=$DF$91)*(ISNUMBER(SEARCH($DF114,球員狀態!$B$2:$B$5000))),0)),"")</f>
        <v/>
      </c>
      <c r="DY114" s="4" t="str">
        <f t="array" ref="DY114">IFERROR(INDEX(球員狀態!U$2:U$5000, MATCH(1, (球員狀態!$A$2:$A$5000=$DF$1)*(ISNUMBER(SEARCH($DF114, 球員狀態!$B$2:$B$5000))), 0)), "")</f>
        <v/>
      </c>
      <c r="DZ114" s="4" t="str">
        <f t="array" ref="DZ114">IFERROR(INDEX(球員狀態!V$2:V$5000, MATCH(1, (球員狀態!$A$2:$A$5000=$DF$1)*(ISNUMBER(SEARCH($DF114, 球員狀態!$B$2:$B$5000))), 0)), "")</f>
        <v/>
      </c>
      <c r="EA114" s="4" t="str">
        <f t="array" ref="EA114">IFERROR(INDEX(球員狀態!W$2:W$5000,MATCH(1,(球員狀態!$A$2:$A$5000=$DF$91)*(ISNUMBER(SEARCH($DF114,球員狀態!$B$2:$B$5000))),0)),"")</f>
        <v/>
      </c>
      <c r="EB114" s="4" t="str">
        <f t="array" ref="EB114">IFERROR(INDEX(球員狀態!X$2:X$5000, MATCH(1, (球員狀態!$A$2:$A$5000=$DF$1)*(ISNUMBER(SEARCH($DF114, 球員狀態!$B$2:$B$5000))), 0)), "")</f>
        <v/>
      </c>
      <c r="EC114" s="4" t="str">
        <f t="array" ref="EC114">IFERROR(INDEX(球員狀態!Y$2:Y$5000, MATCH(1, (球員狀態!$A$2:$A$5000=$DF$1)*(ISNUMBER(SEARCH($DF114, 球員狀態!$B$2:$B$5000))), 0)), "")</f>
        <v/>
      </c>
      <c r="ED114" s="4" t="str">
        <f t="array" ref="ED114">IFERROR(INDEX(球員狀態!Z$2:Z$5000,MATCH(1,(球員狀態!$A$2:$A$5000=$DF$91)*(ISNUMBER(SEARCH($DF114,球員狀態!$B$2:$B$5000))),0)),"")</f>
        <v/>
      </c>
      <c r="EE114" s="4" t="str">
        <f t="array" ref="EE114">IFERROR(INDEX(球員狀態!AA$2:AA$5000,MATCH(1,(球員狀態!$A$2:$A$5000=$DF$91)*(ISNUMBER(SEARCH($DF114,球員狀態!$B$2:$B$5000))),0)),"")</f>
        <v/>
      </c>
      <c r="EF114" s="4" t="str">
        <f t="array" ref="EF114">IFERROR(INDEX(球員狀態!AB$2:AB$5000,MATCH(1,(球員狀態!$A$2:$A$5000=$DF$91)*(ISNUMBER(SEARCH($DF114,球員狀態!$B$2:$B$5000))),0)),"")</f>
        <v/>
      </c>
      <c r="EG114" s="56"/>
      <c r="EI114" s="37">
        <f>先發名單!Z$5</f>
        <v>0</v>
      </c>
      <c r="EJ114" s="4" t="str">
        <f t="array" ref="EJ114">IFERROR(INDEX(球員狀態!C$2:C$5000, MATCH(1, (球員狀態!$A$2:$A$5000=$EI$91)*(ISNUMBER(SEARCH($EI114, 球員狀態!$B$2:$B$5000))), 0)), "")</f>
        <v/>
      </c>
      <c r="EM114" s="4" t="str">
        <f t="array" ref="EM114">IFERROR(INDEX(球員狀態!F$2:F$5000, MATCH(1, (球員狀態!$A$2:$A$5000=$EI$91)*(ISNUMBER(SEARCH($EI114, 球員狀態!$B$2:$B$5000))), 0)), "")</f>
        <v/>
      </c>
      <c r="EN114" s="4" t="str">
        <f t="array" ref="EN114">IFERROR(INDEX(球員狀態!G$2:G$5000, MATCH(1, (球員狀態!$A$2:$A$5000=$EI$1)*(ISNUMBER(SEARCH($EI114, 球員狀態!$B$2:$B$5000))), 0)), "")</f>
        <v/>
      </c>
      <c r="EO114" s="4" t="str">
        <f t="array" ref="EO114">IFERROR(INDEX(球員狀態!H$2:H$5000, MATCH(1, (球員狀態!$A$2:$A$5000=$EI$91)*(ISNUMBER(SEARCH($EI114, 球員狀態!$B$2:$B$5000))), 0)), "")</f>
        <v/>
      </c>
      <c r="EP114" s="4" t="str">
        <f t="array" ref="EP114">IFERROR(INDEX(球員狀態!I$2:I$5000, MATCH(1, (球員狀態!$A$2:$A$5000=$EI$91)*(ISNUMBER(SEARCH($EI114, 球員狀態!$B$2:$B$5000))), 0)), "")</f>
        <v/>
      </c>
      <c r="EQ114" s="4" t="str">
        <f t="array" ref="EQ114">IFERROR(INDEX(球員狀態!J$2:J$5000, MATCH(1, (球員狀態!$A$2:$A$5000=$EI$91)*(ISNUMBER(SEARCH($EI114, 球員狀態!$B$2:$B$5000))), 0)), "")</f>
        <v/>
      </c>
      <c r="ER114" s="4" t="str">
        <f t="array" ref="ER114">IFERROR(INDEX(球員狀態!K$2:K$5000, MATCH(1, (球員狀態!$A$2:$A$5000=$EI$91)*(ISNUMBER(SEARCH($EI114, 球員狀態!$B$2:$B$5000))), 0)), "")</f>
        <v/>
      </c>
      <c r="ES114" s="4" t="str">
        <f t="array" ref="ES114">IFERROR(INDEX(球員狀態!L$2:L$5000, MATCH(1, (球員狀態!$A$2:$A$5000=$EI$91)*(ISNUMBER(SEARCH($EI114, 球員狀態!$B$2:$B$5000))), 0)), "")</f>
        <v/>
      </c>
      <c r="ET114" s="4" t="str">
        <f t="array" ref="ET114">IFERROR(INDEX(球員狀態!M$2:M$5000, MATCH(1, (球員狀態!$A$2:$A$5000=$EI$91)*(ISNUMBER(SEARCH($EI114, 球員狀態!$B$2:$B$5000))), 0)), "")</f>
        <v/>
      </c>
      <c r="EU114" s="4" t="str">
        <f t="array" ref="EU114">IFERROR(INDEX(球員狀態!N$2:N$5000, MATCH(1, (球員狀態!$A$2:$A$5000=$EI$91)*(ISNUMBER(SEARCH($EI114, 球員狀態!$B$2:$B$5000))), 0)), "")</f>
        <v/>
      </c>
      <c r="EV114" s="4" t="str">
        <f t="array" ref="EV114">IFERROR(INDEX(球員狀態!O$2:O$5000, MATCH(1, (球員狀態!$A$2:$A$5000=$EI$1)*(ISNUMBER(SEARCH($EI114, 球員狀態!$B$2:$B$5000))), 0)), "")</f>
        <v/>
      </c>
      <c r="EW114" s="4" t="str">
        <f t="array" ref="EW114">IFERROR(INDEX(球員狀態!P$2:P$5000, MATCH(1, (球員狀態!$A$2:$A$5000=$EI$1)*(ISNUMBER(SEARCH($EI114, 球員狀態!$B$2:$B$5000))), 0)), "")</f>
        <v/>
      </c>
      <c r="EX114" s="4" t="str">
        <f t="array" ref="EX114">IFERROR(INDEX(球員狀態!Q$2:Q$5000, MATCH(1, (球員狀態!$A$2:$A$5000=$EI$91)*(ISNUMBER(SEARCH($EI114, 球員狀態!$B$2:$B$5000))), 0)), "")</f>
        <v/>
      </c>
      <c r="EY114" s="4" t="str">
        <f t="array" ref="EY114">IFERROR(INDEX(球員狀態!R$2:R$5000, MATCH(1, (球員狀態!$A$2:$A$5000=$EI$1)*(ISNUMBER(SEARCH($EI114, 球員狀態!$B$2:$B$5000))), 0)), "")</f>
        <v/>
      </c>
      <c r="EZ114" s="4" t="str">
        <f t="array" ref="EZ114">IFERROR(INDEX(球員狀態!S$2:S$5000, MATCH(1, (球員狀態!$A$2:$A$5000=$EI$1)*(ISNUMBER(SEARCH($EI114, 球員狀態!$B$2:$B$5000))), 0)), "")</f>
        <v/>
      </c>
      <c r="FA114" s="4" t="str">
        <f t="array" ref="FA114">IFERROR(INDEX(球員狀態!T$2:T$5000, MATCH(1, (球員狀態!$A$2:$A$5000=$EI$91)*(ISNUMBER(SEARCH($EI114, 球員狀態!$B$2:$B$5000))), 0)), "")</f>
        <v/>
      </c>
      <c r="FB114" s="4" t="str">
        <f t="array" ref="FB114">IFERROR(INDEX(球員狀態!U$2:U$5000, MATCH(1, (球員狀態!$A$2:$A$5000=$EI$1)*(ISNUMBER(SEARCH($EI114, 球員狀態!$B$2:$B$5000))), 0)), "")</f>
        <v/>
      </c>
      <c r="FC114" s="4" t="str">
        <f t="array" ref="FC114">IFERROR(INDEX(球員狀態!V$2:V$5000, MATCH(1, (球員狀態!$A$2:$A$5000=$EI$1)*(ISNUMBER(SEARCH($EI114, 球員狀態!$B$2:$B$5000))), 0)), "")</f>
        <v/>
      </c>
      <c r="FD114" s="4" t="str">
        <f t="array" ref="FD114">IFERROR(INDEX(球員狀態!W$2:W$5000, MATCH(1, (球員狀態!$A$2:$A$5000=$EI$91)*(ISNUMBER(SEARCH($EI114, 球員狀態!$B$2:$B$5000))), 0)), "")</f>
        <v/>
      </c>
      <c r="FE114" s="4" t="str">
        <f t="array" ref="FE114">IFERROR(INDEX(球員狀態!X$2:X$5000, MATCH(1, (球員狀態!$A$2:$A$5000=$EI$1)*(ISNUMBER(SEARCH($EI114, 球員狀態!$B$2:$B$5000))), 0)), "")</f>
        <v/>
      </c>
      <c r="FF114" s="4" t="str">
        <f t="array" ref="FF114">IFERROR(INDEX(球員狀態!Y$2:Y$5000, MATCH(1, (球員狀態!$A$2:$A$5000=$EI$1)*(ISNUMBER(SEARCH($EI114, 球員狀態!$B$2:$B$5000))), 0)), "")</f>
        <v/>
      </c>
      <c r="FG114" s="4" t="str">
        <f t="array" ref="FG114">IFERROR(INDEX(球員狀態!Z$2:Z$5000, MATCH(1, (球員狀態!$A$2:$A$5000=$EI$91)*(ISNUMBER(SEARCH($EI114, 球員狀態!$B$2:$B$5000))), 0)), "")</f>
        <v/>
      </c>
      <c r="FH114" s="4" t="str">
        <f t="array" ref="FH114">IFERROR(INDEX(球員狀態!AA$2:AA$5000, MATCH(1, (球員狀態!$A$2:$A$5000=$EI$91)*(ISNUMBER(SEARCH($EI114, 球員狀態!$B$2:$B$5000))), 0)), "")</f>
        <v/>
      </c>
      <c r="FI114" s="4" t="str">
        <f t="array" ref="FI114">IFERROR(INDEX(球員狀態!AB$2:AB$5000, MATCH(1, (球員狀態!$A$2:$A$5000=$EI$91)*(ISNUMBER(SEARCH($EI114, 球員狀態!$B$2:$B$5000))), 0)), "")</f>
        <v/>
      </c>
    </row>
    <row r="115" spans="110:165">
      <c r="DH115" s="40" t="e">
        <f>DJ115+DL115+DM115+DN115+DO115-DP115-DQ115+DR115</f>
        <v>#VALUE!</v>
      </c>
      <c r="DI115" s="42" t="e">
        <f>DU115+DX115+EA115+ED115+EE115+EF115</f>
        <v>#VALUE!</v>
      </c>
      <c r="DJ115" s="38" t="e">
        <f>VLOOKUP(DJ114*1, FK$2:FM$12, 3, TRUE)*FM$1</f>
        <v>#VALUE!</v>
      </c>
      <c r="DL115" s="38" t="e">
        <f>VLOOKUP(DL114*1, FN$2:FP$12, 3, TRUE)*FP$1</f>
        <v>#VALUE!</v>
      </c>
      <c r="DM115" s="38" t="e">
        <f>VLOOKUP(DM114*1, FQ$2:FS$12, 3, TRUE)*FS$1</f>
        <v>#VALUE!</v>
      </c>
      <c r="DN115" s="38" t="e">
        <f>VLOOKUP(DN114*1, FT$2:FV$12, 3, TRUE)*FV$1</f>
        <v>#VALUE!</v>
      </c>
      <c r="DO115" s="38" t="e">
        <f>VLOOKUP(DO114*1, FW$2:FY$12, 3, TRUE)*FY$1</f>
        <v>#VALUE!</v>
      </c>
      <c r="DP115" s="39" t="e">
        <f>VLOOKUP(DP114*1, FK$14:FM$25, 3, TRUE)*FM$14</f>
        <v>#VALUE!</v>
      </c>
      <c r="DQ115" s="39" t="e">
        <f>VLOOKUP(DQ114*1, FN$14:FP$25, 3, TRUE)*FP$14</f>
        <v>#VALUE!</v>
      </c>
      <c r="DR115" s="38" t="e">
        <f>VLOOKUP(DR114*1, FQ$14:FS$25, 3, TRUE)*FS$14</f>
        <v>#VALUE!</v>
      </c>
      <c r="DU115" s="41" t="e">
        <f>VLOOKUP(DU114*1, FK$27:FM$38, 3, TRUE)*FM$27</f>
        <v>#VALUE!</v>
      </c>
      <c r="DX115" s="41" t="e">
        <f>VLOOKUP(DX114*1, FN$27:FP$38, 3, TRUE)*FP$27</f>
        <v>#VALUE!</v>
      </c>
      <c r="EA115" s="41" t="e">
        <f>VLOOKUP(EA114*1, FQ$27:FS$38, 3, TRUE)*FS$27</f>
        <v>#VALUE!</v>
      </c>
      <c r="ED115" s="41" t="e">
        <f>VLOOKUP(ED114*1, FT$27:FV$38, 3, TRUE)*FV$27</f>
        <v>#VALUE!</v>
      </c>
      <c r="EE115" s="41" t="e">
        <f>VLOOKUP(EE114*1, FW$27:FY$38, 3, TRUE)*FY$27</f>
        <v>#VALUE!</v>
      </c>
      <c r="EF115" s="41" t="e">
        <f>VLOOKUP(EF114*1, FK$40:FM$51, 3, TRUE)*FM$40</f>
        <v>#VALUE!</v>
      </c>
      <c r="EG115" s="57"/>
      <c r="EK115" s="40" t="e">
        <f>EM115+EO115+EP115+EQ115+ER115-ES115-ET115+EU115</f>
        <v>#VALUE!</v>
      </c>
      <c r="EL115" s="42" t="e">
        <f>EX115+FA115+FD115+FG115+FH115+FI115</f>
        <v>#VALUE!</v>
      </c>
      <c r="EM115" s="38" t="e">
        <f>VLOOKUP(EM114*1, $FK$2:$FM$12, 3, TRUE)*$FM$1</f>
        <v>#VALUE!</v>
      </c>
      <c r="EO115" s="38" t="e">
        <f>VLOOKUP(EO114*1, $FN$2:$FP$12, 3, TRUE)*$FP$1</f>
        <v>#VALUE!</v>
      </c>
      <c r="EP115" s="38" t="e">
        <f>VLOOKUP(EP114*1, $FQ$2:$FS$12, 3, TRUE)*$FS$1</f>
        <v>#VALUE!</v>
      </c>
      <c r="EQ115" s="38" t="e">
        <f>VLOOKUP(EQ114*1, $FT$2:$FV$12, 3, TRUE)*$FV$1</f>
        <v>#VALUE!</v>
      </c>
      <c r="ER115" s="38" t="e">
        <f>VLOOKUP(ER114*1, $FW$2:$FY$12, 3, TRUE)*$FY$1</f>
        <v>#VALUE!</v>
      </c>
      <c r="ES115" s="39" t="e">
        <f>VLOOKUP(ES114*1, $FK$14:$FM$25, 3, TRUE)*$FM$14</f>
        <v>#VALUE!</v>
      </c>
      <c r="ET115" s="39" t="e">
        <f>VLOOKUP(ET114*1, $FN$14:$FP$25, 3, TRUE)*$FP$14</f>
        <v>#VALUE!</v>
      </c>
      <c r="EU115" s="38" t="e">
        <f>VLOOKUP(EU114*1, $FQ$14:$FS$25, 3, TRUE)*$FS$14</f>
        <v>#VALUE!</v>
      </c>
      <c r="EX115" s="41" t="e">
        <f>VLOOKUP(EX114*1, $FK$27:$FM$38, 3, TRUE)*$FM$27</f>
        <v>#VALUE!</v>
      </c>
      <c r="FA115" s="41" t="e">
        <f>VLOOKUP(FA114*1, $FN$27:$FP$38, 3, TRUE)*$FP$27</f>
        <v>#VALUE!</v>
      </c>
      <c r="FD115" s="41" t="e">
        <f>VLOOKUP(FD114*1, $FQ$27:$FS$38, 3, TRUE)*$FS$27</f>
        <v>#VALUE!</v>
      </c>
      <c r="FG115" s="41" t="e">
        <f>VLOOKUP(FG114*1, $FT$27:$FV$38, 3, TRUE)*$FV$27</f>
        <v>#VALUE!</v>
      </c>
      <c r="FH115" s="41" t="e">
        <f>VLOOKUP(FH114*1, $FW$27:$FY$38, 3, TRUE)*$FY$27</f>
        <v>#VALUE!</v>
      </c>
      <c r="FI115" s="41" t="e">
        <f>VLOOKUP(FI114*1, $FK$40:$FM$51, 3, TRUE)*$FM$40</f>
        <v>#VALUE!</v>
      </c>
    </row>
    <row r="116" spans="110:165">
      <c r="DF116" s="37" t="e">
        <f>先發名單!#REF!</f>
        <v>#REF!</v>
      </c>
      <c r="DG116" s="4" t="str">
        <f t="array" ref="DG116">IFERROR(INDEX(球員狀態!$C$2:$C$5000, MATCH(1, (球員狀態!$A$2:$A$5000=$DF$91)*(ISNUMBER(SEARCH($DF116, 球員狀態!$B$2:$B$5000))), 0)), "")</f>
        <v/>
      </c>
      <c r="DJ116" s="4" t="str">
        <f t="array" ref="DJ116">IFERROR(INDEX(球員狀態!$F$2:$F$5000,MATCH(1,(球員狀態!$A$2:$A$5000=$DF$91)*(ISNUMBER(SEARCH($DF116,球員狀態!$B$2:$B$5000))),0)),"")</f>
        <v/>
      </c>
      <c r="DK116" s="4" t="str">
        <f t="array" ref="DK116">IFERROR(INDEX(球員狀態!G$2:G$5000, MATCH(1, (球員狀態!$A$2:$A$5000=$DF$1)*(ISNUMBER(SEARCH($DF116, 球員狀態!$B$2:$B$5000))), 0)), "")</f>
        <v/>
      </c>
      <c r="DL116" s="4" t="str">
        <f t="array" ref="DL116">IFERROR(INDEX(球員狀態!H$2:H$5000, MATCH(1, (球員狀態!$A$2:$A$5000=$DF$91)*(ISNUMBER(SEARCH($DF116, 球員狀態!$B$2:$B$5000))), 0)), "")</f>
        <v/>
      </c>
      <c r="DM116" s="4" t="str">
        <f t="array" ref="DM116">IFERROR(INDEX(球員狀態!I$2:I$5000,MATCH(1,(球員狀態!$A$2:$A$5000=$DF$91)*(ISNUMBER(SEARCH($DF116,球員狀態!$B$2:$B$5000))),0)),"")</f>
        <v/>
      </c>
      <c r="DN116" s="4" t="str">
        <f t="array" ref="DN116">IFERROR(INDEX(球員狀態!J$2:J$5000,MATCH(1,(球員狀態!$A$2:$A$5000=$DF$91)*(ISNUMBER(SEARCH($DF116,球員狀態!$B$2:$B$5000))),0)),"")</f>
        <v/>
      </c>
      <c r="DO116" s="4" t="str">
        <f t="array" ref="DO116">IFERROR(INDEX(球員狀態!K$2:K$5000,MATCH(1,(球員狀態!$A$2:$A$5000=$DF$91)*(ISNUMBER(SEARCH($DF116,球員狀態!$B$2:$B$5000))),0)),"")</f>
        <v/>
      </c>
      <c r="DP116" s="4" t="str">
        <f t="array" ref="DP116">IFERROR(INDEX(球員狀態!L$2:L$5000,MATCH(1,(球員狀態!$A$2:$A$5000=$DF$91)*(ISNUMBER(SEARCH($DF116,球員狀態!$B$2:$B$5000))),0)),"")</f>
        <v/>
      </c>
      <c r="DQ116" s="4" t="str">
        <f t="array" ref="DQ116">IFERROR(INDEX(球員狀態!M$2:M$5000,MATCH(1,(球員狀態!$A$2:$A$5000=$DF$91)*(ISNUMBER(SEARCH($DF116,球員狀態!$B$2:$B$5000))),0)),"")</f>
        <v/>
      </c>
      <c r="DR116" s="4" t="str">
        <f t="array" ref="DR116">IFERROR(INDEX(球員狀態!N$2:N$5000,MATCH(1,(球員狀態!$A$2:$A$5000=$DF$91)*(ISNUMBER(SEARCH($DF116,球員狀態!$B$2:$B$5000))),0)),"")</f>
        <v/>
      </c>
      <c r="DS116" s="4" t="str">
        <f t="array" ref="DS116">IFERROR(INDEX(球員狀態!O$2:O$5000, MATCH(1, (球員狀態!$A$2:$A$5000=$DF$1)*(ISNUMBER(SEARCH($DF116, 球員狀態!$B$2:$B$5000))), 0)), "")</f>
        <v/>
      </c>
      <c r="DT116" s="4" t="str">
        <f t="array" ref="DT116">IFERROR(INDEX(球員狀態!P$2:P$5000, MATCH(1, (球員狀態!$A$2:$A$5000=$DF$1)*(ISNUMBER(SEARCH($DF116, 球員狀態!$B$2:$B$5000))), 0)), "")</f>
        <v/>
      </c>
      <c r="DU116" s="4" t="str">
        <f t="array" ref="DU116">IFERROR(INDEX(球員狀態!Q$2:Q$5000,MATCH(1,(球員狀態!$A$2:$A$5000=$DF$91)*(ISNUMBER(SEARCH($DF116,球員狀態!$B$2:$B$5000))),0)),"")</f>
        <v/>
      </c>
      <c r="DV116" s="4" t="str">
        <f t="array" ref="DV116">IFERROR(INDEX(球員狀態!R$2:R$5000, MATCH(1, (球員狀態!$A$2:$A$5000=$DF$1)*(ISNUMBER(SEARCH($DF116, 球員狀態!$B$2:$B$5000))), 0)), "")</f>
        <v/>
      </c>
      <c r="DW116" s="4" t="str">
        <f t="array" ref="DW116">IFERROR(INDEX(球員狀態!S$2:S$5000, MATCH(1, (球員狀態!$A$2:$A$5000=$DF$1)*(ISNUMBER(SEARCH($DF116, 球員狀態!$B$2:$B$5000))), 0)), "")</f>
        <v/>
      </c>
      <c r="DX116" s="4" t="str">
        <f t="array" ref="DX116">IFERROR(INDEX(球員狀態!T$2:T$5000,MATCH(1,(球員狀態!$A$2:$A$5000=$DF$91)*(ISNUMBER(SEARCH($DF116,球員狀態!$B$2:$B$5000))),0)),"")</f>
        <v/>
      </c>
      <c r="DY116" s="4" t="str">
        <f t="array" ref="DY116">IFERROR(INDEX(球員狀態!U$2:U$5000, MATCH(1, (球員狀態!$A$2:$A$5000=$DF$1)*(ISNUMBER(SEARCH($DF116, 球員狀態!$B$2:$B$5000))), 0)), "")</f>
        <v/>
      </c>
      <c r="DZ116" s="4" t="str">
        <f t="array" ref="DZ116">IFERROR(INDEX(球員狀態!V$2:V$5000, MATCH(1, (球員狀態!$A$2:$A$5000=$DF$1)*(ISNUMBER(SEARCH($DF116, 球員狀態!$B$2:$B$5000))), 0)), "")</f>
        <v/>
      </c>
      <c r="EA116" s="4" t="str">
        <f t="array" ref="EA116">IFERROR(INDEX(球員狀態!W$2:W$5000,MATCH(1,(球員狀態!$A$2:$A$5000=$DF$91)*(ISNUMBER(SEARCH($DF116,球員狀態!$B$2:$B$5000))),0)),"")</f>
        <v/>
      </c>
      <c r="EB116" s="4" t="str">
        <f t="array" ref="EB116">IFERROR(INDEX(球員狀態!X$2:X$5000, MATCH(1, (球員狀態!$A$2:$A$5000=$DF$1)*(ISNUMBER(SEARCH($DF116, 球員狀態!$B$2:$B$5000))), 0)), "")</f>
        <v/>
      </c>
      <c r="EC116" s="4" t="str">
        <f t="array" ref="EC116">IFERROR(INDEX(球員狀態!Y$2:Y$5000, MATCH(1, (球員狀態!$A$2:$A$5000=$DF$1)*(ISNUMBER(SEARCH($DF116, 球員狀態!$B$2:$B$5000))), 0)), "")</f>
        <v/>
      </c>
      <c r="ED116" s="4" t="str">
        <f t="array" ref="ED116">IFERROR(INDEX(球員狀態!Z$2:Z$5000,MATCH(1,(球員狀態!$A$2:$A$5000=$DF$91)*(ISNUMBER(SEARCH($DF116,球員狀態!$B$2:$B$5000))),0)),"")</f>
        <v/>
      </c>
      <c r="EE116" s="4" t="str">
        <f t="array" ref="EE116">IFERROR(INDEX(球員狀態!AA$2:AA$5000,MATCH(1,(球員狀態!$A$2:$A$5000=$DF$91)*(ISNUMBER(SEARCH($DF116,球員狀態!$B$2:$B$5000))),0)),"")</f>
        <v/>
      </c>
      <c r="EF116" s="4" t="str">
        <f t="array" ref="EF116">IFERROR(INDEX(球員狀態!AB$2:AB$5000,MATCH(1,(球員狀態!$A$2:$A$5000=$DF$91)*(ISNUMBER(SEARCH($DF116,球員狀態!$B$2:$B$5000))),0)),"")</f>
        <v/>
      </c>
      <c r="EG116" s="56"/>
      <c r="EI116" s="37">
        <f>先發名單!AA$5</f>
        <v>0</v>
      </c>
      <c r="EJ116" s="4" t="str">
        <f t="array" ref="EJ116">IFERROR(INDEX(球員狀態!C$2:C$5000, MATCH(1, (球員狀態!$A$2:$A$5000=$EI$91)*(ISNUMBER(SEARCH($EI116, 球員狀態!$B$2:$B$5000))), 0)), "")</f>
        <v/>
      </c>
      <c r="EM116" s="4" t="str">
        <f t="array" ref="EM116">IFERROR(INDEX(球員狀態!F$2:F$5000, MATCH(1, (球員狀態!$A$2:$A$5000=$EI$91)*(ISNUMBER(SEARCH($EI116, 球員狀態!$B$2:$B$5000))), 0)), "")</f>
        <v/>
      </c>
      <c r="EN116" s="4" t="str">
        <f t="array" ref="EN116">IFERROR(INDEX(球員狀態!G$2:G$5000, MATCH(1, (球員狀態!$A$2:$A$5000=$EI$1)*(ISNUMBER(SEARCH($EI116, 球員狀態!$B$2:$B$5000))), 0)), "")</f>
        <v/>
      </c>
      <c r="EO116" s="4" t="str">
        <f t="array" ref="EO116">IFERROR(INDEX(球員狀態!H$2:H$5000, MATCH(1, (球員狀態!$A$2:$A$5000=$EI$91)*(ISNUMBER(SEARCH($EI116, 球員狀態!$B$2:$B$5000))), 0)), "")</f>
        <v/>
      </c>
      <c r="EP116" s="4" t="str">
        <f t="array" ref="EP116">IFERROR(INDEX(球員狀態!I$2:I$5000, MATCH(1, (球員狀態!$A$2:$A$5000=$EI$91)*(ISNUMBER(SEARCH($EI116, 球員狀態!$B$2:$B$5000))), 0)), "")</f>
        <v/>
      </c>
      <c r="EQ116" s="4" t="str">
        <f t="array" ref="EQ116">IFERROR(INDEX(球員狀態!J$2:J$5000, MATCH(1, (球員狀態!$A$2:$A$5000=$EI$91)*(ISNUMBER(SEARCH($EI116, 球員狀態!$B$2:$B$5000))), 0)), "")</f>
        <v/>
      </c>
      <c r="ER116" s="4" t="str">
        <f t="array" ref="ER116">IFERROR(INDEX(球員狀態!K$2:K$5000, MATCH(1, (球員狀態!$A$2:$A$5000=$EI$91)*(ISNUMBER(SEARCH($EI116, 球員狀態!$B$2:$B$5000))), 0)), "")</f>
        <v/>
      </c>
      <c r="ES116" s="4" t="str">
        <f t="array" ref="ES116">IFERROR(INDEX(球員狀態!L$2:L$5000, MATCH(1, (球員狀態!$A$2:$A$5000=$EI$91)*(ISNUMBER(SEARCH($EI116, 球員狀態!$B$2:$B$5000))), 0)), "")</f>
        <v/>
      </c>
      <c r="ET116" s="4" t="str">
        <f t="array" ref="ET116">IFERROR(INDEX(球員狀態!M$2:M$5000, MATCH(1, (球員狀態!$A$2:$A$5000=$EI$91)*(ISNUMBER(SEARCH($EI116, 球員狀態!$B$2:$B$5000))), 0)), "")</f>
        <v/>
      </c>
      <c r="EU116" s="4" t="str">
        <f t="array" ref="EU116">IFERROR(INDEX(球員狀態!N$2:N$5000, MATCH(1, (球員狀態!$A$2:$A$5000=$EI$91)*(ISNUMBER(SEARCH($EI116, 球員狀態!$B$2:$B$5000))), 0)), "")</f>
        <v/>
      </c>
      <c r="EV116" s="4" t="str">
        <f t="array" ref="EV116">IFERROR(INDEX(球員狀態!O$2:O$5000, MATCH(1, (球員狀態!$A$2:$A$5000=$EI$1)*(ISNUMBER(SEARCH($EI116, 球員狀態!$B$2:$B$5000))), 0)), "")</f>
        <v/>
      </c>
      <c r="EW116" s="4" t="str">
        <f t="array" ref="EW116">IFERROR(INDEX(球員狀態!P$2:P$5000, MATCH(1, (球員狀態!$A$2:$A$5000=$EI$1)*(ISNUMBER(SEARCH($EI116, 球員狀態!$B$2:$B$5000))), 0)), "")</f>
        <v/>
      </c>
      <c r="EX116" s="4" t="str">
        <f t="array" ref="EX116">IFERROR(INDEX(球員狀態!Q$2:Q$5000, MATCH(1, (球員狀態!$A$2:$A$5000=$EI$91)*(ISNUMBER(SEARCH($EI116, 球員狀態!$B$2:$B$5000))), 0)), "")</f>
        <v/>
      </c>
      <c r="EY116" s="4" t="str">
        <f t="array" ref="EY116">IFERROR(INDEX(球員狀態!R$2:R$5000, MATCH(1, (球員狀態!$A$2:$A$5000=$EI$1)*(ISNUMBER(SEARCH($EI116, 球員狀態!$B$2:$B$5000))), 0)), "")</f>
        <v/>
      </c>
      <c r="EZ116" s="4" t="str">
        <f t="array" ref="EZ116">IFERROR(INDEX(球員狀態!S$2:S$5000, MATCH(1, (球員狀態!$A$2:$A$5000=$EI$1)*(ISNUMBER(SEARCH($EI116, 球員狀態!$B$2:$B$5000))), 0)), "")</f>
        <v/>
      </c>
      <c r="FA116" s="4" t="str">
        <f t="array" ref="FA116">IFERROR(INDEX(球員狀態!T$2:T$5000, MATCH(1, (球員狀態!$A$2:$A$5000=$EI$91)*(ISNUMBER(SEARCH($EI116, 球員狀態!$B$2:$B$5000))), 0)), "")</f>
        <v/>
      </c>
      <c r="FB116" s="4" t="str">
        <f t="array" ref="FB116">IFERROR(INDEX(球員狀態!U$2:U$5000, MATCH(1, (球員狀態!$A$2:$A$5000=$EI$1)*(ISNUMBER(SEARCH($EI116, 球員狀態!$B$2:$B$5000))), 0)), "")</f>
        <v/>
      </c>
      <c r="FC116" s="4" t="str">
        <f t="array" ref="FC116">IFERROR(INDEX(球員狀態!V$2:V$5000, MATCH(1, (球員狀態!$A$2:$A$5000=$EI$1)*(ISNUMBER(SEARCH($EI116, 球員狀態!$B$2:$B$5000))), 0)), "")</f>
        <v/>
      </c>
      <c r="FD116" s="4" t="str">
        <f t="array" ref="FD116">IFERROR(INDEX(球員狀態!W$2:W$5000, MATCH(1, (球員狀態!$A$2:$A$5000=$EI$91)*(ISNUMBER(SEARCH($EI116, 球員狀態!$B$2:$B$5000))), 0)), "")</f>
        <v/>
      </c>
      <c r="FE116" s="4" t="str">
        <f t="array" ref="FE116">IFERROR(INDEX(球員狀態!X$2:X$5000, MATCH(1, (球員狀態!$A$2:$A$5000=$EI$1)*(ISNUMBER(SEARCH($EI116, 球員狀態!$B$2:$B$5000))), 0)), "")</f>
        <v/>
      </c>
      <c r="FF116" s="4" t="str">
        <f t="array" ref="FF116">IFERROR(INDEX(球員狀態!Y$2:Y$5000, MATCH(1, (球員狀態!$A$2:$A$5000=$EI$1)*(ISNUMBER(SEARCH($EI116, 球員狀態!$B$2:$B$5000))), 0)), "")</f>
        <v/>
      </c>
      <c r="FG116" s="4" t="str">
        <f t="array" ref="FG116">IFERROR(INDEX(球員狀態!Z$2:Z$5000, MATCH(1, (球員狀態!$A$2:$A$5000=$EI$91)*(ISNUMBER(SEARCH($EI116, 球員狀態!$B$2:$B$5000))), 0)), "")</f>
        <v/>
      </c>
      <c r="FH116" s="4" t="str">
        <f t="array" ref="FH116">IFERROR(INDEX(球員狀態!AA$2:AA$5000, MATCH(1, (球員狀態!$A$2:$A$5000=$EI$91)*(ISNUMBER(SEARCH($EI116, 球員狀態!$B$2:$B$5000))), 0)), "")</f>
        <v/>
      </c>
      <c r="FI116" s="4" t="str">
        <f t="array" ref="FI116">IFERROR(INDEX(球員狀態!AB$2:AB$5000, MATCH(1, (球員狀態!$A$2:$A$5000=$EI$91)*(ISNUMBER(SEARCH($EI116, 球員狀態!$B$2:$B$5000))), 0)), "")</f>
        <v/>
      </c>
    </row>
    <row r="117" spans="110:165">
      <c r="DH117" s="40" t="e">
        <f>DJ117+DL117+DM117+DN117+DO117-DP117-DQ117+DR117</f>
        <v>#VALUE!</v>
      </c>
      <c r="DI117" s="42" t="e">
        <f>DU117+DX117+EA117+ED117+EE117+EF117</f>
        <v>#VALUE!</v>
      </c>
      <c r="DJ117" s="38" t="e">
        <f>VLOOKUP(DJ116*1, FK$2:FM$12, 3, TRUE)*FM$1</f>
        <v>#VALUE!</v>
      </c>
      <c r="DL117" s="38" t="e">
        <f>VLOOKUP(DL116*1, FN$2:FP$12, 3, TRUE)*FP$1</f>
        <v>#VALUE!</v>
      </c>
      <c r="DM117" s="38" t="e">
        <f>VLOOKUP(DM116*1, FQ$2:FS$12, 3, TRUE)*FS$1</f>
        <v>#VALUE!</v>
      </c>
      <c r="DN117" s="38" t="e">
        <f>VLOOKUP(DN116*1, FT$2:FV$12, 3, TRUE)*FV$1</f>
        <v>#VALUE!</v>
      </c>
      <c r="DO117" s="38" t="e">
        <f>VLOOKUP(DO116*1, FW$2:FY$12, 3, TRUE)*FY$1</f>
        <v>#VALUE!</v>
      </c>
      <c r="DP117" s="39" t="e">
        <f>VLOOKUP(DP116*1, FK$14:FM$25, 3, TRUE)*FM$14</f>
        <v>#VALUE!</v>
      </c>
      <c r="DQ117" s="39" t="e">
        <f>VLOOKUP(DQ116*1, FN$14:FP$25, 3, TRUE)*FP$14</f>
        <v>#VALUE!</v>
      </c>
      <c r="DR117" s="38" t="e">
        <f>VLOOKUP(DR116*1, FQ$14:FS$25, 3, TRUE)*FS$14</f>
        <v>#VALUE!</v>
      </c>
      <c r="DU117" s="41" t="e">
        <f>VLOOKUP(DU116*1, FK$27:FM$38, 3, TRUE)*FM$27</f>
        <v>#VALUE!</v>
      </c>
      <c r="DX117" s="41" t="e">
        <f>VLOOKUP(DX116*1, FN$27:FP$38, 3, TRUE)*FP$27</f>
        <v>#VALUE!</v>
      </c>
      <c r="EA117" s="41" t="e">
        <f>VLOOKUP(EA116*1, FQ$27:FS$38, 3, TRUE)*FS$27</f>
        <v>#VALUE!</v>
      </c>
      <c r="ED117" s="41" t="e">
        <f>VLOOKUP(ED116*1, FT$27:FV$38, 3, TRUE)*FV$27</f>
        <v>#VALUE!</v>
      </c>
      <c r="EE117" s="41" t="e">
        <f>VLOOKUP(EE116*1, FW$27:FY$38, 3, TRUE)*FY$27</f>
        <v>#VALUE!</v>
      </c>
      <c r="EF117" s="41" t="e">
        <f>VLOOKUP(EF116*1, FK$40:FM$51, 3, TRUE)*FM$40</f>
        <v>#VALUE!</v>
      </c>
      <c r="EG117" s="57"/>
      <c r="EK117" s="40" t="e">
        <f>EM117+EO117+EP117+EQ117+ER117-ES117-ET117+EU117</f>
        <v>#VALUE!</v>
      </c>
      <c r="EL117" s="42" t="e">
        <f>EX117+FA117+FD117+FG117+FH117+FI117</f>
        <v>#VALUE!</v>
      </c>
      <c r="EM117" s="38" t="e">
        <f>VLOOKUP(EM116*1, $FK$2:$FM$12, 3, TRUE)*$FM$1</f>
        <v>#VALUE!</v>
      </c>
      <c r="EO117" s="38" t="e">
        <f>VLOOKUP(EO116*1, $FN$2:$FP$12, 3, TRUE)*$FP$1</f>
        <v>#VALUE!</v>
      </c>
      <c r="EP117" s="38" t="e">
        <f>VLOOKUP(EP116*1, $FQ$2:$FS$12, 3, TRUE)*$FS$1</f>
        <v>#VALUE!</v>
      </c>
      <c r="EQ117" s="38" t="e">
        <f>VLOOKUP(EQ116*1, $FT$2:$FV$12, 3, TRUE)*$FV$1</f>
        <v>#VALUE!</v>
      </c>
      <c r="ER117" s="38" t="e">
        <f>VLOOKUP(ER116*1, $FW$2:$FY$12, 3, TRUE)*$FY$1</f>
        <v>#VALUE!</v>
      </c>
      <c r="ES117" s="39" t="e">
        <f>VLOOKUP(ES116*1, $FK$14:$FM$25, 3, TRUE)*$FM$14</f>
        <v>#VALUE!</v>
      </c>
      <c r="ET117" s="39" t="e">
        <f>VLOOKUP(ET116*1, $FN$14:$FP$25, 3, TRUE)*$FP$14</f>
        <v>#VALUE!</v>
      </c>
      <c r="EU117" s="38" t="e">
        <f>VLOOKUP(EU116*1, $FQ$14:$FS$25, 3, TRUE)*$FS$14</f>
        <v>#VALUE!</v>
      </c>
      <c r="EX117" s="41" t="e">
        <f>VLOOKUP(EX116*1, $FK$27:$FM$38, 3, TRUE)*$FM$27</f>
        <v>#VALUE!</v>
      </c>
      <c r="FA117" s="41" t="e">
        <f>VLOOKUP(FA116*1, $FN$27:$FP$38, 3, TRUE)*$FP$27</f>
        <v>#VALUE!</v>
      </c>
      <c r="FD117" s="41" t="e">
        <f>VLOOKUP(FD116*1, $FQ$27:$FS$38, 3, TRUE)*$FS$27</f>
        <v>#VALUE!</v>
      </c>
      <c r="FG117" s="41" t="e">
        <f>VLOOKUP(FG116*1, $FT$27:$FV$38, 3, TRUE)*$FV$27</f>
        <v>#VALUE!</v>
      </c>
      <c r="FH117" s="41" t="e">
        <f>VLOOKUP(FH116*1, $FW$27:$FY$38, 3, TRUE)*$FY$27</f>
        <v>#VALUE!</v>
      </c>
      <c r="FI117" s="41" t="e">
        <f>VLOOKUP(FI116*1, $FK$40:$FM$51, 3, TRUE)*$FM$40</f>
        <v>#VALUE!</v>
      </c>
    </row>
    <row r="118" spans="110:165">
      <c r="DF118" s="82" t="str">
        <f>$DF91&amp;"整體"</f>
        <v>水手整體</v>
      </c>
      <c r="DG118" t="s">
        <v>487</v>
      </c>
      <c r="DH118" t="s">
        <v>488</v>
      </c>
      <c r="DJ118" s="82" t="str">
        <f>$DF91&amp;"先發"</f>
        <v>水手先發</v>
      </c>
      <c r="DK118" s="78"/>
      <c r="DL118" t="s">
        <v>487</v>
      </c>
      <c r="DM118" t="s">
        <v>488</v>
      </c>
      <c r="DO118" s="82" t="str">
        <f>$DF91&amp;"板凳"</f>
        <v>水手板凳</v>
      </c>
      <c r="DP118" s="78"/>
      <c r="DQ118" t="s">
        <v>487</v>
      </c>
      <c r="DR118" t="s">
        <v>488</v>
      </c>
      <c r="EI118" s="82" t="str">
        <f>$EI91&amp;"整體"</f>
        <v>雙城整體</v>
      </c>
      <c r="EJ118" t="s">
        <v>487</v>
      </c>
      <c r="EK118" t="s">
        <v>488</v>
      </c>
      <c r="EM118" s="82" t="str">
        <f>$EI91&amp;"先發"</f>
        <v>雙城先發</v>
      </c>
      <c r="EN118" s="78"/>
      <c r="EO118" t="s">
        <v>487</v>
      </c>
      <c r="EP118" t="s">
        <v>488</v>
      </c>
      <c r="ER118" s="82" t="str">
        <f>$EI91&amp;"板凳"</f>
        <v>雙城板凳</v>
      </c>
      <c r="ES118" s="78"/>
      <c r="ET118" t="s">
        <v>487</v>
      </c>
      <c r="EU118" t="s">
        <v>488</v>
      </c>
    </row>
    <row r="119" spans="110:165">
      <c r="DF119" s="78"/>
      <c r="DG119" s="43" t="e">
        <f>(DH93+DH95+DH97+DH99+DH101+DH103+DH105+DH107+DH109+DH111+DH113+DH115+DH117)/13</f>
        <v>#VALUE!</v>
      </c>
      <c r="DH119" s="43" t="e">
        <f>(DI93+DI95+DI97+DI99+DI101+DI103+DI105+DI107+DI109+DI111+DI113+DI115+DI117)/13</f>
        <v>#VALUE!</v>
      </c>
      <c r="DJ119" s="78"/>
      <c r="DK119" s="78"/>
      <c r="DL119" s="4" t="e">
        <f>(DH93+DH95+DH97+DH99+DH101)/5</f>
        <v>#VALUE!</v>
      </c>
      <c r="DM119" s="4" t="e">
        <f>(DI93+DI95+DI97+DI99+DI101)/5</f>
        <v>#VALUE!</v>
      </c>
      <c r="DO119" s="78"/>
      <c r="DP119" s="78"/>
      <c r="DQ119" s="43" t="e">
        <f>(DH103+DH105+DH107+DH109+DH111+DH113+DH115+DH115+DH117)/8</f>
        <v>#VALUE!</v>
      </c>
      <c r="DR119" s="43" t="e">
        <f>(DI103+DI105+DI107+DI109+DI111+DI113+DI115+DI117)/8</f>
        <v>#VALUE!</v>
      </c>
      <c r="EI119" s="78"/>
      <c r="EJ119" s="43" t="e">
        <f>(EK93+EK95+EK97+EK99+EK101+EK103+EK105+EK107+EK109+EK111+EK113+EK115+EK117)/13</f>
        <v>#VALUE!</v>
      </c>
      <c r="EK119" s="43" t="e">
        <f>(EL93+EL95+EL97+EL99+EL101+EL103+EL105+EL107+EL109+EL111+EL113+EL115+EL117)/13</f>
        <v>#VALUE!</v>
      </c>
      <c r="EM119" s="78"/>
      <c r="EN119" s="78"/>
      <c r="EO119" s="4" t="e">
        <f>(EK93+EK95+EK97+EK99+EK101)/5</f>
        <v>#VALUE!</v>
      </c>
      <c r="EP119" s="4" t="e">
        <f>(EL93+EL95+EL97+EL99+EL101)/5</f>
        <v>#VALUE!</v>
      </c>
      <c r="ER119" s="78"/>
      <c r="ES119" s="78"/>
      <c r="ET119" s="43" t="e">
        <f>(EK103+EK105+EK107+EK109+EK111+EK113+EK115+EK115+EK117)/8</f>
        <v>#VALUE!</v>
      </c>
      <c r="EU119" s="43" t="e">
        <f>(EL103+EL105+EL107+EL109+EL111+EL113+EL115+EL117)/8</f>
        <v>#VALUE!</v>
      </c>
    </row>
    <row r="121" spans="110:165">
      <c r="DF121" s="34" t="str">
        <f>CB18</f>
        <v>天使</v>
      </c>
      <c r="DG121" t="s">
        <v>486</v>
      </c>
      <c r="DH121" s="1" t="s">
        <v>487</v>
      </c>
      <c r="DI121" s="1" t="s">
        <v>488</v>
      </c>
      <c r="DJ121" t="s">
        <v>517</v>
      </c>
      <c r="DK121" t="s">
        <v>554</v>
      </c>
      <c r="DL121" t="s">
        <v>518</v>
      </c>
      <c r="DM121" t="s">
        <v>519</v>
      </c>
      <c r="DN121" t="s">
        <v>520</v>
      </c>
      <c r="DO121" t="s">
        <v>521</v>
      </c>
      <c r="DP121" t="s">
        <v>532</v>
      </c>
      <c r="DQ121" t="s">
        <v>533</v>
      </c>
      <c r="DR121" t="s">
        <v>534</v>
      </c>
      <c r="DS121" t="s">
        <v>555</v>
      </c>
      <c r="DT121" t="s">
        <v>556</v>
      </c>
      <c r="DU121" t="s">
        <v>549</v>
      </c>
      <c r="DV121" t="s">
        <v>557</v>
      </c>
      <c r="DW121" t="s">
        <v>558</v>
      </c>
      <c r="DX121" t="s">
        <v>550</v>
      </c>
      <c r="DY121" t="s">
        <v>559</v>
      </c>
      <c r="DZ121" t="s">
        <v>560</v>
      </c>
      <c r="EA121" t="s">
        <v>551</v>
      </c>
      <c r="EB121" t="s">
        <v>561</v>
      </c>
      <c r="EC121" t="s">
        <v>562</v>
      </c>
      <c r="ED121" t="s">
        <v>552</v>
      </c>
      <c r="EE121" t="s">
        <v>553</v>
      </c>
      <c r="EF121" t="s">
        <v>563</v>
      </c>
      <c r="EH121" s="14"/>
      <c r="EI121" s="34" t="str">
        <f>CB20</f>
        <v>白襪</v>
      </c>
      <c r="EJ121" t="s">
        <v>486</v>
      </c>
      <c r="EK121" s="1" t="s">
        <v>487</v>
      </c>
      <c r="EL121" s="1" t="s">
        <v>488</v>
      </c>
      <c r="EM121" t="s">
        <v>517</v>
      </c>
      <c r="EN121" t="s">
        <v>554</v>
      </c>
      <c r="EO121" t="s">
        <v>518</v>
      </c>
      <c r="EP121" t="s">
        <v>519</v>
      </c>
      <c r="EQ121" t="s">
        <v>520</v>
      </c>
      <c r="ER121" t="s">
        <v>521</v>
      </c>
      <c r="ES121" t="s">
        <v>532</v>
      </c>
      <c r="ET121" t="s">
        <v>533</v>
      </c>
      <c r="EU121" t="s">
        <v>534</v>
      </c>
      <c r="EV121" t="s">
        <v>555</v>
      </c>
      <c r="EW121" t="s">
        <v>556</v>
      </c>
      <c r="EX121" t="s">
        <v>549</v>
      </c>
      <c r="EY121" t="s">
        <v>557</v>
      </c>
      <c r="EZ121" t="s">
        <v>558</v>
      </c>
      <c r="FA121" t="s">
        <v>550</v>
      </c>
      <c r="FB121" t="s">
        <v>559</v>
      </c>
      <c r="FC121" t="s">
        <v>560</v>
      </c>
      <c r="FD121" t="s">
        <v>551</v>
      </c>
      <c r="FE121" t="s">
        <v>561</v>
      </c>
      <c r="FF121" t="s">
        <v>562</v>
      </c>
      <c r="FG121" t="s">
        <v>552</v>
      </c>
      <c r="FH121" t="s">
        <v>553</v>
      </c>
      <c r="FI121" t="s">
        <v>563</v>
      </c>
    </row>
    <row r="122" spans="110:165">
      <c r="DF122" s="35" t="str">
        <f>先發名單!E$6</f>
        <v>Luis Castillo</v>
      </c>
      <c r="DG122" s="4" t="str">
        <f t="array" ref="DG122">IFERROR(INDEX(球員狀態!$C$2:$C$5000, MATCH(1, (球員狀態!$A$2:$A$5000=$DF$121)*(ISNUMBER(SEARCH($DF122, 球員狀態!$B$2:$B$5000))), 0)), "")</f>
        <v/>
      </c>
      <c r="DJ122" s="4" t="str">
        <f t="array" ref="DJ122">IFERROR(INDEX(球員狀態!$F$2:$F$5000,MATCH(1,(球員狀態!$A$2:$A$5000=$DF$121)*(ISNUMBER(SEARCH($DF122,球員狀態!$B$2:$B$5000))),0)),"")</f>
        <v/>
      </c>
      <c r="DK122" s="4" t="str">
        <f t="array" ref="DK122">IFERROR(INDEX(球員狀態!G$2:G$5000, MATCH(1, (球員狀態!$A$2:$A$5000=$DF$1)*(ISNUMBER(SEARCH($DF122, 球員狀態!$B$2:$B$5000))), 0)), "")</f>
        <v/>
      </c>
      <c r="DL122" s="4" t="str">
        <f t="array" ref="DL122">IFERROR(INDEX(球員狀態!H$2:H$5000, MATCH(1, (球員狀態!$A$2:$A$5000=$DF$121)*(ISNUMBER(SEARCH($DF122, 球員狀態!$B$2:$B$5000))), 0)), "")</f>
        <v/>
      </c>
      <c r="DM122" s="4" t="str">
        <f t="array" ref="DM122">IFERROR(INDEX(球員狀態!I$2:I$5000,MATCH(1,(球員狀態!$A$2:$A$5000=$DF$121)*(ISNUMBER(SEARCH($DF122,球員狀態!$B$2:$B$5000))),0)),"")</f>
        <v/>
      </c>
      <c r="DN122" s="4" t="str">
        <f t="array" ref="DN122">IFERROR(INDEX(球員狀態!J$2:J$5000,MATCH(1,(球員狀態!$A$2:$A$5000=$DF$121)*(ISNUMBER(SEARCH($DF122,球員狀態!$B$2:$B$5000))),0)),"")</f>
        <v/>
      </c>
      <c r="DO122" s="4" t="str">
        <f t="array" ref="DO122">IFERROR(INDEX(球員狀態!K$2:K$5000,MATCH(1,(球員狀態!$A$2:$A$5000=$DF$121)*(ISNUMBER(SEARCH($DF122,球員狀態!$B$2:$B$5000))),0)),"")</f>
        <v/>
      </c>
      <c r="DP122" s="4" t="str">
        <f t="array" ref="DP122">IFERROR(INDEX(球員狀態!L$2:L$5000,MATCH(1,(球員狀態!$A$2:$A$5000=$DF$121)*(ISNUMBER(SEARCH($DF122,球員狀態!$B$2:$B$5000))),0)),"")</f>
        <v/>
      </c>
      <c r="DQ122" s="4" t="str">
        <f t="array" ref="DQ122">IFERROR(INDEX(球員狀態!M$2:M$5000,MATCH(1,(球員狀態!$A$2:$A$5000=$DF$121)*(ISNUMBER(SEARCH($DF122,球員狀態!$B$2:$B$5000))),0)),"")</f>
        <v/>
      </c>
      <c r="DR122" s="4" t="str">
        <f t="array" ref="DR122">IFERROR(INDEX(球員狀態!N$2:N$5000,MATCH(1,(球員狀態!$A$2:$A$5000=$DF$121)*(ISNUMBER(SEARCH($DF122,球員狀態!$B$2:$B$5000))),0)),"")</f>
        <v/>
      </c>
      <c r="DS122" s="4" t="str">
        <f t="array" ref="DS122">IFERROR(INDEX(球員狀態!O$2:O$5000, MATCH(1, (球員狀態!$A$2:$A$5000=$DF$1)*(ISNUMBER(SEARCH($DF122, 球員狀態!$B$2:$B$5000))), 0)), "")</f>
        <v/>
      </c>
      <c r="DT122" s="4" t="str">
        <f t="array" ref="DT122">IFERROR(INDEX(球員狀態!P$2:P$5000, MATCH(1, (球員狀態!$A$2:$A$5000=$DF$1)*(ISNUMBER(SEARCH($DF122, 球員狀態!$B$2:$B$5000))), 0)), "")</f>
        <v/>
      </c>
      <c r="DU122" s="4" t="str">
        <f t="array" ref="DU122">IFERROR(INDEX(球員狀態!Q$2:Q$5000,MATCH(1,(球員狀態!$A$2:$A$5000=$DF$121)*(ISNUMBER(SEARCH($DF122,球員狀態!$B$2:$B$5000))),0)),"")</f>
        <v/>
      </c>
      <c r="DV122" s="4" t="str">
        <f t="array" ref="DV122">IFERROR(INDEX(球員狀態!R$2:R$5000, MATCH(1, (球員狀態!$A$2:$A$5000=$DF$1)*(ISNUMBER(SEARCH($DF122, 球員狀態!$B$2:$B$5000))), 0)), "")</f>
        <v/>
      </c>
      <c r="DW122" s="4" t="str">
        <f t="array" ref="DW122">IFERROR(INDEX(球員狀態!S$2:S$5000, MATCH(1, (球員狀態!$A$2:$A$5000=$DF$1)*(ISNUMBER(SEARCH($DF122, 球員狀態!$B$2:$B$5000))), 0)), "")</f>
        <v/>
      </c>
      <c r="DX122" s="4" t="str">
        <f t="array" ref="DX122">IFERROR(INDEX(球員狀態!T$2:T$5000,MATCH(1,(球員狀態!$A$2:$A$5000=$DF$121)*(ISNUMBER(SEARCH($DF122,球員狀態!$B$2:$B$5000))),0)),"")</f>
        <v/>
      </c>
      <c r="DY122" s="4" t="str">
        <f t="array" ref="DY122">IFERROR(INDEX(球員狀態!U$2:U$5000, MATCH(1, (球員狀態!$A$2:$A$5000=$DF$1)*(ISNUMBER(SEARCH($DF122, 球員狀態!$B$2:$B$5000))), 0)), "")</f>
        <v/>
      </c>
      <c r="DZ122" s="4" t="str">
        <f t="array" ref="DZ122">IFERROR(INDEX(球員狀態!V$2:V$5000, MATCH(1, (球員狀態!$A$2:$A$5000=$DF$1)*(ISNUMBER(SEARCH($DF122, 球員狀態!$B$2:$B$5000))), 0)), "")</f>
        <v/>
      </c>
      <c r="EA122" s="4" t="str">
        <f t="array" ref="EA122">IFERROR(INDEX(球員狀態!W$2:W$5000,MATCH(1,(球員狀態!$A$2:$A$5000=$DF$121)*(ISNUMBER(SEARCH($DF122,球員狀態!$B$2:$B$5000))),0)),"")</f>
        <v/>
      </c>
      <c r="EB122" s="4" t="str">
        <f t="array" ref="EB122">IFERROR(INDEX(球員狀態!X$2:X$5000, MATCH(1, (球員狀態!$A$2:$A$5000=$DF$1)*(ISNUMBER(SEARCH($DF122, 球員狀態!$B$2:$B$5000))), 0)), "")</f>
        <v/>
      </c>
      <c r="EC122" s="4" t="str">
        <f t="array" ref="EC122">IFERROR(INDEX(球員狀態!Y$2:Y$5000, MATCH(1, (球員狀態!$A$2:$A$5000=$DF$1)*(ISNUMBER(SEARCH($DF122, 球員狀態!$B$2:$B$5000))), 0)), "")</f>
        <v/>
      </c>
      <c r="ED122" s="4" t="str">
        <f t="array" ref="ED122">IFERROR(INDEX(球員狀態!Z$2:Z$5000,MATCH(1,(球員狀態!$A$2:$A$5000=$DF$121)*(ISNUMBER(SEARCH($DF122,球員狀態!$B$2:$B$5000))),0)),"")</f>
        <v/>
      </c>
      <c r="EE122" s="4" t="str">
        <f t="array" ref="EE122">IFERROR(INDEX(球員狀態!AA$2:AA$5000,MATCH(1,(球員狀態!$A$2:$A$5000=$DF$121)*(ISNUMBER(SEARCH($DF122,球員狀態!$B$2:$B$5000))),0)),"")</f>
        <v/>
      </c>
      <c r="EF122" s="4" t="str">
        <f t="array" ref="EF122">IFERROR(INDEX(球員狀態!AB$2:AB$5000,MATCH(1,(球員狀態!$A$2:$A$5000=$DF$121)*(ISNUMBER(SEARCH($DF122,球員狀態!$B$2:$B$5000))),0)),"")</f>
        <v/>
      </c>
      <c r="EG122" s="56"/>
      <c r="EI122" s="35" t="str">
        <f>先發名單!O$6</f>
        <v>Leo Rivas</v>
      </c>
      <c r="EJ122" s="4" t="str">
        <f t="array" ref="EJ122">IFERROR(INDEX(球員狀態!C$2:C$5000, MATCH(1, (球員狀態!$A$2:$A$5000=$EI$121)*(ISNUMBER(SEARCH($EI122, 球員狀態!$B$2:$B$5000))), 0)), "")</f>
        <v/>
      </c>
      <c r="EM122" s="4" t="str">
        <f t="array" ref="EM122">IFERROR(INDEX(球員狀態!F$2:F$5000, MATCH(1, (球員狀態!$A$2:$A$5000=$EI$121)*(ISNUMBER(SEARCH($EI122, 球員狀態!$B$2:$B$5000))), 0)), "")</f>
        <v/>
      </c>
      <c r="EN122" s="4" t="str">
        <f t="array" ref="EN122">IFERROR(INDEX(球員狀態!G$2:G$5000, MATCH(1, (球員狀態!$A$2:$A$5000=$EI$1)*(ISNUMBER(SEARCH($EI122, 球員狀態!$B$2:$B$5000))), 0)), "")</f>
        <v/>
      </c>
      <c r="EO122" s="4" t="str">
        <f t="array" ref="EO122">IFERROR(INDEX(球員狀態!H$2:H$5000, MATCH(1, (球員狀態!$A$2:$A$5000=$EI$121)*(ISNUMBER(SEARCH($EI122, 球員狀態!$B$2:$B$5000))), 0)), "")</f>
        <v/>
      </c>
      <c r="EP122" s="4" t="str">
        <f t="array" ref="EP122">IFERROR(INDEX(球員狀態!I$2:I$5000, MATCH(1, (球員狀態!$A$2:$A$5000=$EI$121)*(ISNUMBER(SEARCH($EI122, 球員狀態!$B$2:$B$5000))), 0)), "")</f>
        <v/>
      </c>
      <c r="EQ122" s="4" t="str">
        <f t="array" ref="EQ122">IFERROR(INDEX(球員狀態!J$2:J$5000, MATCH(1, (球員狀態!$A$2:$A$5000=$EI$121)*(ISNUMBER(SEARCH($EI122, 球員狀態!$B$2:$B$5000))), 0)), "")</f>
        <v/>
      </c>
      <c r="ER122" s="4" t="str">
        <f t="array" ref="ER122">IFERROR(INDEX(球員狀態!K$2:K$5000, MATCH(1, (球員狀態!$A$2:$A$5000=$EI$121)*(ISNUMBER(SEARCH($EI122, 球員狀態!$B$2:$B$5000))), 0)), "")</f>
        <v/>
      </c>
      <c r="ES122" s="4" t="str">
        <f t="array" ref="ES122">IFERROR(INDEX(球員狀態!L$2:L$5000, MATCH(1, (球員狀態!$A$2:$A$5000=$EI$121)*(ISNUMBER(SEARCH($EI122, 球員狀態!$B$2:$B$5000))), 0)), "")</f>
        <v/>
      </c>
      <c r="ET122" s="4" t="str">
        <f t="array" ref="ET122">IFERROR(INDEX(球員狀態!M$2:M$5000, MATCH(1, (球員狀態!$A$2:$A$5000=$EI$121)*(ISNUMBER(SEARCH($EI122, 球員狀態!$B$2:$B$5000))), 0)), "")</f>
        <v/>
      </c>
      <c r="EU122" s="4" t="str">
        <f t="array" ref="EU122">IFERROR(INDEX(球員狀態!N$2:N$5000, MATCH(1, (球員狀態!$A$2:$A$5000=$EI$121)*(ISNUMBER(SEARCH($EI122, 球員狀態!$B$2:$B$5000))), 0)), "")</f>
        <v/>
      </c>
      <c r="EV122" s="4" t="str">
        <f t="array" ref="EV122">IFERROR(INDEX(球員狀態!O$2:O$5000, MATCH(1, (球員狀態!$A$2:$A$5000=$EI$1)*(ISNUMBER(SEARCH($EI122, 球員狀態!$B$2:$B$5000))), 0)), "")</f>
        <v/>
      </c>
      <c r="EW122" s="4" t="str">
        <f t="array" ref="EW122">IFERROR(INDEX(球員狀態!P$2:P$5000, MATCH(1, (球員狀態!$A$2:$A$5000=$EI$1)*(ISNUMBER(SEARCH($EI122, 球員狀態!$B$2:$B$5000))), 0)), "")</f>
        <v/>
      </c>
      <c r="EX122" s="4" t="str">
        <f t="array" ref="EX122">IFERROR(INDEX(球員狀態!Q$2:Q$5000, MATCH(1, (球員狀態!$A$2:$A$5000=$EI$121)*(ISNUMBER(SEARCH($EI122, 球員狀態!$B$2:$B$5000))), 0)), "")</f>
        <v/>
      </c>
      <c r="EY122" s="4" t="str">
        <f t="array" ref="EY122">IFERROR(INDEX(球員狀態!R$2:R$5000, MATCH(1, (球員狀態!$A$2:$A$5000=$EI$1)*(ISNUMBER(SEARCH($EI122, 球員狀態!$B$2:$B$5000))), 0)), "")</f>
        <v/>
      </c>
      <c r="EZ122" s="4" t="str">
        <f t="array" ref="EZ122">IFERROR(INDEX(球員狀態!S$2:S$5000, MATCH(1, (球員狀態!$A$2:$A$5000=$EI$1)*(ISNUMBER(SEARCH($EI122, 球員狀態!$B$2:$B$5000))), 0)), "")</f>
        <v/>
      </c>
      <c r="FA122" s="4" t="str">
        <f t="array" ref="FA122">IFERROR(INDEX(球員狀態!T$2:T$5000, MATCH(1, (球員狀態!$A$2:$A$5000=$EI$121)*(ISNUMBER(SEARCH($EI122, 球員狀態!$B$2:$B$5000))), 0)), "")</f>
        <v/>
      </c>
      <c r="FB122" s="4" t="str">
        <f t="array" ref="FB122">IFERROR(INDEX(球員狀態!U$2:U$5000, MATCH(1, (球員狀態!$A$2:$A$5000=$EI$1)*(ISNUMBER(SEARCH($EI122, 球員狀態!$B$2:$B$5000))), 0)), "")</f>
        <v/>
      </c>
      <c r="FC122" s="4" t="str">
        <f t="array" ref="FC122">IFERROR(INDEX(球員狀態!V$2:V$5000, MATCH(1, (球員狀態!$A$2:$A$5000=$EI$1)*(ISNUMBER(SEARCH($EI122, 球員狀態!$B$2:$B$5000))), 0)), "")</f>
        <v/>
      </c>
      <c r="FD122" s="4" t="str">
        <f t="array" ref="FD122">IFERROR(INDEX(球員狀態!W$2:W$5000, MATCH(1, (球員狀態!$A$2:$A$5000=$EI$121)*(ISNUMBER(SEARCH($EI122, 球員狀態!$B$2:$B$5000))), 0)), "")</f>
        <v/>
      </c>
      <c r="FE122" s="4" t="str">
        <f t="array" ref="FE122">IFERROR(INDEX(球員狀態!X$2:X$5000, MATCH(1, (球員狀態!$A$2:$A$5000=$EI$1)*(ISNUMBER(SEARCH($EI122, 球員狀態!$B$2:$B$5000))), 0)), "")</f>
        <v/>
      </c>
      <c r="FF122" s="4" t="str">
        <f t="array" ref="FF122">IFERROR(INDEX(球員狀態!Y$2:Y$5000, MATCH(1, (球員狀態!$A$2:$A$5000=$EI$1)*(ISNUMBER(SEARCH($EI122, 球員狀態!$B$2:$B$5000))), 0)), "")</f>
        <v/>
      </c>
      <c r="FG122" s="4" t="str">
        <f t="array" ref="FG122">IFERROR(INDEX(球員狀態!Z$2:Z$5000, MATCH(1, (球員狀態!$A$2:$A$5000=$EI$121)*(ISNUMBER(SEARCH($EI122, 球員狀態!$B$2:$B$5000))), 0)), "")</f>
        <v/>
      </c>
      <c r="FH122" s="4" t="str">
        <f t="array" ref="FH122">IFERROR(INDEX(球員狀態!AA$2:AA$5000, MATCH(1, (球員狀態!$A$2:$A$5000=$EI$121)*(ISNUMBER(SEARCH($EI122, 球員狀態!$B$2:$B$5000))), 0)), "")</f>
        <v/>
      </c>
      <c r="FI122" s="4" t="str">
        <f t="array" ref="FI122">IFERROR(INDEX(球員狀態!AB$2:AB$5000, MATCH(1, (球員狀態!$A$2:$A$5000=$EI$121)*(ISNUMBER(SEARCH($EI122, 球員狀態!$B$2:$B$5000))), 0)), "")</f>
        <v/>
      </c>
    </row>
    <row r="123" spans="110:165">
      <c r="DF123" s="36"/>
      <c r="DG123" s="4"/>
      <c r="DH123" s="40" t="e">
        <f>DJ123+DL123+DM123+DN123+DO123-DP123-DQ123+DR123</f>
        <v>#VALUE!</v>
      </c>
      <c r="DI123" s="42" t="e">
        <f>DU123+DX123+EA123+ED123+EE123+EF123</f>
        <v>#VALUE!</v>
      </c>
      <c r="DJ123" s="38" t="e">
        <f>VLOOKUP(DJ122*1, $FK$2:$FM$12, 3, TRUE)*$FM$1</f>
        <v>#VALUE!</v>
      </c>
      <c r="DL123" s="38" t="e">
        <f>VLOOKUP(DL122*1, $FN$2:$FP$12, 3, TRUE)*$FP$1</f>
        <v>#VALUE!</v>
      </c>
      <c r="DM123" s="38" t="e">
        <f>VLOOKUP(DM122*1, $FQ$2:$FS$12, 3, TRUE)*$FS$1</f>
        <v>#VALUE!</v>
      </c>
      <c r="DN123" s="38" t="e">
        <f>VLOOKUP(DN122*1, $FT$2:$FV$12, 3, TRUE)*$FV$1</f>
        <v>#VALUE!</v>
      </c>
      <c r="DO123" s="38" t="e">
        <f>VLOOKUP(DO122*1, $FW$2:$FY$12, 3, TRUE)*$FY$1</f>
        <v>#VALUE!</v>
      </c>
      <c r="DP123" s="39" t="e">
        <f>VLOOKUP(DP122*1, $FK$14:$FM$25, 3, TRUE)*$FM$14</f>
        <v>#VALUE!</v>
      </c>
      <c r="DQ123" s="39" t="e">
        <f>VLOOKUP(DQ122*1, $FN$14:$FP$25, 3, TRUE)*$FP$14</f>
        <v>#VALUE!</v>
      </c>
      <c r="DR123" s="38" t="e">
        <f>VLOOKUP(DR122*1, $FQ$14:$FS$25, 3, TRUE)*$FS$14</f>
        <v>#VALUE!</v>
      </c>
      <c r="DU123" s="41" t="e">
        <f>VLOOKUP(DU122*1, $FK$27:$FM$38, 3, TRUE)*$FM$27</f>
        <v>#VALUE!</v>
      </c>
      <c r="DX123" s="41" t="e">
        <f>VLOOKUP(DX122*1, $FN$27:$FP$38, 3, TRUE)*$FP$27</f>
        <v>#VALUE!</v>
      </c>
      <c r="EA123" s="41" t="e">
        <f>VLOOKUP(EA122*1, $FQ$27:$FS$38, 3, TRUE)*$FS$27</f>
        <v>#VALUE!</v>
      </c>
      <c r="ED123" s="41" t="e">
        <f>VLOOKUP(ED122*1, $FT$27:$FV$38, 3, TRUE)*$FV$27</f>
        <v>#VALUE!</v>
      </c>
      <c r="EE123" s="41" t="e">
        <f>VLOOKUP(EE122*1, $FW$27:$FY$38, 3, TRUE)*$FY$27</f>
        <v>#VALUE!</v>
      </c>
      <c r="EF123" s="41" t="e">
        <f>VLOOKUP(EF122*1, $FK$40:$FM$51, 3, TRUE)*$FM$40</f>
        <v>#VALUE!</v>
      </c>
      <c r="EG123" s="57"/>
      <c r="EI123" s="36"/>
      <c r="EJ123" s="4"/>
      <c r="EK123" s="40" t="e">
        <f>EM123+EO123+EP123+EQ123+ER123-ES123-ET123+EU123</f>
        <v>#VALUE!</v>
      </c>
      <c r="EL123" s="42" t="e">
        <f>EX123+FA123+FD123+FG123+FH123+FI123</f>
        <v>#VALUE!</v>
      </c>
      <c r="EM123" s="38" t="e">
        <f>VLOOKUP(EM122*1, $FK$2:$FM$12, 3, TRUE)*$FM$1</f>
        <v>#VALUE!</v>
      </c>
      <c r="EO123" s="38" t="e">
        <f>VLOOKUP(EO122*1, $FN$2:$FP$12, 3, TRUE)*$FP$1</f>
        <v>#VALUE!</v>
      </c>
      <c r="EP123" s="38" t="e">
        <f>VLOOKUP(EP122*1, $FQ$2:$FS$12, 3, TRUE)*$FS$1</f>
        <v>#VALUE!</v>
      </c>
      <c r="EQ123" s="38" t="e">
        <f>VLOOKUP(EQ122*1, $FT$2:$FV$12, 3, TRUE)*$FV$1</f>
        <v>#VALUE!</v>
      </c>
      <c r="ER123" s="38" t="e">
        <f>VLOOKUP(ER122*1, $FW$2:$FY$12, 3, TRUE)*$FY$1</f>
        <v>#VALUE!</v>
      </c>
      <c r="ES123" s="39" t="e">
        <f>VLOOKUP(ES122*1, $FK$14:$FM$25, 3, TRUE)*$FM$14</f>
        <v>#VALUE!</v>
      </c>
      <c r="ET123" s="39" t="e">
        <f>VLOOKUP(ET122*1, $FN$14:$FP$25, 3, TRUE)*$FP$14</f>
        <v>#VALUE!</v>
      </c>
      <c r="EU123" s="38" t="e">
        <f>VLOOKUP(EU122*1, $FQ$14:$FS$25, 3, TRUE)*$FS$14</f>
        <v>#VALUE!</v>
      </c>
      <c r="EX123" s="41" t="e">
        <f>VLOOKUP(EX122*1, $FK$27:$FM$38, 3, TRUE)*$FM$27</f>
        <v>#VALUE!</v>
      </c>
      <c r="FA123" s="41" t="e">
        <f>VLOOKUP(FA122*1, $FN$27:$FP$38, 3, TRUE)*$FP$27</f>
        <v>#VALUE!</v>
      </c>
      <c r="FD123" s="41" t="e">
        <f>VLOOKUP(FD122*1, $FQ$27:$FS$38, 3, TRUE)*$FS$27</f>
        <v>#VALUE!</v>
      </c>
      <c r="FG123" s="41" t="e">
        <f>VLOOKUP(FG122*1, $FT$27:$FV$38, 3, TRUE)*$FV$27</f>
        <v>#VALUE!</v>
      </c>
      <c r="FH123" s="41" t="e">
        <f>VLOOKUP(FH122*1, $FW$27:$FY$38, 3, TRUE)*$FY$27</f>
        <v>#VALUE!</v>
      </c>
      <c r="FI123" s="41" t="e">
        <f>VLOOKUP(FI122*1, $FK$40:$FM$51, 3, TRUE)*$FM$40</f>
        <v>#VALUE!</v>
      </c>
    </row>
    <row r="124" spans="110:165">
      <c r="DF124" s="35" t="str">
        <f>先發名單!F6</f>
        <v>Connor Prielipp</v>
      </c>
      <c r="DG124" s="4" t="str">
        <f t="array" ref="DG124">IFERROR(INDEX(球員狀態!$C$2:$C$5000, MATCH(1, (球員狀態!$A$2:$A$5000=$DF$121)*(ISNUMBER(SEARCH($DF124, 球員狀態!$B$2:$B$5000))), 0)), "")</f>
        <v/>
      </c>
      <c r="DJ124" s="4" t="str">
        <f t="array" ref="DJ124">IFERROR(INDEX(球員狀態!$F$2:$F$5000,MATCH(1,(球員狀態!$A$2:$A$5000=$DF$121)*(ISNUMBER(SEARCH($DF124,球員狀態!$B$2:$B$5000))),0)),"")</f>
        <v/>
      </c>
      <c r="DK124" s="4" t="str">
        <f t="array" ref="DK124">IFERROR(INDEX(球員狀態!G$2:G$5000, MATCH(1, (球員狀態!$A$2:$A$5000=$DF$1)*(ISNUMBER(SEARCH($DF124, 球員狀態!$B$2:$B$5000))), 0)), "")</f>
        <v/>
      </c>
      <c r="DL124" s="4" t="str">
        <f t="array" ref="DL124">IFERROR(INDEX(球員狀態!H$2:H$5000, MATCH(1, (球員狀態!$A$2:$A$5000=$DF$121)*(ISNUMBER(SEARCH($DF124, 球員狀態!$B$2:$B$5000))), 0)), "")</f>
        <v/>
      </c>
      <c r="DM124" s="4" t="str">
        <f t="array" ref="DM124">IFERROR(INDEX(球員狀態!I$2:I$5000,MATCH(1,(球員狀態!$A$2:$A$5000=$DF$121)*(ISNUMBER(SEARCH($DF124,球員狀態!$B$2:$B$5000))),0)),"")</f>
        <v/>
      </c>
      <c r="DN124" s="4" t="str">
        <f t="array" ref="DN124">IFERROR(INDEX(球員狀態!J$2:J$5000,MATCH(1,(球員狀態!$A$2:$A$5000=$DF$121)*(ISNUMBER(SEARCH($DF124,球員狀態!$B$2:$B$5000))),0)),"")</f>
        <v/>
      </c>
      <c r="DO124" s="4" t="str">
        <f t="array" ref="DO124">IFERROR(INDEX(球員狀態!K$2:K$5000,MATCH(1,(球員狀態!$A$2:$A$5000=$DF$121)*(ISNUMBER(SEARCH($DF124,球員狀態!$B$2:$B$5000))),0)),"")</f>
        <v/>
      </c>
      <c r="DP124" s="4" t="str">
        <f t="array" ref="DP124">IFERROR(INDEX(球員狀態!L$2:L$5000,MATCH(1,(球員狀態!$A$2:$A$5000=$DF$121)*(ISNUMBER(SEARCH($DF124,球員狀態!$B$2:$B$5000))),0)),"")</f>
        <v/>
      </c>
      <c r="DQ124" s="4" t="str">
        <f t="array" ref="DQ124">IFERROR(INDEX(球員狀態!M$2:M$5000,MATCH(1,(球員狀態!$A$2:$A$5000=$DF$121)*(ISNUMBER(SEARCH($DF124,球員狀態!$B$2:$B$5000))),0)),"")</f>
        <v/>
      </c>
      <c r="DR124" s="4" t="str">
        <f t="array" ref="DR124">IFERROR(INDEX(球員狀態!N$2:N$5000,MATCH(1,(球員狀態!$A$2:$A$5000=$DF$121)*(ISNUMBER(SEARCH($DF124,球員狀態!$B$2:$B$5000))),0)),"")</f>
        <v/>
      </c>
      <c r="DS124" s="4" t="str">
        <f t="array" ref="DS124">IFERROR(INDEX(球員狀態!O$2:O$5000, MATCH(1, (球員狀態!$A$2:$A$5000=$DF$1)*(ISNUMBER(SEARCH($DF124, 球員狀態!$B$2:$B$5000))), 0)), "")</f>
        <v/>
      </c>
      <c r="DT124" s="4" t="str">
        <f t="array" ref="DT124">IFERROR(INDEX(球員狀態!P$2:P$5000, MATCH(1, (球員狀態!$A$2:$A$5000=$DF$1)*(ISNUMBER(SEARCH($DF124, 球員狀態!$B$2:$B$5000))), 0)), "")</f>
        <v/>
      </c>
      <c r="DU124" s="4" t="str">
        <f t="array" ref="DU124">IFERROR(INDEX(球員狀態!Q$2:Q$5000,MATCH(1,(球員狀態!$A$2:$A$5000=$DF$121)*(ISNUMBER(SEARCH($DF124,球員狀態!$B$2:$B$5000))),0)),"")</f>
        <v/>
      </c>
      <c r="DV124" s="4" t="str">
        <f t="array" ref="DV124">IFERROR(INDEX(球員狀態!R$2:R$5000, MATCH(1, (球員狀態!$A$2:$A$5000=$DF$1)*(ISNUMBER(SEARCH($DF124, 球員狀態!$B$2:$B$5000))), 0)), "")</f>
        <v/>
      </c>
      <c r="DW124" s="4" t="str">
        <f t="array" ref="DW124">IFERROR(INDEX(球員狀態!S$2:S$5000, MATCH(1, (球員狀態!$A$2:$A$5000=$DF$1)*(ISNUMBER(SEARCH($DF124, 球員狀態!$B$2:$B$5000))), 0)), "")</f>
        <v/>
      </c>
      <c r="DX124" s="4" t="str">
        <f t="array" ref="DX124">IFERROR(INDEX(球員狀態!T$2:T$5000,MATCH(1,(球員狀態!$A$2:$A$5000=$DF$121)*(ISNUMBER(SEARCH($DF124,球員狀態!$B$2:$B$5000))),0)),"")</f>
        <v/>
      </c>
      <c r="DY124" s="4" t="str">
        <f t="array" ref="DY124">IFERROR(INDEX(球員狀態!U$2:U$5000, MATCH(1, (球員狀態!$A$2:$A$5000=$DF$1)*(ISNUMBER(SEARCH($DF124, 球員狀態!$B$2:$B$5000))), 0)), "")</f>
        <v/>
      </c>
      <c r="DZ124" s="4" t="str">
        <f t="array" ref="DZ124">IFERROR(INDEX(球員狀態!V$2:V$5000, MATCH(1, (球員狀態!$A$2:$A$5000=$DF$1)*(ISNUMBER(SEARCH($DF124, 球員狀態!$B$2:$B$5000))), 0)), "")</f>
        <v/>
      </c>
      <c r="EA124" s="4" t="str">
        <f t="array" ref="EA124">IFERROR(INDEX(球員狀態!W$2:W$5000,MATCH(1,(球員狀態!$A$2:$A$5000=$DF$121)*(ISNUMBER(SEARCH($DF124,球員狀態!$B$2:$B$5000))),0)),"")</f>
        <v/>
      </c>
      <c r="EB124" s="4" t="str">
        <f t="array" ref="EB124">IFERROR(INDEX(球員狀態!X$2:X$5000, MATCH(1, (球員狀態!$A$2:$A$5000=$DF$1)*(ISNUMBER(SEARCH($DF124, 球員狀態!$B$2:$B$5000))), 0)), "")</f>
        <v/>
      </c>
      <c r="EC124" s="4" t="str">
        <f t="array" ref="EC124">IFERROR(INDEX(球員狀態!Y$2:Y$5000, MATCH(1, (球員狀態!$A$2:$A$5000=$DF$1)*(ISNUMBER(SEARCH($DF124, 球員狀態!$B$2:$B$5000))), 0)), "")</f>
        <v/>
      </c>
      <c r="ED124" s="4" t="str">
        <f t="array" ref="ED124">IFERROR(INDEX(球員狀態!Z$2:Z$5000,MATCH(1,(球員狀態!$A$2:$A$5000=$DF$121)*(ISNUMBER(SEARCH($DF124,球員狀態!$B$2:$B$5000))),0)),"")</f>
        <v/>
      </c>
      <c r="EE124" s="4" t="str">
        <f t="array" ref="EE124">IFERROR(INDEX(球員狀態!AA$2:AA$5000,MATCH(1,(球員狀態!$A$2:$A$5000=$DF$121)*(ISNUMBER(SEARCH($DF124,球員狀態!$B$2:$B$5000))),0)),"")</f>
        <v/>
      </c>
      <c r="EF124" s="4" t="str">
        <f t="array" ref="EF124">IFERROR(INDEX(球員狀態!AB$2:AB$5000,MATCH(1,(球員狀態!$A$2:$A$5000=$DF$121)*(ISNUMBER(SEARCH($DF124,球員狀態!$B$2:$B$5000))),0)),"")</f>
        <v/>
      </c>
      <c r="EG124" s="56"/>
      <c r="EI124" s="35" t="str">
        <f>先發名單!P$6</f>
        <v>Byron Buxton</v>
      </c>
      <c r="EJ124" s="4" t="str">
        <f t="array" ref="EJ124">IFERROR(INDEX(球員狀態!C$2:C$5000, MATCH(1, (球員狀態!$A$2:$A$5000=$EI$121)*(ISNUMBER(SEARCH($EI124, 球員狀態!$B$2:$B$5000))), 0)), "")</f>
        <v/>
      </c>
      <c r="EM124" s="4" t="str">
        <f t="array" ref="EM124">IFERROR(INDEX(球員狀態!F$2:F$5000, MATCH(1, (球員狀態!$A$2:$A$5000=$EI$121)*(ISNUMBER(SEARCH($EI124, 球員狀態!$B$2:$B$5000))), 0)), "")</f>
        <v/>
      </c>
      <c r="EN124" s="4" t="str">
        <f t="array" ref="EN124">IFERROR(INDEX(球員狀態!G$2:G$5000, MATCH(1, (球員狀態!$A$2:$A$5000=$EI$1)*(ISNUMBER(SEARCH($EI124, 球員狀態!$B$2:$B$5000))), 0)), "")</f>
        <v/>
      </c>
      <c r="EO124" s="4" t="str">
        <f t="array" ref="EO124">IFERROR(INDEX(球員狀態!H$2:H$5000, MATCH(1, (球員狀態!$A$2:$A$5000=$EI$121)*(ISNUMBER(SEARCH($EI124, 球員狀態!$B$2:$B$5000))), 0)), "")</f>
        <v/>
      </c>
      <c r="EP124" s="4" t="str">
        <f t="array" ref="EP124">IFERROR(INDEX(球員狀態!I$2:I$5000, MATCH(1, (球員狀態!$A$2:$A$5000=$EI$121)*(ISNUMBER(SEARCH($EI124, 球員狀態!$B$2:$B$5000))), 0)), "")</f>
        <v/>
      </c>
      <c r="EQ124" s="4" t="str">
        <f t="array" ref="EQ124">IFERROR(INDEX(球員狀態!J$2:J$5000, MATCH(1, (球員狀態!$A$2:$A$5000=$EI$121)*(ISNUMBER(SEARCH($EI124, 球員狀態!$B$2:$B$5000))), 0)), "")</f>
        <v/>
      </c>
      <c r="ER124" s="4" t="str">
        <f t="array" ref="ER124">IFERROR(INDEX(球員狀態!K$2:K$5000, MATCH(1, (球員狀態!$A$2:$A$5000=$EI$121)*(ISNUMBER(SEARCH($EI124, 球員狀態!$B$2:$B$5000))), 0)), "")</f>
        <v/>
      </c>
      <c r="ES124" s="4" t="str">
        <f t="array" ref="ES124">IFERROR(INDEX(球員狀態!L$2:L$5000, MATCH(1, (球員狀態!$A$2:$A$5000=$EI$121)*(ISNUMBER(SEARCH($EI124, 球員狀態!$B$2:$B$5000))), 0)), "")</f>
        <v/>
      </c>
      <c r="ET124" s="4" t="str">
        <f t="array" ref="ET124">IFERROR(INDEX(球員狀態!M$2:M$5000, MATCH(1, (球員狀態!$A$2:$A$5000=$EI$121)*(ISNUMBER(SEARCH($EI124, 球員狀態!$B$2:$B$5000))), 0)), "")</f>
        <v/>
      </c>
      <c r="EU124" s="4" t="str">
        <f t="array" ref="EU124">IFERROR(INDEX(球員狀態!N$2:N$5000, MATCH(1, (球員狀態!$A$2:$A$5000=$EI$121)*(ISNUMBER(SEARCH($EI124, 球員狀態!$B$2:$B$5000))), 0)), "")</f>
        <v/>
      </c>
      <c r="EV124" s="4" t="str">
        <f t="array" ref="EV124">IFERROR(INDEX(球員狀態!O$2:O$5000, MATCH(1, (球員狀態!$A$2:$A$5000=$EI$1)*(ISNUMBER(SEARCH($EI124, 球員狀態!$B$2:$B$5000))), 0)), "")</f>
        <v/>
      </c>
      <c r="EW124" s="4" t="str">
        <f t="array" ref="EW124">IFERROR(INDEX(球員狀態!P$2:P$5000, MATCH(1, (球員狀態!$A$2:$A$5000=$EI$1)*(ISNUMBER(SEARCH($EI124, 球員狀態!$B$2:$B$5000))), 0)), "")</f>
        <v/>
      </c>
      <c r="EX124" s="4" t="str">
        <f t="array" ref="EX124">IFERROR(INDEX(球員狀態!Q$2:Q$5000, MATCH(1, (球員狀態!$A$2:$A$5000=$EI$121)*(ISNUMBER(SEARCH($EI124, 球員狀態!$B$2:$B$5000))), 0)), "")</f>
        <v/>
      </c>
      <c r="EY124" s="4" t="str">
        <f t="array" ref="EY124">IFERROR(INDEX(球員狀態!R$2:R$5000, MATCH(1, (球員狀態!$A$2:$A$5000=$EI$1)*(ISNUMBER(SEARCH($EI124, 球員狀態!$B$2:$B$5000))), 0)), "")</f>
        <v/>
      </c>
      <c r="EZ124" s="4" t="str">
        <f t="array" ref="EZ124">IFERROR(INDEX(球員狀態!S$2:S$5000, MATCH(1, (球員狀態!$A$2:$A$5000=$EI$1)*(ISNUMBER(SEARCH($EI124, 球員狀態!$B$2:$B$5000))), 0)), "")</f>
        <v/>
      </c>
      <c r="FA124" s="4" t="str">
        <f t="array" ref="FA124">IFERROR(INDEX(球員狀態!T$2:T$5000, MATCH(1, (球員狀態!$A$2:$A$5000=$EI$121)*(ISNUMBER(SEARCH($EI124, 球員狀態!$B$2:$B$5000))), 0)), "")</f>
        <v/>
      </c>
      <c r="FB124" s="4" t="str">
        <f t="array" ref="FB124">IFERROR(INDEX(球員狀態!U$2:U$5000, MATCH(1, (球員狀態!$A$2:$A$5000=$EI$1)*(ISNUMBER(SEARCH($EI124, 球員狀態!$B$2:$B$5000))), 0)), "")</f>
        <v/>
      </c>
      <c r="FC124" s="4" t="str">
        <f t="array" ref="FC124">IFERROR(INDEX(球員狀態!V$2:V$5000, MATCH(1, (球員狀態!$A$2:$A$5000=$EI$1)*(ISNUMBER(SEARCH($EI124, 球員狀態!$B$2:$B$5000))), 0)), "")</f>
        <v/>
      </c>
      <c r="FD124" s="4" t="str">
        <f t="array" ref="FD124">IFERROR(INDEX(球員狀態!W$2:W$5000, MATCH(1, (球員狀態!$A$2:$A$5000=$EI$121)*(ISNUMBER(SEARCH($EI124, 球員狀態!$B$2:$B$5000))), 0)), "")</f>
        <v/>
      </c>
      <c r="FE124" s="4" t="str">
        <f t="array" ref="FE124">IFERROR(INDEX(球員狀態!X$2:X$5000, MATCH(1, (球員狀態!$A$2:$A$5000=$EI$1)*(ISNUMBER(SEARCH($EI124, 球員狀態!$B$2:$B$5000))), 0)), "")</f>
        <v/>
      </c>
      <c r="FF124" s="4" t="str">
        <f t="array" ref="FF124">IFERROR(INDEX(球員狀態!Y$2:Y$5000, MATCH(1, (球員狀態!$A$2:$A$5000=$EI$1)*(ISNUMBER(SEARCH($EI124, 球員狀態!$B$2:$B$5000))), 0)), "")</f>
        <v/>
      </c>
      <c r="FG124" s="4" t="str">
        <f t="array" ref="FG124">IFERROR(INDEX(球員狀態!Z$2:Z$5000, MATCH(1, (球員狀態!$A$2:$A$5000=$EI$121)*(ISNUMBER(SEARCH($EI124, 球員狀態!$B$2:$B$5000))), 0)), "")</f>
        <v/>
      </c>
      <c r="FH124" s="4" t="str">
        <f t="array" ref="FH124">IFERROR(INDEX(球員狀態!AA$2:AA$5000, MATCH(1, (球員狀態!$A$2:$A$5000=$EI$121)*(ISNUMBER(SEARCH($EI124, 球員狀態!$B$2:$B$5000))), 0)), "")</f>
        <v/>
      </c>
      <c r="FI124" s="4" t="str">
        <f t="array" ref="FI124">IFERROR(INDEX(球員狀態!AB$2:AB$5000, MATCH(1, (球員狀態!$A$2:$A$5000=$EI$121)*(ISNUMBER(SEARCH($EI124, 球員狀態!$B$2:$B$5000))), 0)), "")</f>
        <v/>
      </c>
    </row>
    <row r="125" spans="110:165">
      <c r="DF125" s="36"/>
      <c r="DG125" s="4"/>
      <c r="DH125" s="40" t="e">
        <f>DJ125+DL125+DM125+DN125+DO125-DP125-DQ125+DR125</f>
        <v>#VALUE!</v>
      </c>
      <c r="DI125" s="42" t="e">
        <f>DU125+DX125+EA125+ED125+EE125+EF125</f>
        <v>#VALUE!</v>
      </c>
      <c r="DJ125" s="38" t="e">
        <f>VLOOKUP(DJ124*1, FK$2:FM$12, 3, TRUE)*FM$1</f>
        <v>#VALUE!</v>
      </c>
      <c r="DL125" s="38" t="e">
        <f>VLOOKUP(DL124*1, FN$2:FP$12, 3, TRUE)*FP$1</f>
        <v>#VALUE!</v>
      </c>
      <c r="DM125" s="38" t="e">
        <f>VLOOKUP(DM124*1, FQ$2:FS$12, 3, TRUE)*FS$1</f>
        <v>#VALUE!</v>
      </c>
      <c r="DN125" s="38" t="e">
        <f>VLOOKUP(DN124*1, FT$2:FV$12, 3, TRUE)*FV$1</f>
        <v>#VALUE!</v>
      </c>
      <c r="DO125" s="38" t="e">
        <f>VLOOKUP(DO124*1, FW$2:FY$12, 3, TRUE)*FY$1</f>
        <v>#VALUE!</v>
      </c>
      <c r="DP125" s="39" t="e">
        <f>VLOOKUP(DP124*1, FK$14:FM$25, 3, TRUE)*FM$14</f>
        <v>#VALUE!</v>
      </c>
      <c r="DQ125" s="39" t="e">
        <f>VLOOKUP(DQ124*1, FN$14:FP$25, 3, TRUE)*FP$14</f>
        <v>#VALUE!</v>
      </c>
      <c r="DR125" s="38" t="e">
        <f>VLOOKUP(DR124*1, FQ$14:FS$25, 3, TRUE)*FS$14</f>
        <v>#VALUE!</v>
      </c>
      <c r="DU125" s="41" t="e">
        <f>VLOOKUP(DU124*1, FK$27:FM$38, 3, TRUE)*FM$27</f>
        <v>#VALUE!</v>
      </c>
      <c r="DX125" s="41" t="e">
        <f>VLOOKUP(DX124*1, FN$27:FP$38, 3, TRUE)*FP$27</f>
        <v>#VALUE!</v>
      </c>
      <c r="EA125" s="41" t="e">
        <f>VLOOKUP(EA124*1, FQ$27:FS$38, 3, TRUE)*FS$27</f>
        <v>#VALUE!</v>
      </c>
      <c r="ED125" s="41" t="e">
        <f>VLOOKUP(ED124*1, FT$27:FV$38, 3, TRUE)*FV$27</f>
        <v>#VALUE!</v>
      </c>
      <c r="EE125" s="41" t="e">
        <f>VLOOKUP(EE124*1, FW$27:FY$38, 3, TRUE)*FY$27</f>
        <v>#VALUE!</v>
      </c>
      <c r="EF125" s="41" t="e">
        <f>VLOOKUP(EF124*1, FK$40:FM$51, 3, TRUE)*FM$40</f>
        <v>#VALUE!</v>
      </c>
      <c r="EG125" s="57"/>
      <c r="EI125" s="36"/>
      <c r="EJ125" s="4"/>
      <c r="EK125" s="40" t="e">
        <f>EM125+EO125+EP125+EQ125+ER125-ES125-ET125+EU125</f>
        <v>#VALUE!</v>
      </c>
      <c r="EL125" s="42" t="e">
        <f>EX125+FA125+FD125+FG125+FH125+FI125</f>
        <v>#VALUE!</v>
      </c>
      <c r="EM125" s="38" t="e">
        <f>VLOOKUP(EM124*1, $FK$2:$FM$12, 3, TRUE)*$FM$1</f>
        <v>#VALUE!</v>
      </c>
      <c r="EO125" s="38" t="e">
        <f>VLOOKUP(EO124*1, $FN$2:$FP$12, 3, TRUE)*$FP$1</f>
        <v>#VALUE!</v>
      </c>
      <c r="EP125" s="38" t="e">
        <f>VLOOKUP(EP124*1, $FQ$2:$FS$12, 3, TRUE)*$FS$1</f>
        <v>#VALUE!</v>
      </c>
      <c r="EQ125" s="38" t="e">
        <f>VLOOKUP(EQ124*1, $FT$2:$FV$12, 3, TRUE)*$FV$1</f>
        <v>#VALUE!</v>
      </c>
      <c r="ER125" s="38" t="e">
        <f>VLOOKUP(ER124*1, $FW$2:$FY$12, 3, TRUE)*$FY$1</f>
        <v>#VALUE!</v>
      </c>
      <c r="ES125" s="39" t="e">
        <f>VLOOKUP(ES124*1, $FK$14:$FM$25, 3, TRUE)*$FM$14</f>
        <v>#VALUE!</v>
      </c>
      <c r="ET125" s="39" t="e">
        <f>VLOOKUP(ET124*1, $FN$14:$FP$25, 3, TRUE)*$FP$14</f>
        <v>#VALUE!</v>
      </c>
      <c r="EU125" s="38" t="e">
        <f>VLOOKUP(EU124*1, $FQ$14:$FS$25, 3, TRUE)*$FS$14</f>
        <v>#VALUE!</v>
      </c>
      <c r="EX125" s="41" t="e">
        <f>VLOOKUP(EX124*1, $FK$27:$FM$38, 3, TRUE)*$FM$27</f>
        <v>#VALUE!</v>
      </c>
      <c r="FA125" s="41" t="e">
        <f>VLOOKUP(FA124*1, $FN$27:$FP$38, 3, TRUE)*$FP$27</f>
        <v>#VALUE!</v>
      </c>
      <c r="FD125" s="41" t="e">
        <f>VLOOKUP(FD124*1, $FQ$27:$FS$38, 3, TRUE)*$FS$27</f>
        <v>#VALUE!</v>
      </c>
      <c r="FG125" s="41" t="e">
        <f>VLOOKUP(FG124*1, $FT$27:$FV$38, 3, TRUE)*$FV$27</f>
        <v>#VALUE!</v>
      </c>
      <c r="FH125" s="41" t="e">
        <f>VLOOKUP(FH124*1, $FW$27:$FY$38, 3, TRUE)*$FY$27</f>
        <v>#VALUE!</v>
      </c>
      <c r="FI125" s="41" t="e">
        <f>VLOOKUP(FI124*1, $FK$40:$FM$51, 3, TRUE)*$FM$40</f>
        <v>#VALUE!</v>
      </c>
    </row>
    <row r="126" spans="110:165">
      <c r="DF126" s="35" t="str">
        <f>先發名單!G$6</f>
        <v>R. Refsnyder</v>
      </c>
      <c r="DG126" s="4" t="str">
        <f t="array" ref="DG126">IFERROR(INDEX(球員狀態!$C$2:$C$5000, MATCH(1, (球員狀態!$A$2:$A$5000=$DF$121)*(ISNUMBER(SEARCH($DF126, 球員狀態!$B$2:$B$5000))), 0)), "")</f>
        <v/>
      </c>
      <c r="DJ126" s="4" t="str">
        <f t="array" ref="DJ126">IFERROR(INDEX(球員狀態!$F$2:$F$5000,MATCH(1,(球員狀態!$A$2:$A$5000=$DF$121)*(ISNUMBER(SEARCH($DF126,球員狀態!$B$2:$B$5000))),0)),"")</f>
        <v/>
      </c>
      <c r="DK126" s="4" t="str">
        <f t="array" ref="DK126">IFERROR(INDEX(球員狀態!G$2:G$5000, MATCH(1, (球員狀態!$A$2:$A$5000=$DF$1)*(ISNUMBER(SEARCH($DF126, 球員狀態!$B$2:$B$5000))), 0)), "")</f>
        <v/>
      </c>
      <c r="DL126" s="4" t="str">
        <f t="array" ref="DL126">IFERROR(INDEX(球員狀態!H$2:H$5000, MATCH(1, (球員狀態!$A$2:$A$5000=$DF$121)*(ISNUMBER(SEARCH($DF126, 球員狀態!$B$2:$B$5000))), 0)), "")</f>
        <v/>
      </c>
      <c r="DM126" s="4" t="str">
        <f t="array" ref="DM126">IFERROR(INDEX(球員狀態!I$2:I$5000,MATCH(1,(球員狀態!$A$2:$A$5000=$DF$121)*(ISNUMBER(SEARCH($DF126,球員狀態!$B$2:$B$5000))),0)),"")</f>
        <v/>
      </c>
      <c r="DN126" s="4" t="str">
        <f t="array" ref="DN126">IFERROR(INDEX(球員狀態!J$2:J$5000,MATCH(1,(球員狀態!$A$2:$A$5000=$DF$121)*(ISNUMBER(SEARCH($DF126,球員狀態!$B$2:$B$5000))),0)),"")</f>
        <v/>
      </c>
      <c r="DO126" s="4" t="str">
        <f t="array" ref="DO126">IFERROR(INDEX(球員狀態!K$2:K$5000,MATCH(1,(球員狀態!$A$2:$A$5000=$DF$121)*(ISNUMBER(SEARCH($DF126,球員狀態!$B$2:$B$5000))),0)),"")</f>
        <v/>
      </c>
      <c r="DP126" s="4" t="str">
        <f t="array" ref="DP126">IFERROR(INDEX(球員狀態!L$2:L$5000,MATCH(1,(球員狀態!$A$2:$A$5000=$DF$121)*(ISNUMBER(SEARCH($DF126,球員狀態!$B$2:$B$5000))),0)),"")</f>
        <v/>
      </c>
      <c r="DQ126" s="4" t="str">
        <f t="array" ref="DQ126">IFERROR(INDEX(球員狀態!M$2:M$5000,MATCH(1,(球員狀態!$A$2:$A$5000=$DF$121)*(ISNUMBER(SEARCH($DF126,球員狀態!$B$2:$B$5000))),0)),"")</f>
        <v/>
      </c>
      <c r="DR126" s="4" t="str">
        <f t="array" ref="DR126">IFERROR(INDEX(球員狀態!N$2:N$5000,MATCH(1,(球員狀態!$A$2:$A$5000=$DF$121)*(ISNUMBER(SEARCH($DF126,球員狀態!$B$2:$B$5000))),0)),"")</f>
        <v/>
      </c>
      <c r="DS126" s="4" t="str">
        <f t="array" ref="DS126">IFERROR(INDEX(球員狀態!O$2:O$5000, MATCH(1, (球員狀態!$A$2:$A$5000=$DF$1)*(ISNUMBER(SEARCH($DF126, 球員狀態!$B$2:$B$5000))), 0)), "")</f>
        <v/>
      </c>
      <c r="DT126" s="4" t="str">
        <f t="array" ref="DT126">IFERROR(INDEX(球員狀態!P$2:P$5000, MATCH(1, (球員狀態!$A$2:$A$5000=$DF$1)*(ISNUMBER(SEARCH($DF126, 球員狀態!$B$2:$B$5000))), 0)), "")</f>
        <v/>
      </c>
      <c r="DU126" s="4" t="str">
        <f t="array" ref="DU126">IFERROR(INDEX(球員狀態!Q$2:Q$5000,MATCH(1,(球員狀態!$A$2:$A$5000=$DF$121)*(ISNUMBER(SEARCH($DF126,球員狀態!$B$2:$B$5000))),0)),"")</f>
        <v/>
      </c>
      <c r="DV126" s="4" t="str">
        <f t="array" ref="DV126">IFERROR(INDEX(球員狀態!R$2:R$5000, MATCH(1, (球員狀態!$A$2:$A$5000=$DF$1)*(ISNUMBER(SEARCH($DF126, 球員狀態!$B$2:$B$5000))), 0)), "")</f>
        <v/>
      </c>
      <c r="DW126" s="4" t="str">
        <f t="array" ref="DW126">IFERROR(INDEX(球員狀態!S$2:S$5000, MATCH(1, (球員狀態!$A$2:$A$5000=$DF$1)*(ISNUMBER(SEARCH($DF126, 球員狀態!$B$2:$B$5000))), 0)), "")</f>
        <v/>
      </c>
      <c r="DX126" s="4" t="str">
        <f t="array" ref="DX126">IFERROR(INDEX(球員狀態!T$2:T$5000,MATCH(1,(球員狀態!$A$2:$A$5000=$DF$121)*(ISNUMBER(SEARCH($DF126,球員狀態!$B$2:$B$5000))),0)),"")</f>
        <v/>
      </c>
      <c r="DY126" s="4" t="str">
        <f t="array" ref="DY126">IFERROR(INDEX(球員狀態!U$2:U$5000, MATCH(1, (球員狀態!$A$2:$A$5000=$DF$1)*(ISNUMBER(SEARCH($DF126, 球員狀態!$B$2:$B$5000))), 0)), "")</f>
        <v/>
      </c>
      <c r="DZ126" s="4" t="str">
        <f t="array" ref="DZ126">IFERROR(INDEX(球員狀態!V$2:V$5000, MATCH(1, (球員狀態!$A$2:$A$5000=$DF$1)*(ISNUMBER(SEARCH($DF126, 球員狀態!$B$2:$B$5000))), 0)), "")</f>
        <v/>
      </c>
      <c r="EA126" s="4" t="str">
        <f t="array" ref="EA126">IFERROR(INDEX(球員狀態!W$2:W$5000,MATCH(1,(球員狀態!$A$2:$A$5000=$DF$121)*(ISNUMBER(SEARCH($DF126,球員狀態!$B$2:$B$5000))),0)),"")</f>
        <v/>
      </c>
      <c r="EB126" s="4" t="str">
        <f t="array" ref="EB126">IFERROR(INDEX(球員狀態!X$2:X$5000, MATCH(1, (球員狀態!$A$2:$A$5000=$DF$1)*(ISNUMBER(SEARCH($DF126, 球員狀態!$B$2:$B$5000))), 0)), "")</f>
        <v/>
      </c>
      <c r="EC126" s="4" t="str">
        <f t="array" ref="EC126">IFERROR(INDEX(球員狀態!Y$2:Y$5000, MATCH(1, (球員狀態!$A$2:$A$5000=$DF$1)*(ISNUMBER(SEARCH($DF126, 球員狀態!$B$2:$B$5000))), 0)), "")</f>
        <v/>
      </c>
      <c r="ED126" s="4" t="str">
        <f t="array" ref="ED126">IFERROR(INDEX(球員狀態!Z$2:Z$5000,MATCH(1,(球員狀態!$A$2:$A$5000=$DF$121)*(ISNUMBER(SEARCH($DF126,球員狀態!$B$2:$B$5000))),0)),"")</f>
        <v/>
      </c>
      <c r="EE126" s="4" t="str">
        <f t="array" ref="EE126">IFERROR(INDEX(球員狀態!AA$2:AA$5000,MATCH(1,(球員狀態!$A$2:$A$5000=$DF$121)*(ISNUMBER(SEARCH($DF126,球員狀態!$B$2:$B$5000))),0)),"")</f>
        <v/>
      </c>
      <c r="EF126" s="4" t="str">
        <f t="array" ref="EF126">IFERROR(INDEX(球員狀態!AB$2:AB$5000,MATCH(1,(球員狀態!$A$2:$A$5000=$DF$121)*(ISNUMBER(SEARCH($DF126,球員狀態!$B$2:$B$5000))),0)),"")</f>
        <v/>
      </c>
      <c r="EG126" s="56"/>
      <c r="EI126" s="35" t="str">
        <f>先發名單!Q$6</f>
        <v>T. Larnach</v>
      </c>
      <c r="EJ126" s="4" t="str">
        <f t="array" ref="EJ126">IFERROR(INDEX(球員狀態!C$2:C$5000, MATCH(1, (球員狀態!$A$2:$A$5000=$EI$121)*(ISNUMBER(SEARCH($EI126, 球員狀態!$B$2:$B$5000))), 0)), "")</f>
        <v/>
      </c>
      <c r="EM126" s="4" t="str">
        <f t="array" ref="EM126">IFERROR(INDEX(球員狀態!F$2:F$5000, MATCH(1, (球員狀態!$A$2:$A$5000=$EI$121)*(ISNUMBER(SEARCH($EI126, 球員狀態!$B$2:$B$5000))), 0)), "")</f>
        <v/>
      </c>
      <c r="EN126" s="4" t="str">
        <f t="array" ref="EN126">IFERROR(INDEX(球員狀態!G$2:G$5000, MATCH(1, (球員狀態!$A$2:$A$5000=$EI$1)*(ISNUMBER(SEARCH($EI126, 球員狀態!$B$2:$B$5000))), 0)), "")</f>
        <v/>
      </c>
      <c r="EO126" s="4" t="str">
        <f t="array" ref="EO126">IFERROR(INDEX(球員狀態!H$2:H$5000, MATCH(1, (球員狀態!$A$2:$A$5000=$EI$121)*(ISNUMBER(SEARCH($EI126, 球員狀態!$B$2:$B$5000))), 0)), "")</f>
        <v/>
      </c>
      <c r="EP126" s="4" t="str">
        <f t="array" ref="EP126">IFERROR(INDEX(球員狀態!I$2:I$5000, MATCH(1, (球員狀態!$A$2:$A$5000=$EI$121)*(ISNUMBER(SEARCH($EI126, 球員狀態!$B$2:$B$5000))), 0)), "")</f>
        <v/>
      </c>
      <c r="EQ126" s="4" t="str">
        <f t="array" ref="EQ126">IFERROR(INDEX(球員狀態!J$2:J$5000, MATCH(1, (球員狀態!$A$2:$A$5000=$EI$121)*(ISNUMBER(SEARCH($EI126, 球員狀態!$B$2:$B$5000))), 0)), "")</f>
        <v/>
      </c>
      <c r="ER126" s="4" t="str">
        <f t="array" ref="ER126">IFERROR(INDEX(球員狀態!K$2:K$5000, MATCH(1, (球員狀態!$A$2:$A$5000=$EI$121)*(ISNUMBER(SEARCH($EI126, 球員狀態!$B$2:$B$5000))), 0)), "")</f>
        <v/>
      </c>
      <c r="ES126" s="4" t="str">
        <f t="array" ref="ES126">IFERROR(INDEX(球員狀態!L$2:L$5000, MATCH(1, (球員狀態!$A$2:$A$5000=$EI$121)*(ISNUMBER(SEARCH($EI126, 球員狀態!$B$2:$B$5000))), 0)), "")</f>
        <v/>
      </c>
      <c r="ET126" s="4" t="str">
        <f t="array" ref="ET126">IFERROR(INDEX(球員狀態!M$2:M$5000, MATCH(1, (球員狀態!$A$2:$A$5000=$EI$121)*(ISNUMBER(SEARCH($EI126, 球員狀態!$B$2:$B$5000))), 0)), "")</f>
        <v/>
      </c>
      <c r="EU126" s="4" t="str">
        <f t="array" ref="EU126">IFERROR(INDEX(球員狀態!N$2:N$5000, MATCH(1, (球員狀態!$A$2:$A$5000=$EI$121)*(ISNUMBER(SEARCH($EI126, 球員狀態!$B$2:$B$5000))), 0)), "")</f>
        <v/>
      </c>
      <c r="EV126" s="4" t="str">
        <f t="array" ref="EV126">IFERROR(INDEX(球員狀態!O$2:O$5000, MATCH(1, (球員狀態!$A$2:$A$5000=$EI$1)*(ISNUMBER(SEARCH($EI126, 球員狀態!$B$2:$B$5000))), 0)), "")</f>
        <v/>
      </c>
      <c r="EW126" s="4" t="str">
        <f t="array" ref="EW126">IFERROR(INDEX(球員狀態!P$2:P$5000, MATCH(1, (球員狀態!$A$2:$A$5000=$EI$1)*(ISNUMBER(SEARCH($EI126, 球員狀態!$B$2:$B$5000))), 0)), "")</f>
        <v/>
      </c>
      <c r="EX126" s="4" t="str">
        <f t="array" ref="EX126">IFERROR(INDEX(球員狀態!Q$2:Q$5000, MATCH(1, (球員狀態!$A$2:$A$5000=$EI$121)*(ISNUMBER(SEARCH($EI126, 球員狀態!$B$2:$B$5000))), 0)), "")</f>
        <v/>
      </c>
      <c r="EY126" s="4" t="str">
        <f t="array" ref="EY126">IFERROR(INDEX(球員狀態!R$2:R$5000, MATCH(1, (球員狀態!$A$2:$A$5000=$EI$1)*(ISNUMBER(SEARCH($EI126, 球員狀態!$B$2:$B$5000))), 0)), "")</f>
        <v/>
      </c>
      <c r="EZ126" s="4" t="str">
        <f t="array" ref="EZ126">IFERROR(INDEX(球員狀態!S$2:S$5000, MATCH(1, (球員狀態!$A$2:$A$5000=$EI$1)*(ISNUMBER(SEARCH($EI126, 球員狀態!$B$2:$B$5000))), 0)), "")</f>
        <v/>
      </c>
      <c r="FA126" s="4" t="str">
        <f t="array" ref="FA126">IFERROR(INDEX(球員狀態!T$2:T$5000, MATCH(1, (球員狀態!$A$2:$A$5000=$EI$121)*(ISNUMBER(SEARCH($EI126, 球員狀態!$B$2:$B$5000))), 0)), "")</f>
        <v/>
      </c>
      <c r="FB126" s="4" t="str">
        <f t="array" ref="FB126">IFERROR(INDEX(球員狀態!U$2:U$5000, MATCH(1, (球員狀態!$A$2:$A$5000=$EI$1)*(ISNUMBER(SEARCH($EI126, 球員狀態!$B$2:$B$5000))), 0)), "")</f>
        <v/>
      </c>
      <c r="FC126" s="4" t="str">
        <f t="array" ref="FC126">IFERROR(INDEX(球員狀態!V$2:V$5000, MATCH(1, (球員狀態!$A$2:$A$5000=$EI$1)*(ISNUMBER(SEARCH($EI126, 球員狀態!$B$2:$B$5000))), 0)), "")</f>
        <v/>
      </c>
      <c r="FD126" s="4" t="str">
        <f t="array" ref="FD126">IFERROR(INDEX(球員狀態!W$2:W$5000, MATCH(1, (球員狀態!$A$2:$A$5000=$EI$121)*(ISNUMBER(SEARCH($EI126, 球員狀態!$B$2:$B$5000))), 0)), "")</f>
        <v/>
      </c>
      <c r="FE126" s="4" t="str">
        <f t="array" ref="FE126">IFERROR(INDEX(球員狀態!X$2:X$5000, MATCH(1, (球員狀態!$A$2:$A$5000=$EI$1)*(ISNUMBER(SEARCH($EI126, 球員狀態!$B$2:$B$5000))), 0)), "")</f>
        <v/>
      </c>
      <c r="FF126" s="4" t="str">
        <f t="array" ref="FF126">IFERROR(INDEX(球員狀態!Y$2:Y$5000, MATCH(1, (球員狀態!$A$2:$A$5000=$EI$1)*(ISNUMBER(SEARCH($EI126, 球員狀態!$B$2:$B$5000))), 0)), "")</f>
        <v/>
      </c>
      <c r="FG126" s="4" t="str">
        <f t="array" ref="FG126">IFERROR(INDEX(球員狀態!Z$2:Z$5000, MATCH(1, (球員狀態!$A$2:$A$5000=$EI$121)*(ISNUMBER(SEARCH($EI126, 球員狀態!$B$2:$B$5000))), 0)), "")</f>
        <v/>
      </c>
      <c r="FH126" s="4" t="str">
        <f t="array" ref="FH126">IFERROR(INDEX(球員狀態!AA$2:AA$5000, MATCH(1, (球員狀態!$A$2:$A$5000=$EI$121)*(ISNUMBER(SEARCH($EI126, 球員狀態!$B$2:$B$5000))), 0)), "")</f>
        <v/>
      </c>
      <c r="FI126" s="4" t="str">
        <f t="array" ref="FI126">IFERROR(INDEX(球員狀態!AB$2:AB$5000, MATCH(1, (球員狀態!$A$2:$A$5000=$EI$121)*(ISNUMBER(SEARCH($EI126, 球員狀態!$B$2:$B$5000))), 0)), "")</f>
        <v/>
      </c>
    </row>
    <row r="127" spans="110:165">
      <c r="DF127" s="33"/>
      <c r="DG127" s="4"/>
      <c r="DH127" s="40" t="e">
        <f>DJ127+DL127+DM127+DN127+DO127-DP127-DQ127+DR127</f>
        <v>#VALUE!</v>
      </c>
      <c r="DI127" s="42" t="e">
        <f>DU127+DX127+EA127+ED127+EE127+EF127</f>
        <v>#VALUE!</v>
      </c>
      <c r="DJ127" s="38" t="e">
        <f>VLOOKUP(DJ126*1, FK$2:FM$12, 3, TRUE)*FM$1</f>
        <v>#VALUE!</v>
      </c>
      <c r="DL127" s="38" t="e">
        <f>VLOOKUP(DL126*1, FN$2:FP$12, 3, TRUE)*FP$1</f>
        <v>#VALUE!</v>
      </c>
      <c r="DM127" s="38" t="e">
        <f>VLOOKUP(DM126*1, FQ$2:FS$12, 3, TRUE)*FS$1</f>
        <v>#VALUE!</v>
      </c>
      <c r="DN127" s="38" t="e">
        <f>VLOOKUP(DN126*1, FT$2:FV$12, 3, TRUE)*FV$1</f>
        <v>#VALUE!</v>
      </c>
      <c r="DO127" s="38" t="e">
        <f>VLOOKUP(DO126*1, FW$2:FY$12, 3, TRUE)*FY$1</f>
        <v>#VALUE!</v>
      </c>
      <c r="DP127" s="39" t="e">
        <f>VLOOKUP(DP126*1, FK$14:FM$25, 3, TRUE)*FM$14</f>
        <v>#VALUE!</v>
      </c>
      <c r="DQ127" s="39" t="e">
        <f>VLOOKUP(DQ126*1, FN$14:FP$25, 3, TRUE)*FP$14</f>
        <v>#VALUE!</v>
      </c>
      <c r="DR127" s="38" t="e">
        <f>VLOOKUP(DR126*1, FQ$14:FS$25, 3, TRUE)*FS$14</f>
        <v>#VALUE!</v>
      </c>
      <c r="DU127" s="41" t="e">
        <f>VLOOKUP(DU126*1, FK$27:FM$38, 3, TRUE)*FM$27</f>
        <v>#VALUE!</v>
      </c>
      <c r="DX127" s="41" t="e">
        <f>VLOOKUP(DX126*1, FN$27:FP$38, 3, TRUE)*FP$27</f>
        <v>#VALUE!</v>
      </c>
      <c r="EA127" s="41" t="e">
        <f>VLOOKUP(EA126*1, FQ$27:FS$38, 3, TRUE)*FS$27</f>
        <v>#VALUE!</v>
      </c>
      <c r="ED127" s="41" t="e">
        <f>VLOOKUP(ED126*1, FT$27:FV$38, 3, TRUE)*FV$27</f>
        <v>#VALUE!</v>
      </c>
      <c r="EE127" s="41" t="e">
        <f>VLOOKUP(EE126*1, FW$27:FY$38, 3, TRUE)*FY$27</f>
        <v>#VALUE!</v>
      </c>
      <c r="EF127" s="41" t="e">
        <f>VLOOKUP(EF126*1, FK$40:FM$51, 3, TRUE)*FM$40</f>
        <v>#VALUE!</v>
      </c>
      <c r="EG127" s="57"/>
      <c r="EI127" s="33"/>
      <c r="EJ127" s="4"/>
      <c r="EK127" s="40" t="e">
        <f>EM127+EO127+EP127+EQ127+ER127-ES127-ET127+EU127</f>
        <v>#VALUE!</v>
      </c>
      <c r="EL127" s="42" t="e">
        <f>EX127+FA127+FD127+FG127+FH127+FI127</f>
        <v>#VALUE!</v>
      </c>
      <c r="EM127" s="38" t="e">
        <f>VLOOKUP(EM126*1, $FK$2:$FM$12, 3, TRUE)*$FM$1</f>
        <v>#VALUE!</v>
      </c>
      <c r="EO127" s="38" t="e">
        <f>VLOOKUP(EO126*1, $FN$2:$FP$12, 3, TRUE)*$FP$1</f>
        <v>#VALUE!</v>
      </c>
      <c r="EP127" s="38" t="e">
        <f>VLOOKUP(EP126*1, $FQ$2:$FS$12, 3, TRUE)*$FS$1</f>
        <v>#VALUE!</v>
      </c>
      <c r="EQ127" s="38" t="e">
        <f>VLOOKUP(EQ126*1, $FT$2:$FV$12, 3, TRUE)*$FV$1</f>
        <v>#VALUE!</v>
      </c>
      <c r="ER127" s="38" t="e">
        <f>VLOOKUP(ER126*1, $FW$2:$FY$12, 3, TRUE)*$FY$1</f>
        <v>#VALUE!</v>
      </c>
      <c r="ES127" s="39" t="e">
        <f>VLOOKUP(ES126*1, $FK$14:$FM$25, 3, TRUE)*$FM$14</f>
        <v>#VALUE!</v>
      </c>
      <c r="ET127" s="39" t="e">
        <f>VLOOKUP(ET126*1, $FN$14:$FP$25, 3, TRUE)*$FP$14</f>
        <v>#VALUE!</v>
      </c>
      <c r="EU127" s="38" t="e">
        <f>VLOOKUP(EU126*1, $FQ$14:$FS$25, 3, TRUE)*$FS$14</f>
        <v>#VALUE!</v>
      </c>
      <c r="EX127" s="41" t="e">
        <f>VLOOKUP(EX126*1, $FK$27:$FM$38, 3, TRUE)*$FM$27</f>
        <v>#VALUE!</v>
      </c>
      <c r="FA127" s="41" t="e">
        <f>VLOOKUP(FA126*1, $FN$27:$FP$38, 3, TRUE)*$FP$27</f>
        <v>#VALUE!</v>
      </c>
      <c r="FD127" s="41" t="e">
        <f>VLOOKUP(FD126*1, $FQ$27:$FS$38, 3, TRUE)*$FS$27</f>
        <v>#VALUE!</v>
      </c>
      <c r="FG127" s="41" t="e">
        <f>VLOOKUP(FG126*1, $FT$27:$FV$38, 3, TRUE)*$FV$27</f>
        <v>#VALUE!</v>
      </c>
      <c r="FH127" s="41" t="e">
        <f>VLOOKUP(FH126*1, $FW$27:$FY$38, 3, TRUE)*$FY$27</f>
        <v>#VALUE!</v>
      </c>
      <c r="FI127" s="41" t="e">
        <f>VLOOKUP(FI126*1, $FK$40:$FM$51, 3, TRUE)*$FM$40</f>
        <v>#VALUE!</v>
      </c>
    </row>
    <row r="128" spans="110:165">
      <c r="DF128" s="35" t="str">
        <f>先發名單!H$6</f>
        <v>Cal Raleigh</v>
      </c>
      <c r="DG128" s="4" t="str">
        <f t="array" ref="DG128">IFERROR(INDEX(球員狀態!$C$2:$C$5000, MATCH(1, (球員狀態!$A$2:$A$5000=$DF$121)*(ISNUMBER(SEARCH($DF128, 球員狀態!$B$2:$B$5000))), 0)), "")</f>
        <v/>
      </c>
      <c r="DJ128" s="4" t="str">
        <f t="array" ref="DJ128">IFERROR(INDEX(球員狀態!$F$2:$F$5000,MATCH(1,(球員狀態!$A$2:$A$5000=$DF$121)*(ISNUMBER(SEARCH($DF128,球員狀態!$B$2:$B$5000))),0)),"")</f>
        <v/>
      </c>
      <c r="DK128" s="4" t="str">
        <f t="array" ref="DK128">IFERROR(INDEX(球員狀態!G$2:G$5000, MATCH(1, (球員狀態!$A$2:$A$5000=$DF$1)*(ISNUMBER(SEARCH($DF128, 球員狀態!$B$2:$B$5000))), 0)), "")</f>
        <v/>
      </c>
      <c r="DL128" s="4" t="str">
        <f t="array" ref="DL128">IFERROR(INDEX(球員狀態!H$2:H$5000, MATCH(1, (球員狀態!$A$2:$A$5000=$DF$121)*(ISNUMBER(SEARCH($DF128, 球員狀態!$B$2:$B$5000))), 0)), "")</f>
        <v/>
      </c>
      <c r="DM128" s="4" t="str">
        <f t="array" ref="DM128">IFERROR(INDEX(球員狀態!I$2:I$5000,MATCH(1,(球員狀態!$A$2:$A$5000=$DF$121)*(ISNUMBER(SEARCH($DF128,球員狀態!$B$2:$B$5000))),0)),"")</f>
        <v/>
      </c>
      <c r="DN128" s="4" t="str">
        <f t="array" ref="DN128">IFERROR(INDEX(球員狀態!J$2:J$5000,MATCH(1,(球員狀態!$A$2:$A$5000=$DF$121)*(ISNUMBER(SEARCH($DF128,球員狀態!$B$2:$B$5000))),0)),"")</f>
        <v/>
      </c>
      <c r="DO128" s="4" t="str">
        <f t="array" ref="DO128">IFERROR(INDEX(球員狀態!K$2:K$5000,MATCH(1,(球員狀態!$A$2:$A$5000=$DF$121)*(ISNUMBER(SEARCH($DF128,球員狀態!$B$2:$B$5000))),0)),"")</f>
        <v/>
      </c>
      <c r="DP128" s="4" t="str">
        <f t="array" ref="DP128">IFERROR(INDEX(球員狀態!L$2:L$5000,MATCH(1,(球員狀態!$A$2:$A$5000=$DF$121)*(ISNUMBER(SEARCH($DF128,球員狀態!$B$2:$B$5000))),0)),"")</f>
        <v/>
      </c>
      <c r="DQ128" s="4" t="str">
        <f t="array" ref="DQ128">IFERROR(INDEX(球員狀態!M$2:M$5000,MATCH(1,(球員狀態!$A$2:$A$5000=$DF$121)*(ISNUMBER(SEARCH($DF128,球員狀態!$B$2:$B$5000))),0)),"")</f>
        <v/>
      </c>
      <c r="DR128" s="4" t="str">
        <f t="array" ref="DR128">IFERROR(INDEX(球員狀態!N$2:N$5000,MATCH(1,(球員狀態!$A$2:$A$5000=$DF$121)*(ISNUMBER(SEARCH($DF128,球員狀態!$B$2:$B$5000))),0)),"")</f>
        <v/>
      </c>
      <c r="DS128" s="4" t="str">
        <f t="array" ref="DS128">IFERROR(INDEX(球員狀態!O$2:O$5000, MATCH(1, (球員狀態!$A$2:$A$5000=$DF$1)*(ISNUMBER(SEARCH($DF128, 球員狀態!$B$2:$B$5000))), 0)), "")</f>
        <v/>
      </c>
      <c r="DT128" s="4" t="str">
        <f t="array" ref="DT128">IFERROR(INDEX(球員狀態!P$2:P$5000, MATCH(1, (球員狀態!$A$2:$A$5000=$DF$1)*(ISNUMBER(SEARCH($DF128, 球員狀態!$B$2:$B$5000))), 0)), "")</f>
        <v/>
      </c>
      <c r="DU128" s="4" t="str">
        <f t="array" ref="DU128">IFERROR(INDEX(球員狀態!Q$2:Q$5000,MATCH(1,(球員狀態!$A$2:$A$5000=$DF$121)*(ISNUMBER(SEARCH($DF128,球員狀態!$B$2:$B$5000))),0)),"")</f>
        <v/>
      </c>
      <c r="DV128" s="4" t="str">
        <f t="array" ref="DV128">IFERROR(INDEX(球員狀態!R$2:R$5000, MATCH(1, (球員狀態!$A$2:$A$5000=$DF$1)*(ISNUMBER(SEARCH($DF128, 球員狀態!$B$2:$B$5000))), 0)), "")</f>
        <v/>
      </c>
      <c r="DW128" s="4" t="str">
        <f t="array" ref="DW128">IFERROR(INDEX(球員狀態!S$2:S$5000, MATCH(1, (球員狀態!$A$2:$A$5000=$DF$1)*(ISNUMBER(SEARCH($DF128, 球員狀態!$B$2:$B$5000))), 0)), "")</f>
        <v/>
      </c>
      <c r="DX128" s="4" t="str">
        <f t="array" ref="DX128">IFERROR(INDEX(球員狀態!T$2:T$5000,MATCH(1,(球員狀態!$A$2:$A$5000=$DF$121)*(ISNUMBER(SEARCH($DF128,球員狀態!$B$2:$B$5000))),0)),"")</f>
        <v/>
      </c>
      <c r="DY128" s="4" t="str">
        <f t="array" ref="DY128">IFERROR(INDEX(球員狀態!U$2:U$5000, MATCH(1, (球員狀態!$A$2:$A$5000=$DF$1)*(ISNUMBER(SEARCH($DF128, 球員狀態!$B$2:$B$5000))), 0)), "")</f>
        <v/>
      </c>
      <c r="DZ128" s="4" t="str">
        <f t="array" ref="DZ128">IFERROR(INDEX(球員狀態!V$2:V$5000, MATCH(1, (球員狀態!$A$2:$A$5000=$DF$1)*(ISNUMBER(SEARCH($DF128, 球員狀態!$B$2:$B$5000))), 0)), "")</f>
        <v/>
      </c>
      <c r="EA128" s="4" t="str">
        <f t="array" ref="EA128">IFERROR(INDEX(球員狀態!W$2:W$5000,MATCH(1,(球員狀態!$A$2:$A$5000=$DF$121)*(ISNUMBER(SEARCH($DF128,球員狀態!$B$2:$B$5000))),0)),"")</f>
        <v/>
      </c>
      <c r="EB128" s="4" t="str">
        <f t="array" ref="EB128">IFERROR(INDEX(球員狀態!X$2:X$5000, MATCH(1, (球員狀態!$A$2:$A$5000=$DF$1)*(ISNUMBER(SEARCH($DF128, 球員狀態!$B$2:$B$5000))), 0)), "")</f>
        <v/>
      </c>
      <c r="EC128" s="4" t="str">
        <f t="array" ref="EC128">IFERROR(INDEX(球員狀態!Y$2:Y$5000, MATCH(1, (球員狀態!$A$2:$A$5000=$DF$1)*(ISNUMBER(SEARCH($DF128, 球員狀態!$B$2:$B$5000))), 0)), "")</f>
        <v/>
      </c>
      <c r="ED128" s="4" t="str">
        <f t="array" ref="ED128">IFERROR(INDEX(球員狀態!Z$2:Z$5000,MATCH(1,(球員狀態!$A$2:$A$5000=$DF$121)*(ISNUMBER(SEARCH($DF128,球員狀態!$B$2:$B$5000))),0)),"")</f>
        <v/>
      </c>
      <c r="EE128" s="4" t="str">
        <f t="array" ref="EE128">IFERROR(INDEX(球員狀態!AA$2:AA$5000,MATCH(1,(球員狀態!$A$2:$A$5000=$DF$121)*(ISNUMBER(SEARCH($DF128,球員狀態!$B$2:$B$5000))),0)),"")</f>
        <v/>
      </c>
      <c r="EF128" s="4" t="str">
        <f t="array" ref="EF128">IFERROR(INDEX(球員狀態!AB$2:AB$5000,MATCH(1,(球員狀態!$A$2:$A$5000=$DF$121)*(ISNUMBER(SEARCH($DF128,球員狀態!$B$2:$B$5000))),0)),"")</f>
        <v/>
      </c>
      <c r="EG128" s="56"/>
      <c r="EI128" s="35" t="str">
        <f>先發名單!R$6</f>
        <v>Josh Bell</v>
      </c>
      <c r="EJ128" s="4" t="str">
        <f t="array" ref="EJ128">IFERROR(INDEX(球員狀態!C$2:C$5000, MATCH(1, (球員狀態!$A$2:$A$5000=$EI$121)*(ISNUMBER(SEARCH($EI128, 球員狀態!$B$2:$B$5000))), 0)), "")</f>
        <v/>
      </c>
      <c r="EM128" s="4" t="str">
        <f t="array" ref="EM128">IFERROR(INDEX(球員狀態!F$2:F$5000, MATCH(1, (球員狀態!$A$2:$A$5000=$EI$121)*(ISNUMBER(SEARCH($EI128, 球員狀態!$B$2:$B$5000))), 0)), "")</f>
        <v/>
      </c>
      <c r="EN128" s="4" t="str">
        <f t="array" ref="EN128">IFERROR(INDEX(球員狀態!G$2:G$5000, MATCH(1, (球員狀態!$A$2:$A$5000=$EI$1)*(ISNUMBER(SEARCH($EI128, 球員狀態!$B$2:$B$5000))), 0)), "")</f>
        <v/>
      </c>
      <c r="EO128" s="4" t="str">
        <f t="array" ref="EO128">IFERROR(INDEX(球員狀態!H$2:H$5000, MATCH(1, (球員狀態!$A$2:$A$5000=$EI$121)*(ISNUMBER(SEARCH($EI128, 球員狀態!$B$2:$B$5000))), 0)), "")</f>
        <v/>
      </c>
      <c r="EP128" s="4" t="str">
        <f t="array" ref="EP128">IFERROR(INDEX(球員狀態!I$2:I$5000, MATCH(1, (球員狀態!$A$2:$A$5000=$EI$121)*(ISNUMBER(SEARCH($EI128, 球員狀態!$B$2:$B$5000))), 0)), "")</f>
        <v/>
      </c>
      <c r="EQ128" s="4" t="str">
        <f t="array" ref="EQ128">IFERROR(INDEX(球員狀態!J$2:J$5000, MATCH(1, (球員狀態!$A$2:$A$5000=$EI$121)*(ISNUMBER(SEARCH($EI128, 球員狀態!$B$2:$B$5000))), 0)), "")</f>
        <v/>
      </c>
      <c r="ER128" s="4" t="str">
        <f t="array" ref="ER128">IFERROR(INDEX(球員狀態!K$2:K$5000, MATCH(1, (球員狀態!$A$2:$A$5000=$EI$121)*(ISNUMBER(SEARCH($EI128, 球員狀態!$B$2:$B$5000))), 0)), "")</f>
        <v/>
      </c>
      <c r="ES128" s="4" t="str">
        <f t="array" ref="ES128">IFERROR(INDEX(球員狀態!L$2:L$5000, MATCH(1, (球員狀態!$A$2:$A$5000=$EI$121)*(ISNUMBER(SEARCH($EI128, 球員狀態!$B$2:$B$5000))), 0)), "")</f>
        <v/>
      </c>
      <c r="ET128" s="4" t="str">
        <f t="array" ref="ET128">IFERROR(INDEX(球員狀態!M$2:M$5000, MATCH(1, (球員狀態!$A$2:$A$5000=$EI$121)*(ISNUMBER(SEARCH($EI128, 球員狀態!$B$2:$B$5000))), 0)), "")</f>
        <v/>
      </c>
      <c r="EU128" s="4" t="str">
        <f t="array" ref="EU128">IFERROR(INDEX(球員狀態!N$2:N$5000, MATCH(1, (球員狀態!$A$2:$A$5000=$EI$121)*(ISNUMBER(SEARCH($EI128, 球員狀態!$B$2:$B$5000))), 0)), "")</f>
        <v/>
      </c>
      <c r="EV128" s="4" t="str">
        <f t="array" ref="EV128">IFERROR(INDEX(球員狀態!O$2:O$5000, MATCH(1, (球員狀態!$A$2:$A$5000=$EI$1)*(ISNUMBER(SEARCH($EI128, 球員狀態!$B$2:$B$5000))), 0)), "")</f>
        <v/>
      </c>
      <c r="EW128" s="4" t="str">
        <f t="array" ref="EW128">IFERROR(INDEX(球員狀態!P$2:P$5000, MATCH(1, (球員狀態!$A$2:$A$5000=$EI$1)*(ISNUMBER(SEARCH($EI128, 球員狀態!$B$2:$B$5000))), 0)), "")</f>
        <v/>
      </c>
      <c r="EX128" s="4" t="str">
        <f t="array" ref="EX128">IFERROR(INDEX(球員狀態!Q$2:Q$5000, MATCH(1, (球員狀態!$A$2:$A$5000=$EI$121)*(ISNUMBER(SEARCH($EI128, 球員狀態!$B$2:$B$5000))), 0)), "")</f>
        <v/>
      </c>
      <c r="EY128" s="4" t="str">
        <f t="array" ref="EY128">IFERROR(INDEX(球員狀態!R$2:R$5000, MATCH(1, (球員狀態!$A$2:$A$5000=$EI$1)*(ISNUMBER(SEARCH($EI128, 球員狀態!$B$2:$B$5000))), 0)), "")</f>
        <v/>
      </c>
      <c r="EZ128" s="4" t="str">
        <f t="array" ref="EZ128">IFERROR(INDEX(球員狀態!S$2:S$5000, MATCH(1, (球員狀態!$A$2:$A$5000=$EI$1)*(ISNUMBER(SEARCH($EI128, 球員狀態!$B$2:$B$5000))), 0)), "")</f>
        <v/>
      </c>
      <c r="FA128" s="4" t="str">
        <f t="array" ref="FA128">IFERROR(INDEX(球員狀態!T$2:T$5000, MATCH(1, (球員狀態!$A$2:$A$5000=$EI$121)*(ISNUMBER(SEARCH($EI128, 球員狀態!$B$2:$B$5000))), 0)), "")</f>
        <v/>
      </c>
      <c r="FB128" s="4" t="str">
        <f t="array" ref="FB128">IFERROR(INDEX(球員狀態!U$2:U$5000, MATCH(1, (球員狀態!$A$2:$A$5000=$EI$1)*(ISNUMBER(SEARCH($EI128, 球員狀態!$B$2:$B$5000))), 0)), "")</f>
        <v/>
      </c>
      <c r="FC128" s="4" t="str">
        <f t="array" ref="FC128">IFERROR(INDEX(球員狀態!V$2:V$5000, MATCH(1, (球員狀態!$A$2:$A$5000=$EI$1)*(ISNUMBER(SEARCH($EI128, 球員狀態!$B$2:$B$5000))), 0)), "")</f>
        <v/>
      </c>
      <c r="FD128" s="4" t="str">
        <f t="array" ref="FD128">IFERROR(INDEX(球員狀態!W$2:W$5000, MATCH(1, (球員狀態!$A$2:$A$5000=$EI$121)*(ISNUMBER(SEARCH($EI128, 球員狀態!$B$2:$B$5000))), 0)), "")</f>
        <v/>
      </c>
      <c r="FE128" s="4" t="str">
        <f t="array" ref="FE128">IFERROR(INDEX(球員狀態!X$2:X$5000, MATCH(1, (球員狀態!$A$2:$A$5000=$EI$1)*(ISNUMBER(SEARCH($EI128, 球員狀態!$B$2:$B$5000))), 0)), "")</f>
        <v/>
      </c>
      <c r="FF128" s="4" t="str">
        <f t="array" ref="FF128">IFERROR(INDEX(球員狀態!Y$2:Y$5000, MATCH(1, (球員狀態!$A$2:$A$5000=$EI$1)*(ISNUMBER(SEARCH($EI128, 球員狀態!$B$2:$B$5000))), 0)), "")</f>
        <v/>
      </c>
      <c r="FG128" s="4" t="str">
        <f t="array" ref="FG128">IFERROR(INDEX(球員狀態!Z$2:Z$5000, MATCH(1, (球員狀態!$A$2:$A$5000=$EI$121)*(ISNUMBER(SEARCH($EI128, 球員狀態!$B$2:$B$5000))), 0)), "")</f>
        <v/>
      </c>
      <c r="FH128" s="4" t="str">
        <f t="array" ref="FH128">IFERROR(INDEX(球員狀態!AA$2:AA$5000, MATCH(1, (球員狀態!$A$2:$A$5000=$EI$121)*(ISNUMBER(SEARCH($EI128, 球員狀態!$B$2:$B$5000))), 0)), "")</f>
        <v/>
      </c>
      <c r="FI128" s="4" t="str">
        <f t="array" ref="FI128">IFERROR(INDEX(球員狀態!AB$2:AB$5000, MATCH(1, (球員狀態!$A$2:$A$5000=$EI$121)*(ISNUMBER(SEARCH($EI128, 球員狀態!$B$2:$B$5000))), 0)), "")</f>
        <v/>
      </c>
    </row>
    <row r="129" spans="110:165">
      <c r="DF129" s="33"/>
      <c r="DG129" s="4"/>
      <c r="DH129" s="40" t="e">
        <f>DJ129+DL129+DM129+DN129+DO129-DP129-DQ129+DR129</f>
        <v>#VALUE!</v>
      </c>
      <c r="DI129" s="42" t="e">
        <f>DU129+DX129+EA129+ED129+EE129+EF129</f>
        <v>#VALUE!</v>
      </c>
      <c r="DJ129" s="38" t="e">
        <f>VLOOKUP(DJ128*1, FK$2:FM$12, 3, TRUE)*FM$1</f>
        <v>#VALUE!</v>
      </c>
      <c r="DL129" s="38" t="e">
        <f>VLOOKUP(DL128*1, FN$2:FP$12, 3, TRUE)*FP$1</f>
        <v>#VALUE!</v>
      </c>
      <c r="DM129" s="38" t="e">
        <f>VLOOKUP(DM128*1, FQ$2:FS$12, 3, TRUE)*FS$1</f>
        <v>#VALUE!</v>
      </c>
      <c r="DN129" s="38" t="e">
        <f>VLOOKUP(DN128*1, FT$2:FV$12, 3, TRUE)*FV$1</f>
        <v>#VALUE!</v>
      </c>
      <c r="DO129" s="38" t="e">
        <f>VLOOKUP(DO128*1, FW$2:FY$12, 3, TRUE)*FY$1</f>
        <v>#VALUE!</v>
      </c>
      <c r="DP129" s="39" t="e">
        <f>VLOOKUP(DP128*1, FK$14:FM$25, 3, TRUE)*FM$14</f>
        <v>#VALUE!</v>
      </c>
      <c r="DQ129" s="39" t="e">
        <f>VLOOKUP(DQ128*1, FN$14:FP$25, 3, TRUE)*FP$14</f>
        <v>#VALUE!</v>
      </c>
      <c r="DR129" s="38" t="e">
        <f>VLOOKUP(DR128*1, FQ$14:FS$25, 3, TRUE)*FS$14</f>
        <v>#VALUE!</v>
      </c>
      <c r="DU129" s="41" t="e">
        <f>VLOOKUP(DU128*1, FK$27:FM$38, 3, TRUE)*FM$27</f>
        <v>#VALUE!</v>
      </c>
      <c r="DX129" s="41" t="e">
        <f>VLOOKUP(DX128*1, FN$27:FP$38, 3, TRUE)*FP$27</f>
        <v>#VALUE!</v>
      </c>
      <c r="EA129" s="41" t="e">
        <f>VLOOKUP(EA128*1, FQ$27:FS$38, 3, TRUE)*FS$27</f>
        <v>#VALUE!</v>
      </c>
      <c r="ED129" s="41" t="e">
        <f>VLOOKUP(ED128*1, FT$27:FV$38, 3, TRUE)*FV$27</f>
        <v>#VALUE!</v>
      </c>
      <c r="EE129" s="41" t="e">
        <f>VLOOKUP(EE128*1, FW$27:FY$38, 3, TRUE)*FY$27</f>
        <v>#VALUE!</v>
      </c>
      <c r="EF129" s="41" t="e">
        <f>VLOOKUP(EF128*1, FK$40:FM$51, 3, TRUE)*FM$40</f>
        <v>#VALUE!</v>
      </c>
      <c r="EG129" s="57"/>
      <c r="EI129" s="33"/>
      <c r="EJ129" s="4"/>
      <c r="EK129" s="40" t="e">
        <f>EM129+EO129+EP129+EQ129+ER129-ES129-ET129+EU129</f>
        <v>#VALUE!</v>
      </c>
      <c r="EL129" s="42" t="e">
        <f>EX129+FA129+FD129+FG129+FH129+FI129</f>
        <v>#VALUE!</v>
      </c>
      <c r="EM129" s="38" t="e">
        <f>VLOOKUP(EM128*1, $FK$2:$FM$12, 3, TRUE)*$FM$1</f>
        <v>#VALUE!</v>
      </c>
      <c r="EO129" s="38" t="e">
        <f>VLOOKUP(EO128*1, $FN$2:$FP$12, 3, TRUE)*$FP$1</f>
        <v>#VALUE!</v>
      </c>
      <c r="EP129" s="38" t="e">
        <f>VLOOKUP(EP128*1, $FQ$2:$FS$12, 3, TRUE)*$FS$1</f>
        <v>#VALUE!</v>
      </c>
      <c r="EQ129" s="38" t="e">
        <f>VLOOKUP(EQ128*1, $FT$2:$FV$12, 3, TRUE)*$FV$1</f>
        <v>#VALUE!</v>
      </c>
      <c r="ER129" s="38" t="e">
        <f>VLOOKUP(ER128*1, $FW$2:$FY$12, 3, TRUE)*$FY$1</f>
        <v>#VALUE!</v>
      </c>
      <c r="ES129" s="39" t="e">
        <f>VLOOKUP(ES128*1, $FK$14:$FM$25, 3, TRUE)*$FM$14</f>
        <v>#VALUE!</v>
      </c>
      <c r="ET129" s="39" t="e">
        <f>VLOOKUP(ET128*1, $FN$14:$FP$25, 3, TRUE)*$FP$14</f>
        <v>#VALUE!</v>
      </c>
      <c r="EU129" s="38" t="e">
        <f>VLOOKUP(EU128*1, $FQ$14:$FS$25, 3, TRUE)*$FS$14</f>
        <v>#VALUE!</v>
      </c>
      <c r="EX129" s="41" t="e">
        <f>VLOOKUP(EX128*1, $FK$27:$FM$38, 3, TRUE)*$FM$27</f>
        <v>#VALUE!</v>
      </c>
      <c r="FA129" s="41" t="e">
        <f>VLOOKUP(FA128*1, $FN$27:$FP$38, 3, TRUE)*$FP$27</f>
        <v>#VALUE!</v>
      </c>
      <c r="FD129" s="41" t="e">
        <f>VLOOKUP(FD128*1, $FQ$27:$FS$38, 3, TRUE)*$FS$27</f>
        <v>#VALUE!</v>
      </c>
      <c r="FG129" s="41" t="e">
        <f>VLOOKUP(FG128*1, $FT$27:$FV$38, 3, TRUE)*$FV$27</f>
        <v>#VALUE!</v>
      </c>
      <c r="FH129" s="41" t="e">
        <f>VLOOKUP(FH128*1, $FW$27:$FY$38, 3, TRUE)*$FY$27</f>
        <v>#VALUE!</v>
      </c>
      <c r="FI129" s="41" t="e">
        <f>VLOOKUP(FI128*1, $FK$40:$FM$51, 3, TRUE)*$FM$40</f>
        <v>#VALUE!</v>
      </c>
    </row>
    <row r="130" spans="110:165">
      <c r="DF130" s="35" t="str">
        <f>先發名單!I$6</f>
        <v>J. Rodriguez</v>
      </c>
      <c r="DG130" s="4" t="str">
        <f t="array" ref="DG130">IFERROR(INDEX(球員狀態!$C$2:$C$5000, MATCH(1, (球員狀態!$A$2:$A$5000=$DF$121)*(ISNUMBER(SEARCH($DF130, 球員狀態!$B$2:$B$5000))), 0)), "")</f>
        <v/>
      </c>
      <c r="DJ130" s="4" t="str">
        <f t="array" ref="DJ130">IFERROR(INDEX(球員狀態!$F$2:$F$5000,MATCH(1,(球員狀態!$A$2:$A$5000=$DF$121)*(ISNUMBER(SEARCH($DF130,球員狀態!$B$2:$B$5000))),0)),"")</f>
        <v/>
      </c>
      <c r="DK130" s="4" t="str">
        <f t="array" ref="DK130">IFERROR(INDEX(球員狀態!G$2:G$5000, MATCH(1, (球員狀態!$A$2:$A$5000=$DF$1)*(ISNUMBER(SEARCH($DF130, 球員狀態!$B$2:$B$5000))), 0)), "")</f>
        <v/>
      </c>
      <c r="DL130" s="4" t="str">
        <f t="array" ref="DL130">IFERROR(INDEX(球員狀態!H$2:H$5000, MATCH(1, (球員狀態!$A$2:$A$5000=$DF$121)*(ISNUMBER(SEARCH($DF130, 球員狀態!$B$2:$B$5000))), 0)), "")</f>
        <v/>
      </c>
      <c r="DM130" s="4" t="str">
        <f t="array" ref="DM130">IFERROR(INDEX(球員狀態!I$2:I$5000,MATCH(1,(球員狀態!$A$2:$A$5000=$DF$121)*(ISNUMBER(SEARCH($DF130,球員狀態!$B$2:$B$5000))),0)),"")</f>
        <v/>
      </c>
      <c r="DN130" s="4" t="str">
        <f t="array" ref="DN130">IFERROR(INDEX(球員狀態!J$2:J$5000,MATCH(1,(球員狀態!$A$2:$A$5000=$DF$121)*(ISNUMBER(SEARCH($DF130,球員狀態!$B$2:$B$5000))),0)),"")</f>
        <v/>
      </c>
      <c r="DO130" s="4" t="str">
        <f t="array" ref="DO130">IFERROR(INDEX(球員狀態!K$2:K$5000,MATCH(1,(球員狀態!$A$2:$A$5000=$DF$121)*(ISNUMBER(SEARCH($DF130,球員狀態!$B$2:$B$5000))),0)),"")</f>
        <v/>
      </c>
      <c r="DP130" s="4" t="str">
        <f t="array" ref="DP130">IFERROR(INDEX(球員狀態!L$2:L$5000,MATCH(1,(球員狀態!$A$2:$A$5000=$DF$121)*(ISNUMBER(SEARCH($DF130,球員狀態!$B$2:$B$5000))),0)),"")</f>
        <v/>
      </c>
      <c r="DQ130" s="4" t="str">
        <f t="array" ref="DQ130">IFERROR(INDEX(球員狀態!M$2:M$5000,MATCH(1,(球員狀態!$A$2:$A$5000=$DF$121)*(ISNUMBER(SEARCH($DF130,球員狀態!$B$2:$B$5000))),0)),"")</f>
        <v/>
      </c>
      <c r="DR130" s="4" t="str">
        <f t="array" ref="DR130">IFERROR(INDEX(球員狀態!N$2:N$5000,MATCH(1,(球員狀態!$A$2:$A$5000=$DF$121)*(ISNUMBER(SEARCH($DF130,球員狀態!$B$2:$B$5000))),0)),"")</f>
        <v/>
      </c>
      <c r="DS130" s="4" t="str">
        <f t="array" ref="DS130">IFERROR(INDEX(球員狀態!O$2:O$5000, MATCH(1, (球員狀態!$A$2:$A$5000=$DF$1)*(ISNUMBER(SEARCH($DF130, 球員狀態!$B$2:$B$5000))), 0)), "")</f>
        <v/>
      </c>
      <c r="DT130" s="4" t="str">
        <f t="array" ref="DT130">IFERROR(INDEX(球員狀態!P$2:P$5000, MATCH(1, (球員狀態!$A$2:$A$5000=$DF$1)*(ISNUMBER(SEARCH($DF130, 球員狀態!$B$2:$B$5000))), 0)), "")</f>
        <v/>
      </c>
      <c r="DU130" s="4" t="str">
        <f t="array" ref="DU130">IFERROR(INDEX(球員狀態!Q$2:Q$5000,MATCH(1,(球員狀態!$A$2:$A$5000=$DF$121)*(ISNUMBER(SEARCH($DF130,球員狀態!$B$2:$B$5000))),0)),"")</f>
        <v/>
      </c>
      <c r="DV130" s="4" t="str">
        <f t="array" ref="DV130">IFERROR(INDEX(球員狀態!R$2:R$5000, MATCH(1, (球員狀態!$A$2:$A$5000=$DF$1)*(ISNUMBER(SEARCH($DF130, 球員狀態!$B$2:$B$5000))), 0)), "")</f>
        <v/>
      </c>
      <c r="DW130" s="4" t="str">
        <f t="array" ref="DW130">IFERROR(INDEX(球員狀態!S$2:S$5000, MATCH(1, (球員狀態!$A$2:$A$5000=$DF$1)*(ISNUMBER(SEARCH($DF130, 球員狀態!$B$2:$B$5000))), 0)), "")</f>
        <v/>
      </c>
      <c r="DX130" s="4" t="str">
        <f t="array" ref="DX130">IFERROR(INDEX(球員狀態!T$2:T$5000,MATCH(1,(球員狀態!$A$2:$A$5000=$DF$121)*(ISNUMBER(SEARCH($DF130,球員狀態!$B$2:$B$5000))),0)),"")</f>
        <v/>
      </c>
      <c r="DY130" s="4" t="str">
        <f t="array" ref="DY130">IFERROR(INDEX(球員狀態!U$2:U$5000, MATCH(1, (球員狀態!$A$2:$A$5000=$DF$1)*(ISNUMBER(SEARCH($DF130, 球員狀態!$B$2:$B$5000))), 0)), "")</f>
        <v/>
      </c>
      <c r="DZ130" s="4" t="str">
        <f t="array" ref="DZ130">IFERROR(INDEX(球員狀態!V$2:V$5000, MATCH(1, (球員狀態!$A$2:$A$5000=$DF$1)*(ISNUMBER(SEARCH($DF130, 球員狀態!$B$2:$B$5000))), 0)), "")</f>
        <v/>
      </c>
      <c r="EA130" s="4" t="str">
        <f t="array" ref="EA130">IFERROR(INDEX(球員狀態!W$2:W$5000,MATCH(1,(球員狀態!$A$2:$A$5000=$DF$121)*(ISNUMBER(SEARCH($DF130,球員狀態!$B$2:$B$5000))),0)),"")</f>
        <v/>
      </c>
      <c r="EB130" s="4" t="str">
        <f t="array" ref="EB130">IFERROR(INDEX(球員狀態!X$2:X$5000, MATCH(1, (球員狀態!$A$2:$A$5000=$DF$1)*(ISNUMBER(SEARCH($DF130, 球員狀態!$B$2:$B$5000))), 0)), "")</f>
        <v/>
      </c>
      <c r="EC130" s="4" t="str">
        <f t="array" ref="EC130">IFERROR(INDEX(球員狀態!Y$2:Y$5000, MATCH(1, (球員狀態!$A$2:$A$5000=$DF$1)*(ISNUMBER(SEARCH($DF130, 球員狀態!$B$2:$B$5000))), 0)), "")</f>
        <v/>
      </c>
      <c r="ED130" s="4" t="str">
        <f t="array" ref="ED130">IFERROR(INDEX(球員狀態!Z$2:Z$5000,MATCH(1,(球員狀態!$A$2:$A$5000=$DF$121)*(ISNUMBER(SEARCH($DF130,球員狀態!$B$2:$B$5000))),0)),"")</f>
        <v/>
      </c>
      <c r="EE130" s="4" t="str">
        <f t="array" ref="EE130">IFERROR(INDEX(球員狀態!AA$2:AA$5000,MATCH(1,(球員狀態!$A$2:$A$5000=$DF$121)*(ISNUMBER(SEARCH($DF130,球員狀態!$B$2:$B$5000))),0)),"")</f>
        <v/>
      </c>
      <c r="EF130" s="4" t="str">
        <f t="array" ref="EF130">IFERROR(INDEX(球員狀態!AB$2:AB$5000,MATCH(1,(球員狀態!$A$2:$A$5000=$DF$121)*(ISNUMBER(SEARCH($DF130,球員狀態!$B$2:$B$5000))),0)),"")</f>
        <v/>
      </c>
      <c r="EG130" s="56"/>
      <c r="EI130" s="35" t="str">
        <f>先發名單!S$6</f>
        <v>Ryan Jeffers</v>
      </c>
      <c r="EJ130" s="4" t="str">
        <f t="array" ref="EJ130">IFERROR(INDEX(球員狀態!C$2:C$5000, MATCH(1, (球員狀態!$A$2:$A$5000=$EI$121)*(ISNUMBER(SEARCH($EI130, 球員狀態!$B$2:$B$5000))), 0)), "")</f>
        <v/>
      </c>
      <c r="EM130" s="4" t="str">
        <f t="array" ref="EM130">IFERROR(INDEX(球員狀態!F$2:F$5000, MATCH(1, (球員狀態!$A$2:$A$5000=$EI$121)*(ISNUMBER(SEARCH($EI130, 球員狀態!$B$2:$B$5000))), 0)), "")</f>
        <v/>
      </c>
      <c r="EN130" s="4" t="str">
        <f t="array" ref="EN130">IFERROR(INDEX(球員狀態!G$2:G$5000, MATCH(1, (球員狀態!$A$2:$A$5000=$EI$1)*(ISNUMBER(SEARCH($EI130, 球員狀態!$B$2:$B$5000))), 0)), "")</f>
        <v/>
      </c>
      <c r="EO130" s="4" t="str">
        <f t="array" ref="EO130">IFERROR(INDEX(球員狀態!H$2:H$5000, MATCH(1, (球員狀態!$A$2:$A$5000=$EI$121)*(ISNUMBER(SEARCH($EI130, 球員狀態!$B$2:$B$5000))), 0)), "")</f>
        <v/>
      </c>
      <c r="EP130" s="4" t="str">
        <f t="array" ref="EP130">IFERROR(INDEX(球員狀態!I$2:I$5000, MATCH(1, (球員狀態!$A$2:$A$5000=$EI$121)*(ISNUMBER(SEARCH($EI130, 球員狀態!$B$2:$B$5000))), 0)), "")</f>
        <v/>
      </c>
      <c r="EQ130" s="4" t="str">
        <f t="array" ref="EQ130">IFERROR(INDEX(球員狀態!J$2:J$5000, MATCH(1, (球員狀態!$A$2:$A$5000=$EI$121)*(ISNUMBER(SEARCH($EI130, 球員狀態!$B$2:$B$5000))), 0)), "")</f>
        <v/>
      </c>
      <c r="ER130" s="4" t="str">
        <f t="array" ref="ER130">IFERROR(INDEX(球員狀態!K$2:K$5000, MATCH(1, (球員狀態!$A$2:$A$5000=$EI$121)*(ISNUMBER(SEARCH($EI130, 球員狀態!$B$2:$B$5000))), 0)), "")</f>
        <v/>
      </c>
      <c r="ES130" s="4" t="str">
        <f t="array" ref="ES130">IFERROR(INDEX(球員狀態!L$2:L$5000, MATCH(1, (球員狀態!$A$2:$A$5000=$EI$121)*(ISNUMBER(SEARCH($EI130, 球員狀態!$B$2:$B$5000))), 0)), "")</f>
        <v/>
      </c>
      <c r="ET130" s="4" t="str">
        <f t="array" ref="ET130">IFERROR(INDEX(球員狀態!M$2:M$5000, MATCH(1, (球員狀態!$A$2:$A$5000=$EI$121)*(ISNUMBER(SEARCH($EI130, 球員狀態!$B$2:$B$5000))), 0)), "")</f>
        <v/>
      </c>
      <c r="EU130" s="4" t="str">
        <f t="array" ref="EU130">IFERROR(INDEX(球員狀態!N$2:N$5000, MATCH(1, (球員狀態!$A$2:$A$5000=$EI$121)*(ISNUMBER(SEARCH($EI130, 球員狀態!$B$2:$B$5000))), 0)), "")</f>
        <v/>
      </c>
      <c r="EV130" s="4" t="str">
        <f t="array" ref="EV130">IFERROR(INDEX(球員狀態!O$2:O$5000, MATCH(1, (球員狀態!$A$2:$A$5000=$EI$1)*(ISNUMBER(SEARCH($EI130, 球員狀態!$B$2:$B$5000))), 0)), "")</f>
        <v/>
      </c>
      <c r="EW130" s="4" t="str">
        <f t="array" ref="EW130">IFERROR(INDEX(球員狀態!P$2:P$5000, MATCH(1, (球員狀態!$A$2:$A$5000=$EI$1)*(ISNUMBER(SEARCH($EI130, 球員狀態!$B$2:$B$5000))), 0)), "")</f>
        <v/>
      </c>
      <c r="EX130" s="4" t="str">
        <f t="array" ref="EX130">IFERROR(INDEX(球員狀態!Q$2:Q$5000, MATCH(1, (球員狀態!$A$2:$A$5000=$EI$121)*(ISNUMBER(SEARCH($EI130, 球員狀態!$B$2:$B$5000))), 0)), "")</f>
        <v/>
      </c>
      <c r="EY130" s="4" t="str">
        <f t="array" ref="EY130">IFERROR(INDEX(球員狀態!R$2:R$5000, MATCH(1, (球員狀態!$A$2:$A$5000=$EI$1)*(ISNUMBER(SEARCH($EI130, 球員狀態!$B$2:$B$5000))), 0)), "")</f>
        <v/>
      </c>
      <c r="EZ130" s="4" t="str">
        <f t="array" ref="EZ130">IFERROR(INDEX(球員狀態!S$2:S$5000, MATCH(1, (球員狀態!$A$2:$A$5000=$EI$1)*(ISNUMBER(SEARCH($EI130, 球員狀態!$B$2:$B$5000))), 0)), "")</f>
        <v/>
      </c>
      <c r="FA130" s="4" t="str">
        <f t="array" ref="FA130">IFERROR(INDEX(球員狀態!T$2:T$5000, MATCH(1, (球員狀態!$A$2:$A$5000=$EI$121)*(ISNUMBER(SEARCH($EI130, 球員狀態!$B$2:$B$5000))), 0)), "")</f>
        <v/>
      </c>
      <c r="FB130" s="4" t="str">
        <f t="array" ref="FB130">IFERROR(INDEX(球員狀態!U$2:U$5000, MATCH(1, (球員狀態!$A$2:$A$5000=$EI$1)*(ISNUMBER(SEARCH($EI130, 球員狀態!$B$2:$B$5000))), 0)), "")</f>
        <v/>
      </c>
      <c r="FC130" s="4" t="str">
        <f t="array" ref="FC130">IFERROR(INDEX(球員狀態!V$2:V$5000, MATCH(1, (球員狀態!$A$2:$A$5000=$EI$1)*(ISNUMBER(SEARCH($EI130, 球員狀態!$B$2:$B$5000))), 0)), "")</f>
        <v/>
      </c>
      <c r="FD130" s="4" t="str">
        <f t="array" ref="FD130">IFERROR(INDEX(球員狀態!W$2:W$5000, MATCH(1, (球員狀態!$A$2:$A$5000=$EI$121)*(ISNUMBER(SEARCH($EI130, 球員狀態!$B$2:$B$5000))), 0)), "")</f>
        <v/>
      </c>
      <c r="FE130" s="4" t="str">
        <f t="array" ref="FE130">IFERROR(INDEX(球員狀態!X$2:X$5000, MATCH(1, (球員狀態!$A$2:$A$5000=$EI$1)*(ISNUMBER(SEARCH($EI130, 球員狀態!$B$2:$B$5000))), 0)), "")</f>
        <v/>
      </c>
      <c r="FF130" s="4" t="str">
        <f t="array" ref="FF130">IFERROR(INDEX(球員狀態!Y$2:Y$5000, MATCH(1, (球員狀態!$A$2:$A$5000=$EI$1)*(ISNUMBER(SEARCH($EI130, 球員狀態!$B$2:$B$5000))), 0)), "")</f>
        <v/>
      </c>
      <c r="FG130" s="4" t="str">
        <f t="array" ref="FG130">IFERROR(INDEX(球員狀態!Z$2:Z$5000, MATCH(1, (球員狀態!$A$2:$A$5000=$EI$121)*(ISNUMBER(SEARCH($EI130, 球員狀態!$B$2:$B$5000))), 0)), "")</f>
        <v/>
      </c>
      <c r="FH130" s="4" t="str">
        <f t="array" ref="FH130">IFERROR(INDEX(球員狀態!AA$2:AA$5000, MATCH(1, (球員狀態!$A$2:$A$5000=$EI$121)*(ISNUMBER(SEARCH($EI130, 球員狀態!$B$2:$B$5000))), 0)), "")</f>
        <v/>
      </c>
      <c r="FI130" s="4" t="str">
        <f t="array" ref="FI130">IFERROR(INDEX(球員狀態!AB$2:AB$5000, MATCH(1, (球員狀態!$A$2:$A$5000=$EI$121)*(ISNUMBER(SEARCH($EI130, 球員狀態!$B$2:$B$5000))), 0)), "")</f>
        <v/>
      </c>
    </row>
    <row r="131" spans="110:165">
      <c r="DF131" s="33"/>
      <c r="DH131" s="40" t="e">
        <f>DJ131+DL131+DM131+DN131+DO131-DP131-DQ131+DR131</f>
        <v>#VALUE!</v>
      </c>
      <c r="DI131" s="42" t="e">
        <f>DU131+DX131+EA131+ED131+EE131+EF131</f>
        <v>#VALUE!</v>
      </c>
      <c r="DJ131" s="38" t="e">
        <f>VLOOKUP(DJ130*1, FK$2:FM$12, 3, TRUE)*FM$1</f>
        <v>#VALUE!</v>
      </c>
      <c r="DL131" s="38" t="e">
        <f>VLOOKUP(DL130*1, FN$2:FP$12, 3, TRUE)*FP$1</f>
        <v>#VALUE!</v>
      </c>
      <c r="DM131" s="38" t="e">
        <f>VLOOKUP(DM130*1, FQ$2:FS$12, 3, TRUE)*FS$1</f>
        <v>#VALUE!</v>
      </c>
      <c r="DN131" s="38" t="e">
        <f>VLOOKUP(DN130*1, FT$2:FV$12, 3, TRUE)*FV$1</f>
        <v>#VALUE!</v>
      </c>
      <c r="DO131" s="38" t="e">
        <f>VLOOKUP(DO130*1, FW$2:FY$12, 3, TRUE)*FY$1</f>
        <v>#VALUE!</v>
      </c>
      <c r="DP131" s="39" t="e">
        <f>VLOOKUP(DP130*1, FK$14:FM$25, 3, TRUE)*FM$14</f>
        <v>#VALUE!</v>
      </c>
      <c r="DQ131" s="39" t="e">
        <f>VLOOKUP(DQ130*1, FN$14:FP$25, 3, TRUE)*FP$14</f>
        <v>#VALUE!</v>
      </c>
      <c r="DR131" s="38" t="e">
        <f>VLOOKUP(DR130*1, FQ$14:FS$25, 3, TRUE)*FS$14</f>
        <v>#VALUE!</v>
      </c>
      <c r="DU131" s="41" t="e">
        <f>VLOOKUP(DU130*1, FK$27:FM$38, 3, TRUE)*FM$27</f>
        <v>#VALUE!</v>
      </c>
      <c r="DX131" s="41" t="e">
        <f>VLOOKUP(DX130*1, FN$27:FP$38, 3, TRUE)*FP$27</f>
        <v>#VALUE!</v>
      </c>
      <c r="EA131" s="41" t="e">
        <f>VLOOKUP(EA130*1, FQ$27:FS$38, 3, TRUE)*FS$27</f>
        <v>#VALUE!</v>
      </c>
      <c r="ED131" s="41" t="e">
        <f>VLOOKUP(ED130*1, FT$27:FV$38, 3, TRUE)*FV$27</f>
        <v>#VALUE!</v>
      </c>
      <c r="EE131" s="41" t="e">
        <f>VLOOKUP(EE130*1, FW$27:FY$38, 3, TRUE)*FY$27</f>
        <v>#VALUE!</v>
      </c>
      <c r="EF131" s="41" t="e">
        <f>VLOOKUP(EF130*1, FK$40:FM$51, 3, TRUE)*FM$40</f>
        <v>#VALUE!</v>
      </c>
      <c r="EG131" s="57"/>
      <c r="EI131" s="33"/>
      <c r="EK131" s="40" t="e">
        <f>EM131+EO131+EP131+EQ131+ER131-ES131-ET131+EU131</f>
        <v>#VALUE!</v>
      </c>
      <c r="EL131" s="42" t="e">
        <f>EX131+FA131+FD131+FG131+FH131+FI131</f>
        <v>#VALUE!</v>
      </c>
      <c r="EM131" s="38" t="e">
        <f>VLOOKUP(EM130*1, $FK$2:$FM$12, 3, TRUE)*$FM$1</f>
        <v>#VALUE!</v>
      </c>
      <c r="EO131" s="38" t="e">
        <f>VLOOKUP(EO130*1, $FN$2:$FP$12, 3, TRUE)*$FP$1</f>
        <v>#VALUE!</v>
      </c>
      <c r="EP131" s="38" t="e">
        <f>VLOOKUP(EP130*1, $FQ$2:$FS$12, 3, TRUE)*$FS$1</f>
        <v>#VALUE!</v>
      </c>
      <c r="EQ131" s="38" t="e">
        <f>VLOOKUP(EQ130*1, $FT$2:$FV$12, 3, TRUE)*$FV$1</f>
        <v>#VALUE!</v>
      </c>
      <c r="ER131" s="38" t="e">
        <f>VLOOKUP(ER130*1, $FW$2:$FY$12, 3, TRUE)*$FY$1</f>
        <v>#VALUE!</v>
      </c>
      <c r="ES131" s="39" t="e">
        <f>VLOOKUP(ES130*1, $FK$14:$FM$25, 3, TRUE)*$FM$14</f>
        <v>#VALUE!</v>
      </c>
      <c r="ET131" s="39" t="e">
        <f>VLOOKUP(ET130*1, $FN$14:$FP$25, 3, TRUE)*$FP$14</f>
        <v>#VALUE!</v>
      </c>
      <c r="EU131" s="38" t="e">
        <f>VLOOKUP(EU130*1, $FQ$14:$FS$25, 3, TRUE)*$FS$14</f>
        <v>#VALUE!</v>
      </c>
      <c r="EX131" s="41" t="e">
        <f>VLOOKUP(EX130*1, $FK$27:$FM$38, 3, TRUE)*$FM$27</f>
        <v>#VALUE!</v>
      </c>
      <c r="FA131" s="41" t="e">
        <f>VLOOKUP(FA130*1, $FN$27:$FP$38, 3, TRUE)*$FP$27</f>
        <v>#VALUE!</v>
      </c>
      <c r="FD131" s="41" t="e">
        <f>VLOOKUP(FD130*1, $FQ$27:$FS$38, 3, TRUE)*$FS$27</f>
        <v>#VALUE!</v>
      </c>
      <c r="FG131" s="41" t="e">
        <f>VLOOKUP(FG130*1, $FT$27:$FV$38, 3, TRUE)*$FV$27</f>
        <v>#VALUE!</v>
      </c>
      <c r="FH131" s="41" t="e">
        <f>VLOOKUP(FH130*1, $FW$27:$FY$38, 3, TRUE)*$FY$27</f>
        <v>#VALUE!</v>
      </c>
      <c r="FI131" s="41" t="e">
        <f>VLOOKUP(FI130*1, $FK$40:$FM$51, 3, TRUE)*$FM$40</f>
        <v>#VALUE!</v>
      </c>
    </row>
    <row r="132" spans="110:165">
      <c r="DF132" s="37" t="str">
        <f>先發名單!J$6</f>
        <v>Josh Naylor</v>
      </c>
      <c r="DG132" s="4" t="str">
        <f t="array" ref="DG132">IFERROR(INDEX(球員狀態!$C$2:$C$5000, MATCH(1, (球員狀態!$A$2:$A$5000=$DF$121)*(ISNUMBER(SEARCH($DF132, 球員狀態!$B$2:$B$5000))), 0)), "")</f>
        <v/>
      </c>
      <c r="DJ132" s="4" t="str">
        <f t="array" ref="DJ132">IFERROR(INDEX(球員狀態!$F$2:$F$5000,MATCH(1,(球員狀態!$A$2:$A$5000=$DF$121)*(ISNUMBER(SEARCH($DF132,球員狀態!$B$2:$B$5000))),0)),"")</f>
        <v/>
      </c>
      <c r="DK132" s="4" t="str">
        <f t="array" ref="DK132">IFERROR(INDEX(球員狀態!G$2:G$5000, MATCH(1, (球員狀態!$A$2:$A$5000=$DF$1)*(ISNUMBER(SEARCH($DF132, 球員狀態!$B$2:$B$5000))), 0)), "")</f>
        <v/>
      </c>
      <c r="DL132" s="4" t="str">
        <f t="array" ref="DL132">IFERROR(INDEX(球員狀態!H$2:H$5000, MATCH(1, (球員狀態!$A$2:$A$5000=$DF$121)*(ISNUMBER(SEARCH($DF132, 球員狀態!$B$2:$B$5000))), 0)), "")</f>
        <v/>
      </c>
      <c r="DM132" s="4" t="str">
        <f t="array" ref="DM132">IFERROR(INDEX(球員狀態!I$2:I$5000,MATCH(1,(球員狀態!$A$2:$A$5000=$DF$121)*(ISNUMBER(SEARCH($DF132,球員狀態!$B$2:$B$5000))),0)),"")</f>
        <v/>
      </c>
      <c r="DN132" s="4" t="str">
        <f t="array" ref="DN132">IFERROR(INDEX(球員狀態!J$2:J$5000,MATCH(1,(球員狀態!$A$2:$A$5000=$DF$121)*(ISNUMBER(SEARCH($DF132,球員狀態!$B$2:$B$5000))),0)),"")</f>
        <v/>
      </c>
      <c r="DO132" s="4" t="str">
        <f t="array" ref="DO132">IFERROR(INDEX(球員狀態!K$2:K$5000,MATCH(1,(球員狀態!$A$2:$A$5000=$DF$121)*(ISNUMBER(SEARCH($DF132,球員狀態!$B$2:$B$5000))),0)),"")</f>
        <v/>
      </c>
      <c r="DP132" s="4" t="str">
        <f t="array" ref="DP132">IFERROR(INDEX(球員狀態!L$2:L$5000,MATCH(1,(球員狀態!$A$2:$A$5000=$DF$121)*(ISNUMBER(SEARCH($DF132,球員狀態!$B$2:$B$5000))),0)),"")</f>
        <v/>
      </c>
      <c r="DQ132" s="4" t="str">
        <f t="array" ref="DQ132">IFERROR(INDEX(球員狀態!M$2:M$5000,MATCH(1,(球員狀態!$A$2:$A$5000=$DF$121)*(ISNUMBER(SEARCH($DF132,球員狀態!$B$2:$B$5000))),0)),"")</f>
        <v/>
      </c>
      <c r="DR132" s="4" t="str">
        <f t="array" ref="DR132">IFERROR(INDEX(球員狀態!N$2:N$5000,MATCH(1,(球員狀態!$A$2:$A$5000=$DF$121)*(ISNUMBER(SEARCH($DF132,球員狀態!$B$2:$B$5000))),0)),"")</f>
        <v/>
      </c>
      <c r="DS132" s="4" t="str">
        <f t="array" ref="DS132">IFERROR(INDEX(球員狀態!O$2:O$5000, MATCH(1, (球員狀態!$A$2:$A$5000=$DF$1)*(ISNUMBER(SEARCH($DF132, 球員狀態!$B$2:$B$5000))), 0)), "")</f>
        <v/>
      </c>
      <c r="DT132" s="4" t="str">
        <f t="array" ref="DT132">IFERROR(INDEX(球員狀態!P$2:P$5000, MATCH(1, (球員狀態!$A$2:$A$5000=$DF$1)*(ISNUMBER(SEARCH($DF132, 球員狀態!$B$2:$B$5000))), 0)), "")</f>
        <v/>
      </c>
      <c r="DU132" s="4" t="str">
        <f t="array" ref="DU132">IFERROR(INDEX(球員狀態!Q$2:Q$5000,MATCH(1,(球員狀態!$A$2:$A$5000=$DF$121)*(ISNUMBER(SEARCH($DF132,球員狀態!$B$2:$B$5000))),0)),"")</f>
        <v/>
      </c>
      <c r="DV132" s="4" t="str">
        <f t="array" ref="DV132">IFERROR(INDEX(球員狀態!R$2:R$5000, MATCH(1, (球員狀態!$A$2:$A$5000=$DF$1)*(ISNUMBER(SEARCH($DF132, 球員狀態!$B$2:$B$5000))), 0)), "")</f>
        <v/>
      </c>
      <c r="DW132" s="4" t="str">
        <f t="array" ref="DW132">IFERROR(INDEX(球員狀態!S$2:S$5000, MATCH(1, (球員狀態!$A$2:$A$5000=$DF$1)*(ISNUMBER(SEARCH($DF132, 球員狀態!$B$2:$B$5000))), 0)), "")</f>
        <v/>
      </c>
      <c r="DX132" s="4" t="str">
        <f t="array" ref="DX132">IFERROR(INDEX(球員狀態!T$2:T$5000,MATCH(1,(球員狀態!$A$2:$A$5000=$DF$121)*(ISNUMBER(SEARCH($DF132,球員狀態!$B$2:$B$5000))),0)),"")</f>
        <v/>
      </c>
      <c r="DY132" s="4" t="str">
        <f t="array" ref="DY132">IFERROR(INDEX(球員狀態!U$2:U$5000, MATCH(1, (球員狀態!$A$2:$A$5000=$DF$1)*(ISNUMBER(SEARCH($DF132, 球員狀態!$B$2:$B$5000))), 0)), "")</f>
        <v/>
      </c>
      <c r="DZ132" s="4" t="str">
        <f t="array" ref="DZ132">IFERROR(INDEX(球員狀態!V$2:V$5000, MATCH(1, (球員狀態!$A$2:$A$5000=$DF$1)*(ISNUMBER(SEARCH($DF132, 球員狀態!$B$2:$B$5000))), 0)), "")</f>
        <v/>
      </c>
      <c r="EA132" s="4" t="str">
        <f t="array" ref="EA132">IFERROR(INDEX(球員狀態!W$2:W$5000,MATCH(1,(球員狀態!$A$2:$A$5000=$DF$121)*(ISNUMBER(SEARCH($DF132,球員狀態!$B$2:$B$5000))),0)),"")</f>
        <v/>
      </c>
      <c r="EB132" s="4" t="str">
        <f t="array" ref="EB132">IFERROR(INDEX(球員狀態!X$2:X$5000, MATCH(1, (球員狀態!$A$2:$A$5000=$DF$1)*(ISNUMBER(SEARCH($DF132, 球員狀態!$B$2:$B$5000))), 0)), "")</f>
        <v/>
      </c>
      <c r="EC132" s="4" t="str">
        <f t="array" ref="EC132">IFERROR(INDEX(球員狀態!Y$2:Y$5000, MATCH(1, (球員狀態!$A$2:$A$5000=$DF$1)*(ISNUMBER(SEARCH($DF132, 球員狀態!$B$2:$B$5000))), 0)), "")</f>
        <v/>
      </c>
      <c r="ED132" s="4" t="str">
        <f t="array" ref="ED132">IFERROR(INDEX(球員狀態!Z$2:Z$5000,MATCH(1,(球員狀態!$A$2:$A$5000=$DF$121)*(ISNUMBER(SEARCH($DF132,球員狀態!$B$2:$B$5000))),0)),"")</f>
        <v/>
      </c>
      <c r="EE132" s="4" t="str">
        <f t="array" ref="EE132">IFERROR(INDEX(球員狀態!AA$2:AA$5000,MATCH(1,(球員狀態!$A$2:$A$5000=$DF$121)*(ISNUMBER(SEARCH($DF132,球員狀態!$B$2:$B$5000))),0)),"")</f>
        <v/>
      </c>
      <c r="EF132" s="4" t="str">
        <f t="array" ref="EF132">IFERROR(INDEX(球員狀態!AB$2:AB$5000,MATCH(1,(球員狀態!$A$2:$A$5000=$DF$121)*(ISNUMBER(SEARCH($DF132,球員狀態!$B$2:$B$5000))),0)),"")</f>
        <v/>
      </c>
      <c r="EG132" s="56"/>
      <c r="EI132" s="37" t="str">
        <f>先發名單!T$6</f>
        <v>Kody Clemens</v>
      </c>
      <c r="EJ132" s="4" t="str">
        <f t="array" ref="EJ132">IFERROR(INDEX(球員狀態!C$2:C$5000, MATCH(1, (球員狀態!$A$2:$A$5000=$EI$121)*(ISNUMBER(SEARCH($EI132, 球員狀態!$B$2:$B$5000))), 0)), "")</f>
        <v/>
      </c>
      <c r="EM132" s="4" t="str">
        <f t="array" ref="EM132">IFERROR(INDEX(球員狀態!F$2:F$5000, MATCH(1, (球員狀態!$A$2:$A$5000=$EI$121)*(ISNUMBER(SEARCH($EI132, 球員狀態!$B$2:$B$5000))), 0)), "")</f>
        <v/>
      </c>
      <c r="EN132" s="4" t="str">
        <f t="array" ref="EN132">IFERROR(INDEX(球員狀態!G$2:G$5000, MATCH(1, (球員狀態!$A$2:$A$5000=$EI$1)*(ISNUMBER(SEARCH($EI132, 球員狀態!$B$2:$B$5000))), 0)), "")</f>
        <v/>
      </c>
      <c r="EO132" s="4" t="str">
        <f t="array" ref="EO132">IFERROR(INDEX(球員狀態!H$2:H$5000, MATCH(1, (球員狀態!$A$2:$A$5000=$EI$121)*(ISNUMBER(SEARCH($EI132, 球員狀態!$B$2:$B$5000))), 0)), "")</f>
        <v/>
      </c>
      <c r="EP132" s="4" t="str">
        <f t="array" ref="EP132">IFERROR(INDEX(球員狀態!I$2:I$5000, MATCH(1, (球員狀態!$A$2:$A$5000=$EI$121)*(ISNUMBER(SEARCH($EI132, 球員狀態!$B$2:$B$5000))), 0)), "")</f>
        <v/>
      </c>
      <c r="EQ132" s="4" t="str">
        <f t="array" ref="EQ132">IFERROR(INDEX(球員狀態!J$2:J$5000, MATCH(1, (球員狀態!$A$2:$A$5000=$EI$121)*(ISNUMBER(SEARCH($EI132, 球員狀態!$B$2:$B$5000))), 0)), "")</f>
        <v/>
      </c>
      <c r="ER132" s="4" t="str">
        <f t="array" ref="ER132">IFERROR(INDEX(球員狀態!K$2:K$5000, MATCH(1, (球員狀態!$A$2:$A$5000=$EI$121)*(ISNUMBER(SEARCH($EI132, 球員狀態!$B$2:$B$5000))), 0)), "")</f>
        <v/>
      </c>
      <c r="ES132" s="4" t="str">
        <f t="array" ref="ES132">IFERROR(INDEX(球員狀態!L$2:L$5000, MATCH(1, (球員狀態!$A$2:$A$5000=$EI$121)*(ISNUMBER(SEARCH($EI132, 球員狀態!$B$2:$B$5000))), 0)), "")</f>
        <v/>
      </c>
      <c r="ET132" s="4" t="str">
        <f t="array" ref="ET132">IFERROR(INDEX(球員狀態!M$2:M$5000, MATCH(1, (球員狀態!$A$2:$A$5000=$EI$121)*(ISNUMBER(SEARCH($EI132, 球員狀態!$B$2:$B$5000))), 0)), "")</f>
        <v/>
      </c>
      <c r="EU132" s="4" t="str">
        <f t="array" ref="EU132">IFERROR(INDEX(球員狀態!N$2:N$5000, MATCH(1, (球員狀態!$A$2:$A$5000=$EI$121)*(ISNUMBER(SEARCH($EI132, 球員狀態!$B$2:$B$5000))), 0)), "")</f>
        <v/>
      </c>
      <c r="EV132" s="4" t="str">
        <f t="array" ref="EV132">IFERROR(INDEX(球員狀態!O$2:O$5000, MATCH(1, (球員狀態!$A$2:$A$5000=$EI$1)*(ISNUMBER(SEARCH($EI132, 球員狀態!$B$2:$B$5000))), 0)), "")</f>
        <v/>
      </c>
      <c r="EW132" s="4" t="str">
        <f t="array" ref="EW132">IFERROR(INDEX(球員狀態!P$2:P$5000, MATCH(1, (球員狀態!$A$2:$A$5000=$EI$1)*(ISNUMBER(SEARCH($EI132, 球員狀態!$B$2:$B$5000))), 0)), "")</f>
        <v/>
      </c>
      <c r="EX132" s="4" t="str">
        <f t="array" ref="EX132">IFERROR(INDEX(球員狀態!Q$2:Q$5000, MATCH(1, (球員狀態!$A$2:$A$5000=$EI$121)*(ISNUMBER(SEARCH($EI132, 球員狀態!$B$2:$B$5000))), 0)), "")</f>
        <v/>
      </c>
      <c r="EY132" s="4" t="str">
        <f t="array" ref="EY132">IFERROR(INDEX(球員狀態!R$2:R$5000, MATCH(1, (球員狀態!$A$2:$A$5000=$EI$1)*(ISNUMBER(SEARCH($EI132, 球員狀態!$B$2:$B$5000))), 0)), "")</f>
        <v/>
      </c>
      <c r="EZ132" s="4" t="str">
        <f t="array" ref="EZ132">IFERROR(INDEX(球員狀態!S$2:S$5000, MATCH(1, (球員狀態!$A$2:$A$5000=$EI$1)*(ISNUMBER(SEARCH($EI132, 球員狀態!$B$2:$B$5000))), 0)), "")</f>
        <v/>
      </c>
      <c r="FA132" s="4" t="str">
        <f t="array" ref="FA132">IFERROR(INDEX(球員狀態!T$2:T$5000, MATCH(1, (球員狀態!$A$2:$A$5000=$EI$121)*(ISNUMBER(SEARCH($EI132, 球員狀態!$B$2:$B$5000))), 0)), "")</f>
        <v/>
      </c>
      <c r="FB132" s="4" t="str">
        <f t="array" ref="FB132">IFERROR(INDEX(球員狀態!U$2:U$5000, MATCH(1, (球員狀態!$A$2:$A$5000=$EI$1)*(ISNUMBER(SEARCH($EI132, 球員狀態!$B$2:$B$5000))), 0)), "")</f>
        <v/>
      </c>
      <c r="FC132" s="4" t="str">
        <f t="array" ref="FC132">IFERROR(INDEX(球員狀態!V$2:V$5000, MATCH(1, (球員狀態!$A$2:$A$5000=$EI$1)*(ISNUMBER(SEARCH($EI132, 球員狀態!$B$2:$B$5000))), 0)), "")</f>
        <v/>
      </c>
      <c r="FD132" s="4" t="str">
        <f t="array" ref="FD132">IFERROR(INDEX(球員狀態!W$2:W$5000, MATCH(1, (球員狀態!$A$2:$A$5000=$EI$121)*(ISNUMBER(SEARCH($EI132, 球員狀態!$B$2:$B$5000))), 0)), "")</f>
        <v/>
      </c>
      <c r="FE132" s="4" t="str">
        <f t="array" ref="FE132">IFERROR(INDEX(球員狀態!X$2:X$5000, MATCH(1, (球員狀態!$A$2:$A$5000=$EI$1)*(ISNUMBER(SEARCH($EI132, 球員狀態!$B$2:$B$5000))), 0)), "")</f>
        <v/>
      </c>
      <c r="FF132" s="4" t="str">
        <f t="array" ref="FF132">IFERROR(INDEX(球員狀態!Y$2:Y$5000, MATCH(1, (球員狀態!$A$2:$A$5000=$EI$1)*(ISNUMBER(SEARCH($EI132, 球員狀態!$B$2:$B$5000))), 0)), "")</f>
        <v/>
      </c>
      <c r="FG132" s="4" t="str">
        <f t="array" ref="FG132">IFERROR(INDEX(球員狀態!Z$2:Z$5000, MATCH(1, (球員狀態!$A$2:$A$5000=$EI$121)*(ISNUMBER(SEARCH($EI132, 球員狀態!$B$2:$B$5000))), 0)), "")</f>
        <v/>
      </c>
      <c r="FH132" s="4" t="str">
        <f t="array" ref="FH132">IFERROR(INDEX(球員狀態!AA$2:AA$5000, MATCH(1, (球員狀態!$A$2:$A$5000=$EI$121)*(ISNUMBER(SEARCH($EI132, 球員狀態!$B$2:$B$5000))), 0)), "")</f>
        <v/>
      </c>
      <c r="FI132" s="4" t="str">
        <f t="array" ref="FI132">IFERROR(INDEX(球員狀態!AB$2:AB$5000, MATCH(1, (球員狀態!$A$2:$A$5000=$EI$121)*(ISNUMBER(SEARCH($EI132, 球員狀態!$B$2:$B$5000))), 0)), "")</f>
        <v/>
      </c>
    </row>
    <row r="133" spans="110:165">
      <c r="DF133" s="33"/>
      <c r="DH133" s="40" t="e">
        <f>DJ133+DL133+DM133+DN133+DO133-DP133-DQ133+DR133</f>
        <v>#VALUE!</v>
      </c>
      <c r="DI133" s="42" t="e">
        <f>DU133+DX133+EA133+ED133+EE133+EF133</f>
        <v>#VALUE!</v>
      </c>
      <c r="DJ133" s="38" t="e">
        <f>VLOOKUP(DJ132*1, FK$2:FM$12, 3, TRUE)*FM$1</f>
        <v>#VALUE!</v>
      </c>
      <c r="DL133" s="38" t="e">
        <f>VLOOKUP(DL132*1, FN$2:FP$12, 3, TRUE)*FP$1</f>
        <v>#VALUE!</v>
      </c>
      <c r="DM133" s="38" t="e">
        <f>VLOOKUP(DM132*1, FQ$2:FS$12, 3, TRUE)*FS$1</f>
        <v>#VALUE!</v>
      </c>
      <c r="DN133" s="38" t="e">
        <f>VLOOKUP(DN132*1, FT$2:FV$12, 3, TRUE)*FV$1</f>
        <v>#VALUE!</v>
      </c>
      <c r="DO133" s="38" t="e">
        <f>VLOOKUP(DO132*1, FW$2:FY$12, 3, TRUE)*FY$1</f>
        <v>#VALUE!</v>
      </c>
      <c r="DP133" s="39" t="e">
        <f>VLOOKUP(DP132*1, FK$14:FM$25, 3, TRUE)*FM$14</f>
        <v>#VALUE!</v>
      </c>
      <c r="DQ133" s="39" t="e">
        <f>VLOOKUP(DQ132*1, FN$14:FP$25, 3, TRUE)*FP$14</f>
        <v>#VALUE!</v>
      </c>
      <c r="DR133" s="38" t="e">
        <f>VLOOKUP(DR132*1, FQ$14:FS$25, 3, TRUE)*FS$14</f>
        <v>#VALUE!</v>
      </c>
      <c r="DU133" s="41" t="e">
        <f>VLOOKUP(DU132*1, FK$27:FM$38, 3, TRUE)*FM$27</f>
        <v>#VALUE!</v>
      </c>
      <c r="DX133" s="41" t="e">
        <f>VLOOKUP(DX132*1, FN$27:FP$38, 3, TRUE)*FP$27</f>
        <v>#VALUE!</v>
      </c>
      <c r="EA133" s="41" t="e">
        <f>VLOOKUP(EA132*1, FQ$27:FS$38, 3, TRUE)*FS$27</f>
        <v>#VALUE!</v>
      </c>
      <c r="ED133" s="41" t="e">
        <f>VLOOKUP(ED132*1, FT$27:FV$38, 3, TRUE)*FV$27</f>
        <v>#VALUE!</v>
      </c>
      <c r="EE133" s="41" t="e">
        <f>VLOOKUP(EE132*1, FW$27:FY$38, 3, TRUE)*FY$27</f>
        <v>#VALUE!</v>
      </c>
      <c r="EF133" s="41" t="e">
        <f>VLOOKUP(EF132*1, FK$40:FM$51, 3, TRUE)*FM$40</f>
        <v>#VALUE!</v>
      </c>
      <c r="EG133" s="57"/>
      <c r="EI133" s="33"/>
      <c r="EK133" s="40" t="e">
        <f>EM133+EO133+EP133+EQ133+ER133-ES133-ET133+EU133</f>
        <v>#VALUE!</v>
      </c>
      <c r="EL133" s="42" t="e">
        <f>EX133+FA133+FD133+FG133+FH133+FI133</f>
        <v>#VALUE!</v>
      </c>
      <c r="EM133" s="38" t="e">
        <f>VLOOKUP(EM132*1, $FK$2:$FM$12, 3, TRUE)*$FM$1</f>
        <v>#VALUE!</v>
      </c>
      <c r="EO133" s="38" t="e">
        <f>VLOOKUP(EO132*1, $FN$2:$FP$12, 3, TRUE)*$FP$1</f>
        <v>#VALUE!</v>
      </c>
      <c r="EP133" s="38" t="e">
        <f>VLOOKUP(EP132*1, $FQ$2:$FS$12, 3, TRUE)*$FS$1</f>
        <v>#VALUE!</v>
      </c>
      <c r="EQ133" s="38" t="e">
        <f>VLOOKUP(EQ132*1, $FT$2:$FV$12, 3, TRUE)*$FV$1</f>
        <v>#VALUE!</v>
      </c>
      <c r="ER133" s="38" t="e">
        <f>VLOOKUP(ER132*1, $FW$2:$FY$12, 3, TRUE)*$FY$1</f>
        <v>#VALUE!</v>
      </c>
      <c r="ES133" s="39" t="e">
        <f>VLOOKUP(ES132*1, $FK$14:$FM$25, 3, TRUE)*$FM$14</f>
        <v>#VALUE!</v>
      </c>
      <c r="ET133" s="39" t="e">
        <f>VLOOKUP(ET132*1, $FN$14:$FP$25, 3, TRUE)*$FP$14</f>
        <v>#VALUE!</v>
      </c>
      <c r="EU133" s="38" t="e">
        <f>VLOOKUP(EU132*1, $FQ$14:$FS$25, 3, TRUE)*$FS$14</f>
        <v>#VALUE!</v>
      </c>
      <c r="EX133" s="41" t="e">
        <f>VLOOKUP(EX132*1, $FK$27:$FM$38, 3, TRUE)*$FM$27</f>
        <v>#VALUE!</v>
      </c>
      <c r="FA133" s="41" t="e">
        <f>VLOOKUP(FA132*1, $FN$27:$FP$38, 3, TRUE)*$FP$27</f>
        <v>#VALUE!</v>
      </c>
      <c r="FD133" s="41" t="e">
        <f>VLOOKUP(FD132*1, $FQ$27:$FS$38, 3, TRUE)*$FS$27</f>
        <v>#VALUE!</v>
      </c>
      <c r="FG133" s="41" t="e">
        <f>VLOOKUP(FG132*1, $FT$27:$FV$38, 3, TRUE)*$FV$27</f>
        <v>#VALUE!</v>
      </c>
      <c r="FH133" s="41" t="e">
        <f>VLOOKUP(FH132*1, $FW$27:$FY$38, 3, TRUE)*$FY$27</f>
        <v>#VALUE!</v>
      </c>
      <c r="FI133" s="41" t="e">
        <f>VLOOKUP(FI132*1, $FK$40:$FM$51, 3, TRUE)*$FM$40</f>
        <v>#VALUE!</v>
      </c>
    </row>
    <row r="134" spans="110:165">
      <c r="DF134" s="37" t="str">
        <f>先發名單!K$6</f>
        <v>R. Arozarena</v>
      </c>
      <c r="DG134" s="4" t="str">
        <f t="array" ref="DG134">IFERROR(INDEX(球員狀態!$C$2:$C$5000, MATCH(1, (球員狀態!$A$2:$A$5000=$DF$121)*(ISNUMBER(SEARCH($DF134, 球員狀態!$B$2:$B$5000))), 0)), "")</f>
        <v/>
      </c>
      <c r="DJ134" s="4" t="str">
        <f t="array" ref="DJ134">IFERROR(INDEX(球員狀態!$F$2:$F$5000,MATCH(1,(球員狀態!$A$2:$A$5000=$DF$121)*(ISNUMBER(SEARCH($DF134,球員狀態!$B$2:$B$5000))),0)),"")</f>
        <v/>
      </c>
      <c r="DK134" s="4" t="str">
        <f t="array" ref="DK134">IFERROR(INDEX(球員狀態!G$2:G$5000, MATCH(1, (球員狀態!$A$2:$A$5000=$DF$1)*(ISNUMBER(SEARCH($DF134, 球員狀態!$B$2:$B$5000))), 0)), "")</f>
        <v/>
      </c>
      <c r="DL134" s="4" t="str">
        <f t="array" ref="DL134">IFERROR(INDEX(球員狀態!H$2:H$5000, MATCH(1, (球員狀態!$A$2:$A$5000=$DF$121)*(ISNUMBER(SEARCH($DF134, 球員狀態!$B$2:$B$5000))), 0)), "")</f>
        <v/>
      </c>
      <c r="DM134" s="4" t="str">
        <f t="array" ref="DM134">IFERROR(INDEX(球員狀態!I$2:I$5000,MATCH(1,(球員狀態!$A$2:$A$5000=$DF$121)*(ISNUMBER(SEARCH($DF134,球員狀態!$B$2:$B$5000))),0)),"")</f>
        <v/>
      </c>
      <c r="DN134" s="4" t="str">
        <f t="array" ref="DN134">IFERROR(INDEX(球員狀態!J$2:J$5000,MATCH(1,(球員狀態!$A$2:$A$5000=$DF$121)*(ISNUMBER(SEARCH($DF134,球員狀態!$B$2:$B$5000))),0)),"")</f>
        <v/>
      </c>
      <c r="DO134" s="4" t="str">
        <f t="array" ref="DO134">IFERROR(INDEX(球員狀態!K$2:K$5000,MATCH(1,(球員狀態!$A$2:$A$5000=$DF$121)*(ISNUMBER(SEARCH($DF134,球員狀態!$B$2:$B$5000))),0)),"")</f>
        <v/>
      </c>
      <c r="DP134" s="4" t="str">
        <f t="array" ref="DP134">IFERROR(INDEX(球員狀態!L$2:L$5000,MATCH(1,(球員狀態!$A$2:$A$5000=$DF$121)*(ISNUMBER(SEARCH($DF134,球員狀態!$B$2:$B$5000))),0)),"")</f>
        <v/>
      </c>
      <c r="DQ134" s="4" t="str">
        <f t="array" ref="DQ134">IFERROR(INDEX(球員狀態!M$2:M$5000,MATCH(1,(球員狀態!$A$2:$A$5000=$DF$121)*(ISNUMBER(SEARCH($DF134,球員狀態!$B$2:$B$5000))),0)),"")</f>
        <v/>
      </c>
      <c r="DR134" s="4" t="str">
        <f t="array" ref="DR134">IFERROR(INDEX(球員狀態!N$2:N$5000,MATCH(1,(球員狀態!$A$2:$A$5000=$DF$121)*(ISNUMBER(SEARCH($DF134,球員狀態!$B$2:$B$5000))),0)),"")</f>
        <v/>
      </c>
      <c r="DS134" s="4" t="str">
        <f t="array" ref="DS134">IFERROR(INDEX(球員狀態!O$2:O$5000, MATCH(1, (球員狀態!$A$2:$A$5000=$DF$1)*(ISNUMBER(SEARCH($DF134, 球員狀態!$B$2:$B$5000))), 0)), "")</f>
        <v/>
      </c>
      <c r="DT134" s="4" t="str">
        <f t="array" ref="DT134">IFERROR(INDEX(球員狀態!P$2:P$5000, MATCH(1, (球員狀態!$A$2:$A$5000=$DF$1)*(ISNUMBER(SEARCH($DF134, 球員狀態!$B$2:$B$5000))), 0)), "")</f>
        <v/>
      </c>
      <c r="DU134" s="4" t="str">
        <f t="array" ref="DU134">IFERROR(INDEX(球員狀態!Q$2:Q$5000,MATCH(1,(球員狀態!$A$2:$A$5000=$DF$121)*(ISNUMBER(SEARCH($DF134,球員狀態!$B$2:$B$5000))),0)),"")</f>
        <v/>
      </c>
      <c r="DV134" s="4" t="str">
        <f t="array" ref="DV134">IFERROR(INDEX(球員狀態!R$2:R$5000, MATCH(1, (球員狀態!$A$2:$A$5000=$DF$1)*(ISNUMBER(SEARCH($DF134, 球員狀態!$B$2:$B$5000))), 0)), "")</f>
        <v/>
      </c>
      <c r="DW134" s="4" t="str">
        <f t="array" ref="DW134">IFERROR(INDEX(球員狀態!S$2:S$5000, MATCH(1, (球員狀態!$A$2:$A$5000=$DF$1)*(ISNUMBER(SEARCH($DF134, 球員狀態!$B$2:$B$5000))), 0)), "")</f>
        <v/>
      </c>
      <c r="DX134" s="4" t="str">
        <f t="array" ref="DX134">IFERROR(INDEX(球員狀態!T$2:T$5000,MATCH(1,(球員狀態!$A$2:$A$5000=$DF$121)*(ISNUMBER(SEARCH($DF134,球員狀態!$B$2:$B$5000))),0)),"")</f>
        <v/>
      </c>
      <c r="DY134" s="4" t="str">
        <f t="array" ref="DY134">IFERROR(INDEX(球員狀態!U$2:U$5000, MATCH(1, (球員狀態!$A$2:$A$5000=$DF$1)*(ISNUMBER(SEARCH($DF134, 球員狀態!$B$2:$B$5000))), 0)), "")</f>
        <v/>
      </c>
      <c r="DZ134" s="4" t="str">
        <f t="array" ref="DZ134">IFERROR(INDEX(球員狀態!V$2:V$5000, MATCH(1, (球員狀態!$A$2:$A$5000=$DF$1)*(ISNUMBER(SEARCH($DF134, 球員狀態!$B$2:$B$5000))), 0)), "")</f>
        <v/>
      </c>
      <c r="EA134" s="4" t="str">
        <f t="array" ref="EA134">IFERROR(INDEX(球員狀態!W$2:W$5000,MATCH(1,(球員狀態!$A$2:$A$5000=$DF$121)*(ISNUMBER(SEARCH($DF134,球員狀態!$B$2:$B$5000))),0)),"")</f>
        <v/>
      </c>
      <c r="EB134" s="4" t="str">
        <f t="array" ref="EB134">IFERROR(INDEX(球員狀態!X$2:X$5000, MATCH(1, (球員狀態!$A$2:$A$5000=$DF$1)*(ISNUMBER(SEARCH($DF134, 球員狀態!$B$2:$B$5000))), 0)), "")</f>
        <v/>
      </c>
      <c r="EC134" s="4" t="str">
        <f t="array" ref="EC134">IFERROR(INDEX(球員狀態!Y$2:Y$5000, MATCH(1, (球員狀態!$A$2:$A$5000=$DF$1)*(ISNUMBER(SEARCH($DF134, 球員狀態!$B$2:$B$5000))), 0)), "")</f>
        <v/>
      </c>
      <c r="ED134" s="4" t="str">
        <f t="array" ref="ED134">IFERROR(INDEX(球員狀態!Z$2:Z$5000,MATCH(1,(球員狀態!$A$2:$A$5000=$DF$121)*(ISNUMBER(SEARCH($DF134,球員狀態!$B$2:$B$5000))),0)),"")</f>
        <v/>
      </c>
      <c r="EE134" s="4" t="str">
        <f t="array" ref="EE134">IFERROR(INDEX(球員狀態!AA$2:AA$5000,MATCH(1,(球員狀態!$A$2:$A$5000=$DF$121)*(ISNUMBER(SEARCH($DF134,球員狀態!$B$2:$B$5000))),0)),"")</f>
        <v/>
      </c>
      <c r="EF134" s="4" t="str">
        <f t="array" ref="EF134">IFERROR(INDEX(球員狀態!AB$2:AB$5000,MATCH(1,(球員狀態!$A$2:$A$5000=$DF$121)*(ISNUMBER(SEARCH($DF134,球員狀態!$B$2:$B$5000))),0)),"")</f>
        <v/>
      </c>
      <c r="EG134" s="56"/>
      <c r="EI134" s="37" t="str">
        <f>先發名單!U$6</f>
        <v>L. Keaschall</v>
      </c>
      <c r="EJ134" s="4" t="str">
        <f t="array" ref="EJ134">IFERROR(INDEX(球員狀態!C$2:C$5000, MATCH(1, (球員狀態!$A$2:$A$5000=$EI$121)*(ISNUMBER(SEARCH($EI134, 球員狀態!$B$2:$B$5000))), 0)), "")</f>
        <v/>
      </c>
      <c r="EM134" s="4" t="str">
        <f t="array" ref="EM134">IFERROR(INDEX(球員狀態!F$2:F$5000, MATCH(1, (球員狀態!$A$2:$A$5000=$EI$121)*(ISNUMBER(SEARCH($EI134, 球員狀態!$B$2:$B$5000))), 0)), "")</f>
        <v/>
      </c>
      <c r="EN134" s="4" t="str">
        <f t="array" ref="EN134">IFERROR(INDEX(球員狀態!G$2:G$5000, MATCH(1, (球員狀態!$A$2:$A$5000=$EI$1)*(ISNUMBER(SEARCH($EI134, 球員狀態!$B$2:$B$5000))), 0)), "")</f>
        <v/>
      </c>
      <c r="EO134" s="4" t="str">
        <f t="array" ref="EO134">IFERROR(INDEX(球員狀態!H$2:H$5000, MATCH(1, (球員狀態!$A$2:$A$5000=$EI$121)*(ISNUMBER(SEARCH($EI134, 球員狀態!$B$2:$B$5000))), 0)), "")</f>
        <v/>
      </c>
      <c r="EP134" s="4" t="str">
        <f t="array" ref="EP134">IFERROR(INDEX(球員狀態!I$2:I$5000, MATCH(1, (球員狀態!$A$2:$A$5000=$EI$121)*(ISNUMBER(SEARCH($EI134, 球員狀態!$B$2:$B$5000))), 0)), "")</f>
        <v/>
      </c>
      <c r="EQ134" s="4" t="str">
        <f t="array" ref="EQ134">IFERROR(INDEX(球員狀態!J$2:J$5000, MATCH(1, (球員狀態!$A$2:$A$5000=$EI$121)*(ISNUMBER(SEARCH($EI134, 球員狀態!$B$2:$B$5000))), 0)), "")</f>
        <v/>
      </c>
      <c r="ER134" s="4" t="str">
        <f t="array" ref="ER134">IFERROR(INDEX(球員狀態!K$2:K$5000, MATCH(1, (球員狀態!$A$2:$A$5000=$EI$121)*(ISNUMBER(SEARCH($EI134, 球員狀態!$B$2:$B$5000))), 0)), "")</f>
        <v/>
      </c>
      <c r="ES134" s="4" t="str">
        <f t="array" ref="ES134">IFERROR(INDEX(球員狀態!L$2:L$5000, MATCH(1, (球員狀態!$A$2:$A$5000=$EI$121)*(ISNUMBER(SEARCH($EI134, 球員狀態!$B$2:$B$5000))), 0)), "")</f>
        <v/>
      </c>
      <c r="ET134" s="4" t="str">
        <f t="array" ref="ET134">IFERROR(INDEX(球員狀態!M$2:M$5000, MATCH(1, (球員狀態!$A$2:$A$5000=$EI$121)*(ISNUMBER(SEARCH($EI134, 球員狀態!$B$2:$B$5000))), 0)), "")</f>
        <v/>
      </c>
      <c r="EU134" s="4" t="str">
        <f t="array" ref="EU134">IFERROR(INDEX(球員狀態!N$2:N$5000, MATCH(1, (球員狀態!$A$2:$A$5000=$EI$121)*(ISNUMBER(SEARCH($EI134, 球員狀態!$B$2:$B$5000))), 0)), "")</f>
        <v/>
      </c>
      <c r="EV134" s="4" t="str">
        <f t="array" ref="EV134">IFERROR(INDEX(球員狀態!O$2:O$5000, MATCH(1, (球員狀態!$A$2:$A$5000=$EI$1)*(ISNUMBER(SEARCH($EI134, 球員狀態!$B$2:$B$5000))), 0)), "")</f>
        <v/>
      </c>
      <c r="EW134" s="4" t="str">
        <f t="array" ref="EW134">IFERROR(INDEX(球員狀態!P$2:P$5000, MATCH(1, (球員狀態!$A$2:$A$5000=$EI$1)*(ISNUMBER(SEARCH($EI134, 球員狀態!$B$2:$B$5000))), 0)), "")</f>
        <v/>
      </c>
      <c r="EX134" s="4" t="str">
        <f t="array" ref="EX134">IFERROR(INDEX(球員狀態!Q$2:Q$5000, MATCH(1, (球員狀態!$A$2:$A$5000=$EI$121)*(ISNUMBER(SEARCH($EI134, 球員狀態!$B$2:$B$5000))), 0)), "")</f>
        <v/>
      </c>
      <c r="EY134" s="4" t="str">
        <f t="array" ref="EY134">IFERROR(INDEX(球員狀態!R$2:R$5000, MATCH(1, (球員狀態!$A$2:$A$5000=$EI$1)*(ISNUMBER(SEARCH($EI134, 球員狀態!$B$2:$B$5000))), 0)), "")</f>
        <v/>
      </c>
      <c r="EZ134" s="4" t="str">
        <f t="array" ref="EZ134">IFERROR(INDEX(球員狀態!S$2:S$5000, MATCH(1, (球員狀態!$A$2:$A$5000=$EI$1)*(ISNUMBER(SEARCH($EI134, 球員狀態!$B$2:$B$5000))), 0)), "")</f>
        <v/>
      </c>
      <c r="FA134" s="4" t="str">
        <f t="array" ref="FA134">IFERROR(INDEX(球員狀態!T$2:T$5000, MATCH(1, (球員狀態!$A$2:$A$5000=$EI$121)*(ISNUMBER(SEARCH($EI134, 球員狀態!$B$2:$B$5000))), 0)), "")</f>
        <v/>
      </c>
      <c r="FB134" s="4" t="str">
        <f t="array" ref="FB134">IFERROR(INDEX(球員狀態!U$2:U$5000, MATCH(1, (球員狀態!$A$2:$A$5000=$EI$1)*(ISNUMBER(SEARCH($EI134, 球員狀態!$B$2:$B$5000))), 0)), "")</f>
        <v/>
      </c>
      <c r="FC134" s="4" t="str">
        <f t="array" ref="FC134">IFERROR(INDEX(球員狀態!V$2:V$5000, MATCH(1, (球員狀態!$A$2:$A$5000=$EI$1)*(ISNUMBER(SEARCH($EI134, 球員狀態!$B$2:$B$5000))), 0)), "")</f>
        <v/>
      </c>
      <c r="FD134" s="4" t="str">
        <f t="array" ref="FD134">IFERROR(INDEX(球員狀態!W$2:W$5000, MATCH(1, (球員狀態!$A$2:$A$5000=$EI$121)*(ISNUMBER(SEARCH($EI134, 球員狀態!$B$2:$B$5000))), 0)), "")</f>
        <v/>
      </c>
      <c r="FE134" s="4" t="str">
        <f t="array" ref="FE134">IFERROR(INDEX(球員狀態!X$2:X$5000, MATCH(1, (球員狀態!$A$2:$A$5000=$EI$1)*(ISNUMBER(SEARCH($EI134, 球員狀態!$B$2:$B$5000))), 0)), "")</f>
        <v/>
      </c>
      <c r="FF134" s="4" t="str">
        <f t="array" ref="FF134">IFERROR(INDEX(球員狀態!Y$2:Y$5000, MATCH(1, (球員狀態!$A$2:$A$5000=$EI$1)*(ISNUMBER(SEARCH($EI134, 球員狀態!$B$2:$B$5000))), 0)), "")</f>
        <v/>
      </c>
      <c r="FG134" s="4" t="str">
        <f t="array" ref="FG134">IFERROR(INDEX(球員狀態!Z$2:Z$5000, MATCH(1, (球員狀態!$A$2:$A$5000=$EI$121)*(ISNUMBER(SEARCH($EI134, 球員狀態!$B$2:$B$5000))), 0)), "")</f>
        <v/>
      </c>
      <c r="FH134" s="4" t="str">
        <f t="array" ref="FH134">IFERROR(INDEX(球員狀態!AA$2:AA$5000, MATCH(1, (球員狀態!$A$2:$A$5000=$EI$121)*(ISNUMBER(SEARCH($EI134, 球員狀態!$B$2:$B$5000))), 0)), "")</f>
        <v/>
      </c>
      <c r="FI134" s="4" t="str">
        <f t="array" ref="FI134">IFERROR(INDEX(球員狀態!AB$2:AB$5000, MATCH(1, (球員狀態!$A$2:$A$5000=$EI$121)*(ISNUMBER(SEARCH($EI134, 球員狀態!$B$2:$B$5000))), 0)), "")</f>
        <v/>
      </c>
    </row>
    <row r="135" spans="110:165">
      <c r="DH135" s="40" t="e">
        <f>DJ135+DL135+DM135+DN135+DO135-DP135-DQ135+DR135</f>
        <v>#VALUE!</v>
      </c>
      <c r="DI135" s="42" t="e">
        <f>DU135+DX135+EA135+ED135+EE135+EF135</f>
        <v>#VALUE!</v>
      </c>
      <c r="DJ135" s="38" t="e">
        <f>VLOOKUP(DJ134*1, FK$2:FM$12, 3, TRUE)*FM$1</f>
        <v>#VALUE!</v>
      </c>
      <c r="DL135" s="38" t="e">
        <f>VLOOKUP(DL134*1, FN$2:FP$12, 3, TRUE)*FP$1</f>
        <v>#VALUE!</v>
      </c>
      <c r="DM135" s="38" t="e">
        <f>VLOOKUP(DM134*1, FQ$2:FS$12, 3, TRUE)*FS$1</f>
        <v>#VALUE!</v>
      </c>
      <c r="DN135" s="38" t="e">
        <f>VLOOKUP(DN134*1, FT$2:FV$12, 3, TRUE)*FV$1</f>
        <v>#VALUE!</v>
      </c>
      <c r="DO135" s="38" t="e">
        <f>VLOOKUP(DO134*1, FW$2:FY$12, 3, TRUE)*FY$1</f>
        <v>#VALUE!</v>
      </c>
      <c r="DP135" s="39" t="e">
        <f>VLOOKUP(DP134*1, FK$14:FM$25, 3, TRUE)*FM$14</f>
        <v>#VALUE!</v>
      </c>
      <c r="DQ135" s="39" t="e">
        <f>VLOOKUP(DQ134*1, FN$14:FP$25, 3, TRUE)*FP$14</f>
        <v>#VALUE!</v>
      </c>
      <c r="DR135" s="38" t="e">
        <f>VLOOKUP(DR134*1, FQ$14:FS$25, 3, TRUE)*FS$14</f>
        <v>#VALUE!</v>
      </c>
      <c r="DU135" s="41" t="e">
        <f>VLOOKUP(DU134*1, FK$27:FM$38, 3, TRUE)*FM$27</f>
        <v>#VALUE!</v>
      </c>
      <c r="DX135" s="41" t="e">
        <f>VLOOKUP(DX134*1, FN$27:FP$38, 3, TRUE)*FP$27</f>
        <v>#VALUE!</v>
      </c>
      <c r="EA135" s="41" t="e">
        <f>VLOOKUP(EA134*1, FQ$27:FS$38, 3, TRUE)*FS$27</f>
        <v>#VALUE!</v>
      </c>
      <c r="ED135" s="41" t="e">
        <f>VLOOKUP(ED134*1, FT$27:FV$38, 3, TRUE)*FV$27</f>
        <v>#VALUE!</v>
      </c>
      <c r="EE135" s="41" t="e">
        <f>VLOOKUP(EE134*1, FW$27:FY$38, 3, TRUE)*FY$27</f>
        <v>#VALUE!</v>
      </c>
      <c r="EF135" s="41" t="e">
        <f>VLOOKUP(EF134*1, FK$40:FM$51, 3, TRUE)*FM$40</f>
        <v>#VALUE!</v>
      </c>
      <c r="EG135" s="57"/>
      <c r="EK135" s="40" t="e">
        <f>EM135+EO135+EP135+EQ135+ER135-ES135-ET135+EU135</f>
        <v>#VALUE!</v>
      </c>
      <c r="EL135" s="42" t="e">
        <f>EX135+FA135+FD135+FG135+FH135+FI135</f>
        <v>#VALUE!</v>
      </c>
      <c r="EM135" s="38" t="e">
        <f>VLOOKUP(EM134*1, $FK$2:$FM$12, 3, TRUE)*$FM$1</f>
        <v>#VALUE!</v>
      </c>
      <c r="EO135" s="38" t="e">
        <f>VLOOKUP(EO134*1, $FN$2:$FP$12, 3, TRUE)*$FP$1</f>
        <v>#VALUE!</v>
      </c>
      <c r="EP135" s="38" t="e">
        <f>VLOOKUP(EP134*1, $FQ$2:$FS$12, 3, TRUE)*$FS$1</f>
        <v>#VALUE!</v>
      </c>
      <c r="EQ135" s="38" t="e">
        <f>VLOOKUP(EQ134*1, $FT$2:$FV$12, 3, TRUE)*$FV$1</f>
        <v>#VALUE!</v>
      </c>
      <c r="ER135" s="38" t="e">
        <f>VLOOKUP(ER134*1, $FW$2:$FY$12, 3, TRUE)*$FY$1</f>
        <v>#VALUE!</v>
      </c>
      <c r="ES135" s="39" t="e">
        <f>VLOOKUP(ES134*1, $FK$14:$FM$25, 3, TRUE)*$FM$14</f>
        <v>#VALUE!</v>
      </c>
      <c r="ET135" s="39" t="e">
        <f>VLOOKUP(ET134*1, $FN$14:$FP$25, 3, TRUE)*$FP$14</f>
        <v>#VALUE!</v>
      </c>
      <c r="EU135" s="38" t="e">
        <f>VLOOKUP(EU134*1, $FQ$14:$FS$25, 3, TRUE)*$FS$14</f>
        <v>#VALUE!</v>
      </c>
      <c r="EX135" s="41" t="e">
        <f>VLOOKUP(EX134*1, $FK$27:$FM$38, 3, TRUE)*$FM$27</f>
        <v>#VALUE!</v>
      </c>
      <c r="FA135" s="41" t="e">
        <f>VLOOKUP(FA134*1, $FN$27:$FP$38, 3, TRUE)*$FP$27</f>
        <v>#VALUE!</v>
      </c>
      <c r="FD135" s="41" t="e">
        <f>VLOOKUP(FD134*1, $FQ$27:$FS$38, 3, TRUE)*$FS$27</f>
        <v>#VALUE!</v>
      </c>
      <c r="FG135" s="41" t="e">
        <f>VLOOKUP(FG134*1, $FT$27:$FV$38, 3, TRUE)*$FV$27</f>
        <v>#VALUE!</v>
      </c>
      <c r="FH135" s="41" t="e">
        <f>VLOOKUP(FH134*1, $FW$27:$FY$38, 3, TRUE)*$FY$27</f>
        <v>#VALUE!</v>
      </c>
      <c r="FI135" s="41" t="e">
        <f>VLOOKUP(FI134*1, $FK$40:$FM$51, 3, TRUE)*$FM$40</f>
        <v>#VALUE!</v>
      </c>
    </row>
    <row r="136" spans="110:165">
      <c r="DF136" s="37" t="str">
        <f>先發名單!L$6</f>
        <v>Connor Joe</v>
      </c>
      <c r="DG136" s="4" t="str">
        <f t="array" ref="DG136">IFERROR(INDEX(球員狀態!$C$2:$C$5000, MATCH(1, (球員狀態!$A$2:$A$5000=$DF$121)*(ISNUMBER(SEARCH($DF136, 球員狀態!$B$2:$B$5000))), 0)), "")</f>
        <v/>
      </c>
      <c r="DJ136" s="4" t="str">
        <f t="array" ref="DJ136">IFERROR(INDEX(球員狀態!$F$2:$F$5000,MATCH(1,(球員狀態!$A$2:$A$5000=$DF$121)*(ISNUMBER(SEARCH($DF136,球員狀態!$B$2:$B$5000))),0)),"")</f>
        <v/>
      </c>
      <c r="DK136" s="4" t="str">
        <f t="array" ref="DK136">IFERROR(INDEX(球員狀態!G$2:G$5000, MATCH(1, (球員狀態!$A$2:$A$5000=$DF$1)*(ISNUMBER(SEARCH($DF136, 球員狀態!$B$2:$B$5000))), 0)), "")</f>
        <v/>
      </c>
      <c r="DL136" s="4" t="str">
        <f t="array" ref="DL136">IFERROR(INDEX(球員狀態!H$2:H$5000, MATCH(1, (球員狀態!$A$2:$A$5000=$DF$121)*(ISNUMBER(SEARCH($DF136, 球員狀態!$B$2:$B$5000))), 0)), "")</f>
        <v/>
      </c>
      <c r="DM136" s="4" t="str">
        <f t="array" ref="DM136">IFERROR(INDEX(球員狀態!I$2:I$5000,MATCH(1,(球員狀態!$A$2:$A$5000=$DF$121)*(ISNUMBER(SEARCH($DF136,球員狀態!$B$2:$B$5000))),0)),"")</f>
        <v/>
      </c>
      <c r="DN136" s="4" t="str">
        <f t="array" ref="DN136">IFERROR(INDEX(球員狀態!J$2:J$5000,MATCH(1,(球員狀態!$A$2:$A$5000=$DF$121)*(ISNUMBER(SEARCH($DF136,球員狀態!$B$2:$B$5000))),0)),"")</f>
        <v/>
      </c>
      <c r="DO136" s="4" t="str">
        <f t="array" ref="DO136">IFERROR(INDEX(球員狀態!K$2:K$5000,MATCH(1,(球員狀態!$A$2:$A$5000=$DF$121)*(ISNUMBER(SEARCH($DF136,球員狀態!$B$2:$B$5000))),0)),"")</f>
        <v/>
      </c>
      <c r="DP136" s="4" t="str">
        <f t="array" ref="DP136">IFERROR(INDEX(球員狀態!L$2:L$5000,MATCH(1,(球員狀態!$A$2:$A$5000=$DF$121)*(ISNUMBER(SEARCH($DF136,球員狀態!$B$2:$B$5000))),0)),"")</f>
        <v/>
      </c>
      <c r="DQ136" s="4" t="str">
        <f t="array" ref="DQ136">IFERROR(INDEX(球員狀態!M$2:M$5000,MATCH(1,(球員狀態!$A$2:$A$5000=$DF$121)*(ISNUMBER(SEARCH($DF136,球員狀態!$B$2:$B$5000))),0)),"")</f>
        <v/>
      </c>
      <c r="DR136" s="4" t="str">
        <f t="array" ref="DR136">IFERROR(INDEX(球員狀態!N$2:N$5000,MATCH(1,(球員狀態!$A$2:$A$5000=$DF$121)*(ISNUMBER(SEARCH($DF136,球員狀態!$B$2:$B$5000))),0)),"")</f>
        <v/>
      </c>
      <c r="DS136" s="4" t="str">
        <f t="array" ref="DS136">IFERROR(INDEX(球員狀態!O$2:O$5000, MATCH(1, (球員狀態!$A$2:$A$5000=$DF$1)*(ISNUMBER(SEARCH($DF136, 球員狀態!$B$2:$B$5000))), 0)), "")</f>
        <v/>
      </c>
      <c r="DT136" s="4" t="str">
        <f t="array" ref="DT136">IFERROR(INDEX(球員狀態!P$2:P$5000, MATCH(1, (球員狀態!$A$2:$A$5000=$DF$1)*(ISNUMBER(SEARCH($DF136, 球員狀態!$B$2:$B$5000))), 0)), "")</f>
        <v/>
      </c>
      <c r="DU136" s="4" t="str">
        <f t="array" ref="DU136">IFERROR(INDEX(球員狀態!Q$2:Q$5000,MATCH(1,(球員狀態!$A$2:$A$5000=$DF$121)*(ISNUMBER(SEARCH($DF136,球員狀態!$B$2:$B$5000))),0)),"")</f>
        <v/>
      </c>
      <c r="DV136" s="4" t="str">
        <f t="array" ref="DV136">IFERROR(INDEX(球員狀態!R$2:R$5000, MATCH(1, (球員狀態!$A$2:$A$5000=$DF$1)*(ISNUMBER(SEARCH($DF136, 球員狀態!$B$2:$B$5000))), 0)), "")</f>
        <v/>
      </c>
      <c r="DW136" s="4" t="str">
        <f t="array" ref="DW136">IFERROR(INDEX(球員狀態!S$2:S$5000, MATCH(1, (球員狀態!$A$2:$A$5000=$DF$1)*(ISNUMBER(SEARCH($DF136, 球員狀態!$B$2:$B$5000))), 0)), "")</f>
        <v/>
      </c>
      <c r="DX136" s="4" t="str">
        <f t="array" ref="DX136">IFERROR(INDEX(球員狀態!T$2:T$5000,MATCH(1,(球員狀態!$A$2:$A$5000=$DF$121)*(ISNUMBER(SEARCH($DF136,球員狀態!$B$2:$B$5000))),0)),"")</f>
        <v/>
      </c>
      <c r="DY136" s="4" t="str">
        <f t="array" ref="DY136">IFERROR(INDEX(球員狀態!U$2:U$5000, MATCH(1, (球員狀態!$A$2:$A$5000=$DF$1)*(ISNUMBER(SEARCH($DF136, 球員狀態!$B$2:$B$5000))), 0)), "")</f>
        <v/>
      </c>
      <c r="DZ136" s="4" t="str">
        <f t="array" ref="DZ136">IFERROR(INDEX(球員狀態!V$2:V$5000, MATCH(1, (球員狀態!$A$2:$A$5000=$DF$1)*(ISNUMBER(SEARCH($DF136, 球員狀態!$B$2:$B$5000))), 0)), "")</f>
        <v/>
      </c>
      <c r="EA136" s="4" t="str">
        <f t="array" ref="EA136">IFERROR(INDEX(球員狀態!W$2:W$5000,MATCH(1,(球員狀態!$A$2:$A$5000=$DF$121)*(ISNUMBER(SEARCH($DF136,球員狀態!$B$2:$B$5000))),0)),"")</f>
        <v/>
      </c>
      <c r="EB136" s="4" t="str">
        <f t="array" ref="EB136">IFERROR(INDEX(球員狀態!X$2:X$5000, MATCH(1, (球員狀態!$A$2:$A$5000=$DF$1)*(ISNUMBER(SEARCH($DF136, 球員狀態!$B$2:$B$5000))), 0)), "")</f>
        <v/>
      </c>
      <c r="EC136" s="4" t="str">
        <f t="array" ref="EC136">IFERROR(INDEX(球員狀態!Y$2:Y$5000, MATCH(1, (球員狀態!$A$2:$A$5000=$DF$1)*(ISNUMBER(SEARCH($DF136, 球員狀態!$B$2:$B$5000))), 0)), "")</f>
        <v/>
      </c>
      <c r="ED136" s="4" t="str">
        <f t="array" ref="ED136">IFERROR(INDEX(球員狀態!Z$2:Z$5000,MATCH(1,(球員狀態!$A$2:$A$5000=$DF$121)*(ISNUMBER(SEARCH($DF136,球員狀態!$B$2:$B$5000))),0)),"")</f>
        <v/>
      </c>
      <c r="EE136" s="4" t="str">
        <f t="array" ref="EE136">IFERROR(INDEX(球員狀態!AA$2:AA$5000,MATCH(1,(球員狀態!$A$2:$A$5000=$DF$121)*(ISNUMBER(SEARCH($DF136,球員狀態!$B$2:$B$5000))),0)),"")</f>
        <v/>
      </c>
      <c r="EF136" s="4" t="str">
        <f t="array" ref="EF136">IFERROR(INDEX(球員狀態!AB$2:AB$5000,MATCH(1,(球員狀態!$A$2:$A$5000=$DF$121)*(ISNUMBER(SEARCH($DF136,球員狀態!$B$2:$B$5000))),0)),"")</f>
        <v/>
      </c>
      <c r="EG136" s="56"/>
      <c r="EI136" s="37" t="str">
        <f>先發名單!V$6</f>
        <v>Matt Wallner</v>
      </c>
      <c r="EJ136" s="4" t="str">
        <f t="array" ref="EJ136">IFERROR(INDEX(球員狀態!C$2:C$5000, MATCH(1, (球員狀態!$A$2:$A$5000=$EI$121)*(ISNUMBER(SEARCH($EI136, 球員狀態!$B$2:$B$5000))), 0)), "")</f>
        <v/>
      </c>
      <c r="EM136" s="4" t="str">
        <f t="array" ref="EM136">IFERROR(INDEX(球員狀態!F$2:F$5000, MATCH(1, (球員狀態!$A$2:$A$5000=$EI$121)*(ISNUMBER(SEARCH($EI136, 球員狀態!$B$2:$B$5000))), 0)), "")</f>
        <v/>
      </c>
      <c r="EN136" s="4" t="str">
        <f t="array" ref="EN136">IFERROR(INDEX(球員狀態!G$2:G$5000, MATCH(1, (球員狀態!$A$2:$A$5000=$EI$1)*(ISNUMBER(SEARCH($EI136, 球員狀態!$B$2:$B$5000))), 0)), "")</f>
        <v/>
      </c>
      <c r="EO136" s="4" t="str">
        <f t="array" ref="EO136">IFERROR(INDEX(球員狀態!H$2:H$5000, MATCH(1, (球員狀態!$A$2:$A$5000=$EI$121)*(ISNUMBER(SEARCH($EI136, 球員狀態!$B$2:$B$5000))), 0)), "")</f>
        <v/>
      </c>
      <c r="EP136" s="4" t="str">
        <f t="array" ref="EP136">IFERROR(INDEX(球員狀態!I$2:I$5000, MATCH(1, (球員狀態!$A$2:$A$5000=$EI$121)*(ISNUMBER(SEARCH($EI136, 球員狀態!$B$2:$B$5000))), 0)), "")</f>
        <v/>
      </c>
      <c r="EQ136" s="4" t="str">
        <f t="array" ref="EQ136">IFERROR(INDEX(球員狀態!J$2:J$5000, MATCH(1, (球員狀態!$A$2:$A$5000=$EI$121)*(ISNUMBER(SEARCH($EI136, 球員狀態!$B$2:$B$5000))), 0)), "")</f>
        <v/>
      </c>
      <c r="ER136" s="4" t="str">
        <f t="array" ref="ER136">IFERROR(INDEX(球員狀態!K$2:K$5000, MATCH(1, (球員狀態!$A$2:$A$5000=$EI$121)*(ISNUMBER(SEARCH($EI136, 球員狀態!$B$2:$B$5000))), 0)), "")</f>
        <v/>
      </c>
      <c r="ES136" s="4" t="str">
        <f t="array" ref="ES136">IFERROR(INDEX(球員狀態!L$2:L$5000, MATCH(1, (球員狀態!$A$2:$A$5000=$EI$121)*(ISNUMBER(SEARCH($EI136, 球員狀態!$B$2:$B$5000))), 0)), "")</f>
        <v/>
      </c>
      <c r="ET136" s="4" t="str">
        <f t="array" ref="ET136">IFERROR(INDEX(球員狀態!M$2:M$5000, MATCH(1, (球員狀態!$A$2:$A$5000=$EI$121)*(ISNUMBER(SEARCH($EI136, 球員狀態!$B$2:$B$5000))), 0)), "")</f>
        <v/>
      </c>
      <c r="EU136" s="4" t="str">
        <f t="array" ref="EU136">IFERROR(INDEX(球員狀態!N$2:N$5000, MATCH(1, (球員狀態!$A$2:$A$5000=$EI$121)*(ISNUMBER(SEARCH($EI136, 球員狀態!$B$2:$B$5000))), 0)), "")</f>
        <v/>
      </c>
      <c r="EV136" s="4" t="str">
        <f t="array" ref="EV136">IFERROR(INDEX(球員狀態!O$2:O$5000, MATCH(1, (球員狀態!$A$2:$A$5000=$EI$1)*(ISNUMBER(SEARCH($EI136, 球員狀態!$B$2:$B$5000))), 0)), "")</f>
        <v/>
      </c>
      <c r="EW136" s="4" t="str">
        <f t="array" ref="EW136">IFERROR(INDEX(球員狀態!P$2:P$5000, MATCH(1, (球員狀態!$A$2:$A$5000=$EI$1)*(ISNUMBER(SEARCH($EI136, 球員狀態!$B$2:$B$5000))), 0)), "")</f>
        <v/>
      </c>
      <c r="EX136" s="4" t="str">
        <f t="array" ref="EX136">IFERROR(INDEX(球員狀態!Q$2:Q$5000, MATCH(1, (球員狀態!$A$2:$A$5000=$EI$121)*(ISNUMBER(SEARCH($EI136, 球員狀態!$B$2:$B$5000))), 0)), "")</f>
        <v/>
      </c>
      <c r="EY136" s="4" t="str">
        <f t="array" ref="EY136">IFERROR(INDEX(球員狀態!R$2:R$5000, MATCH(1, (球員狀態!$A$2:$A$5000=$EI$1)*(ISNUMBER(SEARCH($EI136, 球員狀態!$B$2:$B$5000))), 0)), "")</f>
        <v/>
      </c>
      <c r="EZ136" s="4" t="str">
        <f t="array" ref="EZ136">IFERROR(INDEX(球員狀態!S$2:S$5000, MATCH(1, (球員狀態!$A$2:$A$5000=$EI$1)*(ISNUMBER(SEARCH($EI136, 球員狀態!$B$2:$B$5000))), 0)), "")</f>
        <v/>
      </c>
      <c r="FA136" s="4" t="str">
        <f t="array" ref="FA136">IFERROR(INDEX(球員狀態!T$2:T$5000, MATCH(1, (球員狀態!$A$2:$A$5000=$EI$121)*(ISNUMBER(SEARCH($EI136, 球員狀態!$B$2:$B$5000))), 0)), "")</f>
        <v/>
      </c>
      <c r="FB136" s="4" t="str">
        <f t="array" ref="FB136">IFERROR(INDEX(球員狀態!U$2:U$5000, MATCH(1, (球員狀態!$A$2:$A$5000=$EI$1)*(ISNUMBER(SEARCH($EI136, 球員狀態!$B$2:$B$5000))), 0)), "")</f>
        <v/>
      </c>
      <c r="FC136" s="4" t="str">
        <f t="array" ref="FC136">IFERROR(INDEX(球員狀態!V$2:V$5000, MATCH(1, (球員狀態!$A$2:$A$5000=$EI$1)*(ISNUMBER(SEARCH($EI136, 球員狀態!$B$2:$B$5000))), 0)), "")</f>
        <v/>
      </c>
      <c r="FD136" s="4" t="str">
        <f t="array" ref="FD136">IFERROR(INDEX(球員狀態!W$2:W$5000, MATCH(1, (球員狀態!$A$2:$A$5000=$EI$121)*(ISNUMBER(SEARCH($EI136, 球員狀態!$B$2:$B$5000))), 0)), "")</f>
        <v/>
      </c>
      <c r="FE136" s="4" t="str">
        <f t="array" ref="FE136">IFERROR(INDEX(球員狀態!X$2:X$5000, MATCH(1, (球員狀態!$A$2:$A$5000=$EI$1)*(ISNUMBER(SEARCH($EI136, 球員狀態!$B$2:$B$5000))), 0)), "")</f>
        <v/>
      </c>
      <c r="FF136" s="4" t="str">
        <f t="array" ref="FF136">IFERROR(INDEX(球員狀態!Y$2:Y$5000, MATCH(1, (球員狀態!$A$2:$A$5000=$EI$1)*(ISNUMBER(SEARCH($EI136, 球員狀態!$B$2:$B$5000))), 0)), "")</f>
        <v/>
      </c>
      <c r="FG136" s="4" t="str">
        <f t="array" ref="FG136">IFERROR(INDEX(球員狀態!Z$2:Z$5000, MATCH(1, (球員狀態!$A$2:$A$5000=$EI$121)*(ISNUMBER(SEARCH($EI136, 球員狀態!$B$2:$B$5000))), 0)), "")</f>
        <v/>
      </c>
      <c r="FH136" s="4" t="str">
        <f t="array" ref="FH136">IFERROR(INDEX(球員狀態!AA$2:AA$5000, MATCH(1, (球員狀態!$A$2:$A$5000=$EI$121)*(ISNUMBER(SEARCH($EI136, 球員狀態!$B$2:$B$5000))), 0)), "")</f>
        <v/>
      </c>
      <c r="FI136" s="4" t="str">
        <f t="array" ref="FI136">IFERROR(INDEX(球員狀態!AB$2:AB$5000, MATCH(1, (球員狀態!$A$2:$A$5000=$EI$121)*(ISNUMBER(SEARCH($EI136, 球員狀態!$B$2:$B$5000))), 0)), "")</f>
        <v/>
      </c>
    </row>
    <row r="137" spans="110:165">
      <c r="DH137" s="40" t="e">
        <f>DJ137+DL137+DM137+DN137+DO137-DP137-DQ137+DR137</f>
        <v>#VALUE!</v>
      </c>
      <c r="DI137" s="42" t="e">
        <f>DU137+DX137+EA137+ED137+EE137+EF137</f>
        <v>#VALUE!</v>
      </c>
      <c r="DJ137" s="38" t="e">
        <f>VLOOKUP(DJ136*1, FK$2:FM$12, 3, TRUE)*FM$1</f>
        <v>#VALUE!</v>
      </c>
      <c r="DL137" s="38" t="e">
        <f>VLOOKUP(DL136*1, FN$2:FP$12, 3, TRUE)*FP$1</f>
        <v>#VALUE!</v>
      </c>
      <c r="DM137" s="38" t="e">
        <f>VLOOKUP(DM136*1, FQ$2:FS$12, 3, TRUE)*FS$1</f>
        <v>#VALUE!</v>
      </c>
      <c r="DN137" s="38" t="e">
        <f>VLOOKUP(DN136*1, FT$2:FV$12, 3, TRUE)*FV$1</f>
        <v>#VALUE!</v>
      </c>
      <c r="DO137" s="38" t="e">
        <f>VLOOKUP(DO136*1, FW$2:FY$12, 3, TRUE)*FY$1</f>
        <v>#VALUE!</v>
      </c>
      <c r="DP137" s="39" t="e">
        <f>VLOOKUP(DP136*1, FK$14:FM$25, 3, TRUE)*FM$14</f>
        <v>#VALUE!</v>
      </c>
      <c r="DQ137" s="39" t="e">
        <f>VLOOKUP(DQ136*1, FN$14:FP$25, 3, TRUE)*FP$14</f>
        <v>#VALUE!</v>
      </c>
      <c r="DR137" s="38" t="e">
        <f>VLOOKUP(DR136*1, FQ$14:FS$25, 3, TRUE)*FS$14</f>
        <v>#VALUE!</v>
      </c>
      <c r="DU137" s="41" t="e">
        <f>VLOOKUP(DU136*1, FK$27:FM$38, 3, TRUE)*FM$27</f>
        <v>#VALUE!</v>
      </c>
      <c r="DX137" s="41" t="e">
        <f>VLOOKUP(DX136*1, FN$27:FP$38, 3, TRUE)*FP$27</f>
        <v>#VALUE!</v>
      </c>
      <c r="EA137" s="41" t="e">
        <f>VLOOKUP(EA136*1, FQ$27:FS$38, 3, TRUE)*FS$27</f>
        <v>#VALUE!</v>
      </c>
      <c r="ED137" s="41" t="e">
        <f>VLOOKUP(ED136*1, FT$27:FV$38, 3, TRUE)*FV$27</f>
        <v>#VALUE!</v>
      </c>
      <c r="EE137" s="41" t="e">
        <f>VLOOKUP(EE136*1, FW$27:FY$38, 3, TRUE)*FY$27</f>
        <v>#VALUE!</v>
      </c>
      <c r="EF137" s="41" t="e">
        <f>VLOOKUP(EF136*1, FK$40:FM$51, 3, TRUE)*FM$40</f>
        <v>#VALUE!</v>
      </c>
      <c r="EG137" s="57"/>
      <c r="EK137" s="40" t="e">
        <f>EM137+EO137+EP137+EQ137+ER137-ES137-ET137+EU137</f>
        <v>#VALUE!</v>
      </c>
      <c r="EL137" s="42" t="e">
        <f>EX137+FA137+FD137+FG137+FH137+FI137</f>
        <v>#VALUE!</v>
      </c>
      <c r="EM137" s="38" t="e">
        <f>VLOOKUP(EM136*1, $FK$2:$FM$12, 3, TRUE)*$FM$1</f>
        <v>#VALUE!</v>
      </c>
      <c r="EO137" s="38" t="e">
        <f>VLOOKUP(EO136*1, $FN$2:$FP$12, 3, TRUE)*$FP$1</f>
        <v>#VALUE!</v>
      </c>
      <c r="EP137" s="38" t="e">
        <f>VLOOKUP(EP136*1, $FQ$2:$FS$12, 3, TRUE)*$FS$1</f>
        <v>#VALUE!</v>
      </c>
      <c r="EQ137" s="38" t="e">
        <f>VLOOKUP(EQ136*1, $FT$2:$FV$12, 3, TRUE)*$FV$1</f>
        <v>#VALUE!</v>
      </c>
      <c r="ER137" s="38" t="e">
        <f>VLOOKUP(ER136*1, $FW$2:$FY$12, 3, TRUE)*$FY$1</f>
        <v>#VALUE!</v>
      </c>
      <c r="ES137" s="39" t="e">
        <f>VLOOKUP(ES136*1, $FK$14:$FM$25, 3, TRUE)*$FM$14</f>
        <v>#VALUE!</v>
      </c>
      <c r="ET137" s="39" t="e">
        <f>VLOOKUP(ET136*1, $FN$14:$FP$25, 3, TRUE)*$FP$14</f>
        <v>#VALUE!</v>
      </c>
      <c r="EU137" s="38" t="e">
        <f>VLOOKUP(EU136*1, $FQ$14:$FS$25, 3, TRUE)*$FS$14</f>
        <v>#VALUE!</v>
      </c>
      <c r="EX137" s="41" t="e">
        <f>VLOOKUP(EX136*1, $FK$27:$FM$38, 3, TRUE)*$FM$27</f>
        <v>#VALUE!</v>
      </c>
      <c r="FA137" s="41" t="e">
        <f>VLOOKUP(FA136*1, $FN$27:$FP$38, 3, TRUE)*$FP$27</f>
        <v>#VALUE!</v>
      </c>
      <c r="FD137" s="41" t="e">
        <f>VLOOKUP(FD136*1, $FQ$27:$FS$38, 3, TRUE)*$FS$27</f>
        <v>#VALUE!</v>
      </c>
      <c r="FG137" s="41" t="e">
        <f>VLOOKUP(FG136*1, $FT$27:$FV$38, 3, TRUE)*$FV$27</f>
        <v>#VALUE!</v>
      </c>
      <c r="FH137" s="41" t="e">
        <f>VLOOKUP(FH136*1, $FW$27:$FY$38, 3, TRUE)*$FY$27</f>
        <v>#VALUE!</v>
      </c>
      <c r="FI137" s="41" t="e">
        <f>VLOOKUP(FI136*1, $FK$40:$FM$51, 3, TRUE)*$FM$40</f>
        <v>#VALUE!</v>
      </c>
    </row>
    <row r="138" spans="110:165">
      <c r="DF138" s="37" t="str">
        <f>先發名單!M$6</f>
        <v>J. Crawford</v>
      </c>
      <c r="DG138" s="4" t="str">
        <f t="array" ref="DG138">IFERROR(INDEX(球員狀態!$C$2:$C$5000, MATCH(1, (球員狀態!$A$2:$A$5000=$DF$121)*(ISNUMBER(SEARCH($DF138, 球員狀態!$B$2:$B$5000))), 0)), "")</f>
        <v/>
      </c>
      <c r="DJ138" s="4" t="str">
        <f t="array" ref="DJ138">IFERROR(INDEX(球員狀態!$F$2:$F$5000,MATCH(1,(球員狀態!$A$2:$A$5000=$DF$121)*(ISNUMBER(SEARCH($DF138,球員狀態!$B$2:$B$5000))),0)),"")</f>
        <v/>
      </c>
      <c r="DK138" s="4" t="str">
        <f t="array" ref="DK138">IFERROR(INDEX(球員狀態!G$2:G$5000, MATCH(1, (球員狀態!$A$2:$A$5000=$DF$1)*(ISNUMBER(SEARCH($DF138, 球員狀態!$B$2:$B$5000))), 0)), "")</f>
        <v/>
      </c>
      <c r="DL138" s="4" t="str">
        <f t="array" ref="DL138">IFERROR(INDEX(球員狀態!H$2:H$5000, MATCH(1, (球員狀態!$A$2:$A$5000=$DF$121)*(ISNUMBER(SEARCH($DF138, 球員狀態!$B$2:$B$5000))), 0)), "")</f>
        <v/>
      </c>
      <c r="DM138" s="4" t="str">
        <f t="array" ref="DM138">IFERROR(INDEX(球員狀態!I$2:I$5000,MATCH(1,(球員狀態!$A$2:$A$5000=$DF$121)*(ISNUMBER(SEARCH($DF138,球員狀態!$B$2:$B$5000))),0)),"")</f>
        <v/>
      </c>
      <c r="DN138" s="4" t="str">
        <f t="array" ref="DN138">IFERROR(INDEX(球員狀態!J$2:J$5000,MATCH(1,(球員狀態!$A$2:$A$5000=$DF$121)*(ISNUMBER(SEARCH($DF138,球員狀態!$B$2:$B$5000))),0)),"")</f>
        <v/>
      </c>
      <c r="DO138" s="4" t="str">
        <f t="array" ref="DO138">IFERROR(INDEX(球員狀態!K$2:K$5000,MATCH(1,(球員狀態!$A$2:$A$5000=$DF$121)*(ISNUMBER(SEARCH($DF138,球員狀態!$B$2:$B$5000))),0)),"")</f>
        <v/>
      </c>
      <c r="DP138" s="4" t="str">
        <f t="array" ref="DP138">IFERROR(INDEX(球員狀態!L$2:L$5000,MATCH(1,(球員狀態!$A$2:$A$5000=$DF$121)*(ISNUMBER(SEARCH($DF138,球員狀態!$B$2:$B$5000))),0)),"")</f>
        <v/>
      </c>
      <c r="DQ138" s="4" t="str">
        <f t="array" ref="DQ138">IFERROR(INDEX(球員狀態!M$2:M$5000,MATCH(1,(球員狀態!$A$2:$A$5000=$DF$121)*(ISNUMBER(SEARCH($DF138,球員狀態!$B$2:$B$5000))),0)),"")</f>
        <v/>
      </c>
      <c r="DR138" s="4" t="str">
        <f t="array" ref="DR138">IFERROR(INDEX(球員狀態!N$2:N$5000,MATCH(1,(球員狀態!$A$2:$A$5000=$DF$121)*(ISNUMBER(SEARCH($DF138,球員狀態!$B$2:$B$5000))),0)),"")</f>
        <v/>
      </c>
      <c r="DS138" s="4" t="str">
        <f t="array" ref="DS138">IFERROR(INDEX(球員狀態!O$2:O$5000, MATCH(1, (球員狀態!$A$2:$A$5000=$DF$1)*(ISNUMBER(SEARCH($DF138, 球員狀態!$B$2:$B$5000))), 0)), "")</f>
        <v/>
      </c>
      <c r="DT138" s="4" t="str">
        <f t="array" ref="DT138">IFERROR(INDEX(球員狀態!P$2:P$5000, MATCH(1, (球員狀態!$A$2:$A$5000=$DF$1)*(ISNUMBER(SEARCH($DF138, 球員狀態!$B$2:$B$5000))), 0)), "")</f>
        <v/>
      </c>
      <c r="DU138" s="4" t="str">
        <f t="array" ref="DU138">IFERROR(INDEX(球員狀態!Q$2:Q$5000,MATCH(1,(球員狀態!$A$2:$A$5000=$DF$121)*(ISNUMBER(SEARCH($DF138,球員狀態!$B$2:$B$5000))),0)),"")</f>
        <v/>
      </c>
      <c r="DV138" s="4" t="str">
        <f t="array" ref="DV138">IFERROR(INDEX(球員狀態!R$2:R$5000, MATCH(1, (球員狀態!$A$2:$A$5000=$DF$1)*(ISNUMBER(SEARCH($DF138, 球員狀態!$B$2:$B$5000))), 0)), "")</f>
        <v/>
      </c>
      <c r="DW138" s="4" t="str">
        <f t="array" ref="DW138">IFERROR(INDEX(球員狀態!S$2:S$5000, MATCH(1, (球員狀態!$A$2:$A$5000=$DF$1)*(ISNUMBER(SEARCH($DF138, 球員狀態!$B$2:$B$5000))), 0)), "")</f>
        <v/>
      </c>
      <c r="DX138" s="4" t="str">
        <f t="array" ref="DX138">IFERROR(INDEX(球員狀態!T$2:T$5000,MATCH(1,(球員狀態!$A$2:$A$5000=$DF$121)*(ISNUMBER(SEARCH($DF138,球員狀態!$B$2:$B$5000))),0)),"")</f>
        <v/>
      </c>
      <c r="DY138" s="4" t="str">
        <f t="array" ref="DY138">IFERROR(INDEX(球員狀態!U$2:U$5000, MATCH(1, (球員狀態!$A$2:$A$5000=$DF$1)*(ISNUMBER(SEARCH($DF138, 球員狀態!$B$2:$B$5000))), 0)), "")</f>
        <v/>
      </c>
      <c r="DZ138" s="4" t="str">
        <f t="array" ref="DZ138">IFERROR(INDEX(球員狀態!V$2:V$5000, MATCH(1, (球員狀態!$A$2:$A$5000=$DF$1)*(ISNUMBER(SEARCH($DF138, 球員狀態!$B$2:$B$5000))), 0)), "")</f>
        <v/>
      </c>
      <c r="EA138" s="4" t="str">
        <f t="array" ref="EA138">IFERROR(INDEX(球員狀態!W$2:W$5000,MATCH(1,(球員狀態!$A$2:$A$5000=$DF$121)*(ISNUMBER(SEARCH($DF138,球員狀態!$B$2:$B$5000))),0)),"")</f>
        <v/>
      </c>
      <c r="EB138" s="4" t="str">
        <f t="array" ref="EB138">IFERROR(INDEX(球員狀態!X$2:X$5000, MATCH(1, (球員狀態!$A$2:$A$5000=$DF$1)*(ISNUMBER(SEARCH($DF138, 球員狀態!$B$2:$B$5000))), 0)), "")</f>
        <v/>
      </c>
      <c r="EC138" s="4" t="str">
        <f t="array" ref="EC138">IFERROR(INDEX(球員狀態!Y$2:Y$5000, MATCH(1, (球員狀態!$A$2:$A$5000=$DF$1)*(ISNUMBER(SEARCH($DF138, 球員狀態!$B$2:$B$5000))), 0)), "")</f>
        <v/>
      </c>
      <c r="ED138" s="4" t="str">
        <f t="array" ref="ED138">IFERROR(INDEX(球員狀態!Z$2:Z$5000,MATCH(1,(球員狀態!$A$2:$A$5000=$DF$121)*(ISNUMBER(SEARCH($DF138,球員狀態!$B$2:$B$5000))),0)),"")</f>
        <v/>
      </c>
      <c r="EE138" s="4" t="str">
        <f t="array" ref="EE138">IFERROR(INDEX(球員狀態!AA$2:AA$5000,MATCH(1,(球員狀態!$A$2:$A$5000=$DF$121)*(ISNUMBER(SEARCH($DF138,球員狀態!$B$2:$B$5000))),0)),"")</f>
        <v/>
      </c>
      <c r="EF138" s="4" t="str">
        <f t="array" ref="EF138">IFERROR(INDEX(球員狀態!AB$2:AB$5000,MATCH(1,(球員狀態!$A$2:$A$5000=$DF$121)*(ISNUMBER(SEARCH($DF138,球員狀態!$B$2:$B$5000))),0)),"")</f>
        <v/>
      </c>
      <c r="EG138" s="56"/>
      <c r="EI138" s="37" t="str">
        <f>先發名單!W$6</f>
        <v>Royce Lewis</v>
      </c>
      <c r="EJ138" s="4" t="str">
        <f t="array" ref="EJ138">IFERROR(INDEX(球員狀態!C$2:C$5000, MATCH(1, (球員狀態!$A$2:$A$5000=$EI$121)*(ISNUMBER(SEARCH($EI138, 球員狀態!$B$2:$B$5000))), 0)), "")</f>
        <v/>
      </c>
      <c r="EM138" s="4" t="str">
        <f t="array" ref="EM138">IFERROR(INDEX(球員狀態!F$2:F$5000, MATCH(1, (球員狀態!$A$2:$A$5000=$EI$121)*(ISNUMBER(SEARCH($EI138, 球員狀態!$B$2:$B$5000))), 0)), "")</f>
        <v/>
      </c>
      <c r="EN138" s="4" t="str">
        <f t="array" ref="EN138">IFERROR(INDEX(球員狀態!G$2:G$5000, MATCH(1, (球員狀態!$A$2:$A$5000=$EI$1)*(ISNUMBER(SEARCH($EI138, 球員狀態!$B$2:$B$5000))), 0)), "")</f>
        <v/>
      </c>
      <c r="EO138" s="4" t="str">
        <f t="array" ref="EO138">IFERROR(INDEX(球員狀態!H$2:H$5000, MATCH(1, (球員狀態!$A$2:$A$5000=$EI$121)*(ISNUMBER(SEARCH($EI138, 球員狀態!$B$2:$B$5000))), 0)), "")</f>
        <v/>
      </c>
      <c r="EP138" s="4" t="str">
        <f t="array" ref="EP138">IFERROR(INDEX(球員狀態!I$2:I$5000, MATCH(1, (球員狀態!$A$2:$A$5000=$EI$121)*(ISNUMBER(SEARCH($EI138, 球員狀態!$B$2:$B$5000))), 0)), "")</f>
        <v/>
      </c>
      <c r="EQ138" s="4" t="str">
        <f t="array" ref="EQ138">IFERROR(INDEX(球員狀態!J$2:J$5000, MATCH(1, (球員狀態!$A$2:$A$5000=$EI$121)*(ISNUMBER(SEARCH($EI138, 球員狀態!$B$2:$B$5000))), 0)), "")</f>
        <v/>
      </c>
      <c r="ER138" s="4" t="str">
        <f t="array" ref="ER138">IFERROR(INDEX(球員狀態!K$2:K$5000, MATCH(1, (球員狀態!$A$2:$A$5000=$EI$121)*(ISNUMBER(SEARCH($EI138, 球員狀態!$B$2:$B$5000))), 0)), "")</f>
        <v/>
      </c>
      <c r="ES138" s="4" t="str">
        <f t="array" ref="ES138">IFERROR(INDEX(球員狀態!L$2:L$5000, MATCH(1, (球員狀態!$A$2:$A$5000=$EI$121)*(ISNUMBER(SEARCH($EI138, 球員狀態!$B$2:$B$5000))), 0)), "")</f>
        <v/>
      </c>
      <c r="ET138" s="4" t="str">
        <f t="array" ref="ET138">IFERROR(INDEX(球員狀態!M$2:M$5000, MATCH(1, (球員狀態!$A$2:$A$5000=$EI$121)*(ISNUMBER(SEARCH($EI138, 球員狀態!$B$2:$B$5000))), 0)), "")</f>
        <v/>
      </c>
      <c r="EU138" s="4" t="str">
        <f t="array" ref="EU138">IFERROR(INDEX(球員狀態!N$2:N$5000, MATCH(1, (球員狀態!$A$2:$A$5000=$EI$121)*(ISNUMBER(SEARCH($EI138, 球員狀態!$B$2:$B$5000))), 0)), "")</f>
        <v/>
      </c>
      <c r="EV138" s="4" t="str">
        <f t="array" ref="EV138">IFERROR(INDEX(球員狀態!O$2:O$5000, MATCH(1, (球員狀態!$A$2:$A$5000=$EI$1)*(ISNUMBER(SEARCH($EI138, 球員狀態!$B$2:$B$5000))), 0)), "")</f>
        <v/>
      </c>
      <c r="EW138" s="4" t="str">
        <f t="array" ref="EW138">IFERROR(INDEX(球員狀態!P$2:P$5000, MATCH(1, (球員狀態!$A$2:$A$5000=$EI$1)*(ISNUMBER(SEARCH($EI138, 球員狀態!$B$2:$B$5000))), 0)), "")</f>
        <v/>
      </c>
      <c r="EX138" s="4" t="str">
        <f t="array" ref="EX138">IFERROR(INDEX(球員狀態!Q$2:Q$5000, MATCH(1, (球員狀態!$A$2:$A$5000=$EI$121)*(ISNUMBER(SEARCH($EI138, 球員狀態!$B$2:$B$5000))), 0)), "")</f>
        <v/>
      </c>
      <c r="EY138" s="4" t="str">
        <f t="array" ref="EY138">IFERROR(INDEX(球員狀態!R$2:R$5000, MATCH(1, (球員狀態!$A$2:$A$5000=$EI$1)*(ISNUMBER(SEARCH($EI138, 球員狀態!$B$2:$B$5000))), 0)), "")</f>
        <v/>
      </c>
      <c r="EZ138" s="4" t="str">
        <f t="array" ref="EZ138">IFERROR(INDEX(球員狀態!S$2:S$5000, MATCH(1, (球員狀態!$A$2:$A$5000=$EI$1)*(ISNUMBER(SEARCH($EI138, 球員狀態!$B$2:$B$5000))), 0)), "")</f>
        <v/>
      </c>
      <c r="FA138" s="4" t="str">
        <f t="array" ref="FA138">IFERROR(INDEX(球員狀態!T$2:T$5000, MATCH(1, (球員狀態!$A$2:$A$5000=$EI$121)*(ISNUMBER(SEARCH($EI138, 球員狀態!$B$2:$B$5000))), 0)), "")</f>
        <v/>
      </c>
      <c r="FB138" s="4" t="str">
        <f t="array" ref="FB138">IFERROR(INDEX(球員狀態!U$2:U$5000, MATCH(1, (球員狀態!$A$2:$A$5000=$EI$1)*(ISNUMBER(SEARCH($EI138, 球員狀態!$B$2:$B$5000))), 0)), "")</f>
        <v/>
      </c>
      <c r="FC138" s="4" t="str">
        <f t="array" ref="FC138">IFERROR(INDEX(球員狀態!V$2:V$5000, MATCH(1, (球員狀態!$A$2:$A$5000=$EI$1)*(ISNUMBER(SEARCH($EI138, 球員狀態!$B$2:$B$5000))), 0)), "")</f>
        <v/>
      </c>
      <c r="FD138" s="4" t="str">
        <f t="array" ref="FD138">IFERROR(INDEX(球員狀態!W$2:W$5000, MATCH(1, (球員狀態!$A$2:$A$5000=$EI$121)*(ISNUMBER(SEARCH($EI138, 球員狀態!$B$2:$B$5000))), 0)), "")</f>
        <v/>
      </c>
      <c r="FE138" s="4" t="str">
        <f t="array" ref="FE138">IFERROR(INDEX(球員狀態!X$2:X$5000, MATCH(1, (球員狀態!$A$2:$A$5000=$EI$1)*(ISNUMBER(SEARCH($EI138, 球員狀態!$B$2:$B$5000))), 0)), "")</f>
        <v/>
      </c>
      <c r="FF138" s="4" t="str">
        <f t="array" ref="FF138">IFERROR(INDEX(球員狀態!Y$2:Y$5000, MATCH(1, (球員狀態!$A$2:$A$5000=$EI$1)*(ISNUMBER(SEARCH($EI138, 球員狀態!$B$2:$B$5000))), 0)), "")</f>
        <v/>
      </c>
      <c r="FG138" s="4" t="str">
        <f t="array" ref="FG138">IFERROR(INDEX(球員狀態!Z$2:Z$5000, MATCH(1, (球員狀態!$A$2:$A$5000=$EI$121)*(ISNUMBER(SEARCH($EI138, 球員狀態!$B$2:$B$5000))), 0)), "")</f>
        <v/>
      </c>
      <c r="FH138" s="4" t="str">
        <f t="array" ref="FH138">IFERROR(INDEX(球員狀態!AA$2:AA$5000, MATCH(1, (球員狀態!$A$2:$A$5000=$EI$121)*(ISNUMBER(SEARCH($EI138, 球員狀態!$B$2:$B$5000))), 0)), "")</f>
        <v/>
      </c>
      <c r="FI138" s="4" t="str">
        <f t="array" ref="FI138">IFERROR(INDEX(球員狀態!AB$2:AB$5000, MATCH(1, (球員狀態!$A$2:$A$5000=$EI$121)*(ISNUMBER(SEARCH($EI138, 球員狀態!$B$2:$B$5000))), 0)), "")</f>
        <v/>
      </c>
    </row>
    <row r="139" spans="110:165">
      <c r="DH139" s="40" t="e">
        <f>DJ139+DL139+DM139+DN139+DO139-DP139-DQ139+DR139</f>
        <v>#VALUE!</v>
      </c>
      <c r="DI139" s="42" t="e">
        <f>DU139+DX139+EA139+ED139+EE139+EF139</f>
        <v>#VALUE!</v>
      </c>
      <c r="DJ139" s="38" t="e">
        <f>VLOOKUP(DJ138*1, FK$2:FM$12, 3, TRUE)*FM$1</f>
        <v>#VALUE!</v>
      </c>
      <c r="DL139" s="38" t="e">
        <f>VLOOKUP(DL138*1, FN$2:FP$12, 3, TRUE)*FP$1</f>
        <v>#VALUE!</v>
      </c>
      <c r="DM139" s="38" t="e">
        <f>VLOOKUP(DM138*1, FQ$2:FS$12, 3, TRUE)*FS$1</f>
        <v>#VALUE!</v>
      </c>
      <c r="DN139" s="38" t="e">
        <f>VLOOKUP(DN138*1, FT$2:FV$12, 3, TRUE)*FV$1</f>
        <v>#VALUE!</v>
      </c>
      <c r="DO139" s="38" t="e">
        <f>VLOOKUP(DO138*1, FW$2:FY$12, 3, TRUE)*FY$1</f>
        <v>#VALUE!</v>
      </c>
      <c r="DP139" s="39" t="e">
        <f>VLOOKUP(DP138*1, FK$14:FM$25, 3, TRUE)*FM$14</f>
        <v>#VALUE!</v>
      </c>
      <c r="DQ139" s="39" t="e">
        <f>VLOOKUP(DQ138*1, FN$14:FP$25, 3, TRUE)*FP$14</f>
        <v>#VALUE!</v>
      </c>
      <c r="DR139" s="38" t="e">
        <f>VLOOKUP(DR138*1, FQ$14:FS$25, 3, TRUE)*FS$14</f>
        <v>#VALUE!</v>
      </c>
      <c r="DU139" s="41" t="e">
        <f>VLOOKUP(DU138*1, FK$27:FM$38, 3, TRUE)*FM$27</f>
        <v>#VALUE!</v>
      </c>
      <c r="DX139" s="41" t="e">
        <f>VLOOKUP(DX138*1, FN$27:FP$38, 3, TRUE)*FP$27</f>
        <v>#VALUE!</v>
      </c>
      <c r="EA139" s="41" t="e">
        <f>VLOOKUP(EA138*1, FQ$27:FS$38, 3, TRUE)*FS$27</f>
        <v>#VALUE!</v>
      </c>
      <c r="ED139" s="41" t="e">
        <f>VLOOKUP(ED138*1, FT$27:FV$38, 3, TRUE)*FV$27</f>
        <v>#VALUE!</v>
      </c>
      <c r="EE139" s="41" t="e">
        <f>VLOOKUP(EE138*1, FW$27:FY$38, 3, TRUE)*FY$27</f>
        <v>#VALUE!</v>
      </c>
      <c r="EF139" s="41" t="e">
        <f>VLOOKUP(EF138*1, FK$40:FM$51, 3, TRUE)*FM$40</f>
        <v>#VALUE!</v>
      </c>
      <c r="EG139" s="57"/>
      <c r="EK139" s="40" t="e">
        <f>EM139+EO139+EP139+EQ139+ER139-ES139-ET139+EU139</f>
        <v>#VALUE!</v>
      </c>
      <c r="EL139" s="42" t="e">
        <f>EX139+FA139+FD139+FG139+FH139+FI139</f>
        <v>#VALUE!</v>
      </c>
      <c r="EM139" s="38" t="e">
        <f>VLOOKUP(EM138*1, $FK$2:$FM$12, 3, TRUE)*$FM$1</f>
        <v>#VALUE!</v>
      </c>
      <c r="EO139" s="38" t="e">
        <f>VLOOKUP(EO138*1, $FN$2:$FP$12, 3, TRUE)*$FP$1</f>
        <v>#VALUE!</v>
      </c>
      <c r="EP139" s="38" t="e">
        <f>VLOOKUP(EP138*1, $FQ$2:$FS$12, 3, TRUE)*$FS$1</f>
        <v>#VALUE!</v>
      </c>
      <c r="EQ139" s="38" t="e">
        <f>VLOOKUP(EQ138*1, $FT$2:$FV$12, 3, TRUE)*$FV$1</f>
        <v>#VALUE!</v>
      </c>
      <c r="ER139" s="38" t="e">
        <f>VLOOKUP(ER138*1, $FW$2:$FY$12, 3, TRUE)*$FY$1</f>
        <v>#VALUE!</v>
      </c>
      <c r="ES139" s="39" t="e">
        <f>VLOOKUP(ES138*1, $FK$14:$FM$25, 3, TRUE)*$FM$14</f>
        <v>#VALUE!</v>
      </c>
      <c r="ET139" s="39" t="e">
        <f>VLOOKUP(ET138*1, $FN$14:$FP$25, 3, TRUE)*$FP$14</f>
        <v>#VALUE!</v>
      </c>
      <c r="EU139" s="38" t="e">
        <f>VLOOKUP(EU138*1, $FQ$14:$FS$25, 3, TRUE)*$FS$14</f>
        <v>#VALUE!</v>
      </c>
      <c r="EX139" s="41" t="e">
        <f>VLOOKUP(EX138*1, $FK$27:$FM$38, 3, TRUE)*$FM$27</f>
        <v>#VALUE!</v>
      </c>
      <c r="FA139" s="41" t="e">
        <f>VLOOKUP(FA138*1, $FN$27:$FP$38, 3, TRUE)*$FP$27</f>
        <v>#VALUE!</v>
      </c>
      <c r="FD139" s="41" t="e">
        <f>VLOOKUP(FD138*1, $FQ$27:$FS$38, 3, TRUE)*$FS$27</f>
        <v>#VALUE!</v>
      </c>
      <c r="FG139" s="41" t="e">
        <f>VLOOKUP(FG138*1, $FT$27:$FV$38, 3, TRUE)*$FV$27</f>
        <v>#VALUE!</v>
      </c>
      <c r="FH139" s="41" t="e">
        <f>VLOOKUP(FH138*1, $FW$27:$FY$38, 3, TRUE)*$FY$27</f>
        <v>#VALUE!</v>
      </c>
      <c r="FI139" s="41" t="e">
        <f>VLOOKUP(FI138*1, $FK$40:$FM$51, 3, TRUE)*$FM$40</f>
        <v>#VALUE!</v>
      </c>
    </row>
    <row r="140" spans="110:165">
      <c r="DF140" s="37" t="e">
        <f>先發名單!#REF!</f>
        <v>#REF!</v>
      </c>
      <c r="DG140" s="4" t="str">
        <f t="array" ref="DG140">IFERROR(INDEX(球員狀態!$C$2:$C$5000, MATCH(1, (球員狀態!$A$2:$A$5000=$DF$121)*(ISNUMBER(SEARCH($DF140, 球員狀態!$B$2:$B$5000))), 0)), "")</f>
        <v/>
      </c>
      <c r="DJ140" s="4" t="str">
        <f t="array" ref="DJ140">IFERROR(INDEX(球員狀態!$F$2:$F$5000,MATCH(1,(球員狀態!$A$2:$A$5000=$DF$121)*(ISNUMBER(SEARCH($DF140,球員狀態!$B$2:$B$5000))),0)),"")</f>
        <v/>
      </c>
      <c r="DK140" s="4" t="str">
        <f t="array" ref="DK140">IFERROR(INDEX(球員狀態!G$2:G$5000, MATCH(1, (球員狀態!$A$2:$A$5000=$DF$1)*(ISNUMBER(SEARCH($DF140, 球員狀態!$B$2:$B$5000))), 0)), "")</f>
        <v/>
      </c>
      <c r="DL140" s="4" t="str">
        <f t="array" ref="DL140">IFERROR(INDEX(球員狀態!H$2:H$5000, MATCH(1, (球員狀態!$A$2:$A$5000=$DF$121)*(ISNUMBER(SEARCH($DF140, 球員狀態!$B$2:$B$5000))), 0)), "")</f>
        <v/>
      </c>
      <c r="DM140" s="4" t="str">
        <f t="array" ref="DM140">IFERROR(INDEX(球員狀態!I$2:I$5000,MATCH(1,(球員狀態!$A$2:$A$5000=$DF$121)*(ISNUMBER(SEARCH($DF140,球員狀態!$B$2:$B$5000))),0)),"")</f>
        <v/>
      </c>
      <c r="DN140" s="4" t="str">
        <f t="array" ref="DN140">IFERROR(INDEX(球員狀態!J$2:J$5000,MATCH(1,(球員狀態!$A$2:$A$5000=$DF$121)*(ISNUMBER(SEARCH($DF140,球員狀態!$B$2:$B$5000))),0)),"")</f>
        <v/>
      </c>
      <c r="DO140" s="4" t="str">
        <f t="array" ref="DO140">IFERROR(INDEX(球員狀態!K$2:K$5000,MATCH(1,(球員狀態!$A$2:$A$5000=$DF$121)*(ISNUMBER(SEARCH($DF140,球員狀態!$B$2:$B$5000))),0)),"")</f>
        <v/>
      </c>
      <c r="DP140" s="4" t="str">
        <f t="array" ref="DP140">IFERROR(INDEX(球員狀態!L$2:L$5000,MATCH(1,(球員狀態!$A$2:$A$5000=$DF$121)*(ISNUMBER(SEARCH($DF140,球員狀態!$B$2:$B$5000))),0)),"")</f>
        <v/>
      </c>
      <c r="DQ140" s="4" t="str">
        <f t="array" ref="DQ140">IFERROR(INDEX(球員狀態!M$2:M$5000,MATCH(1,(球員狀態!$A$2:$A$5000=$DF$121)*(ISNUMBER(SEARCH($DF140,球員狀態!$B$2:$B$5000))),0)),"")</f>
        <v/>
      </c>
      <c r="DR140" s="4" t="str">
        <f t="array" ref="DR140">IFERROR(INDEX(球員狀態!N$2:N$5000,MATCH(1,(球員狀態!$A$2:$A$5000=$DF$121)*(ISNUMBER(SEARCH($DF140,球員狀態!$B$2:$B$5000))),0)),"")</f>
        <v/>
      </c>
      <c r="DS140" s="4" t="str">
        <f t="array" ref="DS140">IFERROR(INDEX(球員狀態!O$2:O$5000, MATCH(1, (球員狀態!$A$2:$A$5000=$DF$1)*(ISNUMBER(SEARCH($DF140, 球員狀態!$B$2:$B$5000))), 0)), "")</f>
        <v/>
      </c>
      <c r="DT140" s="4" t="str">
        <f t="array" ref="DT140">IFERROR(INDEX(球員狀態!P$2:P$5000, MATCH(1, (球員狀態!$A$2:$A$5000=$DF$1)*(ISNUMBER(SEARCH($DF140, 球員狀態!$B$2:$B$5000))), 0)), "")</f>
        <v/>
      </c>
      <c r="DU140" s="4" t="str">
        <f t="array" ref="DU140">IFERROR(INDEX(球員狀態!Q$2:Q$5000,MATCH(1,(球員狀態!$A$2:$A$5000=$DF$121)*(ISNUMBER(SEARCH($DF140,球員狀態!$B$2:$B$5000))),0)),"")</f>
        <v/>
      </c>
      <c r="DV140" s="4" t="str">
        <f t="array" ref="DV140">IFERROR(INDEX(球員狀態!R$2:R$5000, MATCH(1, (球員狀態!$A$2:$A$5000=$DF$1)*(ISNUMBER(SEARCH($DF140, 球員狀態!$B$2:$B$5000))), 0)), "")</f>
        <v/>
      </c>
      <c r="DW140" s="4" t="str">
        <f t="array" ref="DW140">IFERROR(INDEX(球員狀態!S$2:S$5000, MATCH(1, (球員狀態!$A$2:$A$5000=$DF$1)*(ISNUMBER(SEARCH($DF140, 球員狀態!$B$2:$B$5000))), 0)), "")</f>
        <v/>
      </c>
      <c r="DX140" s="4" t="str">
        <f t="array" ref="DX140">IFERROR(INDEX(球員狀態!T$2:T$5000,MATCH(1,(球員狀態!$A$2:$A$5000=$DF$121)*(ISNUMBER(SEARCH($DF140,球員狀態!$B$2:$B$5000))),0)),"")</f>
        <v/>
      </c>
      <c r="DY140" s="4" t="str">
        <f t="array" ref="DY140">IFERROR(INDEX(球員狀態!U$2:U$5000, MATCH(1, (球員狀態!$A$2:$A$5000=$DF$1)*(ISNUMBER(SEARCH($DF140, 球員狀態!$B$2:$B$5000))), 0)), "")</f>
        <v/>
      </c>
      <c r="DZ140" s="4" t="str">
        <f t="array" ref="DZ140">IFERROR(INDEX(球員狀態!V$2:V$5000, MATCH(1, (球員狀態!$A$2:$A$5000=$DF$1)*(ISNUMBER(SEARCH($DF140, 球員狀態!$B$2:$B$5000))), 0)), "")</f>
        <v/>
      </c>
      <c r="EA140" s="4" t="str">
        <f t="array" ref="EA140">IFERROR(INDEX(球員狀態!W$2:W$5000,MATCH(1,(球員狀態!$A$2:$A$5000=$DF$121)*(ISNUMBER(SEARCH($DF140,球員狀態!$B$2:$B$5000))),0)),"")</f>
        <v/>
      </c>
      <c r="EB140" s="4" t="str">
        <f t="array" ref="EB140">IFERROR(INDEX(球員狀態!X$2:X$5000, MATCH(1, (球員狀態!$A$2:$A$5000=$DF$1)*(ISNUMBER(SEARCH($DF140, 球員狀態!$B$2:$B$5000))), 0)), "")</f>
        <v/>
      </c>
      <c r="EC140" s="4" t="str">
        <f t="array" ref="EC140">IFERROR(INDEX(球員狀態!Y$2:Y$5000, MATCH(1, (球員狀態!$A$2:$A$5000=$DF$1)*(ISNUMBER(SEARCH($DF140, 球員狀態!$B$2:$B$5000))), 0)), "")</f>
        <v/>
      </c>
      <c r="ED140" s="4" t="str">
        <f t="array" ref="ED140">IFERROR(INDEX(球員狀態!Z$2:Z$5000,MATCH(1,(球員狀態!$A$2:$A$5000=$DF$121)*(ISNUMBER(SEARCH($DF140,球員狀態!$B$2:$B$5000))),0)),"")</f>
        <v/>
      </c>
      <c r="EE140" s="4" t="str">
        <f t="array" ref="EE140">IFERROR(INDEX(球員狀態!AA$2:AA$5000,MATCH(1,(球員狀態!$A$2:$A$5000=$DF$121)*(ISNUMBER(SEARCH($DF140,球員狀態!$B$2:$B$5000))),0)),"")</f>
        <v/>
      </c>
      <c r="EF140" s="4" t="str">
        <f t="array" ref="EF140">IFERROR(INDEX(球員狀態!AB$2:AB$5000,MATCH(1,(球員狀態!$A$2:$A$5000=$DF$121)*(ISNUMBER(SEARCH($DF140,球員狀態!$B$2:$B$5000))),0)),"")</f>
        <v/>
      </c>
      <c r="EG140" s="56"/>
      <c r="EI140" s="37" t="str">
        <f>先發名單!X$6</f>
        <v>Brooks Lee</v>
      </c>
      <c r="EJ140" s="4" t="str">
        <f t="array" ref="EJ140">IFERROR(INDEX(球員狀態!C$2:C$5000, MATCH(1, (球員狀態!$A$2:$A$5000=$EI$121)*(ISNUMBER(SEARCH($EI140, 球員狀態!$B$2:$B$5000))), 0)), "")</f>
        <v/>
      </c>
      <c r="EM140" s="4" t="str">
        <f t="array" ref="EM140">IFERROR(INDEX(球員狀態!F$2:F$5000, MATCH(1, (球員狀態!$A$2:$A$5000=$EI$121)*(ISNUMBER(SEARCH($EI140, 球員狀態!$B$2:$B$5000))), 0)), "")</f>
        <v/>
      </c>
      <c r="EN140" s="4" t="str">
        <f t="array" ref="EN140">IFERROR(INDEX(球員狀態!G$2:G$5000, MATCH(1, (球員狀態!$A$2:$A$5000=$EI$1)*(ISNUMBER(SEARCH($EI140, 球員狀態!$B$2:$B$5000))), 0)), "")</f>
        <v/>
      </c>
      <c r="EO140" s="4" t="str">
        <f t="array" ref="EO140">IFERROR(INDEX(球員狀態!H$2:H$5000, MATCH(1, (球員狀態!$A$2:$A$5000=$EI$121)*(ISNUMBER(SEARCH($EI140, 球員狀態!$B$2:$B$5000))), 0)), "")</f>
        <v/>
      </c>
      <c r="EP140" s="4" t="str">
        <f t="array" ref="EP140">IFERROR(INDEX(球員狀態!I$2:I$5000, MATCH(1, (球員狀態!$A$2:$A$5000=$EI$121)*(ISNUMBER(SEARCH($EI140, 球員狀態!$B$2:$B$5000))), 0)), "")</f>
        <v/>
      </c>
      <c r="EQ140" s="4" t="str">
        <f t="array" ref="EQ140">IFERROR(INDEX(球員狀態!J$2:J$5000, MATCH(1, (球員狀態!$A$2:$A$5000=$EI$121)*(ISNUMBER(SEARCH($EI140, 球員狀態!$B$2:$B$5000))), 0)), "")</f>
        <v/>
      </c>
      <c r="ER140" s="4" t="str">
        <f t="array" ref="ER140">IFERROR(INDEX(球員狀態!K$2:K$5000, MATCH(1, (球員狀態!$A$2:$A$5000=$EI$121)*(ISNUMBER(SEARCH($EI140, 球員狀態!$B$2:$B$5000))), 0)), "")</f>
        <v/>
      </c>
      <c r="ES140" s="4" t="str">
        <f t="array" ref="ES140">IFERROR(INDEX(球員狀態!L$2:L$5000, MATCH(1, (球員狀態!$A$2:$A$5000=$EI$121)*(ISNUMBER(SEARCH($EI140, 球員狀態!$B$2:$B$5000))), 0)), "")</f>
        <v/>
      </c>
      <c r="ET140" s="4" t="str">
        <f t="array" ref="ET140">IFERROR(INDEX(球員狀態!M$2:M$5000, MATCH(1, (球員狀態!$A$2:$A$5000=$EI$121)*(ISNUMBER(SEARCH($EI140, 球員狀態!$B$2:$B$5000))), 0)), "")</f>
        <v/>
      </c>
      <c r="EU140" s="4" t="str">
        <f t="array" ref="EU140">IFERROR(INDEX(球員狀態!N$2:N$5000, MATCH(1, (球員狀態!$A$2:$A$5000=$EI$121)*(ISNUMBER(SEARCH($EI140, 球員狀態!$B$2:$B$5000))), 0)), "")</f>
        <v/>
      </c>
      <c r="EV140" s="4" t="str">
        <f t="array" ref="EV140">IFERROR(INDEX(球員狀態!O$2:O$5000, MATCH(1, (球員狀態!$A$2:$A$5000=$EI$1)*(ISNUMBER(SEARCH($EI140, 球員狀態!$B$2:$B$5000))), 0)), "")</f>
        <v/>
      </c>
      <c r="EW140" s="4" t="str">
        <f t="array" ref="EW140">IFERROR(INDEX(球員狀態!P$2:P$5000, MATCH(1, (球員狀態!$A$2:$A$5000=$EI$1)*(ISNUMBER(SEARCH($EI140, 球員狀態!$B$2:$B$5000))), 0)), "")</f>
        <v/>
      </c>
      <c r="EX140" s="4" t="str">
        <f t="array" ref="EX140">IFERROR(INDEX(球員狀態!Q$2:Q$5000, MATCH(1, (球員狀態!$A$2:$A$5000=$EI$121)*(ISNUMBER(SEARCH($EI140, 球員狀態!$B$2:$B$5000))), 0)), "")</f>
        <v/>
      </c>
      <c r="EY140" s="4" t="str">
        <f t="array" ref="EY140">IFERROR(INDEX(球員狀態!R$2:R$5000, MATCH(1, (球員狀態!$A$2:$A$5000=$EI$1)*(ISNUMBER(SEARCH($EI140, 球員狀態!$B$2:$B$5000))), 0)), "")</f>
        <v/>
      </c>
      <c r="EZ140" s="4" t="str">
        <f t="array" ref="EZ140">IFERROR(INDEX(球員狀態!S$2:S$5000, MATCH(1, (球員狀態!$A$2:$A$5000=$EI$1)*(ISNUMBER(SEARCH($EI140, 球員狀態!$B$2:$B$5000))), 0)), "")</f>
        <v/>
      </c>
      <c r="FA140" s="4" t="str">
        <f t="array" ref="FA140">IFERROR(INDEX(球員狀態!T$2:T$5000, MATCH(1, (球員狀態!$A$2:$A$5000=$EI$121)*(ISNUMBER(SEARCH($EI140, 球員狀態!$B$2:$B$5000))), 0)), "")</f>
        <v/>
      </c>
      <c r="FB140" s="4" t="str">
        <f t="array" ref="FB140">IFERROR(INDEX(球員狀態!U$2:U$5000, MATCH(1, (球員狀態!$A$2:$A$5000=$EI$1)*(ISNUMBER(SEARCH($EI140, 球員狀態!$B$2:$B$5000))), 0)), "")</f>
        <v/>
      </c>
      <c r="FC140" s="4" t="str">
        <f t="array" ref="FC140">IFERROR(INDEX(球員狀態!V$2:V$5000, MATCH(1, (球員狀態!$A$2:$A$5000=$EI$1)*(ISNUMBER(SEARCH($EI140, 球員狀態!$B$2:$B$5000))), 0)), "")</f>
        <v/>
      </c>
      <c r="FD140" s="4" t="str">
        <f t="array" ref="FD140">IFERROR(INDEX(球員狀態!W$2:W$5000, MATCH(1, (球員狀態!$A$2:$A$5000=$EI$121)*(ISNUMBER(SEARCH($EI140, 球員狀態!$B$2:$B$5000))), 0)), "")</f>
        <v/>
      </c>
      <c r="FE140" s="4" t="str">
        <f t="array" ref="FE140">IFERROR(INDEX(球員狀態!X$2:X$5000, MATCH(1, (球員狀態!$A$2:$A$5000=$EI$1)*(ISNUMBER(SEARCH($EI140, 球員狀態!$B$2:$B$5000))), 0)), "")</f>
        <v/>
      </c>
      <c r="FF140" s="4" t="str">
        <f t="array" ref="FF140">IFERROR(INDEX(球員狀態!Y$2:Y$5000, MATCH(1, (球員狀態!$A$2:$A$5000=$EI$1)*(ISNUMBER(SEARCH($EI140, 球員狀態!$B$2:$B$5000))), 0)), "")</f>
        <v/>
      </c>
      <c r="FG140" s="4" t="str">
        <f t="array" ref="FG140">IFERROR(INDEX(球員狀態!Z$2:Z$5000, MATCH(1, (球員狀態!$A$2:$A$5000=$EI$121)*(ISNUMBER(SEARCH($EI140, 球員狀態!$B$2:$B$5000))), 0)), "")</f>
        <v/>
      </c>
      <c r="FH140" s="4" t="str">
        <f t="array" ref="FH140">IFERROR(INDEX(球員狀態!AA$2:AA$5000, MATCH(1, (球員狀態!$A$2:$A$5000=$EI$121)*(ISNUMBER(SEARCH($EI140, 球員狀態!$B$2:$B$5000))), 0)), "")</f>
        <v/>
      </c>
      <c r="FI140" s="4" t="str">
        <f t="array" ref="FI140">IFERROR(INDEX(球員狀態!AB$2:AB$5000, MATCH(1, (球員狀態!$A$2:$A$5000=$EI$121)*(ISNUMBER(SEARCH($EI140, 球員狀態!$B$2:$B$5000))), 0)), "")</f>
        <v/>
      </c>
    </row>
    <row r="141" spans="110:165">
      <c r="DH141" s="40" t="e">
        <f>DJ141+DL141+DM141+DN141+DO141-DP141-DQ141+DR141</f>
        <v>#VALUE!</v>
      </c>
      <c r="DI141" s="42" t="e">
        <f>DU141+DX141+EA141+ED141+EE141+EF141</f>
        <v>#VALUE!</v>
      </c>
      <c r="DJ141" s="38" t="e">
        <f>VLOOKUP(DJ140*1, FK$2:FM$12, 3, TRUE)*FM$1</f>
        <v>#VALUE!</v>
      </c>
      <c r="DL141" s="38" t="e">
        <f>VLOOKUP(DL140*1, FN$2:FP$12, 3, TRUE)*FP$1</f>
        <v>#VALUE!</v>
      </c>
      <c r="DM141" s="38" t="e">
        <f>VLOOKUP(DM140*1, FQ$2:FS$12, 3, TRUE)*FS$1</f>
        <v>#VALUE!</v>
      </c>
      <c r="DN141" s="38" t="e">
        <f>VLOOKUP(DN140*1, FT$2:FV$12, 3, TRUE)*FV$1</f>
        <v>#VALUE!</v>
      </c>
      <c r="DO141" s="38" t="e">
        <f>VLOOKUP(DO140*1, FW$2:FY$12, 3, TRUE)*FY$1</f>
        <v>#VALUE!</v>
      </c>
      <c r="DP141" s="39" t="e">
        <f>VLOOKUP(DP140*1, FK$14:FM$25, 3, TRUE)*FM$14</f>
        <v>#VALUE!</v>
      </c>
      <c r="DQ141" s="39" t="e">
        <f>VLOOKUP(DQ140*1, FN$14:FP$25, 3, TRUE)*FP$14</f>
        <v>#VALUE!</v>
      </c>
      <c r="DR141" s="38" t="e">
        <f>VLOOKUP(DR140*1, FQ$14:FS$25, 3, TRUE)*FS$14</f>
        <v>#VALUE!</v>
      </c>
      <c r="DU141" s="41" t="e">
        <f>VLOOKUP(DU140*1, FK$27:FM$38, 3, TRUE)*FM$27</f>
        <v>#VALUE!</v>
      </c>
      <c r="DX141" s="41" t="e">
        <f>VLOOKUP(DX140*1, FN$27:FP$38, 3, TRUE)*FP$27</f>
        <v>#VALUE!</v>
      </c>
      <c r="EA141" s="41" t="e">
        <f>VLOOKUP(EA140*1, FQ$27:FS$38, 3, TRUE)*FS$27</f>
        <v>#VALUE!</v>
      </c>
      <c r="ED141" s="41" t="e">
        <f>VLOOKUP(ED140*1, FT$27:FV$38, 3, TRUE)*FV$27</f>
        <v>#VALUE!</v>
      </c>
      <c r="EE141" s="41" t="e">
        <f>VLOOKUP(EE140*1, FW$27:FY$38, 3, TRUE)*FY$27</f>
        <v>#VALUE!</v>
      </c>
      <c r="EF141" s="41" t="e">
        <f>VLOOKUP(EF140*1, FK$40:FM$51, 3, TRUE)*FM$40</f>
        <v>#VALUE!</v>
      </c>
      <c r="EG141" s="57"/>
      <c r="EK141" s="40" t="e">
        <f>EM141+EO141+EP141+EQ141+ER141-ES141-ET141+EU141</f>
        <v>#VALUE!</v>
      </c>
      <c r="EL141" s="42" t="e">
        <f>EX141+FA141+FD141+FG141+FH141+FI141</f>
        <v>#VALUE!</v>
      </c>
      <c r="EM141" s="38" t="e">
        <f>VLOOKUP(EM140*1, $FK$2:$FM$12, 3, TRUE)*$FM$1</f>
        <v>#VALUE!</v>
      </c>
      <c r="EO141" s="38" t="e">
        <f>VLOOKUP(EO140*1, $FN$2:$FP$12, 3, TRUE)*$FP$1</f>
        <v>#VALUE!</v>
      </c>
      <c r="EP141" s="38" t="e">
        <f>VLOOKUP(EP140*1, $FQ$2:$FS$12, 3, TRUE)*$FS$1</f>
        <v>#VALUE!</v>
      </c>
      <c r="EQ141" s="38" t="e">
        <f>VLOOKUP(EQ140*1, $FT$2:$FV$12, 3, TRUE)*$FV$1</f>
        <v>#VALUE!</v>
      </c>
      <c r="ER141" s="38" t="e">
        <f>VLOOKUP(ER140*1, $FW$2:$FY$12, 3, TRUE)*$FY$1</f>
        <v>#VALUE!</v>
      </c>
      <c r="ES141" s="39" t="e">
        <f>VLOOKUP(ES140*1, $FK$14:$FM$25, 3, TRUE)*$FM$14</f>
        <v>#VALUE!</v>
      </c>
      <c r="ET141" s="39" t="e">
        <f>VLOOKUP(ET140*1, $FN$14:$FP$25, 3, TRUE)*$FP$14</f>
        <v>#VALUE!</v>
      </c>
      <c r="EU141" s="38" t="e">
        <f>VLOOKUP(EU140*1, $FQ$14:$FS$25, 3, TRUE)*$FS$14</f>
        <v>#VALUE!</v>
      </c>
      <c r="EX141" s="41" t="e">
        <f>VLOOKUP(EX140*1, $FK$27:$FM$38, 3, TRUE)*$FM$27</f>
        <v>#VALUE!</v>
      </c>
      <c r="FA141" s="41" t="e">
        <f>VLOOKUP(FA140*1, $FN$27:$FP$38, 3, TRUE)*$FP$27</f>
        <v>#VALUE!</v>
      </c>
      <c r="FD141" s="41" t="e">
        <f>VLOOKUP(FD140*1, $FQ$27:$FS$38, 3, TRUE)*$FS$27</f>
        <v>#VALUE!</v>
      </c>
      <c r="FG141" s="41" t="e">
        <f>VLOOKUP(FG140*1, $FT$27:$FV$38, 3, TRUE)*$FV$27</f>
        <v>#VALUE!</v>
      </c>
      <c r="FH141" s="41" t="e">
        <f>VLOOKUP(FH140*1, $FW$27:$FY$38, 3, TRUE)*$FY$27</f>
        <v>#VALUE!</v>
      </c>
      <c r="FI141" s="41" t="e">
        <f>VLOOKUP(FI140*1, $FK$40:$FM$51, 3, TRUE)*$FM$40</f>
        <v>#VALUE!</v>
      </c>
    </row>
    <row r="142" spans="110:165">
      <c r="DF142" s="37" t="e">
        <f>先發名單!#REF!</f>
        <v>#REF!</v>
      </c>
      <c r="DG142" s="4" t="str">
        <f t="array" ref="DG142">IFERROR(INDEX(球員狀態!$C$2:$C$5000, MATCH(1, (球員狀態!$A$2:$A$5000=$DF$121)*(ISNUMBER(SEARCH($DF142, 球員狀態!$B$2:$B$5000))), 0)), "")</f>
        <v/>
      </c>
      <c r="DJ142" s="4" t="str">
        <f t="array" ref="DJ142">IFERROR(INDEX(球員狀態!$F$2:$F$5000,MATCH(1,(球員狀態!$A$2:$A$5000=$DF$121)*(ISNUMBER(SEARCH($DF142,球員狀態!$B$2:$B$5000))),0)),"")</f>
        <v/>
      </c>
      <c r="DK142" s="4" t="str">
        <f t="array" ref="DK142">IFERROR(INDEX(球員狀態!G$2:G$5000, MATCH(1, (球員狀態!$A$2:$A$5000=$DF$1)*(ISNUMBER(SEARCH($DF142, 球員狀態!$B$2:$B$5000))), 0)), "")</f>
        <v/>
      </c>
      <c r="DL142" s="4" t="str">
        <f t="array" ref="DL142">IFERROR(INDEX(球員狀態!H$2:H$5000, MATCH(1, (球員狀態!$A$2:$A$5000=$DF$121)*(ISNUMBER(SEARCH($DF142, 球員狀態!$B$2:$B$5000))), 0)), "")</f>
        <v/>
      </c>
      <c r="DM142" s="4" t="str">
        <f t="array" ref="DM142">IFERROR(INDEX(球員狀態!I$2:I$5000,MATCH(1,(球員狀態!$A$2:$A$5000=$DF$121)*(ISNUMBER(SEARCH($DF142,球員狀態!$B$2:$B$5000))),0)),"")</f>
        <v/>
      </c>
      <c r="DN142" s="4" t="str">
        <f t="array" ref="DN142">IFERROR(INDEX(球員狀態!J$2:J$5000,MATCH(1,(球員狀態!$A$2:$A$5000=$DF$121)*(ISNUMBER(SEARCH($DF142,球員狀態!$B$2:$B$5000))),0)),"")</f>
        <v/>
      </c>
      <c r="DO142" s="4" t="str">
        <f t="array" ref="DO142">IFERROR(INDEX(球員狀態!K$2:K$5000,MATCH(1,(球員狀態!$A$2:$A$5000=$DF$121)*(ISNUMBER(SEARCH($DF142,球員狀態!$B$2:$B$5000))),0)),"")</f>
        <v/>
      </c>
      <c r="DP142" s="4" t="str">
        <f t="array" ref="DP142">IFERROR(INDEX(球員狀態!L$2:L$5000,MATCH(1,(球員狀態!$A$2:$A$5000=$DF$121)*(ISNUMBER(SEARCH($DF142,球員狀態!$B$2:$B$5000))),0)),"")</f>
        <v/>
      </c>
      <c r="DQ142" s="4" t="str">
        <f t="array" ref="DQ142">IFERROR(INDEX(球員狀態!M$2:M$5000,MATCH(1,(球員狀態!$A$2:$A$5000=$DF$121)*(ISNUMBER(SEARCH($DF142,球員狀態!$B$2:$B$5000))),0)),"")</f>
        <v/>
      </c>
      <c r="DR142" s="4" t="str">
        <f t="array" ref="DR142">IFERROR(INDEX(球員狀態!N$2:N$5000,MATCH(1,(球員狀態!$A$2:$A$5000=$DF$121)*(ISNUMBER(SEARCH($DF142,球員狀態!$B$2:$B$5000))),0)),"")</f>
        <v/>
      </c>
      <c r="DS142" s="4" t="str">
        <f t="array" ref="DS142">IFERROR(INDEX(球員狀態!O$2:O$5000, MATCH(1, (球員狀態!$A$2:$A$5000=$DF$1)*(ISNUMBER(SEARCH($DF142, 球員狀態!$B$2:$B$5000))), 0)), "")</f>
        <v/>
      </c>
      <c r="DT142" s="4" t="str">
        <f t="array" ref="DT142">IFERROR(INDEX(球員狀態!P$2:P$5000, MATCH(1, (球員狀態!$A$2:$A$5000=$DF$1)*(ISNUMBER(SEARCH($DF142, 球員狀態!$B$2:$B$5000))), 0)), "")</f>
        <v/>
      </c>
      <c r="DU142" s="4" t="str">
        <f t="array" ref="DU142">IFERROR(INDEX(球員狀態!Q$2:Q$5000,MATCH(1,(球員狀態!$A$2:$A$5000=$DF$121)*(ISNUMBER(SEARCH($DF142,球員狀態!$B$2:$B$5000))),0)),"")</f>
        <v/>
      </c>
      <c r="DV142" s="4" t="str">
        <f t="array" ref="DV142">IFERROR(INDEX(球員狀態!R$2:R$5000, MATCH(1, (球員狀態!$A$2:$A$5000=$DF$1)*(ISNUMBER(SEARCH($DF142, 球員狀態!$B$2:$B$5000))), 0)), "")</f>
        <v/>
      </c>
      <c r="DW142" s="4" t="str">
        <f t="array" ref="DW142">IFERROR(INDEX(球員狀態!S$2:S$5000, MATCH(1, (球員狀態!$A$2:$A$5000=$DF$1)*(ISNUMBER(SEARCH($DF142, 球員狀態!$B$2:$B$5000))), 0)), "")</f>
        <v/>
      </c>
      <c r="DX142" s="4" t="str">
        <f t="array" ref="DX142">IFERROR(INDEX(球員狀態!T$2:T$5000,MATCH(1,(球員狀態!$A$2:$A$5000=$DF$121)*(ISNUMBER(SEARCH($DF142,球員狀態!$B$2:$B$5000))),0)),"")</f>
        <v/>
      </c>
      <c r="DY142" s="4" t="str">
        <f t="array" ref="DY142">IFERROR(INDEX(球員狀態!U$2:U$5000, MATCH(1, (球員狀態!$A$2:$A$5000=$DF$1)*(ISNUMBER(SEARCH($DF142, 球員狀態!$B$2:$B$5000))), 0)), "")</f>
        <v/>
      </c>
      <c r="DZ142" s="4" t="str">
        <f t="array" ref="DZ142">IFERROR(INDEX(球員狀態!V$2:V$5000, MATCH(1, (球員狀態!$A$2:$A$5000=$DF$1)*(ISNUMBER(SEARCH($DF142, 球員狀態!$B$2:$B$5000))), 0)), "")</f>
        <v/>
      </c>
      <c r="EA142" s="4" t="str">
        <f t="array" ref="EA142">IFERROR(INDEX(球員狀態!W$2:W$5000,MATCH(1,(球員狀態!$A$2:$A$5000=$DF$121)*(ISNUMBER(SEARCH($DF142,球員狀態!$B$2:$B$5000))),0)),"")</f>
        <v/>
      </c>
      <c r="EB142" s="4" t="str">
        <f t="array" ref="EB142">IFERROR(INDEX(球員狀態!X$2:X$5000, MATCH(1, (球員狀態!$A$2:$A$5000=$DF$1)*(ISNUMBER(SEARCH($DF142, 球員狀態!$B$2:$B$5000))), 0)), "")</f>
        <v/>
      </c>
      <c r="EC142" s="4" t="str">
        <f t="array" ref="EC142">IFERROR(INDEX(球員狀態!Y$2:Y$5000, MATCH(1, (球員狀態!$A$2:$A$5000=$DF$1)*(ISNUMBER(SEARCH($DF142, 球員狀態!$B$2:$B$5000))), 0)), "")</f>
        <v/>
      </c>
      <c r="ED142" s="4" t="str">
        <f t="array" ref="ED142">IFERROR(INDEX(球員狀態!Z$2:Z$5000,MATCH(1,(球員狀態!$A$2:$A$5000=$DF$121)*(ISNUMBER(SEARCH($DF142,球員狀態!$B$2:$B$5000))),0)),"")</f>
        <v/>
      </c>
      <c r="EE142" s="4" t="str">
        <f t="array" ref="EE142">IFERROR(INDEX(球員狀態!AA$2:AA$5000,MATCH(1,(球員狀態!$A$2:$A$5000=$DF$121)*(ISNUMBER(SEARCH($DF142,球員狀態!$B$2:$B$5000))),0)),"")</f>
        <v/>
      </c>
      <c r="EF142" s="4" t="str">
        <f t="array" ref="EF142">IFERROR(INDEX(球員狀態!AB$2:AB$5000,MATCH(1,(球員狀態!$A$2:$A$5000=$DF$121)*(ISNUMBER(SEARCH($DF142,球員狀態!$B$2:$B$5000))),0)),"")</f>
        <v/>
      </c>
      <c r="EG142" s="56"/>
      <c r="EI142" s="37">
        <f>先發名單!Y$6</f>
        <v>0</v>
      </c>
      <c r="EJ142" s="4" t="str">
        <f t="array" ref="EJ142">IFERROR(INDEX(球員狀態!C$2:C$5000, MATCH(1, (球員狀態!$A$2:$A$5000=$EI$121)*(ISNUMBER(SEARCH($EI142, 球員狀態!$B$2:$B$5000))), 0)), "")</f>
        <v/>
      </c>
      <c r="EM142" s="4" t="str">
        <f t="array" ref="EM142">IFERROR(INDEX(球員狀態!F$2:F$5000, MATCH(1, (球員狀態!$A$2:$A$5000=$EI$121)*(ISNUMBER(SEARCH($EI142, 球員狀態!$B$2:$B$5000))), 0)), "")</f>
        <v/>
      </c>
      <c r="EN142" s="4" t="str">
        <f t="array" ref="EN142">IFERROR(INDEX(球員狀態!G$2:G$5000, MATCH(1, (球員狀態!$A$2:$A$5000=$EI$1)*(ISNUMBER(SEARCH($EI142, 球員狀態!$B$2:$B$5000))), 0)), "")</f>
        <v/>
      </c>
      <c r="EO142" s="4" t="str">
        <f t="array" ref="EO142">IFERROR(INDEX(球員狀態!H$2:H$5000, MATCH(1, (球員狀態!$A$2:$A$5000=$EI$121)*(ISNUMBER(SEARCH($EI142, 球員狀態!$B$2:$B$5000))), 0)), "")</f>
        <v/>
      </c>
      <c r="EP142" s="4" t="str">
        <f t="array" ref="EP142">IFERROR(INDEX(球員狀態!I$2:I$5000, MATCH(1, (球員狀態!$A$2:$A$5000=$EI$121)*(ISNUMBER(SEARCH($EI142, 球員狀態!$B$2:$B$5000))), 0)), "")</f>
        <v/>
      </c>
      <c r="EQ142" s="4" t="str">
        <f t="array" ref="EQ142">IFERROR(INDEX(球員狀態!J$2:J$5000, MATCH(1, (球員狀態!$A$2:$A$5000=$EI$121)*(ISNUMBER(SEARCH($EI142, 球員狀態!$B$2:$B$5000))), 0)), "")</f>
        <v/>
      </c>
      <c r="ER142" s="4" t="str">
        <f t="array" ref="ER142">IFERROR(INDEX(球員狀態!K$2:K$5000, MATCH(1, (球員狀態!$A$2:$A$5000=$EI$121)*(ISNUMBER(SEARCH($EI142, 球員狀態!$B$2:$B$5000))), 0)), "")</f>
        <v/>
      </c>
      <c r="ES142" s="4" t="str">
        <f t="array" ref="ES142">IFERROR(INDEX(球員狀態!L$2:L$5000, MATCH(1, (球員狀態!$A$2:$A$5000=$EI$121)*(ISNUMBER(SEARCH($EI142, 球員狀態!$B$2:$B$5000))), 0)), "")</f>
        <v/>
      </c>
      <c r="ET142" s="4" t="str">
        <f t="array" ref="ET142">IFERROR(INDEX(球員狀態!M$2:M$5000, MATCH(1, (球員狀態!$A$2:$A$5000=$EI$121)*(ISNUMBER(SEARCH($EI142, 球員狀態!$B$2:$B$5000))), 0)), "")</f>
        <v/>
      </c>
      <c r="EU142" s="4" t="str">
        <f t="array" ref="EU142">IFERROR(INDEX(球員狀態!N$2:N$5000, MATCH(1, (球員狀態!$A$2:$A$5000=$EI$121)*(ISNUMBER(SEARCH($EI142, 球員狀態!$B$2:$B$5000))), 0)), "")</f>
        <v/>
      </c>
      <c r="EV142" s="4" t="str">
        <f t="array" ref="EV142">IFERROR(INDEX(球員狀態!O$2:O$5000, MATCH(1, (球員狀態!$A$2:$A$5000=$EI$1)*(ISNUMBER(SEARCH($EI142, 球員狀態!$B$2:$B$5000))), 0)), "")</f>
        <v/>
      </c>
      <c r="EW142" s="4" t="str">
        <f t="array" ref="EW142">IFERROR(INDEX(球員狀態!P$2:P$5000, MATCH(1, (球員狀態!$A$2:$A$5000=$EI$1)*(ISNUMBER(SEARCH($EI142, 球員狀態!$B$2:$B$5000))), 0)), "")</f>
        <v/>
      </c>
      <c r="EX142" s="4" t="str">
        <f t="array" ref="EX142">IFERROR(INDEX(球員狀態!Q$2:Q$5000, MATCH(1, (球員狀態!$A$2:$A$5000=$EI$121)*(ISNUMBER(SEARCH($EI142, 球員狀態!$B$2:$B$5000))), 0)), "")</f>
        <v/>
      </c>
      <c r="EY142" s="4" t="str">
        <f t="array" ref="EY142">IFERROR(INDEX(球員狀態!R$2:R$5000, MATCH(1, (球員狀態!$A$2:$A$5000=$EI$1)*(ISNUMBER(SEARCH($EI142, 球員狀態!$B$2:$B$5000))), 0)), "")</f>
        <v/>
      </c>
      <c r="EZ142" s="4" t="str">
        <f t="array" ref="EZ142">IFERROR(INDEX(球員狀態!S$2:S$5000, MATCH(1, (球員狀態!$A$2:$A$5000=$EI$1)*(ISNUMBER(SEARCH($EI142, 球員狀態!$B$2:$B$5000))), 0)), "")</f>
        <v/>
      </c>
      <c r="FA142" s="4" t="str">
        <f t="array" ref="FA142">IFERROR(INDEX(球員狀態!T$2:T$5000, MATCH(1, (球員狀態!$A$2:$A$5000=$EI$121)*(ISNUMBER(SEARCH($EI142, 球員狀態!$B$2:$B$5000))), 0)), "")</f>
        <v/>
      </c>
      <c r="FB142" s="4" t="str">
        <f t="array" ref="FB142">IFERROR(INDEX(球員狀態!U$2:U$5000, MATCH(1, (球員狀態!$A$2:$A$5000=$EI$1)*(ISNUMBER(SEARCH($EI142, 球員狀態!$B$2:$B$5000))), 0)), "")</f>
        <v/>
      </c>
      <c r="FC142" s="4" t="str">
        <f t="array" ref="FC142">IFERROR(INDEX(球員狀態!V$2:V$5000, MATCH(1, (球員狀態!$A$2:$A$5000=$EI$1)*(ISNUMBER(SEARCH($EI142, 球員狀態!$B$2:$B$5000))), 0)), "")</f>
        <v/>
      </c>
      <c r="FD142" s="4" t="str">
        <f t="array" ref="FD142">IFERROR(INDEX(球員狀態!W$2:W$5000, MATCH(1, (球員狀態!$A$2:$A$5000=$EI$121)*(ISNUMBER(SEARCH($EI142, 球員狀態!$B$2:$B$5000))), 0)), "")</f>
        <v/>
      </c>
      <c r="FE142" s="4" t="str">
        <f t="array" ref="FE142">IFERROR(INDEX(球員狀態!X$2:X$5000, MATCH(1, (球員狀態!$A$2:$A$5000=$EI$1)*(ISNUMBER(SEARCH($EI142, 球員狀態!$B$2:$B$5000))), 0)), "")</f>
        <v/>
      </c>
      <c r="FF142" s="4" t="str">
        <f t="array" ref="FF142">IFERROR(INDEX(球員狀態!Y$2:Y$5000, MATCH(1, (球員狀態!$A$2:$A$5000=$EI$1)*(ISNUMBER(SEARCH($EI142, 球員狀態!$B$2:$B$5000))), 0)), "")</f>
        <v/>
      </c>
      <c r="FG142" s="4" t="str">
        <f t="array" ref="FG142">IFERROR(INDEX(球員狀態!Z$2:Z$5000, MATCH(1, (球員狀態!$A$2:$A$5000=$EI$121)*(ISNUMBER(SEARCH($EI142, 球員狀態!$B$2:$B$5000))), 0)), "")</f>
        <v/>
      </c>
      <c r="FH142" s="4" t="str">
        <f t="array" ref="FH142">IFERROR(INDEX(球員狀態!AA$2:AA$5000, MATCH(1, (球員狀態!$A$2:$A$5000=$EI$121)*(ISNUMBER(SEARCH($EI142, 球員狀態!$B$2:$B$5000))), 0)), "")</f>
        <v/>
      </c>
      <c r="FI142" s="4" t="str">
        <f t="array" ref="FI142">IFERROR(INDEX(球員狀態!AB$2:AB$5000, MATCH(1, (球員狀態!$A$2:$A$5000=$EI$121)*(ISNUMBER(SEARCH($EI142, 球員狀態!$B$2:$B$5000))), 0)), "")</f>
        <v/>
      </c>
    </row>
    <row r="143" spans="110:165">
      <c r="DH143" s="40" t="e">
        <f>DJ143+DL143+DM143+DN143+DO143-DP143-DQ143+DR143</f>
        <v>#VALUE!</v>
      </c>
      <c r="DI143" s="42" t="e">
        <f>DU143+DX143+EA143+ED143+EE143+EF143</f>
        <v>#VALUE!</v>
      </c>
      <c r="DJ143" s="38" t="e">
        <f>VLOOKUP(DJ142*1, FK$2:FM$12, 3, TRUE)*FM$1</f>
        <v>#VALUE!</v>
      </c>
      <c r="DL143" s="38" t="e">
        <f>VLOOKUP(DL142*1, FN$2:FP$12, 3, TRUE)*FP$1</f>
        <v>#VALUE!</v>
      </c>
      <c r="DM143" s="38" t="e">
        <f>VLOOKUP(DM142*1, FQ$2:FS$12, 3, TRUE)*FS$1</f>
        <v>#VALUE!</v>
      </c>
      <c r="DN143" s="38" t="e">
        <f>VLOOKUP(DN142*1, FT$2:FV$12, 3, TRUE)*FV$1</f>
        <v>#VALUE!</v>
      </c>
      <c r="DO143" s="38" t="e">
        <f>VLOOKUP(DO142*1, FW$2:FY$12, 3, TRUE)*FY$1</f>
        <v>#VALUE!</v>
      </c>
      <c r="DP143" s="39" t="e">
        <f>VLOOKUP(DP142*1, FK$14:FM$25, 3, TRUE)*FM$14</f>
        <v>#VALUE!</v>
      </c>
      <c r="DQ143" s="39" t="e">
        <f>VLOOKUP(DQ142*1, FN$14:FP$25, 3, TRUE)*FP$14</f>
        <v>#VALUE!</v>
      </c>
      <c r="DR143" s="38" t="e">
        <f>VLOOKUP(DR142*1, FQ$14:FS$25, 3, TRUE)*FS$14</f>
        <v>#VALUE!</v>
      </c>
      <c r="DU143" s="41" t="e">
        <f>VLOOKUP(DU142*1, FK$27:FM$38, 3, TRUE)*FM$27</f>
        <v>#VALUE!</v>
      </c>
      <c r="DX143" s="41" t="e">
        <f>VLOOKUP(DX142*1, FN$27:FP$38, 3, TRUE)*FP$27</f>
        <v>#VALUE!</v>
      </c>
      <c r="EA143" s="41" t="e">
        <f>VLOOKUP(EA142*1, FQ$27:FS$38, 3, TRUE)*FS$27</f>
        <v>#VALUE!</v>
      </c>
      <c r="ED143" s="41" t="e">
        <f>VLOOKUP(ED142*1, FT$27:FV$38, 3, TRUE)*FV$27</f>
        <v>#VALUE!</v>
      </c>
      <c r="EE143" s="41" t="e">
        <f>VLOOKUP(EE142*1, FW$27:FY$38, 3, TRUE)*FY$27</f>
        <v>#VALUE!</v>
      </c>
      <c r="EF143" s="41" t="e">
        <f>VLOOKUP(EF142*1, FK$40:FM$51, 3, TRUE)*FM$40</f>
        <v>#VALUE!</v>
      </c>
      <c r="EG143" s="57"/>
      <c r="EK143" s="40" t="e">
        <f>EM143+EO143+EP143+EQ143+ER143-ES143-ET143+EU143</f>
        <v>#VALUE!</v>
      </c>
      <c r="EL143" s="42" t="e">
        <f>EX143+FA143+FD143+FG143+FH143+FI143</f>
        <v>#VALUE!</v>
      </c>
      <c r="EM143" s="38" t="e">
        <f>VLOOKUP(EM142*1, $FK$2:$FM$12, 3, TRUE)*$FM$1</f>
        <v>#VALUE!</v>
      </c>
      <c r="EO143" s="38" t="e">
        <f>VLOOKUP(EO142*1, $FN$2:$FP$12, 3, TRUE)*$FP$1</f>
        <v>#VALUE!</v>
      </c>
      <c r="EP143" s="38" t="e">
        <f>VLOOKUP(EP142*1, $FQ$2:$FS$12, 3, TRUE)*$FS$1</f>
        <v>#VALUE!</v>
      </c>
      <c r="EQ143" s="38" t="e">
        <f>VLOOKUP(EQ142*1, $FT$2:$FV$12, 3, TRUE)*$FV$1</f>
        <v>#VALUE!</v>
      </c>
      <c r="ER143" s="38" t="e">
        <f>VLOOKUP(ER142*1, $FW$2:$FY$12, 3, TRUE)*$FY$1</f>
        <v>#VALUE!</v>
      </c>
      <c r="ES143" s="39" t="e">
        <f>VLOOKUP(ES142*1, $FK$14:$FM$25, 3, TRUE)*$FM$14</f>
        <v>#VALUE!</v>
      </c>
      <c r="ET143" s="39" t="e">
        <f>VLOOKUP(ET142*1, $FN$14:$FP$25, 3, TRUE)*$FP$14</f>
        <v>#VALUE!</v>
      </c>
      <c r="EU143" s="38" t="e">
        <f>VLOOKUP(EU142*1, $FQ$14:$FS$25, 3, TRUE)*$FS$14</f>
        <v>#VALUE!</v>
      </c>
      <c r="EX143" s="41" t="e">
        <f>VLOOKUP(EX142*1, $FK$27:$FM$38, 3, TRUE)*$FM$27</f>
        <v>#VALUE!</v>
      </c>
      <c r="FA143" s="41" t="e">
        <f>VLOOKUP(FA142*1, $FN$27:$FP$38, 3, TRUE)*$FP$27</f>
        <v>#VALUE!</v>
      </c>
      <c r="FD143" s="41" t="e">
        <f>VLOOKUP(FD142*1, $FQ$27:$FS$38, 3, TRUE)*$FS$27</f>
        <v>#VALUE!</v>
      </c>
      <c r="FG143" s="41" t="e">
        <f>VLOOKUP(FG142*1, $FT$27:$FV$38, 3, TRUE)*$FV$27</f>
        <v>#VALUE!</v>
      </c>
      <c r="FH143" s="41" t="e">
        <f>VLOOKUP(FH142*1, $FW$27:$FY$38, 3, TRUE)*$FY$27</f>
        <v>#VALUE!</v>
      </c>
      <c r="FI143" s="41" t="e">
        <f>VLOOKUP(FI142*1, $FK$40:$FM$51, 3, TRUE)*$FM$40</f>
        <v>#VALUE!</v>
      </c>
    </row>
    <row r="144" spans="110:165">
      <c r="DF144" s="37" t="e">
        <f>先發名單!#REF!</f>
        <v>#REF!</v>
      </c>
      <c r="DG144" s="4" t="str">
        <f t="array" ref="DG144">IFERROR(INDEX(球員狀態!$C$2:$C$5000, MATCH(1, (球員狀態!$A$2:$A$5000=$DF$121)*(ISNUMBER(SEARCH($DF144, 球員狀態!$B$2:$B$5000))), 0)), "")</f>
        <v/>
      </c>
      <c r="DJ144" s="4" t="str">
        <f t="array" ref="DJ144">IFERROR(INDEX(球員狀態!$F$2:$F$5000,MATCH(1,(球員狀態!$A$2:$A$5000=$DF$121)*(ISNUMBER(SEARCH($DF144,球員狀態!$B$2:$B$5000))),0)),"")</f>
        <v/>
      </c>
      <c r="DK144" s="4" t="str">
        <f t="array" ref="DK144">IFERROR(INDEX(球員狀態!G$2:G$5000, MATCH(1, (球員狀態!$A$2:$A$5000=$DF$1)*(ISNUMBER(SEARCH($DF144, 球員狀態!$B$2:$B$5000))), 0)), "")</f>
        <v/>
      </c>
      <c r="DL144" s="4" t="str">
        <f t="array" ref="DL144">IFERROR(INDEX(球員狀態!H$2:H$5000, MATCH(1, (球員狀態!$A$2:$A$5000=$DF$121)*(ISNUMBER(SEARCH($DF144, 球員狀態!$B$2:$B$5000))), 0)), "")</f>
        <v/>
      </c>
      <c r="DM144" s="4" t="str">
        <f t="array" ref="DM144">IFERROR(INDEX(球員狀態!I$2:I$5000,MATCH(1,(球員狀態!$A$2:$A$5000=$DF$121)*(ISNUMBER(SEARCH($DF144,球員狀態!$B$2:$B$5000))),0)),"")</f>
        <v/>
      </c>
      <c r="DN144" s="4" t="str">
        <f t="array" ref="DN144">IFERROR(INDEX(球員狀態!J$2:J$5000,MATCH(1,(球員狀態!$A$2:$A$5000=$DF$121)*(ISNUMBER(SEARCH($DF144,球員狀態!$B$2:$B$5000))),0)),"")</f>
        <v/>
      </c>
      <c r="DO144" s="4" t="str">
        <f t="array" ref="DO144">IFERROR(INDEX(球員狀態!K$2:K$5000,MATCH(1,(球員狀態!$A$2:$A$5000=$DF$121)*(ISNUMBER(SEARCH($DF144,球員狀態!$B$2:$B$5000))),0)),"")</f>
        <v/>
      </c>
      <c r="DP144" s="4" t="str">
        <f t="array" ref="DP144">IFERROR(INDEX(球員狀態!L$2:L$5000,MATCH(1,(球員狀態!$A$2:$A$5000=$DF$121)*(ISNUMBER(SEARCH($DF144,球員狀態!$B$2:$B$5000))),0)),"")</f>
        <v/>
      </c>
      <c r="DQ144" s="4" t="str">
        <f t="array" ref="DQ144">IFERROR(INDEX(球員狀態!M$2:M$5000,MATCH(1,(球員狀態!$A$2:$A$5000=$DF$121)*(ISNUMBER(SEARCH($DF144,球員狀態!$B$2:$B$5000))),0)),"")</f>
        <v/>
      </c>
      <c r="DR144" s="4" t="str">
        <f t="array" ref="DR144">IFERROR(INDEX(球員狀態!N$2:N$5000,MATCH(1,(球員狀態!$A$2:$A$5000=$DF$121)*(ISNUMBER(SEARCH($DF144,球員狀態!$B$2:$B$5000))),0)),"")</f>
        <v/>
      </c>
      <c r="DS144" s="4" t="str">
        <f t="array" ref="DS144">IFERROR(INDEX(球員狀態!O$2:O$5000, MATCH(1, (球員狀態!$A$2:$A$5000=$DF$1)*(ISNUMBER(SEARCH($DF144, 球員狀態!$B$2:$B$5000))), 0)), "")</f>
        <v/>
      </c>
      <c r="DT144" s="4" t="str">
        <f t="array" ref="DT144">IFERROR(INDEX(球員狀態!P$2:P$5000, MATCH(1, (球員狀態!$A$2:$A$5000=$DF$1)*(ISNUMBER(SEARCH($DF144, 球員狀態!$B$2:$B$5000))), 0)), "")</f>
        <v/>
      </c>
      <c r="DU144" s="4" t="str">
        <f t="array" ref="DU144">IFERROR(INDEX(球員狀態!Q$2:Q$5000,MATCH(1,(球員狀態!$A$2:$A$5000=$DF$121)*(ISNUMBER(SEARCH($DF144,球員狀態!$B$2:$B$5000))),0)),"")</f>
        <v/>
      </c>
      <c r="DV144" s="4" t="str">
        <f t="array" ref="DV144">IFERROR(INDEX(球員狀態!R$2:R$5000, MATCH(1, (球員狀態!$A$2:$A$5000=$DF$1)*(ISNUMBER(SEARCH($DF144, 球員狀態!$B$2:$B$5000))), 0)), "")</f>
        <v/>
      </c>
      <c r="DW144" s="4" t="str">
        <f t="array" ref="DW144">IFERROR(INDEX(球員狀態!S$2:S$5000, MATCH(1, (球員狀態!$A$2:$A$5000=$DF$1)*(ISNUMBER(SEARCH($DF144, 球員狀態!$B$2:$B$5000))), 0)), "")</f>
        <v/>
      </c>
      <c r="DX144" s="4" t="str">
        <f t="array" ref="DX144">IFERROR(INDEX(球員狀態!T$2:T$5000,MATCH(1,(球員狀態!$A$2:$A$5000=$DF$121)*(ISNUMBER(SEARCH($DF144,球員狀態!$B$2:$B$5000))),0)),"")</f>
        <v/>
      </c>
      <c r="DY144" s="4" t="str">
        <f t="array" ref="DY144">IFERROR(INDEX(球員狀態!U$2:U$5000, MATCH(1, (球員狀態!$A$2:$A$5000=$DF$1)*(ISNUMBER(SEARCH($DF144, 球員狀態!$B$2:$B$5000))), 0)), "")</f>
        <v/>
      </c>
      <c r="DZ144" s="4" t="str">
        <f t="array" ref="DZ144">IFERROR(INDEX(球員狀態!V$2:V$5000, MATCH(1, (球員狀態!$A$2:$A$5000=$DF$1)*(ISNUMBER(SEARCH($DF144, 球員狀態!$B$2:$B$5000))), 0)), "")</f>
        <v/>
      </c>
      <c r="EA144" s="4" t="str">
        <f t="array" ref="EA144">IFERROR(INDEX(球員狀態!W$2:W$5000,MATCH(1,(球員狀態!$A$2:$A$5000=$DF$121)*(ISNUMBER(SEARCH($DF144,球員狀態!$B$2:$B$5000))),0)),"")</f>
        <v/>
      </c>
      <c r="EB144" s="4" t="str">
        <f t="array" ref="EB144">IFERROR(INDEX(球員狀態!X$2:X$5000, MATCH(1, (球員狀態!$A$2:$A$5000=$DF$1)*(ISNUMBER(SEARCH($DF144, 球員狀態!$B$2:$B$5000))), 0)), "")</f>
        <v/>
      </c>
      <c r="EC144" s="4" t="str">
        <f t="array" ref="EC144">IFERROR(INDEX(球員狀態!Y$2:Y$5000, MATCH(1, (球員狀態!$A$2:$A$5000=$DF$1)*(ISNUMBER(SEARCH($DF144, 球員狀態!$B$2:$B$5000))), 0)), "")</f>
        <v/>
      </c>
      <c r="ED144" s="4" t="str">
        <f t="array" ref="ED144">IFERROR(INDEX(球員狀態!Z$2:Z$5000,MATCH(1,(球員狀態!$A$2:$A$5000=$DF$121)*(ISNUMBER(SEARCH($DF144,球員狀態!$B$2:$B$5000))),0)),"")</f>
        <v/>
      </c>
      <c r="EE144" s="4" t="str">
        <f t="array" ref="EE144">IFERROR(INDEX(球員狀態!AA$2:AA$5000,MATCH(1,(球員狀態!$A$2:$A$5000=$DF$121)*(ISNUMBER(SEARCH($DF144,球員狀態!$B$2:$B$5000))),0)),"")</f>
        <v/>
      </c>
      <c r="EF144" s="4" t="str">
        <f t="array" ref="EF144">IFERROR(INDEX(球員狀態!AB$2:AB$5000,MATCH(1,(球員狀態!$A$2:$A$5000=$DF$121)*(ISNUMBER(SEARCH($DF144,球員狀態!$B$2:$B$5000))),0)),"")</f>
        <v/>
      </c>
      <c r="EG144" s="56"/>
      <c r="EI144" s="37">
        <f>先發名單!Z$6</f>
        <v>0</v>
      </c>
      <c r="EJ144" s="4" t="str">
        <f t="array" ref="EJ144">IFERROR(INDEX(球員狀態!C$2:C$5000, MATCH(1, (球員狀態!$A$2:$A$5000=$EI$121)*(ISNUMBER(SEARCH($EI144, 球員狀態!$B$2:$B$5000))), 0)), "")</f>
        <v/>
      </c>
      <c r="EM144" s="4" t="str">
        <f t="array" ref="EM144">IFERROR(INDEX(球員狀態!F$2:F$5000, MATCH(1, (球員狀態!$A$2:$A$5000=$EI$121)*(ISNUMBER(SEARCH($EI144, 球員狀態!$B$2:$B$5000))), 0)), "")</f>
        <v/>
      </c>
      <c r="EN144" s="4" t="str">
        <f t="array" ref="EN144">IFERROR(INDEX(球員狀態!G$2:G$5000, MATCH(1, (球員狀態!$A$2:$A$5000=$EI$1)*(ISNUMBER(SEARCH($EI144, 球員狀態!$B$2:$B$5000))), 0)), "")</f>
        <v/>
      </c>
      <c r="EO144" s="4" t="str">
        <f t="array" ref="EO144">IFERROR(INDEX(球員狀態!H$2:H$5000, MATCH(1, (球員狀態!$A$2:$A$5000=$EI$121)*(ISNUMBER(SEARCH($EI144, 球員狀態!$B$2:$B$5000))), 0)), "")</f>
        <v/>
      </c>
      <c r="EP144" s="4" t="str">
        <f t="array" ref="EP144">IFERROR(INDEX(球員狀態!I$2:I$5000, MATCH(1, (球員狀態!$A$2:$A$5000=$EI$121)*(ISNUMBER(SEARCH($EI144, 球員狀態!$B$2:$B$5000))), 0)), "")</f>
        <v/>
      </c>
      <c r="EQ144" s="4" t="str">
        <f t="array" ref="EQ144">IFERROR(INDEX(球員狀態!J$2:J$5000, MATCH(1, (球員狀態!$A$2:$A$5000=$EI$121)*(ISNUMBER(SEARCH($EI144, 球員狀態!$B$2:$B$5000))), 0)), "")</f>
        <v/>
      </c>
      <c r="ER144" s="4" t="str">
        <f t="array" ref="ER144">IFERROR(INDEX(球員狀態!K$2:K$5000, MATCH(1, (球員狀態!$A$2:$A$5000=$EI$121)*(ISNUMBER(SEARCH($EI144, 球員狀態!$B$2:$B$5000))), 0)), "")</f>
        <v/>
      </c>
      <c r="ES144" s="4" t="str">
        <f t="array" ref="ES144">IFERROR(INDEX(球員狀態!L$2:L$5000, MATCH(1, (球員狀態!$A$2:$A$5000=$EI$121)*(ISNUMBER(SEARCH($EI144, 球員狀態!$B$2:$B$5000))), 0)), "")</f>
        <v/>
      </c>
      <c r="ET144" s="4" t="str">
        <f t="array" ref="ET144">IFERROR(INDEX(球員狀態!M$2:M$5000, MATCH(1, (球員狀態!$A$2:$A$5000=$EI$121)*(ISNUMBER(SEARCH($EI144, 球員狀態!$B$2:$B$5000))), 0)), "")</f>
        <v/>
      </c>
      <c r="EU144" s="4" t="str">
        <f t="array" ref="EU144">IFERROR(INDEX(球員狀態!N$2:N$5000, MATCH(1, (球員狀態!$A$2:$A$5000=$EI$121)*(ISNUMBER(SEARCH($EI144, 球員狀態!$B$2:$B$5000))), 0)), "")</f>
        <v/>
      </c>
      <c r="EV144" s="4" t="str">
        <f t="array" ref="EV144">IFERROR(INDEX(球員狀態!O$2:O$5000, MATCH(1, (球員狀態!$A$2:$A$5000=$EI$1)*(ISNUMBER(SEARCH($EI144, 球員狀態!$B$2:$B$5000))), 0)), "")</f>
        <v/>
      </c>
      <c r="EW144" s="4" t="str">
        <f t="array" ref="EW144">IFERROR(INDEX(球員狀態!P$2:P$5000, MATCH(1, (球員狀態!$A$2:$A$5000=$EI$1)*(ISNUMBER(SEARCH($EI144, 球員狀態!$B$2:$B$5000))), 0)), "")</f>
        <v/>
      </c>
      <c r="EX144" s="4" t="str">
        <f t="array" ref="EX144">IFERROR(INDEX(球員狀態!Q$2:Q$5000, MATCH(1, (球員狀態!$A$2:$A$5000=$EI$121)*(ISNUMBER(SEARCH($EI144, 球員狀態!$B$2:$B$5000))), 0)), "")</f>
        <v/>
      </c>
      <c r="EY144" s="4" t="str">
        <f t="array" ref="EY144">IFERROR(INDEX(球員狀態!R$2:R$5000, MATCH(1, (球員狀態!$A$2:$A$5000=$EI$1)*(ISNUMBER(SEARCH($EI144, 球員狀態!$B$2:$B$5000))), 0)), "")</f>
        <v/>
      </c>
      <c r="EZ144" s="4" t="str">
        <f t="array" ref="EZ144">IFERROR(INDEX(球員狀態!S$2:S$5000, MATCH(1, (球員狀態!$A$2:$A$5000=$EI$1)*(ISNUMBER(SEARCH($EI144, 球員狀態!$B$2:$B$5000))), 0)), "")</f>
        <v/>
      </c>
      <c r="FA144" s="4" t="str">
        <f t="array" ref="FA144">IFERROR(INDEX(球員狀態!T$2:T$5000, MATCH(1, (球員狀態!$A$2:$A$5000=$EI$121)*(ISNUMBER(SEARCH($EI144, 球員狀態!$B$2:$B$5000))), 0)), "")</f>
        <v/>
      </c>
      <c r="FB144" s="4" t="str">
        <f t="array" ref="FB144">IFERROR(INDEX(球員狀態!U$2:U$5000, MATCH(1, (球員狀態!$A$2:$A$5000=$EI$1)*(ISNUMBER(SEARCH($EI144, 球員狀態!$B$2:$B$5000))), 0)), "")</f>
        <v/>
      </c>
      <c r="FC144" s="4" t="str">
        <f t="array" ref="FC144">IFERROR(INDEX(球員狀態!V$2:V$5000, MATCH(1, (球員狀態!$A$2:$A$5000=$EI$1)*(ISNUMBER(SEARCH($EI144, 球員狀態!$B$2:$B$5000))), 0)), "")</f>
        <v/>
      </c>
      <c r="FD144" s="4" t="str">
        <f t="array" ref="FD144">IFERROR(INDEX(球員狀態!W$2:W$5000, MATCH(1, (球員狀態!$A$2:$A$5000=$EI$121)*(ISNUMBER(SEARCH($EI144, 球員狀態!$B$2:$B$5000))), 0)), "")</f>
        <v/>
      </c>
      <c r="FE144" s="4" t="str">
        <f t="array" ref="FE144">IFERROR(INDEX(球員狀態!X$2:X$5000, MATCH(1, (球員狀態!$A$2:$A$5000=$EI$1)*(ISNUMBER(SEARCH($EI144, 球員狀態!$B$2:$B$5000))), 0)), "")</f>
        <v/>
      </c>
      <c r="FF144" s="4" t="str">
        <f t="array" ref="FF144">IFERROR(INDEX(球員狀態!Y$2:Y$5000, MATCH(1, (球員狀態!$A$2:$A$5000=$EI$1)*(ISNUMBER(SEARCH($EI144, 球員狀態!$B$2:$B$5000))), 0)), "")</f>
        <v/>
      </c>
      <c r="FG144" s="4" t="str">
        <f t="array" ref="FG144">IFERROR(INDEX(球員狀態!Z$2:Z$5000, MATCH(1, (球員狀態!$A$2:$A$5000=$EI$121)*(ISNUMBER(SEARCH($EI144, 球員狀態!$B$2:$B$5000))), 0)), "")</f>
        <v/>
      </c>
      <c r="FH144" s="4" t="str">
        <f t="array" ref="FH144">IFERROR(INDEX(球員狀態!AA$2:AA$5000, MATCH(1, (球員狀態!$A$2:$A$5000=$EI$121)*(ISNUMBER(SEARCH($EI144, 球員狀態!$B$2:$B$5000))), 0)), "")</f>
        <v/>
      </c>
      <c r="FI144" s="4" t="str">
        <f t="array" ref="FI144">IFERROR(INDEX(球員狀態!AB$2:AB$5000, MATCH(1, (球員狀態!$A$2:$A$5000=$EI$121)*(ISNUMBER(SEARCH($EI144, 球員狀態!$B$2:$B$5000))), 0)), "")</f>
        <v/>
      </c>
    </row>
    <row r="145" spans="110:165">
      <c r="DH145" s="40" t="e">
        <f>DJ145+DL145+DM145+DN145+DO145-DP145-DQ145+DR145</f>
        <v>#VALUE!</v>
      </c>
      <c r="DI145" s="42" t="e">
        <f>DU145+DX145+EA145+ED145+EE145+EF145</f>
        <v>#VALUE!</v>
      </c>
      <c r="DJ145" s="38" t="e">
        <f>VLOOKUP(DJ144*1, FK$2:FM$12, 3, TRUE)*FM$1</f>
        <v>#VALUE!</v>
      </c>
      <c r="DL145" s="38" t="e">
        <f>VLOOKUP(DL144*1, FN$2:FP$12, 3, TRUE)*FP$1</f>
        <v>#VALUE!</v>
      </c>
      <c r="DM145" s="38" t="e">
        <f>VLOOKUP(DM144*1, FQ$2:FS$12, 3, TRUE)*FS$1</f>
        <v>#VALUE!</v>
      </c>
      <c r="DN145" s="38" t="e">
        <f>VLOOKUP(DN144*1, FT$2:FV$12, 3, TRUE)*FV$1</f>
        <v>#VALUE!</v>
      </c>
      <c r="DO145" s="38" t="e">
        <f>VLOOKUP(DO144*1, FW$2:FY$12, 3, TRUE)*FY$1</f>
        <v>#VALUE!</v>
      </c>
      <c r="DP145" s="39" t="e">
        <f>VLOOKUP(DP144*1, FK$14:FM$25, 3, TRUE)*FM$14</f>
        <v>#VALUE!</v>
      </c>
      <c r="DQ145" s="39" t="e">
        <f>VLOOKUP(DQ144*1, FN$14:FP$25, 3, TRUE)*FP$14</f>
        <v>#VALUE!</v>
      </c>
      <c r="DR145" s="38" t="e">
        <f>VLOOKUP(DR144*1, FQ$14:FS$25, 3, TRUE)*FS$14</f>
        <v>#VALUE!</v>
      </c>
      <c r="DU145" s="41" t="e">
        <f>VLOOKUP(DU144*1, FK$27:FM$38, 3, TRUE)*FM$27</f>
        <v>#VALUE!</v>
      </c>
      <c r="DX145" s="41" t="e">
        <f>VLOOKUP(DX144*1, FN$27:FP$38, 3, TRUE)*FP$27</f>
        <v>#VALUE!</v>
      </c>
      <c r="EA145" s="41" t="e">
        <f>VLOOKUP(EA144*1, FQ$27:FS$38, 3, TRUE)*FS$27</f>
        <v>#VALUE!</v>
      </c>
      <c r="ED145" s="41" t="e">
        <f>VLOOKUP(ED144*1, FT$27:FV$38, 3, TRUE)*FV$27</f>
        <v>#VALUE!</v>
      </c>
      <c r="EE145" s="41" t="e">
        <f>VLOOKUP(EE144*1, FW$27:FY$38, 3, TRUE)*FY$27</f>
        <v>#VALUE!</v>
      </c>
      <c r="EF145" s="41" t="e">
        <f>VLOOKUP(EF144*1, FK$40:FM$51, 3, TRUE)*FM$40</f>
        <v>#VALUE!</v>
      </c>
      <c r="EG145" s="57"/>
      <c r="EK145" s="40" t="e">
        <f>EM145+EO145+EP145+EQ145+ER145-ES145-ET145+EU145</f>
        <v>#VALUE!</v>
      </c>
      <c r="EL145" s="42" t="e">
        <f>EX145+FA145+FD145+FG145+FH145+FI145</f>
        <v>#VALUE!</v>
      </c>
      <c r="EM145" s="38" t="e">
        <f>VLOOKUP(EM144*1, $FK$2:$FM$12, 3, TRUE)*$FM$1</f>
        <v>#VALUE!</v>
      </c>
      <c r="EO145" s="38" t="e">
        <f>VLOOKUP(EO144*1, $FN$2:$FP$12, 3, TRUE)*$FP$1</f>
        <v>#VALUE!</v>
      </c>
      <c r="EP145" s="38" t="e">
        <f>VLOOKUP(EP144*1, $FQ$2:$FS$12, 3, TRUE)*$FS$1</f>
        <v>#VALUE!</v>
      </c>
      <c r="EQ145" s="38" t="e">
        <f>VLOOKUP(EQ144*1, $FT$2:$FV$12, 3, TRUE)*$FV$1</f>
        <v>#VALUE!</v>
      </c>
      <c r="ER145" s="38" t="e">
        <f>VLOOKUP(ER144*1, $FW$2:$FY$12, 3, TRUE)*$FY$1</f>
        <v>#VALUE!</v>
      </c>
      <c r="ES145" s="39" t="e">
        <f>VLOOKUP(ES144*1, $FK$14:$FM$25, 3, TRUE)*$FM$14</f>
        <v>#VALUE!</v>
      </c>
      <c r="ET145" s="39" t="e">
        <f>VLOOKUP(ET144*1, $FN$14:$FP$25, 3, TRUE)*$FP$14</f>
        <v>#VALUE!</v>
      </c>
      <c r="EU145" s="38" t="e">
        <f>VLOOKUP(EU144*1, $FQ$14:$FS$25, 3, TRUE)*$FS$14</f>
        <v>#VALUE!</v>
      </c>
      <c r="EX145" s="41" t="e">
        <f>VLOOKUP(EX144*1, $FK$27:$FM$38, 3, TRUE)*$FM$27</f>
        <v>#VALUE!</v>
      </c>
      <c r="FA145" s="41" t="e">
        <f>VLOOKUP(FA144*1, $FN$27:$FP$38, 3, TRUE)*$FP$27</f>
        <v>#VALUE!</v>
      </c>
      <c r="FD145" s="41" t="e">
        <f>VLOOKUP(FD144*1, $FQ$27:$FS$38, 3, TRUE)*$FS$27</f>
        <v>#VALUE!</v>
      </c>
      <c r="FG145" s="41" t="e">
        <f>VLOOKUP(FG144*1, $FT$27:$FV$38, 3, TRUE)*$FV$27</f>
        <v>#VALUE!</v>
      </c>
      <c r="FH145" s="41" t="e">
        <f>VLOOKUP(FH144*1, $FW$27:$FY$38, 3, TRUE)*$FY$27</f>
        <v>#VALUE!</v>
      </c>
      <c r="FI145" s="41" t="e">
        <f>VLOOKUP(FI144*1, $FK$40:$FM$51, 3, TRUE)*$FM$40</f>
        <v>#VALUE!</v>
      </c>
    </row>
    <row r="146" spans="110:165">
      <c r="DF146" s="37" t="e">
        <f>先發名單!#REF!</f>
        <v>#REF!</v>
      </c>
      <c r="DG146" s="4" t="str">
        <f t="array" ref="DG146">IFERROR(INDEX(球員狀態!$C$2:$C$5000, MATCH(1, (球員狀態!$A$2:$A$5000=$DF$121)*(ISNUMBER(SEARCH($DF146, 球員狀態!$B$2:$B$5000))), 0)), "")</f>
        <v/>
      </c>
      <c r="DJ146" s="4" t="str">
        <f t="array" ref="DJ146">IFERROR(INDEX(球員狀態!$F$2:$F$5000,MATCH(1,(球員狀態!$A$2:$A$5000=$DF$121)*(ISNUMBER(SEARCH($DF146,球員狀態!$B$2:$B$5000))),0)),"")</f>
        <v/>
      </c>
      <c r="DK146" s="4" t="str">
        <f t="array" ref="DK146">IFERROR(INDEX(球員狀態!G$2:G$5000, MATCH(1, (球員狀態!$A$2:$A$5000=$DF$1)*(ISNUMBER(SEARCH($DF146, 球員狀態!$B$2:$B$5000))), 0)), "")</f>
        <v/>
      </c>
      <c r="DL146" s="4" t="str">
        <f t="array" ref="DL146">IFERROR(INDEX(球員狀態!H$2:H$5000, MATCH(1, (球員狀態!$A$2:$A$5000=$DF$121)*(ISNUMBER(SEARCH($DF146, 球員狀態!$B$2:$B$5000))), 0)), "")</f>
        <v/>
      </c>
      <c r="DM146" s="4" t="str">
        <f t="array" ref="DM146">IFERROR(INDEX(球員狀態!I$2:I$5000,MATCH(1,(球員狀態!$A$2:$A$5000=$DF$121)*(ISNUMBER(SEARCH($DF146,球員狀態!$B$2:$B$5000))),0)),"")</f>
        <v/>
      </c>
      <c r="DN146" s="4" t="str">
        <f t="array" ref="DN146">IFERROR(INDEX(球員狀態!J$2:J$5000,MATCH(1,(球員狀態!$A$2:$A$5000=$DF$121)*(ISNUMBER(SEARCH($DF146,球員狀態!$B$2:$B$5000))),0)),"")</f>
        <v/>
      </c>
      <c r="DO146" s="4" t="str">
        <f t="array" ref="DO146">IFERROR(INDEX(球員狀態!K$2:K$5000,MATCH(1,(球員狀態!$A$2:$A$5000=$DF$121)*(ISNUMBER(SEARCH($DF146,球員狀態!$B$2:$B$5000))),0)),"")</f>
        <v/>
      </c>
      <c r="DP146" s="4" t="str">
        <f t="array" ref="DP146">IFERROR(INDEX(球員狀態!L$2:L$5000,MATCH(1,(球員狀態!$A$2:$A$5000=$DF$121)*(ISNUMBER(SEARCH($DF146,球員狀態!$B$2:$B$5000))),0)),"")</f>
        <v/>
      </c>
      <c r="DQ146" s="4" t="str">
        <f t="array" ref="DQ146">IFERROR(INDEX(球員狀態!M$2:M$5000,MATCH(1,(球員狀態!$A$2:$A$5000=$DF$121)*(ISNUMBER(SEARCH($DF146,球員狀態!$B$2:$B$5000))),0)),"")</f>
        <v/>
      </c>
      <c r="DR146" s="4" t="str">
        <f t="array" ref="DR146">IFERROR(INDEX(球員狀態!N$2:N$5000,MATCH(1,(球員狀態!$A$2:$A$5000=$DF$121)*(ISNUMBER(SEARCH($DF146,球員狀態!$B$2:$B$5000))),0)),"")</f>
        <v/>
      </c>
      <c r="DS146" s="4" t="str">
        <f t="array" ref="DS146">IFERROR(INDEX(球員狀態!O$2:O$5000, MATCH(1, (球員狀態!$A$2:$A$5000=$DF$1)*(ISNUMBER(SEARCH($DF146, 球員狀態!$B$2:$B$5000))), 0)), "")</f>
        <v/>
      </c>
      <c r="DT146" s="4" t="str">
        <f t="array" ref="DT146">IFERROR(INDEX(球員狀態!P$2:P$5000, MATCH(1, (球員狀態!$A$2:$A$5000=$DF$1)*(ISNUMBER(SEARCH($DF146, 球員狀態!$B$2:$B$5000))), 0)), "")</f>
        <v/>
      </c>
      <c r="DU146" s="4" t="str">
        <f t="array" ref="DU146">IFERROR(INDEX(球員狀態!Q$2:Q$5000,MATCH(1,(球員狀態!$A$2:$A$5000=$DF$121)*(ISNUMBER(SEARCH($DF146,球員狀態!$B$2:$B$5000))),0)),"")</f>
        <v/>
      </c>
      <c r="DV146" s="4" t="str">
        <f t="array" ref="DV146">IFERROR(INDEX(球員狀態!R$2:R$5000, MATCH(1, (球員狀態!$A$2:$A$5000=$DF$1)*(ISNUMBER(SEARCH($DF146, 球員狀態!$B$2:$B$5000))), 0)), "")</f>
        <v/>
      </c>
      <c r="DW146" s="4" t="str">
        <f t="array" ref="DW146">IFERROR(INDEX(球員狀態!S$2:S$5000, MATCH(1, (球員狀態!$A$2:$A$5000=$DF$1)*(ISNUMBER(SEARCH($DF146, 球員狀態!$B$2:$B$5000))), 0)), "")</f>
        <v/>
      </c>
      <c r="DX146" s="4" t="str">
        <f t="array" ref="DX146">IFERROR(INDEX(球員狀態!T$2:T$5000,MATCH(1,(球員狀態!$A$2:$A$5000=$DF$121)*(ISNUMBER(SEARCH($DF146,球員狀態!$B$2:$B$5000))),0)),"")</f>
        <v/>
      </c>
      <c r="DY146" s="4" t="str">
        <f t="array" ref="DY146">IFERROR(INDEX(球員狀態!U$2:U$5000, MATCH(1, (球員狀態!$A$2:$A$5000=$DF$1)*(ISNUMBER(SEARCH($DF146, 球員狀態!$B$2:$B$5000))), 0)), "")</f>
        <v/>
      </c>
      <c r="DZ146" s="4" t="str">
        <f t="array" ref="DZ146">IFERROR(INDEX(球員狀態!V$2:V$5000, MATCH(1, (球員狀態!$A$2:$A$5000=$DF$1)*(ISNUMBER(SEARCH($DF146, 球員狀態!$B$2:$B$5000))), 0)), "")</f>
        <v/>
      </c>
      <c r="EA146" s="4" t="str">
        <f t="array" ref="EA146">IFERROR(INDEX(球員狀態!W$2:W$5000,MATCH(1,(球員狀態!$A$2:$A$5000=$DF$121)*(ISNUMBER(SEARCH($DF146,球員狀態!$B$2:$B$5000))),0)),"")</f>
        <v/>
      </c>
      <c r="EB146" s="4" t="str">
        <f t="array" ref="EB146">IFERROR(INDEX(球員狀態!X$2:X$5000, MATCH(1, (球員狀態!$A$2:$A$5000=$DF$1)*(ISNUMBER(SEARCH($DF146, 球員狀態!$B$2:$B$5000))), 0)), "")</f>
        <v/>
      </c>
      <c r="EC146" s="4" t="str">
        <f t="array" ref="EC146">IFERROR(INDEX(球員狀態!Y$2:Y$5000, MATCH(1, (球員狀態!$A$2:$A$5000=$DF$1)*(ISNUMBER(SEARCH($DF146, 球員狀態!$B$2:$B$5000))), 0)), "")</f>
        <v/>
      </c>
      <c r="ED146" s="4" t="str">
        <f t="array" ref="ED146">IFERROR(INDEX(球員狀態!Z$2:Z$5000,MATCH(1,(球員狀態!$A$2:$A$5000=$DF$121)*(ISNUMBER(SEARCH($DF146,球員狀態!$B$2:$B$5000))),0)),"")</f>
        <v/>
      </c>
      <c r="EE146" s="4" t="str">
        <f t="array" ref="EE146">IFERROR(INDEX(球員狀態!AA$2:AA$5000,MATCH(1,(球員狀態!$A$2:$A$5000=$DF$121)*(ISNUMBER(SEARCH($DF146,球員狀態!$B$2:$B$5000))),0)),"")</f>
        <v/>
      </c>
      <c r="EF146" s="4" t="str">
        <f t="array" ref="EF146">IFERROR(INDEX(球員狀態!AB$2:AB$5000,MATCH(1,(球員狀態!$A$2:$A$5000=$DF$121)*(ISNUMBER(SEARCH($DF146,球員狀態!$B$2:$B$5000))),0)),"")</f>
        <v/>
      </c>
      <c r="EG146" s="56"/>
      <c r="EI146" s="37">
        <f>先發名單!AA$6</f>
        <v>0</v>
      </c>
      <c r="EJ146" s="4" t="str">
        <f t="array" ref="EJ146">IFERROR(INDEX(球員狀態!C$2:C$5000, MATCH(1, (球員狀態!$A$2:$A$5000=$EI$121)*(ISNUMBER(SEARCH($EI146, 球員狀態!$B$2:$B$5000))), 0)), "")</f>
        <v/>
      </c>
      <c r="EM146" s="4" t="str">
        <f t="array" ref="EM146">IFERROR(INDEX(球員狀態!F$2:F$5000, MATCH(1, (球員狀態!$A$2:$A$5000=$EI$121)*(ISNUMBER(SEARCH($EI146, 球員狀態!$B$2:$B$5000))), 0)), "")</f>
        <v/>
      </c>
      <c r="EN146" s="4" t="str">
        <f t="array" ref="EN146">IFERROR(INDEX(球員狀態!G$2:G$5000, MATCH(1, (球員狀態!$A$2:$A$5000=$EI$1)*(ISNUMBER(SEARCH($EI146, 球員狀態!$B$2:$B$5000))), 0)), "")</f>
        <v/>
      </c>
      <c r="EO146" s="4" t="str">
        <f t="array" ref="EO146">IFERROR(INDEX(球員狀態!H$2:H$5000, MATCH(1, (球員狀態!$A$2:$A$5000=$EI$121)*(ISNUMBER(SEARCH($EI146, 球員狀態!$B$2:$B$5000))), 0)), "")</f>
        <v/>
      </c>
      <c r="EP146" s="4" t="str">
        <f t="array" ref="EP146">IFERROR(INDEX(球員狀態!I$2:I$5000, MATCH(1, (球員狀態!$A$2:$A$5000=$EI$121)*(ISNUMBER(SEARCH($EI146, 球員狀態!$B$2:$B$5000))), 0)), "")</f>
        <v/>
      </c>
      <c r="EQ146" s="4" t="str">
        <f t="array" ref="EQ146">IFERROR(INDEX(球員狀態!J$2:J$5000, MATCH(1, (球員狀態!$A$2:$A$5000=$EI$121)*(ISNUMBER(SEARCH($EI146, 球員狀態!$B$2:$B$5000))), 0)), "")</f>
        <v/>
      </c>
      <c r="ER146" s="4" t="str">
        <f t="array" ref="ER146">IFERROR(INDEX(球員狀態!K$2:K$5000, MATCH(1, (球員狀態!$A$2:$A$5000=$EI$121)*(ISNUMBER(SEARCH($EI146, 球員狀態!$B$2:$B$5000))), 0)), "")</f>
        <v/>
      </c>
      <c r="ES146" s="4" t="str">
        <f t="array" ref="ES146">IFERROR(INDEX(球員狀態!L$2:L$5000, MATCH(1, (球員狀態!$A$2:$A$5000=$EI$121)*(ISNUMBER(SEARCH($EI146, 球員狀態!$B$2:$B$5000))), 0)), "")</f>
        <v/>
      </c>
      <c r="ET146" s="4" t="str">
        <f t="array" ref="ET146">IFERROR(INDEX(球員狀態!M$2:M$5000, MATCH(1, (球員狀態!$A$2:$A$5000=$EI$121)*(ISNUMBER(SEARCH($EI146, 球員狀態!$B$2:$B$5000))), 0)), "")</f>
        <v/>
      </c>
      <c r="EU146" s="4" t="str">
        <f t="array" ref="EU146">IFERROR(INDEX(球員狀態!N$2:N$5000, MATCH(1, (球員狀態!$A$2:$A$5000=$EI$121)*(ISNUMBER(SEARCH($EI146, 球員狀態!$B$2:$B$5000))), 0)), "")</f>
        <v/>
      </c>
      <c r="EV146" s="4" t="str">
        <f t="array" ref="EV146">IFERROR(INDEX(球員狀態!O$2:O$5000, MATCH(1, (球員狀態!$A$2:$A$5000=$EI$1)*(ISNUMBER(SEARCH($EI146, 球員狀態!$B$2:$B$5000))), 0)), "")</f>
        <v/>
      </c>
      <c r="EW146" s="4" t="str">
        <f t="array" ref="EW146">IFERROR(INDEX(球員狀態!P$2:P$5000, MATCH(1, (球員狀態!$A$2:$A$5000=$EI$1)*(ISNUMBER(SEARCH($EI146, 球員狀態!$B$2:$B$5000))), 0)), "")</f>
        <v/>
      </c>
      <c r="EX146" s="4" t="str">
        <f t="array" ref="EX146">IFERROR(INDEX(球員狀態!Q$2:Q$5000, MATCH(1, (球員狀態!$A$2:$A$5000=$EI$121)*(ISNUMBER(SEARCH($EI146, 球員狀態!$B$2:$B$5000))), 0)), "")</f>
        <v/>
      </c>
      <c r="EY146" s="4" t="str">
        <f t="array" ref="EY146">IFERROR(INDEX(球員狀態!R$2:R$5000, MATCH(1, (球員狀態!$A$2:$A$5000=$EI$1)*(ISNUMBER(SEARCH($EI146, 球員狀態!$B$2:$B$5000))), 0)), "")</f>
        <v/>
      </c>
      <c r="EZ146" s="4" t="str">
        <f t="array" ref="EZ146">IFERROR(INDEX(球員狀態!S$2:S$5000, MATCH(1, (球員狀態!$A$2:$A$5000=$EI$1)*(ISNUMBER(SEARCH($EI146, 球員狀態!$B$2:$B$5000))), 0)), "")</f>
        <v/>
      </c>
      <c r="FA146" s="4" t="str">
        <f t="array" ref="FA146">IFERROR(INDEX(球員狀態!T$2:T$5000, MATCH(1, (球員狀態!$A$2:$A$5000=$EI$121)*(ISNUMBER(SEARCH($EI146, 球員狀態!$B$2:$B$5000))), 0)), "")</f>
        <v/>
      </c>
      <c r="FB146" s="4" t="str">
        <f t="array" ref="FB146">IFERROR(INDEX(球員狀態!U$2:U$5000, MATCH(1, (球員狀態!$A$2:$A$5000=$EI$1)*(ISNUMBER(SEARCH($EI146, 球員狀態!$B$2:$B$5000))), 0)), "")</f>
        <v/>
      </c>
      <c r="FC146" s="4" t="str">
        <f t="array" ref="FC146">IFERROR(INDEX(球員狀態!V$2:V$5000, MATCH(1, (球員狀態!$A$2:$A$5000=$EI$1)*(ISNUMBER(SEARCH($EI146, 球員狀態!$B$2:$B$5000))), 0)), "")</f>
        <v/>
      </c>
      <c r="FD146" s="4" t="str">
        <f t="array" ref="FD146">IFERROR(INDEX(球員狀態!W$2:W$5000, MATCH(1, (球員狀態!$A$2:$A$5000=$EI$121)*(ISNUMBER(SEARCH($EI146, 球員狀態!$B$2:$B$5000))), 0)), "")</f>
        <v/>
      </c>
      <c r="FE146" s="4" t="str">
        <f t="array" ref="FE146">IFERROR(INDEX(球員狀態!X$2:X$5000, MATCH(1, (球員狀態!$A$2:$A$5000=$EI$1)*(ISNUMBER(SEARCH($EI146, 球員狀態!$B$2:$B$5000))), 0)), "")</f>
        <v/>
      </c>
      <c r="FF146" s="4" t="str">
        <f t="array" ref="FF146">IFERROR(INDEX(球員狀態!Y$2:Y$5000, MATCH(1, (球員狀態!$A$2:$A$5000=$EI$1)*(ISNUMBER(SEARCH($EI146, 球員狀態!$B$2:$B$5000))), 0)), "")</f>
        <v/>
      </c>
      <c r="FG146" s="4" t="str">
        <f t="array" ref="FG146">IFERROR(INDEX(球員狀態!Z$2:Z$5000, MATCH(1, (球員狀態!$A$2:$A$5000=$EI$121)*(ISNUMBER(SEARCH($EI146, 球員狀態!$B$2:$B$5000))), 0)), "")</f>
        <v/>
      </c>
      <c r="FH146" s="4" t="str">
        <f t="array" ref="FH146">IFERROR(INDEX(球員狀態!AA$2:AA$5000, MATCH(1, (球員狀態!$A$2:$A$5000=$EI$121)*(ISNUMBER(SEARCH($EI146, 球員狀態!$B$2:$B$5000))), 0)), "")</f>
        <v/>
      </c>
      <c r="FI146" s="4" t="str">
        <f t="array" ref="FI146">IFERROR(INDEX(球員狀態!AB$2:AB$5000, MATCH(1, (球員狀態!$A$2:$A$5000=$EI$121)*(ISNUMBER(SEARCH($EI146, 球員狀態!$B$2:$B$5000))), 0)), "")</f>
        <v/>
      </c>
    </row>
    <row r="147" spans="110:165">
      <c r="DH147" s="40" t="e">
        <f>DJ147+DL147+DM147+DN147+DO147-DP147-DQ147+DR147</f>
        <v>#VALUE!</v>
      </c>
      <c r="DI147" s="42" t="e">
        <f>DU147+DX147+EA147+ED147+EE147+EF147</f>
        <v>#VALUE!</v>
      </c>
      <c r="DJ147" s="38" t="e">
        <f>VLOOKUP(DJ146*1, FK$2:FM$12, 3, TRUE)*FM$1</f>
        <v>#VALUE!</v>
      </c>
      <c r="DL147" s="38" t="e">
        <f>VLOOKUP(DL146*1, FN$2:FP$12, 3, TRUE)*FP$1</f>
        <v>#VALUE!</v>
      </c>
      <c r="DM147" s="38" t="e">
        <f>VLOOKUP(DM146*1, FQ$2:FS$12, 3, TRUE)*FS$1</f>
        <v>#VALUE!</v>
      </c>
      <c r="DN147" s="38" t="e">
        <f>VLOOKUP(DN146*1, FT$2:FV$12, 3, TRUE)*FV$1</f>
        <v>#VALUE!</v>
      </c>
      <c r="DO147" s="38" t="e">
        <f>VLOOKUP(DO146*1, FW$2:FY$12, 3, TRUE)*FY$1</f>
        <v>#VALUE!</v>
      </c>
      <c r="DP147" s="39" t="e">
        <f>VLOOKUP(DP146*1, FK$14:FM$25, 3, TRUE)*FM$14</f>
        <v>#VALUE!</v>
      </c>
      <c r="DQ147" s="39" t="e">
        <f>VLOOKUP(DQ146*1, FN$14:FP$25, 3, TRUE)*FP$14</f>
        <v>#VALUE!</v>
      </c>
      <c r="DR147" s="38" t="e">
        <f>VLOOKUP(DR146*1, FQ$14:FS$25, 3, TRUE)*FS$14</f>
        <v>#VALUE!</v>
      </c>
      <c r="DU147" s="41" t="e">
        <f>VLOOKUP(DU146*1, FK$27:FM$38, 3, TRUE)*FM$27</f>
        <v>#VALUE!</v>
      </c>
      <c r="DX147" s="41" t="e">
        <f>VLOOKUP(DX146*1, FN$27:FP$38, 3, TRUE)*FP$27</f>
        <v>#VALUE!</v>
      </c>
      <c r="EA147" s="41" t="e">
        <f>VLOOKUP(EA146*1, FQ$27:FS$38, 3, TRUE)*FS$27</f>
        <v>#VALUE!</v>
      </c>
      <c r="ED147" s="41" t="e">
        <f>VLOOKUP(ED146*1, FT$27:FV$38, 3, TRUE)*FV$27</f>
        <v>#VALUE!</v>
      </c>
      <c r="EE147" s="41" t="e">
        <f>VLOOKUP(EE146*1, FW$27:FY$38, 3, TRUE)*FY$27</f>
        <v>#VALUE!</v>
      </c>
      <c r="EF147" s="41" t="e">
        <f>VLOOKUP(EF146*1, FK$40:FM$51, 3, TRUE)*FM$40</f>
        <v>#VALUE!</v>
      </c>
      <c r="EG147" s="57"/>
      <c r="EK147" s="40" t="e">
        <f>EM147+EO147+EP147+EQ147+ER147-ES147-ET147+EU147</f>
        <v>#VALUE!</v>
      </c>
      <c r="EL147" s="42" t="e">
        <f>EX147+FA147+FD147+FG147+FH147+FI147</f>
        <v>#VALUE!</v>
      </c>
      <c r="EM147" s="38" t="e">
        <f>VLOOKUP(EM146*1, $FK$2:$FM$12, 3, TRUE)*$FM$1</f>
        <v>#VALUE!</v>
      </c>
      <c r="EO147" s="38" t="e">
        <f>VLOOKUP(EO146*1, $FN$2:$FP$12, 3, TRUE)*$FP$1</f>
        <v>#VALUE!</v>
      </c>
      <c r="EP147" s="38" t="e">
        <f>VLOOKUP(EP146*1, $FQ$2:$FS$12, 3, TRUE)*$FS$1</f>
        <v>#VALUE!</v>
      </c>
      <c r="EQ147" s="38" t="e">
        <f>VLOOKUP(EQ146*1, $FT$2:$FV$12, 3, TRUE)*$FV$1</f>
        <v>#VALUE!</v>
      </c>
      <c r="ER147" s="38" t="e">
        <f>VLOOKUP(ER146*1, $FW$2:$FY$12, 3, TRUE)*$FY$1</f>
        <v>#VALUE!</v>
      </c>
      <c r="ES147" s="39" t="e">
        <f>VLOOKUP(ES146*1, $FK$14:$FM$25, 3, TRUE)*$FM$14</f>
        <v>#VALUE!</v>
      </c>
      <c r="ET147" s="39" t="e">
        <f>VLOOKUP(ET146*1, $FN$14:$FP$25, 3, TRUE)*$FP$14</f>
        <v>#VALUE!</v>
      </c>
      <c r="EU147" s="38" t="e">
        <f>VLOOKUP(EU146*1, $FQ$14:$FS$25, 3, TRUE)*$FS$14</f>
        <v>#VALUE!</v>
      </c>
      <c r="EX147" s="41" t="e">
        <f>VLOOKUP(EX146*1, $FK$27:$FM$38, 3, TRUE)*$FM$27</f>
        <v>#VALUE!</v>
      </c>
      <c r="FA147" s="41" t="e">
        <f>VLOOKUP(FA146*1, $FN$27:$FP$38, 3, TRUE)*$FP$27</f>
        <v>#VALUE!</v>
      </c>
      <c r="FD147" s="41" t="e">
        <f>VLOOKUP(FD146*1, $FQ$27:$FS$38, 3, TRUE)*$FS$27</f>
        <v>#VALUE!</v>
      </c>
      <c r="FG147" s="41" t="e">
        <f>VLOOKUP(FG146*1, $FT$27:$FV$38, 3, TRUE)*$FV$27</f>
        <v>#VALUE!</v>
      </c>
      <c r="FH147" s="41" t="e">
        <f>VLOOKUP(FH146*1, $FW$27:$FY$38, 3, TRUE)*$FY$27</f>
        <v>#VALUE!</v>
      </c>
      <c r="FI147" s="41" t="e">
        <f>VLOOKUP(FI146*1, $FK$40:$FM$51, 3, TRUE)*$FM$40</f>
        <v>#VALUE!</v>
      </c>
    </row>
    <row r="148" spans="110:165">
      <c r="DF148" s="82" t="str">
        <f>$DF121&amp;"整體"</f>
        <v>天使整體</v>
      </c>
      <c r="DG148" t="s">
        <v>487</v>
      </c>
      <c r="DH148" t="s">
        <v>488</v>
      </c>
      <c r="DJ148" s="82" t="str">
        <f>$DF121&amp;"先發"</f>
        <v>天使先發</v>
      </c>
      <c r="DK148" s="78"/>
      <c r="DL148" t="s">
        <v>487</v>
      </c>
      <c r="DM148" t="s">
        <v>488</v>
      </c>
      <c r="DO148" s="82" t="str">
        <f>$DF121&amp;"板凳"</f>
        <v>天使板凳</v>
      </c>
      <c r="DP148" s="78"/>
      <c r="DQ148" t="s">
        <v>487</v>
      </c>
      <c r="DR148" t="s">
        <v>488</v>
      </c>
      <c r="EI148" s="82" t="str">
        <f>$EI121&amp;"整體"</f>
        <v>白襪整體</v>
      </c>
      <c r="EJ148" t="s">
        <v>487</v>
      </c>
      <c r="EK148" t="s">
        <v>488</v>
      </c>
      <c r="EM148" s="82" t="str">
        <f>$EI121&amp;"先發"</f>
        <v>白襪先發</v>
      </c>
      <c r="EN148" s="78"/>
      <c r="EO148" t="s">
        <v>487</v>
      </c>
      <c r="EP148" t="s">
        <v>488</v>
      </c>
      <c r="ER148" s="82" t="str">
        <f>$EI121&amp;"板凳"</f>
        <v>白襪板凳</v>
      </c>
      <c r="ES148" s="78"/>
      <c r="ET148" t="s">
        <v>487</v>
      </c>
      <c r="EU148" t="s">
        <v>488</v>
      </c>
    </row>
    <row r="149" spans="110:165">
      <c r="DF149" s="78"/>
      <c r="DG149" s="43" t="e">
        <f>(DH123+DH125+DH127+DH129+DH131+DH133+DH135+DH137+DH139+DH141+DH143+DH145+DH147)/13</f>
        <v>#VALUE!</v>
      </c>
      <c r="DH149" s="43" t="e">
        <f>(DI123+DI125+DI127+DI129+DI131+DI133+DI135+DI137+DI139+DI141+DI143+DI145+DI147)/13</f>
        <v>#VALUE!</v>
      </c>
      <c r="DJ149" s="78"/>
      <c r="DK149" s="78"/>
      <c r="DL149" s="4" t="e">
        <f>(DH123+DH125+DH127+DH129+DH131)/5</f>
        <v>#VALUE!</v>
      </c>
      <c r="DM149" s="4" t="e">
        <f>(DI123+DI125+DI127+DI129+DI131)/5</f>
        <v>#VALUE!</v>
      </c>
      <c r="DO149" s="78"/>
      <c r="DP149" s="78"/>
      <c r="DQ149" s="43" t="e">
        <f>(DH133+DH135+DH137+DH139+DH141+DH143+DH145+DH145+DH147)/8</f>
        <v>#VALUE!</v>
      </c>
      <c r="DR149" s="43" t="e">
        <f>(DI133+DI135+DI137+DI139+DI141+DI143+DI145+DI147)/8</f>
        <v>#VALUE!</v>
      </c>
      <c r="EI149" s="78"/>
      <c r="EJ149" s="43" t="e">
        <f>(EK123+EK125+EK127+EK129+EK131+EK133+EK135+EK137+EK139+EK141+EK143+EK145+EK147)/13</f>
        <v>#VALUE!</v>
      </c>
      <c r="EK149" s="43" t="e">
        <f>(EL123+EL125+EL127+EL129+EL131+EL133+EL135+EL137+EL139+EL141+EL143+EL145+EL147)/13</f>
        <v>#VALUE!</v>
      </c>
      <c r="EM149" s="78"/>
      <c r="EN149" s="78"/>
      <c r="EO149" s="4" t="e">
        <f>(EK123+EK125+EK127+EK129+EK131)/5</f>
        <v>#VALUE!</v>
      </c>
      <c r="EP149" s="4" t="e">
        <f>(EL123+EL125+EL127+EL129+EL131)/5</f>
        <v>#VALUE!</v>
      </c>
      <c r="ER149" s="78"/>
      <c r="ES149" s="78"/>
      <c r="ET149" s="43" t="e">
        <f>(EK133+EK135+EK137+EK139+EK141+EK143+EK145+EK145+EK147)/8</f>
        <v>#VALUE!</v>
      </c>
      <c r="EU149" s="43" t="e">
        <f>(EL133+EL135+EL137+EL139+EL141+EL143+EL145+EL147)/8</f>
        <v>#VALUE!</v>
      </c>
    </row>
    <row r="151" spans="110:165">
      <c r="DF151" s="34" t="str">
        <f>CB22</f>
        <v>洋基</v>
      </c>
      <c r="DG151" t="s">
        <v>486</v>
      </c>
      <c r="DH151" s="1" t="s">
        <v>487</v>
      </c>
      <c r="DI151" s="1" t="s">
        <v>488</v>
      </c>
      <c r="DJ151" t="s">
        <v>517</v>
      </c>
      <c r="DK151" t="s">
        <v>554</v>
      </c>
      <c r="DL151" t="s">
        <v>518</v>
      </c>
      <c r="DM151" t="s">
        <v>519</v>
      </c>
      <c r="DN151" t="s">
        <v>520</v>
      </c>
      <c r="DO151" t="s">
        <v>521</v>
      </c>
      <c r="DP151" t="s">
        <v>532</v>
      </c>
      <c r="DQ151" t="s">
        <v>533</v>
      </c>
      <c r="DR151" t="s">
        <v>534</v>
      </c>
      <c r="DS151" t="s">
        <v>555</v>
      </c>
      <c r="DT151" t="s">
        <v>556</v>
      </c>
      <c r="DU151" t="s">
        <v>549</v>
      </c>
      <c r="DV151" t="s">
        <v>557</v>
      </c>
      <c r="DW151" t="s">
        <v>558</v>
      </c>
      <c r="DX151" t="s">
        <v>550</v>
      </c>
      <c r="DY151" t="s">
        <v>559</v>
      </c>
      <c r="DZ151" t="s">
        <v>560</v>
      </c>
      <c r="EA151" t="s">
        <v>551</v>
      </c>
      <c r="EB151" t="s">
        <v>561</v>
      </c>
      <c r="EC151" t="s">
        <v>562</v>
      </c>
      <c r="ED151" t="s">
        <v>552</v>
      </c>
      <c r="EE151" t="s">
        <v>553</v>
      </c>
      <c r="EF151" t="s">
        <v>563</v>
      </c>
      <c r="EH151" s="14"/>
      <c r="EI151" s="34" t="str">
        <f>CB24</f>
        <v>遊騎兵</v>
      </c>
      <c r="EJ151" t="s">
        <v>486</v>
      </c>
      <c r="EK151" s="1" t="s">
        <v>487</v>
      </c>
      <c r="EL151" s="1" t="s">
        <v>488</v>
      </c>
      <c r="EM151" t="s">
        <v>517</v>
      </c>
      <c r="EN151" t="s">
        <v>554</v>
      </c>
      <c r="EO151" t="s">
        <v>518</v>
      </c>
      <c r="EP151" t="s">
        <v>519</v>
      </c>
      <c r="EQ151" t="s">
        <v>520</v>
      </c>
      <c r="ER151" t="s">
        <v>521</v>
      </c>
      <c r="ES151" t="s">
        <v>532</v>
      </c>
      <c r="ET151" t="s">
        <v>533</v>
      </c>
      <c r="EU151" t="s">
        <v>534</v>
      </c>
      <c r="EV151" t="s">
        <v>555</v>
      </c>
      <c r="EW151" t="s">
        <v>556</v>
      </c>
      <c r="EX151" t="s">
        <v>549</v>
      </c>
      <c r="EY151" t="s">
        <v>557</v>
      </c>
      <c r="EZ151" t="s">
        <v>558</v>
      </c>
      <c r="FA151" t="s">
        <v>550</v>
      </c>
      <c r="FB151" t="s">
        <v>559</v>
      </c>
      <c r="FC151" t="s">
        <v>560</v>
      </c>
      <c r="FD151" t="s">
        <v>551</v>
      </c>
      <c r="FE151" t="s">
        <v>561</v>
      </c>
      <c r="FF151" t="s">
        <v>562</v>
      </c>
      <c r="FG151" t="s">
        <v>552</v>
      </c>
      <c r="FH151" t="s">
        <v>553</v>
      </c>
      <c r="FI151" t="s">
        <v>563</v>
      </c>
    </row>
    <row r="152" spans="110:165">
      <c r="DF152" s="35" t="str">
        <f>先發名單!E$7</f>
        <v>Max Fried</v>
      </c>
      <c r="DG152" s="4" t="str">
        <f t="array" ref="DG152">IFERROR(INDEX(球員狀態!$C$2:$C$5000, MATCH(1, (球員狀態!$A$2:$A$5000=$DF$151)*(ISNUMBER(SEARCH($DF152, 球員狀態!$B$2:$B$5000))), 0)), "")</f>
        <v/>
      </c>
      <c r="DJ152" s="4" t="str">
        <f t="array" ref="DJ152">IFERROR(INDEX(球員狀態!$F$2:$F$5000,MATCH(1,(球員狀態!$A$2:$A$5000=$DF$151)*(ISNUMBER(SEARCH($DF152,球員狀態!$B$2:$B$5000))),0)),"")</f>
        <v/>
      </c>
      <c r="DK152" s="4" t="str">
        <f t="array" ref="DK152">IFERROR(INDEX(球員狀態!G$2:G$5000, MATCH(1, (球員狀態!$A$2:$A$5000=$DF$1)*(ISNUMBER(SEARCH($DF152, 球員狀態!$B$2:$B$5000))), 0)), "")</f>
        <v/>
      </c>
      <c r="DL152" s="4" t="str">
        <f t="array" ref="DL152">IFERROR(INDEX(球員狀態!H$2:H$5000, MATCH(1, (球員狀態!$A$2:$A$5000=$DF$151)*(ISNUMBER(SEARCH($DF152, 球員狀態!$B$2:$B$5000))), 0)), "")</f>
        <v/>
      </c>
      <c r="DM152" s="4" t="str">
        <f t="array" ref="DM152">IFERROR(INDEX(球員狀態!I$2:I$5000,MATCH(1,(球員狀態!$A$2:$A$5000=$DF$151)*(ISNUMBER(SEARCH($DF152,球員狀態!$B$2:$B$5000))),0)),"")</f>
        <v/>
      </c>
      <c r="DN152" s="4" t="str">
        <f t="array" ref="DN152">IFERROR(INDEX(球員狀態!J$2:J$5000,MATCH(1,(球員狀態!$A$2:$A$5000=$DF$151)*(ISNUMBER(SEARCH($DF152,球員狀態!$B$2:$B$5000))),0)),"")</f>
        <v/>
      </c>
      <c r="DO152" s="4" t="str">
        <f t="array" ref="DO152">IFERROR(INDEX(球員狀態!K$2:K$5000,MATCH(1,(球員狀態!$A$2:$A$5000=$DF$151)*(ISNUMBER(SEARCH($DF152,球員狀態!$B$2:$B$5000))),0)),"")</f>
        <v/>
      </c>
      <c r="DP152" s="4" t="str">
        <f t="array" ref="DP152">IFERROR(INDEX(球員狀態!L$2:L$5000,MATCH(1,(球員狀態!$A$2:$A$5000=$DF$151)*(ISNUMBER(SEARCH($DF152,球員狀態!$B$2:$B$5000))),0)),"")</f>
        <v/>
      </c>
      <c r="DQ152" s="4" t="str">
        <f t="array" ref="DQ152">IFERROR(INDEX(球員狀態!M$2:M$5000,MATCH(1,(球員狀態!$A$2:$A$5000=$DF$151)*(ISNUMBER(SEARCH($DF152,球員狀態!$B$2:$B$5000))),0)),"")</f>
        <v/>
      </c>
      <c r="DR152" s="4" t="str">
        <f t="array" ref="DR152">IFERROR(INDEX(球員狀態!N$2:N$5000,MATCH(1,(球員狀態!$A$2:$A$5000=$DF$151)*(ISNUMBER(SEARCH($DF152,球員狀態!$B$2:$B$5000))),0)),"")</f>
        <v/>
      </c>
      <c r="DS152" s="4" t="str">
        <f t="array" ref="DS152">IFERROR(INDEX(球員狀態!O$2:O$5000, MATCH(1, (球員狀態!$A$2:$A$5000=$DF$1)*(ISNUMBER(SEARCH($DF152, 球員狀態!$B$2:$B$5000))), 0)), "")</f>
        <v/>
      </c>
      <c r="DT152" s="4" t="str">
        <f t="array" ref="DT152">IFERROR(INDEX(球員狀態!P$2:P$5000, MATCH(1, (球員狀態!$A$2:$A$5000=$DF$1)*(ISNUMBER(SEARCH($DF152, 球員狀態!$B$2:$B$5000))), 0)), "")</f>
        <v/>
      </c>
      <c r="DU152" s="4" t="str">
        <f t="array" ref="DU152">IFERROR(INDEX(球員狀態!Q$2:Q$5000,MATCH(1,(球員狀態!$A$2:$A$5000=$DF$151)*(ISNUMBER(SEARCH($DF152,球員狀態!$B$2:$B$5000))),0)),"")</f>
        <v/>
      </c>
      <c r="DV152" s="4" t="str">
        <f t="array" ref="DV152">IFERROR(INDEX(球員狀態!R$2:R$5000, MATCH(1, (球員狀態!$A$2:$A$5000=$DF$1)*(ISNUMBER(SEARCH($DF152, 球員狀態!$B$2:$B$5000))), 0)), "")</f>
        <v/>
      </c>
      <c r="DW152" s="4" t="str">
        <f t="array" ref="DW152">IFERROR(INDEX(球員狀態!S$2:S$5000, MATCH(1, (球員狀態!$A$2:$A$5000=$DF$1)*(ISNUMBER(SEARCH($DF152, 球員狀態!$B$2:$B$5000))), 0)), "")</f>
        <v/>
      </c>
      <c r="DX152" s="4" t="str">
        <f t="array" ref="DX152">IFERROR(INDEX(球員狀態!T$2:T$5000,MATCH(1,(球員狀態!$A$2:$A$5000=$DF$151)*(ISNUMBER(SEARCH($DF152,球員狀態!$B$2:$B$5000))),0)),"")</f>
        <v/>
      </c>
      <c r="DY152" s="4" t="str">
        <f t="array" ref="DY152">IFERROR(INDEX(球員狀態!U$2:U$5000, MATCH(1, (球員狀態!$A$2:$A$5000=$DF$1)*(ISNUMBER(SEARCH($DF152, 球員狀態!$B$2:$B$5000))), 0)), "")</f>
        <v/>
      </c>
      <c r="DZ152" s="4" t="str">
        <f t="array" ref="DZ152">IFERROR(INDEX(球員狀態!V$2:V$5000, MATCH(1, (球員狀態!$A$2:$A$5000=$DF$1)*(ISNUMBER(SEARCH($DF152, 球員狀態!$B$2:$B$5000))), 0)), "")</f>
        <v/>
      </c>
      <c r="EA152" s="4" t="str">
        <f t="array" ref="EA152">IFERROR(INDEX(球員狀態!W$2:W$5000,MATCH(1,(球員狀態!$A$2:$A$5000=$DF$151)*(ISNUMBER(SEARCH($DF152,球員狀態!$B$2:$B$5000))),0)),"")</f>
        <v/>
      </c>
      <c r="EB152" s="4" t="str">
        <f t="array" ref="EB152">IFERROR(INDEX(球員狀態!X$2:X$5000, MATCH(1, (球員狀態!$A$2:$A$5000=$DF$1)*(ISNUMBER(SEARCH($DF152, 球員狀態!$B$2:$B$5000))), 0)), "")</f>
        <v/>
      </c>
      <c r="EC152" s="4" t="str">
        <f t="array" ref="EC152">IFERROR(INDEX(球員狀態!Y$2:Y$5000, MATCH(1, (球員狀態!$A$2:$A$5000=$DF$1)*(ISNUMBER(SEARCH($DF152, 球員狀態!$B$2:$B$5000))), 0)), "")</f>
        <v/>
      </c>
      <c r="ED152" s="4" t="str">
        <f t="array" ref="ED152">IFERROR(INDEX(球員狀態!Z$2:Z$5000,MATCH(1,(球員狀態!$A$2:$A$5000=$DF$151)*(ISNUMBER(SEARCH($DF152,球員狀態!$B$2:$B$5000))),0)),"")</f>
        <v/>
      </c>
      <c r="EE152" s="4" t="str">
        <f t="array" ref="EE152">IFERROR(INDEX(球員狀態!AA$2:AA$5000,MATCH(1,(球員狀態!$A$2:$A$5000=$DF$151)*(ISNUMBER(SEARCH($DF152,球員狀態!$B$2:$B$5000))),0)),"")</f>
        <v/>
      </c>
      <c r="EF152" s="4" t="str">
        <f t="array" ref="EF152">IFERROR(INDEX(球員狀態!AB$2:AB$5000,MATCH(1,(球員狀態!$A$2:$A$5000=$DF$151)*(ISNUMBER(SEARCH($DF152,球員狀態!$B$2:$B$5000))),0)),"")</f>
        <v/>
      </c>
      <c r="EG152" s="56"/>
      <c r="EI152" s="35" t="str">
        <f>先發名單!O$7</f>
        <v>Ryan McMahon</v>
      </c>
      <c r="EJ152" s="4" t="str">
        <f t="array" ref="EJ152">IFERROR(INDEX(球員狀態!C$2:C$5000, MATCH(1, (球員狀態!$A$2:$A$5000=$EI$151)*(ISNUMBER(SEARCH($EI152, 球員狀態!$B$2:$B$5000))), 0)), "")</f>
        <v/>
      </c>
      <c r="EM152" s="4" t="str">
        <f t="array" ref="EM152">IFERROR(INDEX(球員狀態!F$2:F$5000, MATCH(1, (球員狀態!$A$2:$A$5000=$EI$151)*(ISNUMBER(SEARCH($EI152, 球員狀態!$B$2:$B$5000))), 0)), "")</f>
        <v/>
      </c>
      <c r="EN152" s="4" t="str">
        <f t="array" ref="EN152">IFERROR(INDEX(球員狀態!G$2:G$5000, MATCH(1, (球員狀態!$A$2:$A$5000=$EI$1)*(ISNUMBER(SEARCH($EI152, 球員狀態!$B$2:$B$5000))), 0)), "")</f>
        <v/>
      </c>
      <c r="EO152" s="4" t="str">
        <f t="array" ref="EO152">IFERROR(INDEX(球員狀態!H$2:H$5000, MATCH(1, (球員狀態!$A$2:$A$5000=$EI$151)*(ISNUMBER(SEARCH($EI152, 球員狀態!$B$2:$B$5000))), 0)), "")</f>
        <v/>
      </c>
      <c r="EP152" s="4" t="str">
        <f t="array" ref="EP152">IFERROR(INDEX(球員狀態!I$2:I$5000, MATCH(1, (球員狀態!$A$2:$A$5000=$EI$151)*(ISNUMBER(SEARCH($EI152, 球員狀態!$B$2:$B$5000))), 0)), "")</f>
        <v/>
      </c>
      <c r="EQ152" s="4" t="str">
        <f t="array" ref="EQ152">IFERROR(INDEX(球員狀態!J$2:J$5000, MATCH(1, (球員狀態!$A$2:$A$5000=$EI$151)*(ISNUMBER(SEARCH($EI152, 球員狀態!$B$2:$B$5000))), 0)), "")</f>
        <v/>
      </c>
      <c r="ER152" s="4" t="str">
        <f t="array" ref="ER152">IFERROR(INDEX(球員狀態!K$2:K$5000, MATCH(1, (球員狀態!$A$2:$A$5000=$EI$151)*(ISNUMBER(SEARCH($EI152, 球員狀態!$B$2:$B$5000))), 0)), "")</f>
        <v/>
      </c>
      <c r="ES152" s="4" t="str">
        <f t="array" ref="ES152">IFERROR(INDEX(球員狀態!L$2:L$5000, MATCH(1, (球員狀態!$A$2:$A$5000=$EI$151)*(ISNUMBER(SEARCH($EI152, 球員狀態!$B$2:$B$5000))), 0)), "")</f>
        <v/>
      </c>
      <c r="ET152" s="4" t="str">
        <f t="array" ref="ET152">IFERROR(INDEX(球員狀態!M$2:M$5000, MATCH(1, (球員狀態!$A$2:$A$5000=$EI$151)*(ISNUMBER(SEARCH($EI152, 球員狀態!$B$2:$B$5000))), 0)), "")</f>
        <v/>
      </c>
      <c r="EU152" s="4" t="str">
        <f t="array" ref="EU152">IFERROR(INDEX(球員狀態!N$2:N$5000, MATCH(1, (球員狀態!$A$2:$A$5000=$EI$151)*(ISNUMBER(SEARCH($EI152, 球員狀態!$B$2:$B$5000))), 0)), "")</f>
        <v/>
      </c>
      <c r="EV152" s="4" t="str">
        <f t="array" ref="EV152">IFERROR(INDEX(球員狀態!O$2:O$5000, MATCH(1, (球員狀態!$A$2:$A$5000=$EI$1)*(ISNUMBER(SEARCH($EI152, 球員狀態!$B$2:$B$5000))), 0)), "")</f>
        <v/>
      </c>
      <c r="EW152" s="4" t="str">
        <f t="array" ref="EW152">IFERROR(INDEX(球員狀態!P$2:P$5000, MATCH(1, (球員狀態!$A$2:$A$5000=$EI$1)*(ISNUMBER(SEARCH($EI152, 球員狀態!$B$2:$B$5000))), 0)), "")</f>
        <v/>
      </c>
      <c r="EX152" s="4" t="str">
        <f t="array" ref="EX152">IFERROR(INDEX(球員狀態!Q$2:Q$5000, MATCH(1, (球員狀態!$A$2:$A$5000=$EI$151)*(ISNUMBER(SEARCH($EI152, 球員狀態!$B$2:$B$5000))), 0)), "")</f>
        <v/>
      </c>
      <c r="EY152" s="4" t="str">
        <f t="array" ref="EY152">IFERROR(INDEX(球員狀態!R$2:R$5000, MATCH(1, (球員狀態!$A$2:$A$5000=$EI$1)*(ISNUMBER(SEARCH($EI152, 球員狀態!$B$2:$B$5000))), 0)), "")</f>
        <v/>
      </c>
      <c r="EZ152" s="4" t="str">
        <f t="array" ref="EZ152">IFERROR(INDEX(球員狀態!S$2:S$5000, MATCH(1, (球員狀態!$A$2:$A$5000=$EI$1)*(ISNUMBER(SEARCH($EI152, 球員狀態!$B$2:$B$5000))), 0)), "")</f>
        <v/>
      </c>
      <c r="FA152" s="4" t="str">
        <f t="array" ref="FA152">IFERROR(INDEX(球員狀態!T$2:T$5000, MATCH(1, (球員狀態!$A$2:$A$5000=$EI$151)*(ISNUMBER(SEARCH($EI152, 球員狀態!$B$2:$B$5000))), 0)), "")</f>
        <v/>
      </c>
      <c r="FB152" s="4" t="str">
        <f t="array" ref="FB152">IFERROR(INDEX(球員狀態!U$2:U$5000, MATCH(1, (球員狀態!$A$2:$A$5000=$EI$1)*(ISNUMBER(SEARCH($EI152, 球員狀態!$B$2:$B$5000))), 0)), "")</f>
        <v/>
      </c>
      <c r="FC152" s="4" t="str">
        <f t="array" ref="FC152">IFERROR(INDEX(球員狀態!V$2:V$5000, MATCH(1, (球員狀態!$A$2:$A$5000=$EI$1)*(ISNUMBER(SEARCH($EI152, 球員狀態!$B$2:$B$5000))), 0)), "")</f>
        <v/>
      </c>
      <c r="FD152" s="4" t="str">
        <f t="array" ref="FD152">IFERROR(INDEX(球員狀態!W$2:W$5000, MATCH(1, (球員狀態!$A$2:$A$5000=$EI$151)*(ISNUMBER(SEARCH($EI152, 球員狀態!$B$2:$B$5000))), 0)), "")</f>
        <v/>
      </c>
      <c r="FE152" s="4" t="str">
        <f t="array" ref="FE152">IFERROR(INDEX(球員狀態!X$2:X$5000, MATCH(1, (球員狀態!$A$2:$A$5000=$EI$1)*(ISNUMBER(SEARCH($EI152, 球員狀態!$B$2:$B$5000))), 0)), "")</f>
        <v/>
      </c>
      <c r="FF152" s="4" t="str">
        <f t="array" ref="FF152">IFERROR(INDEX(球員狀態!Y$2:Y$5000, MATCH(1, (球員狀態!$A$2:$A$5000=$EI$1)*(ISNUMBER(SEARCH($EI152, 球員狀態!$B$2:$B$5000))), 0)), "")</f>
        <v/>
      </c>
      <c r="FG152" s="4" t="str">
        <f t="array" ref="FG152">IFERROR(INDEX(球員狀態!Z$2:Z$5000, MATCH(1, (球員狀態!$A$2:$A$5000=$EI$151)*(ISNUMBER(SEARCH($EI152, 球員狀態!$B$2:$B$5000))), 0)), "")</f>
        <v/>
      </c>
      <c r="FH152" s="4" t="str">
        <f t="array" ref="FH152">IFERROR(INDEX(球員狀態!AA$2:AA$5000, MATCH(1, (球員狀態!$A$2:$A$5000=$EI$151)*(ISNUMBER(SEARCH($EI152, 球員狀態!$B$2:$B$5000))), 0)), "")</f>
        <v/>
      </c>
      <c r="FI152" s="4" t="str">
        <f t="array" ref="FI152">IFERROR(INDEX(球員狀態!AB$2:AB$5000, MATCH(1, (球員狀態!$A$2:$A$5000=$EI$151)*(ISNUMBER(SEARCH($EI152, 球員狀態!$B$2:$B$5000))), 0)), "")</f>
        <v/>
      </c>
    </row>
    <row r="153" spans="110:165">
      <c r="DF153" s="36"/>
      <c r="DG153" s="4"/>
      <c r="DH153" s="40" t="e">
        <f>DJ153+DL153+DM153+DN153+DO153-DP153-DQ153+DR153</f>
        <v>#VALUE!</v>
      </c>
      <c r="DI153" s="42" t="e">
        <f>DU153+DX153+EA153+ED153+EE153+EF153</f>
        <v>#VALUE!</v>
      </c>
      <c r="DJ153" s="38" t="e">
        <f>VLOOKUP(DJ152*1, $FK$2:$FM$12, 3, TRUE)*$FM$1</f>
        <v>#VALUE!</v>
      </c>
      <c r="DL153" s="38" t="e">
        <f>VLOOKUP(DL152*1, $FN$2:$FP$12, 3, TRUE)*$FP$1</f>
        <v>#VALUE!</v>
      </c>
      <c r="DM153" s="38" t="e">
        <f>VLOOKUP(DM152*1, $FQ$2:$FS$12, 3, TRUE)*$FS$1</f>
        <v>#VALUE!</v>
      </c>
      <c r="DN153" s="38" t="e">
        <f>VLOOKUP(DN152*1, $FT$2:$FV$12, 3, TRUE)*$FV$1</f>
        <v>#VALUE!</v>
      </c>
      <c r="DO153" s="38" t="e">
        <f>VLOOKUP(DO152*1, $FW$2:$FY$12, 3, TRUE)*$FY$1</f>
        <v>#VALUE!</v>
      </c>
      <c r="DP153" s="39" t="e">
        <f>VLOOKUP(DP152*1, $FK$14:$FM$25, 3, TRUE)*$FM$14</f>
        <v>#VALUE!</v>
      </c>
      <c r="DQ153" s="39" t="e">
        <f>VLOOKUP(DQ152*1, $FN$14:$FP$25, 3, TRUE)*$FP$14</f>
        <v>#VALUE!</v>
      </c>
      <c r="DR153" s="38" t="e">
        <f>VLOOKUP(DR152*1, $FQ$14:$FS$25, 3, TRUE)*$FS$14</f>
        <v>#VALUE!</v>
      </c>
      <c r="DU153" s="41" t="e">
        <f>VLOOKUP(DU152*1, $FK$27:$FM$38, 3, TRUE)*$FM$27</f>
        <v>#VALUE!</v>
      </c>
      <c r="DX153" s="41" t="e">
        <f>VLOOKUP(DX152*1, $FN$27:$FP$38, 3, TRUE)*$FP$27</f>
        <v>#VALUE!</v>
      </c>
      <c r="EA153" s="41" t="e">
        <f>VLOOKUP(EA152*1, $FQ$27:$FS$38, 3, TRUE)*$FS$27</f>
        <v>#VALUE!</v>
      </c>
      <c r="ED153" s="41" t="e">
        <f>VLOOKUP(ED152*1, $FT$27:$FV$38, 3, TRUE)*$FV$27</f>
        <v>#VALUE!</v>
      </c>
      <c r="EE153" s="41" t="e">
        <f>VLOOKUP(EE152*1, $FW$27:$FY$38, 3, TRUE)*$FY$27</f>
        <v>#VALUE!</v>
      </c>
      <c r="EF153" s="41" t="e">
        <f>VLOOKUP(EF152*1, $FK$40:$FM$51, 3, TRUE)*$FM$40</f>
        <v>#VALUE!</v>
      </c>
      <c r="EG153" s="57"/>
      <c r="EI153" s="36"/>
      <c r="EJ153" s="4"/>
      <c r="EK153" s="40" t="e">
        <f>EM153+EO153+EP153+EQ153+ER153-ES153-ET153+EU153</f>
        <v>#VALUE!</v>
      </c>
      <c r="EL153" s="42" t="e">
        <f>EX153+FA153+FD153+FG153+FH153+FI153</f>
        <v>#VALUE!</v>
      </c>
      <c r="EM153" s="38" t="e">
        <f>VLOOKUP(EM152*1, $FK$2:$FM$12, 3, TRUE)*$FM$1</f>
        <v>#VALUE!</v>
      </c>
      <c r="EO153" s="38" t="e">
        <f>VLOOKUP(EO152*1, $FN$2:$FP$12, 3, TRUE)*$FP$1</f>
        <v>#VALUE!</v>
      </c>
      <c r="EP153" s="38" t="e">
        <f>VLOOKUP(EP152*1, $FQ$2:$FS$12, 3, TRUE)*$FS$1</f>
        <v>#VALUE!</v>
      </c>
      <c r="EQ153" s="38" t="e">
        <f>VLOOKUP(EQ152*1, $FT$2:$FV$12, 3, TRUE)*$FV$1</f>
        <v>#VALUE!</v>
      </c>
      <c r="ER153" s="38" t="e">
        <f>VLOOKUP(ER152*1, $FW$2:$FY$12, 3, TRUE)*$FY$1</f>
        <v>#VALUE!</v>
      </c>
      <c r="ES153" s="39" t="e">
        <f>VLOOKUP(ES152*1, $FK$14:$FM$25, 3, TRUE)*$FM$14</f>
        <v>#VALUE!</v>
      </c>
      <c r="ET153" s="39" t="e">
        <f>VLOOKUP(ET152*1, $FN$14:$FP$25, 3, TRUE)*$FP$14</f>
        <v>#VALUE!</v>
      </c>
      <c r="EU153" s="38" t="e">
        <f>VLOOKUP(EU152*1, $FQ$14:$FS$25, 3, TRUE)*$FS$14</f>
        <v>#VALUE!</v>
      </c>
      <c r="EX153" s="41" t="e">
        <f>VLOOKUP(EX152*1, $FK$27:$FM$38, 3, TRUE)*$FM$27</f>
        <v>#VALUE!</v>
      </c>
      <c r="FA153" s="41" t="e">
        <f>VLOOKUP(FA152*1, $FN$27:$FP$38, 3, TRUE)*$FP$27</f>
        <v>#VALUE!</v>
      </c>
      <c r="FD153" s="41" t="e">
        <f>VLOOKUP(FD152*1, $FQ$27:$FS$38, 3, TRUE)*$FS$27</f>
        <v>#VALUE!</v>
      </c>
      <c r="FG153" s="41" t="e">
        <f>VLOOKUP(FG152*1, $FT$27:$FV$38, 3, TRUE)*$FV$27</f>
        <v>#VALUE!</v>
      </c>
      <c r="FH153" s="41" t="e">
        <f>VLOOKUP(FH152*1, $FW$27:$FY$38, 3, TRUE)*$FY$27</f>
        <v>#VALUE!</v>
      </c>
      <c r="FI153" s="41" t="e">
        <f>VLOOKUP(FI152*1, $FK$40:$FM$51, 3, TRUE)*$FM$40</f>
        <v>#VALUE!</v>
      </c>
    </row>
    <row r="154" spans="110:165">
      <c r="DF154" s="35" t="str">
        <f>先發名單!F7</f>
        <v>Jack Leiter</v>
      </c>
      <c r="DG154" s="4" t="str">
        <f t="array" ref="DG154">IFERROR(INDEX(球員狀態!$C$2:$C$5000, MATCH(1, (球員狀態!$A$2:$A$5000=$DF$151)*(ISNUMBER(SEARCH($DF154, 球員狀態!$B$2:$B$5000))), 0)), "")</f>
        <v/>
      </c>
      <c r="DJ154" s="4" t="str">
        <f t="array" ref="DJ154">IFERROR(INDEX(球員狀態!$F$2:$F$5000,MATCH(1,(球員狀態!$A$2:$A$5000=$DF$151)*(ISNUMBER(SEARCH($DF154,球員狀態!$B$2:$B$5000))),0)),"")</f>
        <v/>
      </c>
      <c r="DK154" s="4" t="str">
        <f t="array" ref="DK154">IFERROR(INDEX(球員狀態!G$2:G$5000, MATCH(1, (球員狀態!$A$2:$A$5000=$DF$1)*(ISNUMBER(SEARCH($DF154, 球員狀態!$B$2:$B$5000))), 0)), "")</f>
        <v/>
      </c>
      <c r="DL154" s="4" t="str">
        <f t="array" ref="DL154">IFERROR(INDEX(球員狀態!H$2:H$5000, MATCH(1, (球員狀態!$A$2:$A$5000=$DF$151)*(ISNUMBER(SEARCH($DF154, 球員狀態!$B$2:$B$5000))), 0)), "")</f>
        <v/>
      </c>
      <c r="DM154" s="4" t="str">
        <f t="array" ref="DM154">IFERROR(INDEX(球員狀態!I$2:I$5000,MATCH(1,(球員狀態!$A$2:$A$5000=$DF$151)*(ISNUMBER(SEARCH($DF154,球員狀態!$B$2:$B$5000))),0)),"")</f>
        <v/>
      </c>
      <c r="DN154" s="4" t="str">
        <f t="array" ref="DN154">IFERROR(INDEX(球員狀態!J$2:J$5000,MATCH(1,(球員狀態!$A$2:$A$5000=$DF$151)*(ISNUMBER(SEARCH($DF154,球員狀態!$B$2:$B$5000))),0)),"")</f>
        <v/>
      </c>
      <c r="DO154" s="4" t="str">
        <f t="array" ref="DO154">IFERROR(INDEX(球員狀態!K$2:K$5000,MATCH(1,(球員狀態!$A$2:$A$5000=$DF$151)*(ISNUMBER(SEARCH($DF154,球員狀態!$B$2:$B$5000))),0)),"")</f>
        <v/>
      </c>
      <c r="DP154" s="4" t="str">
        <f t="array" ref="DP154">IFERROR(INDEX(球員狀態!L$2:L$5000,MATCH(1,(球員狀態!$A$2:$A$5000=$DF$151)*(ISNUMBER(SEARCH($DF154,球員狀態!$B$2:$B$5000))),0)),"")</f>
        <v/>
      </c>
      <c r="DQ154" s="4" t="str">
        <f t="array" ref="DQ154">IFERROR(INDEX(球員狀態!M$2:M$5000,MATCH(1,(球員狀態!$A$2:$A$5000=$DF$151)*(ISNUMBER(SEARCH($DF154,球員狀態!$B$2:$B$5000))),0)),"")</f>
        <v/>
      </c>
      <c r="DR154" s="4" t="str">
        <f t="array" ref="DR154">IFERROR(INDEX(球員狀態!N$2:N$5000,MATCH(1,(球員狀態!$A$2:$A$5000=$DF$151)*(ISNUMBER(SEARCH($DF154,球員狀態!$B$2:$B$5000))),0)),"")</f>
        <v/>
      </c>
      <c r="DS154" s="4" t="str">
        <f t="array" ref="DS154">IFERROR(INDEX(球員狀態!O$2:O$5000, MATCH(1, (球員狀態!$A$2:$A$5000=$DF$1)*(ISNUMBER(SEARCH($DF154, 球員狀態!$B$2:$B$5000))), 0)), "")</f>
        <v/>
      </c>
      <c r="DT154" s="4" t="str">
        <f t="array" ref="DT154">IFERROR(INDEX(球員狀態!P$2:P$5000, MATCH(1, (球員狀態!$A$2:$A$5000=$DF$1)*(ISNUMBER(SEARCH($DF154, 球員狀態!$B$2:$B$5000))), 0)), "")</f>
        <v/>
      </c>
      <c r="DU154" s="4" t="str">
        <f t="array" ref="DU154">IFERROR(INDEX(球員狀態!Q$2:Q$5000,MATCH(1,(球員狀態!$A$2:$A$5000=$DF$151)*(ISNUMBER(SEARCH($DF154,球員狀態!$B$2:$B$5000))),0)),"")</f>
        <v/>
      </c>
      <c r="DV154" s="4" t="str">
        <f t="array" ref="DV154">IFERROR(INDEX(球員狀態!R$2:R$5000, MATCH(1, (球員狀態!$A$2:$A$5000=$DF$1)*(ISNUMBER(SEARCH($DF154, 球員狀態!$B$2:$B$5000))), 0)), "")</f>
        <v/>
      </c>
      <c r="DW154" s="4" t="str">
        <f t="array" ref="DW154">IFERROR(INDEX(球員狀態!S$2:S$5000, MATCH(1, (球員狀態!$A$2:$A$5000=$DF$1)*(ISNUMBER(SEARCH($DF154, 球員狀態!$B$2:$B$5000))), 0)), "")</f>
        <v/>
      </c>
      <c r="DX154" s="4" t="str">
        <f t="array" ref="DX154">IFERROR(INDEX(球員狀態!T$2:T$5000,MATCH(1,(球員狀態!$A$2:$A$5000=$DF$151)*(ISNUMBER(SEARCH($DF154,球員狀態!$B$2:$B$5000))),0)),"")</f>
        <v/>
      </c>
      <c r="DY154" s="4" t="str">
        <f t="array" ref="DY154">IFERROR(INDEX(球員狀態!U$2:U$5000, MATCH(1, (球員狀態!$A$2:$A$5000=$DF$1)*(ISNUMBER(SEARCH($DF154, 球員狀態!$B$2:$B$5000))), 0)), "")</f>
        <v/>
      </c>
      <c r="DZ154" s="4" t="str">
        <f t="array" ref="DZ154">IFERROR(INDEX(球員狀態!V$2:V$5000, MATCH(1, (球員狀態!$A$2:$A$5000=$DF$1)*(ISNUMBER(SEARCH($DF154, 球員狀態!$B$2:$B$5000))), 0)), "")</f>
        <v/>
      </c>
      <c r="EA154" s="4" t="str">
        <f t="array" ref="EA154">IFERROR(INDEX(球員狀態!W$2:W$5000,MATCH(1,(球員狀態!$A$2:$A$5000=$DF$151)*(ISNUMBER(SEARCH($DF154,球員狀態!$B$2:$B$5000))),0)),"")</f>
        <v/>
      </c>
      <c r="EB154" s="4" t="str">
        <f t="array" ref="EB154">IFERROR(INDEX(球員狀態!X$2:X$5000, MATCH(1, (球員狀態!$A$2:$A$5000=$DF$1)*(ISNUMBER(SEARCH($DF154, 球員狀態!$B$2:$B$5000))), 0)), "")</f>
        <v/>
      </c>
      <c r="EC154" s="4" t="str">
        <f t="array" ref="EC154">IFERROR(INDEX(球員狀態!Y$2:Y$5000, MATCH(1, (球員狀態!$A$2:$A$5000=$DF$1)*(ISNUMBER(SEARCH($DF154, 球員狀態!$B$2:$B$5000))), 0)), "")</f>
        <v/>
      </c>
      <c r="ED154" s="4" t="str">
        <f t="array" ref="ED154">IFERROR(INDEX(球員狀態!Z$2:Z$5000,MATCH(1,(球員狀態!$A$2:$A$5000=$DF$151)*(ISNUMBER(SEARCH($DF154,球員狀態!$B$2:$B$5000))),0)),"")</f>
        <v/>
      </c>
      <c r="EE154" s="4" t="str">
        <f t="array" ref="EE154">IFERROR(INDEX(球員狀態!AA$2:AA$5000,MATCH(1,(球員狀態!$A$2:$A$5000=$DF$151)*(ISNUMBER(SEARCH($DF154,球員狀態!$B$2:$B$5000))),0)),"")</f>
        <v/>
      </c>
      <c r="EF154" s="4" t="str">
        <f t="array" ref="EF154">IFERROR(INDEX(球員狀態!AB$2:AB$5000,MATCH(1,(球員狀態!$A$2:$A$5000=$DF$151)*(ISNUMBER(SEARCH($DF154,球員狀態!$B$2:$B$5000))),0)),"")</f>
        <v/>
      </c>
      <c r="EG154" s="56"/>
      <c r="EI154" s="35" t="str">
        <f>先發名單!P$7</f>
        <v>B. Nimmo</v>
      </c>
      <c r="EJ154" s="4" t="str">
        <f t="array" ref="EJ154">IFERROR(INDEX(球員狀態!C$2:C$5000, MATCH(1, (球員狀態!$A$2:$A$5000=$EI$151)*(ISNUMBER(SEARCH($EI154, 球員狀態!$B$2:$B$5000))), 0)), "")</f>
        <v/>
      </c>
      <c r="EM154" s="4" t="str">
        <f t="array" ref="EM154">IFERROR(INDEX(球員狀態!F$2:F$5000, MATCH(1, (球員狀態!$A$2:$A$5000=$EI$151)*(ISNUMBER(SEARCH($EI154, 球員狀態!$B$2:$B$5000))), 0)), "")</f>
        <v/>
      </c>
      <c r="EN154" s="4" t="str">
        <f t="array" ref="EN154">IFERROR(INDEX(球員狀態!G$2:G$5000, MATCH(1, (球員狀態!$A$2:$A$5000=$EI$1)*(ISNUMBER(SEARCH($EI154, 球員狀態!$B$2:$B$5000))), 0)), "")</f>
        <v/>
      </c>
      <c r="EO154" s="4" t="str">
        <f t="array" ref="EO154">IFERROR(INDEX(球員狀態!H$2:H$5000, MATCH(1, (球員狀態!$A$2:$A$5000=$EI$151)*(ISNUMBER(SEARCH($EI154, 球員狀態!$B$2:$B$5000))), 0)), "")</f>
        <v/>
      </c>
      <c r="EP154" s="4" t="str">
        <f t="array" ref="EP154">IFERROR(INDEX(球員狀態!I$2:I$5000, MATCH(1, (球員狀態!$A$2:$A$5000=$EI$151)*(ISNUMBER(SEARCH($EI154, 球員狀態!$B$2:$B$5000))), 0)), "")</f>
        <v/>
      </c>
      <c r="EQ154" s="4" t="str">
        <f t="array" ref="EQ154">IFERROR(INDEX(球員狀態!J$2:J$5000, MATCH(1, (球員狀態!$A$2:$A$5000=$EI$151)*(ISNUMBER(SEARCH($EI154, 球員狀態!$B$2:$B$5000))), 0)), "")</f>
        <v/>
      </c>
      <c r="ER154" s="4" t="str">
        <f t="array" ref="ER154">IFERROR(INDEX(球員狀態!K$2:K$5000, MATCH(1, (球員狀態!$A$2:$A$5000=$EI$151)*(ISNUMBER(SEARCH($EI154, 球員狀態!$B$2:$B$5000))), 0)), "")</f>
        <v/>
      </c>
      <c r="ES154" s="4" t="str">
        <f t="array" ref="ES154">IFERROR(INDEX(球員狀態!L$2:L$5000, MATCH(1, (球員狀態!$A$2:$A$5000=$EI$151)*(ISNUMBER(SEARCH($EI154, 球員狀態!$B$2:$B$5000))), 0)), "")</f>
        <v/>
      </c>
      <c r="ET154" s="4" t="str">
        <f t="array" ref="ET154">IFERROR(INDEX(球員狀態!M$2:M$5000, MATCH(1, (球員狀態!$A$2:$A$5000=$EI$151)*(ISNUMBER(SEARCH($EI154, 球員狀態!$B$2:$B$5000))), 0)), "")</f>
        <v/>
      </c>
      <c r="EU154" s="4" t="str">
        <f t="array" ref="EU154">IFERROR(INDEX(球員狀態!N$2:N$5000, MATCH(1, (球員狀態!$A$2:$A$5000=$EI$151)*(ISNUMBER(SEARCH($EI154, 球員狀態!$B$2:$B$5000))), 0)), "")</f>
        <v/>
      </c>
      <c r="EV154" s="4" t="str">
        <f t="array" ref="EV154">IFERROR(INDEX(球員狀態!O$2:O$5000, MATCH(1, (球員狀態!$A$2:$A$5000=$EI$1)*(ISNUMBER(SEARCH($EI154, 球員狀態!$B$2:$B$5000))), 0)), "")</f>
        <v/>
      </c>
      <c r="EW154" s="4" t="str">
        <f t="array" ref="EW154">IFERROR(INDEX(球員狀態!P$2:P$5000, MATCH(1, (球員狀態!$A$2:$A$5000=$EI$1)*(ISNUMBER(SEARCH($EI154, 球員狀態!$B$2:$B$5000))), 0)), "")</f>
        <v/>
      </c>
      <c r="EX154" s="4" t="str">
        <f t="array" ref="EX154">IFERROR(INDEX(球員狀態!Q$2:Q$5000, MATCH(1, (球員狀態!$A$2:$A$5000=$EI$151)*(ISNUMBER(SEARCH($EI154, 球員狀態!$B$2:$B$5000))), 0)), "")</f>
        <v/>
      </c>
      <c r="EY154" s="4" t="str">
        <f t="array" ref="EY154">IFERROR(INDEX(球員狀態!R$2:R$5000, MATCH(1, (球員狀態!$A$2:$A$5000=$EI$1)*(ISNUMBER(SEARCH($EI154, 球員狀態!$B$2:$B$5000))), 0)), "")</f>
        <v/>
      </c>
      <c r="EZ154" s="4" t="str">
        <f t="array" ref="EZ154">IFERROR(INDEX(球員狀態!S$2:S$5000, MATCH(1, (球員狀態!$A$2:$A$5000=$EI$1)*(ISNUMBER(SEARCH($EI154, 球員狀態!$B$2:$B$5000))), 0)), "")</f>
        <v/>
      </c>
      <c r="FA154" s="4" t="str">
        <f t="array" ref="FA154">IFERROR(INDEX(球員狀態!T$2:T$5000, MATCH(1, (球員狀態!$A$2:$A$5000=$EI$151)*(ISNUMBER(SEARCH($EI154, 球員狀態!$B$2:$B$5000))), 0)), "")</f>
        <v/>
      </c>
      <c r="FB154" s="4" t="str">
        <f t="array" ref="FB154">IFERROR(INDEX(球員狀態!U$2:U$5000, MATCH(1, (球員狀態!$A$2:$A$5000=$EI$1)*(ISNUMBER(SEARCH($EI154, 球員狀態!$B$2:$B$5000))), 0)), "")</f>
        <v/>
      </c>
      <c r="FC154" s="4" t="str">
        <f t="array" ref="FC154">IFERROR(INDEX(球員狀態!V$2:V$5000, MATCH(1, (球員狀態!$A$2:$A$5000=$EI$1)*(ISNUMBER(SEARCH($EI154, 球員狀態!$B$2:$B$5000))), 0)), "")</f>
        <v/>
      </c>
      <c r="FD154" s="4" t="str">
        <f t="array" ref="FD154">IFERROR(INDEX(球員狀態!W$2:W$5000, MATCH(1, (球員狀態!$A$2:$A$5000=$EI$151)*(ISNUMBER(SEARCH($EI154, 球員狀態!$B$2:$B$5000))), 0)), "")</f>
        <v/>
      </c>
      <c r="FE154" s="4" t="str">
        <f t="array" ref="FE154">IFERROR(INDEX(球員狀態!X$2:X$5000, MATCH(1, (球員狀態!$A$2:$A$5000=$EI$1)*(ISNUMBER(SEARCH($EI154, 球員狀態!$B$2:$B$5000))), 0)), "")</f>
        <v/>
      </c>
      <c r="FF154" s="4" t="str">
        <f t="array" ref="FF154">IFERROR(INDEX(球員狀態!Y$2:Y$5000, MATCH(1, (球員狀態!$A$2:$A$5000=$EI$1)*(ISNUMBER(SEARCH($EI154, 球員狀態!$B$2:$B$5000))), 0)), "")</f>
        <v/>
      </c>
      <c r="FG154" s="4" t="str">
        <f t="array" ref="FG154">IFERROR(INDEX(球員狀態!Z$2:Z$5000, MATCH(1, (球員狀態!$A$2:$A$5000=$EI$151)*(ISNUMBER(SEARCH($EI154, 球員狀態!$B$2:$B$5000))), 0)), "")</f>
        <v/>
      </c>
      <c r="FH154" s="4" t="str">
        <f t="array" ref="FH154">IFERROR(INDEX(球員狀態!AA$2:AA$5000, MATCH(1, (球員狀態!$A$2:$A$5000=$EI$151)*(ISNUMBER(SEARCH($EI154, 球員狀態!$B$2:$B$5000))), 0)), "")</f>
        <v/>
      </c>
      <c r="FI154" s="4" t="str">
        <f t="array" ref="FI154">IFERROR(INDEX(球員狀態!AB$2:AB$5000, MATCH(1, (球員狀態!$A$2:$A$5000=$EI$151)*(ISNUMBER(SEARCH($EI154, 球員狀態!$B$2:$B$5000))), 0)), "")</f>
        <v/>
      </c>
    </row>
    <row r="155" spans="110:165">
      <c r="DF155" s="36"/>
      <c r="DG155" s="4"/>
      <c r="DH155" s="40" t="e">
        <f>DJ155+DL155+DM155+DN155+DO155-DP155-DQ155+DR155</f>
        <v>#VALUE!</v>
      </c>
      <c r="DI155" s="42" t="e">
        <f>DU155+DX155+EA155+ED155+EE155+EF155</f>
        <v>#VALUE!</v>
      </c>
      <c r="DJ155" s="38" t="e">
        <f>VLOOKUP(DJ154*1, FK$2:FM$12, 3, TRUE)*FM$1</f>
        <v>#VALUE!</v>
      </c>
      <c r="DL155" s="38" t="e">
        <f>VLOOKUP(DL154*1, FN$2:FP$12, 3, TRUE)*FP$1</f>
        <v>#VALUE!</v>
      </c>
      <c r="DM155" s="38" t="e">
        <f>VLOOKUP(DM154*1, FQ$2:FS$12, 3, TRUE)*FS$1</f>
        <v>#VALUE!</v>
      </c>
      <c r="DN155" s="38" t="e">
        <f>VLOOKUP(DN154*1, FT$2:FV$12, 3, TRUE)*FV$1</f>
        <v>#VALUE!</v>
      </c>
      <c r="DO155" s="38" t="e">
        <f>VLOOKUP(DO154*1, FW$2:FY$12, 3, TRUE)*FY$1</f>
        <v>#VALUE!</v>
      </c>
      <c r="DP155" s="39" t="e">
        <f>VLOOKUP(DP154*1, FK$14:FM$25, 3, TRUE)*FM$14</f>
        <v>#VALUE!</v>
      </c>
      <c r="DQ155" s="39" t="e">
        <f>VLOOKUP(DQ154*1, FN$14:FP$25, 3, TRUE)*FP$14</f>
        <v>#VALUE!</v>
      </c>
      <c r="DR155" s="38" t="e">
        <f>VLOOKUP(DR154*1, FQ$14:FS$25, 3, TRUE)*FS$14</f>
        <v>#VALUE!</v>
      </c>
      <c r="DU155" s="41" t="e">
        <f>VLOOKUP(DU154*1, FK$27:FM$38, 3, TRUE)*FM$27</f>
        <v>#VALUE!</v>
      </c>
      <c r="DX155" s="41" t="e">
        <f>VLOOKUP(DX154*1, FN$27:FP$38, 3, TRUE)*FP$27</f>
        <v>#VALUE!</v>
      </c>
      <c r="EA155" s="41" t="e">
        <f>VLOOKUP(EA154*1, FQ$27:FS$38, 3, TRUE)*FS$27</f>
        <v>#VALUE!</v>
      </c>
      <c r="ED155" s="41" t="e">
        <f>VLOOKUP(ED154*1, FT$27:FV$38, 3, TRUE)*FV$27</f>
        <v>#VALUE!</v>
      </c>
      <c r="EE155" s="41" t="e">
        <f>VLOOKUP(EE154*1, FW$27:FY$38, 3, TRUE)*FY$27</f>
        <v>#VALUE!</v>
      </c>
      <c r="EF155" s="41" t="e">
        <f>VLOOKUP(EF154*1, FK$40:FM$51, 3, TRUE)*FM$40</f>
        <v>#VALUE!</v>
      </c>
      <c r="EG155" s="57"/>
      <c r="EI155" s="36"/>
      <c r="EJ155" s="4"/>
      <c r="EK155" s="40" t="e">
        <f>EM155+EO155+EP155+EQ155+ER155-ES155-ET155+EU155</f>
        <v>#VALUE!</v>
      </c>
      <c r="EL155" s="42" t="e">
        <f>EX155+FA155+FD155+FG155+FH155+FI155</f>
        <v>#VALUE!</v>
      </c>
      <c r="EM155" s="38" t="e">
        <f>VLOOKUP(EM154*1, $FK$2:$FM$12, 3, TRUE)*$FM$1</f>
        <v>#VALUE!</v>
      </c>
      <c r="EO155" s="38" t="e">
        <f>VLOOKUP(EO154*1, $FN$2:$FP$12, 3, TRUE)*$FP$1</f>
        <v>#VALUE!</v>
      </c>
      <c r="EP155" s="38" t="e">
        <f>VLOOKUP(EP154*1, $FQ$2:$FS$12, 3, TRUE)*$FS$1</f>
        <v>#VALUE!</v>
      </c>
      <c r="EQ155" s="38" t="e">
        <f>VLOOKUP(EQ154*1, $FT$2:$FV$12, 3, TRUE)*$FV$1</f>
        <v>#VALUE!</v>
      </c>
      <c r="ER155" s="38" t="e">
        <f>VLOOKUP(ER154*1, $FW$2:$FY$12, 3, TRUE)*$FY$1</f>
        <v>#VALUE!</v>
      </c>
      <c r="ES155" s="39" t="e">
        <f>VLOOKUP(ES154*1, $FK$14:$FM$25, 3, TRUE)*$FM$14</f>
        <v>#VALUE!</v>
      </c>
      <c r="ET155" s="39" t="e">
        <f>VLOOKUP(ET154*1, $FN$14:$FP$25, 3, TRUE)*$FP$14</f>
        <v>#VALUE!</v>
      </c>
      <c r="EU155" s="38" t="e">
        <f>VLOOKUP(EU154*1, $FQ$14:$FS$25, 3, TRUE)*$FS$14</f>
        <v>#VALUE!</v>
      </c>
      <c r="EX155" s="41" t="e">
        <f>VLOOKUP(EX154*1, $FK$27:$FM$38, 3, TRUE)*$FM$27</f>
        <v>#VALUE!</v>
      </c>
      <c r="FA155" s="41" t="e">
        <f>VLOOKUP(FA154*1, $FN$27:$FP$38, 3, TRUE)*$FP$27</f>
        <v>#VALUE!</v>
      </c>
      <c r="FD155" s="41" t="e">
        <f>VLOOKUP(FD154*1, $FQ$27:$FS$38, 3, TRUE)*$FS$27</f>
        <v>#VALUE!</v>
      </c>
      <c r="FG155" s="41" t="e">
        <f>VLOOKUP(FG154*1, $FT$27:$FV$38, 3, TRUE)*$FV$27</f>
        <v>#VALUE!</v>
      </c>
      <c r="FH155" s="41" t="e">
        <f>VLOOKUP(FH154*1, $FW$27:$FY$38, 3, TRUE)*$FY$27</f>
        <v>#VALUE!</v>
      </c>
      <c r="FI155" s="41" t="e">
        <f>VLOOKUP(FI154*1, $FK$40:$FM$51, 3, TRUE)*$FM$40</f>
        <v>#VALUE!</v>
      </c>
    </row>
    <row r="156" spans="110:165">
      <c r="DF156" s="35" t="str">
        <f>先發名單!G$7</f>
        <v>T. Grisham</v>
      </c>
      <c r="DG156" s="4" t="str">
        <f t="array" ref="DG156">IFERROR(INDEX(球員狀態!$C$2:$C$5000, MATCH(1, (球員狀態!$A$2:$A$5000=$DF$151)*(ISNUMBER(SEARCH($DF156, 球員狀態!$B$2:$B$5000))), 0)), "")</f>
        <v/>
      </c>
      <c r="DJ156" s="4" t="str">
        <f t="array" ref="DJ156">IFERROR(INDEX(球員狀態!$F$2:$F$5000,MATCH(1,(球員狀態!$A$2:$A$5000=$DF$151)*(ISNUMBER(SEARCH($DF156,球員狀態!$B$2:$B$5000))),0)),"")</f>
        <v/>
      </c>
      <c r="DK156" s="4" t="str">
        <f t="array" ref="DK156">IFERROR(INDEX(球員狀態!G$2:G$5000, MATCH(1, (球員狀態!$A$2:$A$5000=$DF$1)*(ISNUMBER(SEARCH($DF156, 球員狀態!$B$2:$B$5000))), 0)), "")</f>
        <v/>
      </c>
      <c r="DL156" s="4" t="str">
        <f t="array" ref="DL156">IFERROR(INDEX(球員狀態!H$2:H$5000, MATCH(1, (球員狀態!$A$2:$A$5000=$DF$151)*(ISNUMBER(SEARCH($DF156, 球員狀態!$B$2:$B$5000))), 0)), "")</f>
        <v/>
      </c>
      <c r="DM156" s="4" t="str">
        <f t="array" ref="DM156">IFERROR(INDEX(球員狀態!I$2:I$5000,MATCH(1,(球員狀態!$A$2:$A$5000=$DF$151)*(ISNUMBER(SEARCH($DF156,球員狀態!$B$2:$B$5000))),0)),"")</f>
        <v/>
      </c>
      <c r="DN156" s="4" t="str">
        <f t="array" ref="DN156">IFERROR(INDEX(球員狀態!J$2:J$5000,MATCH(1,(球員狀態!$A$2:$A$5000=$DF$151)*(ISNUMBER(SEARCH($DF156,球員狀態!$B$2:$B$5000))),0)),"")</f>
        <v/>
      </c>
      <c r="DO156" s="4" t="str">
        <f t="array" ref="DO156">IFERROR(INDEX(球員狀態!K$2:K$5000,MATCH(1,(球員狀態!$A$2:$A$5000=$DF$151)*(ISNUMBER(SEARCH($DF156,球員狀態!$B$2:$B$5000))),0)),"")</f>
        <v/>
      </c>
      <c r="DP156" s="4" t="str">
        <f t="array" ref="DP156">IFERROR(INDEX(球員狀態!L$2:L$5000,MATCH(1,(球員狀態!$A$2:$A$5000=$DF$151)*(ISNUMBER(SEARCH($DF156,球員狀態!$B$2:$B$5000))),0)),"")</f>
        <v/>
      </c>
      <c r="DQ156" s="4" t="str">
        <f t="array" ref="DQ156">IFERROR(INDEX(球員狀態!M$2:M$5000,MATCH(1,(球員狀態!$A$2:$A$5000=$DF$151)*(ISNUMBER(SEARCH($DF156,球員狀態!$B$2:$B$5000))),0)),"")</f>
        <v/>
      </c>
      <c r="DR156" s="4" t="str">
        <f t="array" ref="DR156">IFERROR(INDEX(球員狀態!N$2:N$5000,MATCH(1,(球員狀態!$A$2:$A$5000=$DF$151)*(ISNUMBER(SEARCH($DF156,球員狀態!$B$2:$B$5000))),0)),"")</f>
        <v/>
      </c>
      <c r="DS156" s="4" t="str">
        <f t="array" ref="DS156">IFERROR(INDEX(球員狀態!O$2:O$5000, MATCH(1, (球員狀態!$A$2:$A$5000=$DF$1)*(ISNUMBER(SEARCH($DF156, 球員狀態!$B$2:$B$5000))), 0)), "")</f>
        <v/>
      </c>
      <c r="DT156" s="4" t="str">
        <f t="array" ref="DT156">IFERROR(INDEX(球員狀態!P$2:P$5000, MATCH(1, (球員狀態!$A$2:$A$5000=$DF$1)*(ISNUMBER(SEARCH($DF156, 球員狀態!$B$2:$B$5000))), 0)), "")</f>
        <v/>
      </c>
      <c r="DU156" s="4" t="str">
        <f t="array" ref="DU156">IFERROR(INDEX(球員狀態!Q$2:Q$5000,MATCH(1,(球員狀態!$A$2:$A$5000=$DF$151)*(ISNUMBER(SEARCH($DF156,球員狀態!$B$2:$B$5000))),0)),"")</f>
        <v/>
      </c>
      <c r="DV156" s="4" t="str">
        <f t="array" ref="DV156">IFERROR(INDEX(球員狀態!R$2:R$5000, MATCH(1, (球員狀態!$A$2:$A$5000=$DF$1)*(ISNUMBER(SEARCH($DF156, 球員狀態!$B$2:$B$5000))), 0)), "")</f>
        <v/>
      </c>
      <c r="DW156" s="4" t="str">
        <f t="array" ref="DW156">IFERROR(INDEX(球員狀態!S$2:S$5000, MATCH(1, (球員狀態!$A$2:$A$5000=$DF$1)*(ISNUMBER(SEARCH($DF156, 球員狀態!$B$2:$B$5000))), 0)), "")</f>
        <v/>
      </c>
      <c r="DX156" s="4" t="str">
        <f t="array" ref="DX156">IFERROR(INDEX(球員狀態!T$2:T$5000,MATCH(1,(球員狀態!$A$2:$A$5000=$DF$151)*(ISNUMBER(SEARCH($DF156,球員狀態!$B$2:$B$5000))),0)),"")</f>
        <v/>
      </c>
      <c r="DY156" s="4" t="str">
        <f t="array" ref="DY156">IFERROR(INDEX(球員狀態!U$2:U$5000, MATCH(1, (球員狀態!$A$2:$A$5000=$DF$1)*(ISNUMBER(SEARCH($DF156, 球員狀態!$B$2:$B$5000))), 0)), "")</f>
        <v/>
      </c>
      <c r="DZ156" s="4" t="str">
        <f t="array" ref="DZ156">IFERROR(INDEX(球員狀態!V$2:V$5000, MATCH(1, (球員狀態!$A$2:$A$5000=$DF$1)*(ISNUMBER(SEARCH($DF156, 球員狀態!$B$2:$B$5000))), 0)), "")</f>
        <v/>
      </c>
      <c r="EA156" s="4" t="str">
        <f t="array" ref="EA156">IFERROR(INDEX(球員狀態!W$2:W$5000,MATCH(1,(球員狀態!$A$2:$A$5000=$DF$151)*(ISNUMBER(SEARCH($DF156,球員狀態!$B$2:$B$5000))),0)),"")</f>
        <v/>
      </c>
      <c r="EB156" s="4" t="str">
        <f t="array" ref="EB156">IFERROR(INDEX(球員狀態!X$2:X$5000, MATCH(1, (球員狀態!$A$2:$A$5000=$DF$1)*(ISNUMBER(SEARCH($DF156, 球員狀態!$B$2:$B$5000))), 0)), "")</f>
        <v/>
      </c>
      <c r="EC156" s="4" t="str">
        <f t="array" ref="EC156">IFERROR(INDEX(球員狀態!Y$2:Y$5000, MATCH(1, (球員狀態!$A$2:$A$5000=$DF$1)*(ISNUMBER(SEARCH($DF156, 球員狀態!$B$2:$B$5000))), 0)), "")</f>
        <v/>
      </c>
      <c r="ED156" s="4" t="str">
        <f t="array" ref="ED156">IFERROR(INDEX(球員狀態!Z$2:Z$5000,MATCH(1,(球員狀態!$A$2:$A$5000=$DF$151)*(ISNUMBER(SEARCH($DF156,球員狀態!$B$2:$B$5000))),0)),"")</f>
        <v/>
      </c>
      <c r="EE156" s="4" t="str">
        <f t="array" ref="EE156">IFERROR(INDEX(球員狀態!AA$2:AA$5000,MATCH(1,(球員狀態!$A$2:$A$5000=$DF$151)*(ISNUMBER(SEARCH($DF156,球員狀態!$B$2:$B$5000))),0)),"")</f>
        <v/>
      </c>
      <c r="EF156" s="4" t="str">
        <f t="array" ref="EF156">IFERROR(INDEX(球員狀態!AB$2:AB$5000,MATCH(1,(球員狀態!$A$2:$A$5000=$DF$151)*(ISNUMBER(SEARCH($DF156,球員狀態!$B$2:$B$5000))),0)),"")</f>
        <v/>
      </c>
      <c r="EG156" s="56"/>
      <c r="EI156" s="35" t="str">
        <f>先發名單!Q$7</f>
        <v>Corey Seager</v>
      </c>
      <c r="EJ156" s="4" t="str">
        <f t="array" ref="EJ156">IFERROR(INDEX(球員狀態!C$2:C$5000, MATCH(1, (球員狀態!$A$2:$A$5000=$EI$151)*(ISNUMBER(SEARCH($EI156, 球員狀態!$B$2:$B$5000))), 0)), "")</f>
        <v>SS</v>
      </c>
      <c r="EM156" s="4" t="str">
        <f t="array" ref="EM156">IFERROR(INDEX(球員狀態!F$2:F$5000, MATCH(1, (球員狀態!$A$2:$A$5000=$EI$151)*(ISNUMBER(SEARCH($EI156, 球員狀態!$B$2:$B$5000))), 0)), "")</f>
        <v>19</v>
      </c>
      <c r="EN156" s="4" t="str">
        <f t="array" ref="EN156">IFERROR(INDEX(球員狀態!G$2:G$5000, MATCH(1, (球員狀態!$A$2:$A$5000=$EI$1)*(ISNUMBER(SEARCH($EI156, 球員狀態!$B$2:$B$5000))), 0)), "")</f>
        <v/>
      </c>
      <c r="EO156" s="4" t="str">
        <f t="array" ref="EO156">IFERROR(INDEX(球員狀態!H$2:H$5000, MATCH(1, (球員狀態!$A$2:$A$5000=$EI$151)*(ISNUMBER(SEARCH($EI156, 球員狀態!$B$2:$B$5000))), 0)), "")</f>
        <v>4</v>
      </c>
      <c r="EP156" s="4" t="str">
        <f t="array" ref="EP156">IFERROR(INDEX(球員狀態!I$2:I$5000, MATCH(1, (球員狀態!$A$2:$A$5000=$EI$151)*(ISNUMBER(SEARCH($EI156, 球員狀態!$B$2:$B$5000))), 0)), "")</f>
        <v>0</v>
      </c>
      <c r="EQ156" s="4" t="str">
        <f t="array" ref="EQ156">IFERROR(INDEX(球員狀態!J$2:J$5000, MATCH(1, (球員狀態!$A$2:$A$5000=$EI$151)*(ISNUMBER(SEARCH($EI156, 球員狀態!$B$2:$B$5000))), 0)), "")</f>
        <v>6</v>
      </c>
      <c r="ER156" s="4" t="str">
        <f t="array" ref="ER156">IFERROR(INDEX(球員狀態!K$2:K$5000, MATCH(1, (球員狀態!$A$2:$A$5000=$EI$151)*(ISNUMBER(SEARCH($EI156, 球員狀態!$B$2:$B$5000))), 0)), "")</f>
        <v>17</v>
      </c>
      <c r="ES156" s="4" t="str">
        <f t="array" ref="ES156">IFERROR(INDEX(球員狀態!L$2:L$5000, MATCH(1, (球員狀態!$A$2:$A$5000=$EI$151)*(ISNUMBER(SEARCH($EI156, 球員狀態!$B$2:$B$5000))), 0)), "")</f>
        <v>44</v>
      </c>
      <c r="ET156" s="4" t="str">
        <f t="array" ref="ET156">IFERROR(INDEX(球員狀態!M$2:M$5000, MATCH(1, (球員狀態!$A$2:$A$5000=$EI$151)*(ISNUMBER(SEARCH($EI156, 球員狀態!$B$2:$B$5000))), 0)), "")</f>
        <v>14</v>
      </c>
      <c r="EU156" s="4" t="str">
        <f t="array" ref="EU156">IFERROR(INDEX(球員狀態!N$2:N$5000, MATCH(1, (球員狀態!$A$2:$A$5000=$EI$151)*(ISNUMBER(SEARCH($EI156, 球員狀態!$B$2:$B$5000))), 0)), "")</f>
        <v>28</v>
      </c>
      <c r="EV156" s="4" t="str">
        <f t="array" ref="EV156">IFERROR(INDEX(球員狀態!O$2:O$5000, MATCH(1, (球員狀態!$A$2:$A$5000=$EI$1)*(ISNUMBER(SEARCH($EI156, 球員狀態!$B$2:$B$5000))), 0)), "")</f>
        <v/>
      </c>
      <c r="EW156" s="4" t="str">
        <f t="array" ref="EW156">IFERROR(INDEX(球員狀態!P$2:P$5000, MATCH(1, (球員狀態!$A$2:$A$5000=$EI$1)*(ISNUMBER(SEARCH($EI156, 球員狀態!$B$2:$B$5000))), 0)), "")</f>
        <v/>
      </c>
      <c r="EX156" s="4" t="str">
        <f t="array" ref="EX156">IFERROR(INDEX(球員狀態!Q$2:Q$5000, MATCH(1, (球員狀態!$A$2:$A$5000=$EI$151)*(ISNUMBER(SEARCH($EI156, 球員狀態!$B$2:$B$5000))), 0)), "")</f>
        <v>.316</v>
      </c>
      <c r="EY156" s="4" t="str">
        <f t="array" ref="EY156">IFERROR(INDEX(球員狀態!R$2:R$5000, MATCH(1, (球員狀態!$A$2:$A$5000=$EI$1)*(ISNUMBER(SEARCH($EI156, 球員狀態!$B$2:$B$5000))), 0)), "")</f>
        <v/>
      </c>
      <c r="EZ156" s="4" t="str">
        <f t="array" ref="EZ156">IFERROR(INDEX(球員狀態!S$2:S$5000, MATCH(1, (球員狀態!$A$2:$A$5000=$EI$1)*(ISNUMBER(SEARCH($EI156, 球員狀態!$B$2:$B$5000))), 0)), "")</f>
        <v/>
      </c>
      <c r="FA156" s="4" t="str">
        <f t="array" ref="FA156">IFERROR(INDEX(球員狀態!T$2:T$5000, MATCH(1, (球員狀態!$A$2:$A$5000=$EI$151)*(ISNUMBER(SEARCH($EI156, 球員狀態!$B$2:$B$5000))), 0)), "")</f>
        <v>0.8</v>
      </c>
      <c r="FB156" s="4" t="str">
        <f t="array" ref="FB156">IFERROR(INDEX(球員狀態!U$2:U$5000, MATCH(1, (球員狀態!$A$2:$A$5000=$EI$1)*(ISNUMBER(SEARCH($EI156, 球員狀態!$B$2:$B$5000))), 0)), "")</f>
        <v/>
      </c>
      <c r="FC156" s="4" t="str">
        <f t="array" ref="FC156">IFERROR(INDEX(球員狀態!V$2:V$5000, MATCH(1, (球員狀態!$A$2:$A$5000=$EI$1)*(ISNUMBER(SEARCH($EI156, 球員狀態!$B$2:$B$5000))), 0)), "")</f>
        <v/>
      </c>
      <c r="FD156" s="4" t="str">
        <f t="array" ref="FD156">IFERROR(INDEX(球員狀態!W$2:W$5000, MATCH(1, (球員狀態!$A$2:$A$5000=$EI$151)*(ISNUMBER(SEARCH($EI156, 球員狀態!$B$2:$B$5000))), 0)), "")</f>
        <v>.120</v>
      </c>
      <c r="FE156" s="4" t="str">
        <f t="array" ref="FE156">IFERROR(INDEX(球員狀態!X$2:X$5000, MATCH(1, (球員狀態!$A$2:$A$5000=$EI$1)*(ISNUMBER(SEARCH($EI156, 球員狀態!$B$2:$B$5000))), 0)), "")</f>
        <v/>
      </c>
      <c r="FF156" s="4" t="str">
        <f t="array" ref="FF156">IFERROR(INDEX(球員狀態!Y$2:Y$5000, MATCH(1, (球員狀態!$A$2:$A$5000=$EI$1)*(ISNUMBER(SEARCH($EI156, 球員狀態!$B$2:$B$5000))), 0)), "")</f>
        <v/>
      </c>
      <c r="FG156" s="4" t="str">
        <f t="array" ref="FG156">IFERROR(INDEX(球員狀態!Z$2:Z$5000, MATCH(1, (球員狀態!$A$2:$A$5000=$EI$151)*(ISNUMBER(SEARCH($EI156, 球員狀態!$B$2:$B$5000))), 0)), "")</f>
        <v>.370</v>
      </c>
      <c r="FH156" s="4" t="str">
        <f t="array" ref="FH156">IFERROR(INDEX(球員狀態!AA$2:AA$5000, MATCH(1, (球員狀態!$A$2:$A$5000=$EI$151)*(ISNUMBER(SEARCH($EI156, 球員狀態!$B$2:$B$5000))), 0)), "")</f>
        <v>3.74</v>
      </c>
      <c r="FI156" s="4" t="str">
        <f t="array" ref="FI156">IFERROR(INDEX(球員狀態!AB$2:AB$5000, MATCH(1, (球員狀態!$A$2:$A$5000=$EI$151)*(ISNUMBER(SEARCH($EI156, 球員狀態!$B$2:$B$5000))), 0)), "")</f>
        <v>10</v>
      </c>
    </row>
    <row r="157" spans="110:165">
      <c r="DF157" s="33"/>
      <c r="DG157" s="4"/>
      <c r="DH157" s="40" t="e">
        <f>DJ157+DL157+DM157+DN157+DO157-DP157-DQ157+DR157</f>
        <v>#VALUE!</v>
      </c>
      <c r="DI157" s="42" t="e">
        <f>DU157+DX157+EA157+ED157+EE157+EF157</f>
        <v>#VALUE!</v>
      </c>
      <c r="DJ157" s="38" t="e">
        <f>VLOOKUP(DJ156*1, FK$2:FM$12, 3, TRUE)*FM$1</f>
        <v>#VALUE!</v>
      </c>
      <c r="DL157" s="38" t="e">
        <f>VLOOKUP(DL156*1, FN$2:FP$12, 3, TRUE)*FP$1</f>
        <v>#VALUE!</v>
      </c>
      <c r="DM157" s="38" t="e">
        <f>VLOOKUP(DM156*1, FQ$2:FS$12, 3, TRUE)*FS$1</f>
        <v>#VALUE!</v>
      </c>
      <c r="DN157" s="38" t="e">
        <f>VLOOKUP(DN156*1, FT$2:FV$12, 3, TRUE)*FV$1</f>
        <v>#VALUE!</v>
      </c>
      <c r="DO157" s="38" t="e">
        <f>VLOOKUP(DO156*1, FW$2:FY$12, 3, TRUE)*FY$1</f>
        <v>#VALUE!</v>
      </c>
      <c r="DP157" s="39" t="e">
        <f>VLOOKUP(DP156*1, FK$14:FM$25, 3, TRUE)*FM$14</f>
        <v>#VALUE!</v>
      </c>
      <c r="DQ157" s="39" t="e">
        <f>VLOOKUP(DQ156*1, FN$14:FP$25, 3, TRUE)*FP$14</f>
        <v>#VALUE!</v>
      </c>
      <c r="DR157" s="38" t="e">
        <f>VLOOKUP(DR156*1, FQ$14:FS$25, 3, TRUE)*FS$14</f>
        <v>#VALUE!</v>
      </c>
      <c r="DU157" s="41" t="e">
        <f>VLOOKUP(DU156*1, FK$27:FM$38, 3, TRUE)*FM$27</f>
        <v>#VALUE!</v>
      </c>
      <c r="DX157" s="41" t="e">
        <f>VLOOKUP(DX156*1, FN$27:FP$38, 3, TRUE)*FP$27</f>
        <v>#VALUE!</v>
      </c>
      <c r="EA157" s="41" t="e">
        <f>VLOOKUP(EA156*1, FQ$27:FS$38, 3, TRUE)*FS$27</f>
        <v>#VALUE!</v>
      </c>
      <c r="ED157" s="41" t="e">
        <f>VLOOKUP(ED156*1, FT$27:FV$38, 3, TRUE)*FV$27</f>
        <v>#VALUE!</v>
      </c>
      <c r="EE157" s="41" t="e">
        <f>VLOOKUP(EE156*1, FW$27:FY$38, 3, TRUE)*FY$27</f>
        <v>#VALUE!</v>
      </c>
      <c r="EF157" s="41" t="e">
        <f>VLOOKUP(EF156*1, FK$40:FM$51, 3, TRUE)*FM$40</f>
        <v>#VALUE!</v>
      </c>
      <c r="EG157" s="57"/>
      <c r="EI157" s="33"/>
      <c r="EJ157" s="4"/>
      <c r="EK157" s="40">
        <f>EM157+EO157+EP157+EQ157+ER157-ES157-ET157+EU157</f>
        <v>3.2</v>
      </c>
      <c r="EL157" s="42">
        <f>EX157+FA157+FD157+FG157+FH157+FI157</f>
        <v>5</v>
      </c>
      <c r="EM157" s="38">
        <f>VLOOKUP(EM156*1, $FK$2:$FM$12, 3, TRUE)*$FM$1</f>
        <v>1.75</v>
      </c>
      <c r="EO157" s="38">
        <f>VLOOKUP(EO156*1, $FN$2:$FP$12, 3, TRUE)*$FP$1</f>
        <v>0.44999999999999996</v>
      </c>
      <c r="EP157" s="38">
        <f>VLOOKUP(EP156*1, $FQ$2:$FS$12, 3, TRUE)*$FS$1</f>
        <v>0</v>
      </c>
      <c r="EQ157" s="38">
        <f>VLOOKUP(EQ156*1, $FT$2:$FV$12, 3, TRUE)*$FV$1</f>
        <v>1</v>
      </c>
      <c r="ER157" s="38">
        <f>VLOOKUP(ER156*1, $FW$2:$FY$12, 3, TRUE)*$FY$1</f>
        <v>0.5</v>
      </c>
      <c r="ES157" s="39">
        <f>VLOOKUP(ES156*1, $FK$14:$FM$25, 3, TRUE)*$FM$14</f>
        <v>1</v>
      </c>
      <c r="ET157" s="39">
        <f>VLOOKUP(ET156*1, $FN$14:$FP$25, 3, TRUE)*$FP$14</f>
        <v>1</v>
      </c>
      <c r="EU157" s="38">
        <f>VLOOKUP(EU156*1, $FQ$14:$FS$25, 3, TRUE)*$FS$14</f>
        <v>1.5</v>
      </c>
      <c r="EX157" s="41">
        <f>VLOOKUP(EX156*1, $FK$27:$FM$38, 3, TRUE)*$FM$27</f>
        <v>0</v>
      </c>
      <c r="FA157" s="41">
        <f>VLOOKUP(FA156*1, $FN$27:$FP$38, 3, TRUE)*$FP$27</f>
        <v>0</v>
      </c>
      <c r="FD157" s="41">
        <f>VLOOKUP(FD156*1, $FQ$27:$FS$38, 3, TRUE)*$FS$27</f>
        <v>0</v>
      </c>
      <c r="FG157" s="41">
        <f>VLOOKUP(FG156*1, $FT$27:$FV$38, 3, TRUE)*$FV$27</f>
        <v>0</v>
      </c>
      <c r="FH157" s="41">
        <f>VLOOKUP(FH156*1, $FW$27:$FY$38, 3, TRUE)*$FY$27</f>
        <v>1.5</v>
      </c>
      <c r="FI157" s="41">
        <f>VLOOKUP(FI156*1, $FK$40:$FM$51, 3, TRUE)*$FM$40</f>
        <v>3.5</v>
      </c>
    </row>
    <row r="158" spans="110:165">
      <c r="DF158" s="35" t="str">
        <f>先發名單!H$7</f>
        <v>Ben Rice</v>
      </c>
      <c r="DG158" s="4" t="str">
        <f t="array" ref="DG158">IFERROR(INDEX(球員狀態!$C$2:$C$5000, MATCH(1, (球員狀態!$A$2:$A$5000=$DF$151)*(ISNUMBER(SEARCH($DF158, 球員狀態!$B$2:$B$5000))), 0)), "")</f>
        <v>1B</v>
      </c>
      <c r="DJ158" s="4" t="str">
        <f t="array" ref="DJ158">IFERROR(INDEX(球員狀態!$F$2:$F$5000,MATCH(1,(球員狀態!$A$2:$A$5000=$DF$151)*(ISNUMBER(SEARCH($DF158,球員狀態!$B$2:$B$5000))),0)),"")</f>
        <v>25</v>
      </c>
      <c r="DK158" s="4" t="str">
        <f t="array" ref="DK158">IFERROR(INDEX(球員狀態!G$2:G$5000, MATCH(1, (球員狀態!$A$2:$A$5000=$DF$1)*(ISNUMBER(SEARCH($DF158, 球員狀態!$B$2:$B$5000))), 0)), "")</f>
        <v/>
      </c>
      <c r="DL158" s="4" t="str">
        <f t="array" ref="DL158">IFERROR(INDEX(球員狀態!H$2:H$5000, MATCH(1, (球員狀態!$A$2:$A$5000=$DF$151)*(ISNUMBER(SEARCH($DF158, 球員狀態!$B$2:$B$5000))), 0)), "")</f>
        <v>8</v>
      </c>
      <c r="DM158" s="4" t="str">
        <f t="array" ref="DM158">IFERROR(INDEX(球員狀態!I$2:I$5000,MATCH(1,(球員狀態!$A$2:$A$5000=$DF$151)*(ISNUMBER(SEARCH($DF158,球員狀態!$B$2:$B$5000))),0)),"")</f>
        <v>0</v>
      </c>
      <c r="DN158" s="4" t="str">
        <f t="array" ref="DN158">IFERROR(INDEX(球員狀態!J$2:J$5000,MATCH(1,(球員狀態!$A$2:$A$5000=$DF$151)*(ISNUMBER(SEARCH($DF158,球員狀態!$B$2:$B$5000))),0)),"")</f>
        <v>9</v>
      </c>
      <c r="DO158" s="4" t="str">
        <f t="array" ref="DO158">IFERROR(INDEX(球員狀態!K$2:K$5000,MATCH(1,(球員狀態!$A$2:$A$5000=$DF$151)*(ISNUMBER(SEARCH($DF158,球員狀態!$B$2:$B$5000))),0)),"")</f>
        <v>21</v>
      </c>
      <c r="DP158" s="4" t="str">
        <f t="array" ref="DP158">IFERROR(INDEX(球員狀態!L$2:L$5000,MATCH(1,(球員狀態!$A$2:$A$5000=$DF$151)*(ISNUMBER(SEARCH($DF158,球員狀態!$B$2:$B$5000))),0)),"")</f>
        <v>63</v>
      </c>
      <c r="DQ158" s="4" t="str">
        <f t="array" ref="DQ158">IFERROR(INDEX(球員狀態!M$2:M$5000,MATCH(1,(球員狀態!$A$2:$A$5000=$DF$151)*(ISNUMBER(SEARCH($DF158,球員狀態!$B$2:$B$5000))),0)),"")</f>
        <v>20</v>
      </c>
      <c r="DR158" s="4" t="str">
        <f t="array" ref="DR158">IFERROR(INDEX(球員狀態!N$2:N$5000,MATCH(1,(球員狀態!$A$2:$A$5000=$DF$151)*(ISNUMBER(SEARCH($DF158,球員狀態!$B$2:$B$5000))),0)),"")</f>
        <v>30</v>
      </c>
      <c r="DS158" s="4" t="str">
        <f t="array" ref="DS158">IFERROR(INDEX(球員狀態!O$2:O$5000, MATCH(1, (球員狀態!$A$2:$A$5000=$DF$1)*(ISNUMBER(SEARCH($DF158, 球員狀態!$B$2:$B$5000))), 0)), "")</f>
        <v/>
      </c>
      <c r="DT158" s="4" t="str">
        <f t="array" ref="DT158">IFERROR(INDEX(球員狀態!P$2:P$5000, MATCH(1, (球員狀態!$A$2:$A$5000=$DF$1)*(ISNUMBER(SEARCH($DF158, 球員狀態!$B$2:$B$5000))), 0)), "")</f>
        <v/>
      </c>
      <c r="DU158" s="4" t="str">
        <f t="array" ref="DU158">IFERROR(INDEX(球員狀態!Q$2:Q$5000,MATCH(1,(球員狀態!$A$2:$A$5000=$DF$151)*(ISNUMBER(SEARCH($DF158,球員狀態!$B$2:$B$5000))),0)),"")</f>
        <v>.450</v>
      </c>
      <c r="DV158" s="4" t="str">
        <f t="array" ref="DV158">IFERROR(INDEX(球員狀態!R$2:R$5000, MATCH(1, (球員狀態!$A$2:$A$5000=$DF$1)*(ISNUMBER(SEARCH($DF158, 球員狀態!$B$2:$B$5000))), 0)), "")</f>
        <v/>
      </c>
      <c r="DW158" s="4" t="str">
        <f t="array" ref="DW158">IFERROR(INDEX(球員狀態!S$2:S$5000, MATCH(1, (球員狀態!$A$2:$A$5000=$DF$1)*(ISNUMBER(SEARCH($DF158, 球員狀態!$B$2:$B$5000))), 0)), "")</f>
        <v/>
      </c>
      <c r="DX158" s="4" t="str">
        <f t="array" ref="DX158">IFERROR(INDEX(球員狀態!T$2:T$5000,MATCH(1,(球員狀態!$A$2:$A$5000=$DF$151)*(ISNUMBER(SEARCH($DF158,球員狀態!$B$2:$B$5000))),0)),"")</f>
        <v>1.5</v>
      </c>
      <c r="DY158" s="4" t="str">
        <f t="array" ref="DY158">IFERROR(INDEX(球員狀態!U$2:U$5000, MATCH(1, (球員狀態!$A$2:$A$5000=$DF$1)*(ISNUMBER(SEARCH($DF158, 球員狀態!$B$2:$B$5000))), 0)), "")</f>
        <v/>
      </c>
      <c r="DZ158" s="4" t="str">
        <f t="array" ref="DZ158">IFERROR(INDEX(球員狀態!V$2:V$5000, MATCH(1, (球員狀態!$A$2:$A$5000=$DF$1)*(ISNUMBER(SEARCH($DF158, 球員狀態!$B$2:$B$5000))), 0)), "")</f>
        <v/>
      </c>
      <c r="EA158" s="4" t="str">
        <f t="array" ref="EA158">IFERROR(INDEX(球員狀態!W$2:W$5000,MATCH(1,(球員狀態!$A$2:$A$5000=$DF$151)*(ISNUMBER(SEARCH($DF158,球員狀態!$B$2:$B$5000))),0)),"")</f>
        <v>.183</v>
      </c>
      <c r="EB158" s="4" t="str">
        <f t="array" ref="EB158">IFERROR(INDEX(球員狀態!X$2:X$5000, MATCH(1, (球員狀態!$A$2:$A$5000=$DF$1)*(ISNUMBER(SEARCH($DF158, 球員狀態!$B$2:$B$5000))), 0)), "")</f>
        <v/>
      </c>
      <c r="EC158" s="4" t="str">
        <f t="array" ref="EC158">IFERROR(INDEX(球員狀態!Y$2:Y$5000, MATCH(1, (球員狀態!$A$2:$A$5000=$DF$1)*(ISNUMBER(SEARCH($DF158, 球員狀態!$B$2:$B$5000))), 0)), "")</f>
        <v/>
      </c>
      <c r="ED158" s="4" t="str">
        <f t="array" ref="ED158">IFERROR(INDEX(球員狀態!Z$2:Z$5000,MATCH(1,(球員狀態!$A$2:$A$5000=$DF$151)*(ISNUMBER(SEARCH($DF158,球員狀態!$B$2:$B$5000))),0)),"")</f>
        <v>.651</v>
      </c>
      <c r="EE158" s="4" t="str">
        <f t="array" ref="EE158">IFERROR(INDEX(球員狀態!AA$2:AA$5000,MATCH(1,(球員狀態!$A$2:$A$5000=$DF$151)*(ISNUMBER(SEARCH($DF158,球員狀態!$B$2:$B$5000))),0)),"")</f>
        <v>4.33</v>
      </c>
      <c r="EF158" s="4" t="str">
        <f t="array" ref="EF158">IFERROR(INDEX(球員狀態!AB$2:AB$5000,MATCH(1,(球員狀態!$A$2:$A$5000=$DF$151)*(ISNUMBER(SEARCH($DF158,球員狀態!$B$2:$B$5000))),0)),"")</f>
        <v>17</v>
      </c>
      <c r="EG158" s="56"/>
      <c r="EI158" s="35" t="str">
        <f>先發名單!R$7</f>
        <v>Jake Burger</v>
      </c>
      <c r="EJ158" s="4" t="str">
        <f t="array" ref="EJ158">IFERROR(INDEX(球員狀態!C$2:C$5000, MATCH(1, (球員狀態!$A$2:$A$5000=$EI$151)*(ISNUMBER(SEARCH($EI158, 球員狀態!$B$2:$B$5000))), 0)), "")</f>
        <v>1B</v>
      </c>
      <c r="EM158" s="4" t="str">
        <f t="array" ref="EM158">IFERROR(INDEX(球員狀態!F$2:F$5000, MATCH(1, (球員狀態!$A$2:$A$5000=$EI$151)*(ISNUMBER(SEARCH($EI158, 球員狀態!$B$2:$B$5000))), 0)), "")</f>
        <v>10</v>
      </c>
      <c r="EN158" s="4" t="str">
        <f t="array" ref="EN158">IFERROR(INDEX(球員狀態!G$2:G$5000, MATCH(1, (球員狀態!$A$2:$A$5000=$EI$1)*(ISNUMBER(SEARCH($EI158, 球員狀態!$B$2:$B$5000))), 0)), "")</f>
        <v/>
      </c>
      <c r="EO158" s="4" t="str">
        <f t="array" ref="EO158">IFERROR(INDEX(球員狀態!H$2:H$5000, MATCH(1, (球員狀態!$A$2:$A$5000=$EI$151)*(ISNUMBER(SEARCH($EI158, 球員狀態!$B$2:$B$5000))), 0)), "")</f>
        <v>4</v>
      </c>
      <c r="EP158" s="4" t="str">
        <f t="array" ref="EP158">IFERROR(INDEX(球員狀態!I$2:I$5000, MATCH(1, (球員狀態!$A$2:$A$5000=$EI$151)*(ISNUMBER(SEARCH($EI158, 球員狀態!$B$2:$B$5000))), 0)), "")</f>
        <v>0</v>
      </c>
      <c r="EQ158" s="4" t="str">
        <f t="array" ref="EQ158">IFERROR(INDEX(球員狀態!J$2:J$5000, MATCH(1, (球員狀態!$A$2:$A$5000=$EI$151)*(ISNUMBER(SEARCH($EI158, 球員狀態!$B$2:$B$5000))), 0)), "")</f>
        <v>5</v>
      </c>
      <c r="ER158" s="4" t="str">
        <f t="array" ref="ER158">IFERROR(INDEX(球員狀態!K$2:K$5000, MATCH(1, (球員狀態!$A$2:$A$5000=$EI$151)*(ISNUMBER(SEARCH($EI158, 球員狀態!$B$2:$B$5000))), 0)), "")</f>
        <v>19</v>
      </c>
      <c r="ES158" s="4" t="str">
        <f t="array" ref="ES158">IFERROR(INDEX(球員狀態!L$2:L$5000, MATCH(1, (球員狀態!$A$2:$A$5000=$EI$151)*(ISNUMBER(SEARCH($EI158, 球員狀態!$B$2:$B$5000))), 0)), "")</f>
        <v>44</v>
      </c>
      <c r="ET158" s="4" t="str">
        <f t="array" ref="ET158">IFERROR(INDEX(球員狀態!M$2:M$5000, MATCH(1, (球員狀態!$A$2:$A$5000=$EI$151)*(ISNUMBER(SEARCH($EI158, 球員狀態!$B$2:$B$5000))), 0)), "")</f>
        <v>4</v>
      </c>
      <c r="EU158" s="4" t="str">
        <f t="array" ref="EU158">IFERROR(INDEX(球員狀態!N$2:N$5000, MATCH(1, (球員狀態!$A$2:$A$5000=$EI$151)*(ISNUMBER(SEARCH($EI158, 球員狀態!$B$2:$B$5000))), 0)), "")</f>
        <v>35</v>
      </c>
      <c r="EV158" s="4" t="str">
        <f t="array" ref="EV158">IFERROR(INDEX(球員狀態!O$2:O$5000, MATCH(1, (球員狀態!$A$2:$A$5000=$EI$1)*(ISNUMBER(SEARCH($EI158, 球員狀態!$B$2:$B$5000))), 0)), "")</f>
        <v/>
      </c>
      <c r="EW158" s="4" t="str">
        <f t="array" ref="EW158">IFERROR(INDEX(球員狀態!P$2:P$5000, MATCH(1, (球員狀態!$A$2:$A$5000=$EI$1)*(ISNUMBER(SEARCH($EI158, 球員狀態!$B$2:$B$5000))), 0)), "")</f>
        <v/>
      </c>
      <c r="EX158" s="4" t="str">
        <f t="array" ref="EX158">IFERROR(INDEX(球員狀態!Q$2:Q$5000, MATCH(1, (球員狀態!$A$2:$A$5000=$EI$151)*(ISNUMBER(SEARCH($EI158, 球員狀態!$B$2:$B$5000))), 0)), "")</f>
        <v>.256</v>
      </c>
      <c r="EY158" s="4" t="str">
        <f t="array" ref="EY158">IFERROR(INDEX(球員狀態!R$2:R$5000, MATCH(1, (球員狀態!$A$2:$A$5000=$EI$1)*(ISNUMBER(SEARCH($EI158, 球員狀態!$B$2:$B$5000))), 0)), "")</f>
        <v/>
      </c>
      <c r="EZ158" s="4" t="str">
        <f t="array" ref="EZ158">IFERROR(INDEX(球員狀態!S$2:S$5000, MATCH(1, (球員狀態!$A$2:$A$5000=$EI$1)*(ISNUMBER(SEARCH($EI158, 球員狀態!$B$2:$B$5000))), 0)), "")</f>
        <v/>
      </c>
      <c r="FA158" s="4" t="str">
        <f t="array" ref="FA158">IFERROR(INDEX(球員狀態!T$2:T$5000, MATCH(1, (球員狀態!$A$2:$A$5000=$EI$151)*(ISNUMBER(SEARCH($EI158, 球員狀態!$B$2:$B$5000))), 0)), "")</f>
        <v>0.2</v>
      </c>
      <c r="FB158" s="4" t="str">
        <f t="array" ref="FB158">IFERROR(INDEX(球員狀態!U$2:U$5000, MATCH(1, (球員狀態!$A$2:$A$5000=$EI$1)*(ISNUMBER(SEARCH($EI158, 球員狀態!$B$2:$B$5000))), 0)), "")</f>
        <v/>
      </c>
      <c r="FC158" s="4" t="str">
        <f t="array" ref="FC158">IFERROR(INDEX(球員狀態!V$2:V$5000, MATCH(1, (球員狀態!$A$2:$A$5000=$EI$1)*(ISNUMBER(SEARCH($EI158, 球員狀態!$B$2:$B$5000))), 0)), "")</f>
        <v/>
      </c>
      <c r="FD158" s="4" t="str">
        <f t="array" ref="FD158">IFERROR(INDEX(球員狀態!W$2:W$5000, MATCH(1, (球員狀態!$A$2:$A$5000=$EI$151)*(ISNUMBER(SEARCH($EI158, 球員狀態!$B$2:$B$5000))), 0)), "")</f>
        <v>.034</v>
      </c>
      <c r="FE158" s="4" t="str">
        <f t="array" ref="FE158">IFERROR(INDEX(球員狀態!X$2:X$5000, MATCH(1, (球員狀態!$A$2:$A$5000=$EI$1)*(ISNUMBER(SEARCH($EI158, 球員狀態!$B$2:$B$5000))), 0)), "")</f>
        <v/>
      </c>
      <c r="FF158" s="4" t="str">
        <f t="array" ref="FF158">IFERROR(INDEX(球員狀態!Y$2:Y$5000, MATCH(1, (球員狀態!$A$2:$A$5000=$EI$1)*(ISNUMBER(SEARCH($EI158, 球員狀態!$B$2:$B$5000))), 0)), "")</f>
        <v/>
      </c>
      <c r="FG158" s="4" t="str">
        <f t="array" ref="FG158">IFERROR(INDEX(球員狀態!Z$2:Z$5000, MATCH(1, (球員狀態!$A$2:$A$5000=$EI$151)*(ISNUMBER(SEARCH($EI158, 球員狀態!$B$2:$B$5000))), 0)), "")</f>
        <v>.207</v>
      </c>
      <c r="FH158" s="4" t="str">
        <f t="array" ref="FH158">IFERROR(INDEX(球員狀態!AA$2:AA$5000, MATCH(1, (球員狀態!$A$2:$A$5000=$EI$151)*(ISNUMBER(SEARCH($EI158, 球員狀態!$B$2:$B$5000))), 0)), "")</f>
        <v>3.60</v>
      </c>
      <c r="FI158" s="4" t="str">
        <f t="array" ref="FI158">IFERROR(INDEX(球員狀態!AB$2:AB$5000, MATCH(1, (球員狀態!$A$2:$A$5000=$EI$151)*(ISNUMBER(SEARCH($EI158, 球員狀態!$B$2:$B$5000))), 0)), "")</f>
        <v>9</v>
      </c>
    </row>
    <row r="159" spans="110:165">
      <c r="DF159" s="33"/>
      <c r="DG159" s="4"/>
      <c r="DH159" s="40">
        <f>DJ159+DL159+DM159+DN159+DO159-DP159-DQ159+DR159</f>
        <v>4.1500000000000004</v>
      </c>
      <c r="DI159" s="42">
        <f>DU159+DX159+EA159+ED159+EE159+EF159</f>
        <v>5</v>
      </c>
      <c r="DJ159" s="38">
        <f>VLOOKUP(DJ158*1, FK$2:FM$12, 3, TRUE)*FM$1</f>
        <v>2.25</v>
      </c>
      <c r="DL159" s="38">
        <f>VLOOKUP(DL158*1, FN$2:FP$12, 3, TRUE)*FP$1</f>
        <v>0.89999999999999991</v>
      </c>
      <c r="DM159" s="38">
        <f>VLOOKUP(DM158*1, FQ$2:FS$12, 3, TRUE)*FS$1</f>
        <v>0</v>
      </c>
      <c r="DN159" s="38">
        <f>VLOOKUP(DN158*1, FT$2:FV$12, 3, TRUE)*FV$1</f>
        <v>1</v>
      </c>
      <c r="DO159" s="38">
        <f>VLOOKUP(DO158*1, FW$2:FY$12, 3, TRUE)*FY$1</f>
        <v>0.5</v>
      </c>
      <c r="DP159" s="39">
        <f>VLOOKUP(DP158*1, FK$14:FM$25, 3, TRUE)*FM$14</f>
        <v>1</v>
      </c>
      <c r="DQ159" s="39">
        <f>VLOOKUP(DQ158*1, FN$14:FP$25, 3, TRUE)*FP$14</f>
        <v>1</v>
      </c>
      <c r="DR159" s="38">
        <f>VLOOKUP(DR158*1, FQ$14:FS$25, 3, TRUE)*FS$14</f>
        <v>1.5</v>
      </c>
      <c r="DU159" s="41">
        <f>VLOOKUP(DU158*1, FK$27:FM$38, 3, TRUE)*FM$27</f>
        <v>0</v>
      </c>
      <c r="DX159" s="41">
        <f>VLOOKUP(DX158*1, FN$27:FP$38, 3, TRUE)*FP$27</f>
        <v>0</v>
      </c>
      <c r="EA159" s="41">
        <f>VLOOKUP(EA158*1, FQ$27:FS$38, 3, TRUE)*FS$27</f>
        <v>0</v>
      </c>
      <c r="ED159" s="41">
        <f>VLOOKUP(ED158*1, FT$27:FV$38, 3, TRUE)*FV$27</f>
        <v>0</v>
      </c>
      <c r="EE159" s="41">
        <f>VLOOKUP(EE158*1, FW$27:FY$38, 3, TRUE)*FY$27</f>
        <v>1.5</v>
      </c>
      <c r="EF159" s="41">
        <f>VLOOKUP(EF158*1, FK$40:FM$51, 3, TRUE)*FM$40</f>
        <v>3.5</v>
      </c>
      <c r="EG159" s="57"/>
      <c r="EI159" s="33"/>
      <c r="EJ159" s="4"/>
      <c r="EK159" s="40">
        <f>EM159+EO159+EP159+EQ159+ER159-ES159-ET159+EU159</f>
        <v>2.3000000000000003</v>
      </c>
      <c r="EL159" s="42">
        <f>EX159+FA159+FD159+FG159+FH159+FI159</f>
        <v>5</v>
      </c>
      <c r="EM159" s="38">
        <f>VLOOKUP(EM158*1, $FK$2:$FM$12, 3, TRUE)*$FM$1</f>
        <v>0.75</v>
      </c>
      <c r="EO159" s="38">
        <f>VLOOKUP(EO158*1, $FN$2:$FP$12, 3, TRUE)*$FP$1</f>
        <v>0.44999999999999996</v>
      </c>
      <c r="EP159" s="38">
        <f>VLOOKUP(EP158*1, $FQ$2:$FS$12, 3, TRUE)*$FS$1</f>
        <v>0</v>
      </c>
      <c r="EQ159" s="38">
        <f>VLOOKUP(EQ158*1, $FT$2:$FV$12, 3, TRUE)*$FV$1</f>
        <v>1</v>
      </c>
      <c r="ER159" s="38">
        <f>VLOOKUP(ER158*1, $FW$2:$FY$12, 3, TRUE)*$FY$1</f>
        <v>0.5</v>
      </c>
      <c r="ES159" s="39">
        <f>VLOOKUP(ES158*1, $FK$14:$FM$25, 3, TRUE)*$FM$14</f>
        <v>1</v>
      </c>
      <c r="ET159" s="39">
        <f>VLOOKUP(ET158*1, $FN$14:$FP$25, 3, TRUE)*$FP$14</f>
        <v>0.9</v>
      </c>
      <c r="EU159" s="38">
        <f>VLOOKUP(EU158*1, $FQ$14:$FS$25, 3, TRUE)*$FS$14</f>
        <v>1.5</v>
      </c>
      <c r="EX159" s="41">
        <f>VLOOKUP(EX158*1, $FK$27:$FM$38, 3, TRUE)*$FM$27</f>
        <v>0</v>
      </c>
      <c r="FA159" s="41">
        <f>VLOOKUP(FA158*1, $FN$27:$FP$38, 3, TRUE)*$FP$27</f>
        <v>0</v>
      </c>
      <c r="FD159" s="41">
        <f>VLOOKUP(FD158*1, $FQ$27:$FS$38, 3, TRUE)*$FS$27</f>
        <v>0</v>
      </c>
      <c r="FG159" s="41">
        <f>VLOOKUP(FG158*1, $FT$27:$FV$38, 3, TRUE)*$FV$27</f>
        <v>0</v>
      </c>
      <c r="FH159" s="41">
        <f>VLOOKUP(FH158*1, $FW$27:$FY$38, 3, TRUE)*$FY$27</f>
        <v>1.5</v>
      </c>
      <c r="FI159" s="41">
        <f>VLOOKUP(FI158*1, $FK$40:$FM$51, 3, TRUE)*$FM$40</f>
        <v>3.5</v>
      </c>
    </row>
    <row r="160" spans="110:165">
      <c r="DF160" s="35" t="str">
        <f>先發名單!I$7</f>
        <v>Aaron Judge</v>
      </c>
      <c r="DG160" s="4" t="str">
        <f t="array" ref="DG160">IFERROR(INDEX(球員狀態!$C$2:$C$5000, MATCH(1, (球員狀態!$A$2:$A$5000=$DF$151)*(ISNUMBER(SEARCH($DF160, 球員狀態!$B$2:$B$5000))), 0)), "")</f>
        <v>RF</v>
      </c>
      <c r="DJ160" s="4" t="str">
        <f t="array" ref="DJ160">IFERROR(INDEX(球員狀態!$F$2:$F$5000,MATCH(1,(球員狀態!$A$2:$A$5000=$DF$151)*(ISNUMBER(SEARCH($DF160,球員狀態!$B$2:$B$5000))),0)),"")</f>
        <v>22</v>
      </c>
      <c r="DK160" s="4" t="str">
        <f t="array" ref="DK160">IFERROR(INDEX(球員狀態!G$2:G$5000, MATCH(1, (球員狀態!$A$2:$A$5000=$DF$1)*(ISNUMBER(SEARCH($DF160, 球員狀態!$B$2:$B$5000))), 0)), "")</f>
        <v/>
      </c>
      <c r="DL160" s="4" t="str">
        <f t="array" ref="DL160">IFERROR(INDEX(球員狀態!H$2:H$5000, MATCH(1, (球員狀態!$A$2:$A$5000=$DF$151)*(ISNUMBER(SEARCH($DF160, 球員狀態!$B$2:$B$5000))), 0)), "")</f>
        <v>3</v>
      </c>
      <c r="DM160" s="4" t="str">
        <f t="array" ref="DM160">IFERROR(INDEX(球員狀態!I$2:I$5000,MATCH(1,(球員狀態!$A$2:$A$5000=$DF$151)*(ISNUMBER(SEARCH($DF160,球員狀態!$B$2:$B$5000))),0)),"")</f>
        <v>0</v>
      </c>
      <c r="DN160" s="4" t="str">
        <f t="array" ref="DN160">IFERROR(INDEX(球員狀態!J$2:J$5000,MATCH(1,(球員狀態!$A$2:$A$5000=$DF$151)*(ISNUMBER(SEARCH($DF160,球員狀態!$B$2:$B$5000))),0)),"")</f>
        <v>10</v>
      </c>
      <c r="DO160" s="4" t="str">
        <f t="array" ref="DO160">IFERROR(INDEX(球員狀態!K$2:K$5000,MATCH(1,(球員狀態!$A$2:$A$5000=$DF$151)*(ISNUMBER(SEARCH($DF160,球員狀態!$B$2:$B$5000))),0)),"")</f>
        <v>18</v>
      </c>
      <c r="DP160" s="4" t="str">
        <f t="array" ref="DP160">IFERROR(INDEX(球員狀態!L$2:L$5000,MATCH(1,(球員狀態!$A$2:$A$5000=$DF$151)*(ISNUMBER(SEARCH($DF160,球員狀態!$B$2:$B$5000))),0)),"")</f>
        <v>56</v>
      </c>
      <c r="DQ160" s="4" t="str">
        <f t="array" ref="DQ160">IFERROR(INDEX(球員狀態!M$2:M$5000,MATCH(1,(球員狀態!$A$2:$A$5000=$DF$151)*(ISNUMBER(SEARCH($DF160,球員狀態!$B$2:$B$5000))),0)),"")</f>
        <v>21</v>
      </c>
      <c r="DR160" s="4" t="str">
        <f t="array" ref="DR160">IFERROR(INDEX(球員狀態!N$2:N$5000,MATCH(1,(球員狀態!$A$2:$A$5000=$DF$151)*(ISNUMBER(SEARCH($DF160,球員狀態!$B$2:$B$5000))),0)),"")</f>
        <v>34</v>
      </c>
      <c r="DS160" s="4" t="str">
        <f t="array" ref="DS160">IFERROR(INDEX(球員狀態!O$2:O$5000, MATCH(1, (球員狀態!$A$2:$A$5000=$DF$1)*(ISNUMBER(SEARCH($DF160, 球員狀態!$B$2:$B$5000))), 0)), "")</f>
        <v/>
      </c>
      <c r="DT160" s="4" t="str">
        <f t="array" ref="DT160">IFERROR(INDEX(球員狀態!P$2:P$5000, MATCH(1, (球員狀態!$A$2:$A$5000=$DF$1)*(ISNUMBER(SEARCH($DF160, 球員狀態!$B$2:$B$5000))), 0)), "")</f>
        <v/>
      </c>
      <c r="DU160" s="4" t="str">
        <f t="array" ref="DU160">IFERROR(INDEX(球員狀態!Q$2:Q$5000,MATCH(1,(球員狀態!$A$2:$A$5000=$DF$151)*(ISNUMBER(SEARCH($DF160,球員狀態!$B$2:$B$5000))),0)),"")</f>
        <v>.369</v>
      </c>
      <c r="DV160" s="4" t="str">
        <f t="array" ref="DV160">IFERROR(INDEX(球員狀態!R$2:R$5000, MATCH(1, (球員狀態!$A$2:$A$5000=$DF$1)*(ISNUMBER(SEARCH($DF160, 球員狀態!$B$2:$B$5000))), 0)), "")</f>
        <v/>
      </c>
      <c r="DW160" s="4" t="str">
        <f t="array" ref="DW160">IFERROR(INDEX(球員狀態!S$2:S$5000, MATCH(1, (球員狀態!$A$2:$A$5000=$DF$1)*(ISNUMBER(SEARCH($DF160, 球員狀態!$B$2:$B$5000))), 0)), "")</f>
        <v/>
      </c>
      <c r="DX160" s="4" t="str">
        <f t="array" ref="DX160">IFERROR(INDEX(球員狀態!T$2:T$5000,MATCH(1,(球員狀態!$A$2:$A$5000=$DF$151)*(ISNUMBER(SEARCH($DF160,球員狀態!$B$2:$B$5000))),0)),"")</f>
        <v>1.2</v>
      </c>
      <c r="DY160" s="4" t="str">
        <f t="array" ref="DY160">IFERROR(INDEX(球員狀態!U$2:U$5000, MATCH(1, (球員狀態!$A$2:$A$5000=$DF$1)*(ISNUMBER(SEARCH($DF160, 球員狀態!$B$2:$B$5000))), 0)), "")</f>
        <v/>
      </c>
      <c r="DZ160" s="4" t="str">
        <f t="array" ref="DZ160">IFERROR(INDEX(球員狀態!V$2:V$5000, MATCH(1, (球員狀態!$A$2:$A$5000=$DF$1)*(ISNUMBER(SEARCH($DF160, 球員狀態!$B$2:$B$5000))), 0)), "")</f>
        <v/>
      </c>
      <c r="EA160" s="4" t="str">
        <f t="array" ref="EA160">IFERROR(INDEX(球員狀態!W$2:W$5000,MATCH(1,(球員狀態!$A$2:$A$5000=$DF$151)*(ISNUMBER(SEARCH($DF160,球員狀態!$B$2:$B$5000))),0)),"")</f>
        <v>.171</v>
      </c>
      <c r="EB160" s="4" t="str">
        <f t="array" ref="EB160">IFERROR(INDEX(球員狀態!X$2:X$5000, MATCH(1, (球員狀態!$A$2:$A$5000=$DF$1)*(ISNUMBER(SEARCH($DF160, 球員狀態!$B$2:$B$5000))), 0)), "")</f>
        <v/>
      </c>
      <c r="EC160" s="4" t="str">
        <f t="array" ref="EC160">IFERROR(INDEX(球員狀態!Y$2:Y$5000, MATCH(1, (球員狀態!$A$2:$A$5000=$DF$1)*(ISNUMBER(SEARCH($DF160, 球員狀態!$B$2:$B$5000))), 0)), "")</f>
        <v/>
      </c>
      <c r="ED160" s="4" t="str">
        <f t="array" ref="ED160">IFERROR(INDEX(球員狀態!Z$2:Z$5000,MATCH(1,(球員狀態!$A$2:$A$5000=$DF$151)*(ISNUMBER(SEARCH($DF160,球員狀態!$B$2:$B$5000))),0)),"")</f>
        <v>.570</v>
      </c>
      <c r="EE160" s="4" t="str">
        <f t="array" ref="EE160">IFERROR(INDEX(球員狀態!AA$2:AA$5000,MATCH(1,(球員狀態!$A$2:$A$5000=$DF$151)*(ISNUMBER(SEARCH($DF160,球員狀態!$B$2:$B$5000))),0)),"")</f>
        <v>4.45</v>
      </c>
      <c r="EF160" s="4" t="str">
        <f t="array" ref="EF160">IFERROR(INDEX(球員狀態!AB$2:AB$5000,MATCH(1,(球員狀態!$A$2:$A$5000=$DF$151)*(ISNUMBER(SEARCH($DF160,球員狀態!$B$2:$B$5000))),0)),"")</f>
        <v>13</v>
      </c>
      <c r="EG160" s="56"/>
      <c r="EI160" s="35" t="str">
        <f>先發名單!S$7</f>
        <v>Josh Jung</v>
      </c>
      <c r="EJ160" s="4" t="str">
        <f t="array" ref="EJ160">IFERROR(INDEX(球員狀態!C$2:C$5000, MATCH(1, (球員狀態!$A$2:$A$5000=$EI$151)*(ISNUMBER(SEARCH($EI160, 球員狀態!$B$2:$B$5000))), 0)), "")</f>
        <v>3B</v>
      </c>
      <c r="EM160" s="4" t="str">
        <f t="array" ref="EM160">IFERROR(INDEX(球員狀態!F$2:F$5000, MATCH(1, (球員狀態!$A$2:$A$5000=$EI$151)*(ISNUMBER(SEARCH($EI160, 球員狀態!$B$2:$B$5000))), 0)), "")</f>
        <v>12</v>
      </c>
      <c r="EN160" s="4" t="str">
        <f t="array" ref="EN160">IFERROR(INDEX(球員狀態!G$2:G$5000, MATCH(1, (球員狀態!$A$2:$A$5000=$EI$1)*(ISNUMBER(SEARCH($EI160, 球員狀態!$B$2:$B$5000))), 0)), "")</f>
        <v/>
      </c>
      <c r="EO160" s="4" t="str">
        <f t="array" ref="EO160">IFERROR(INDEX(球員狀態!H$2:H$5000, MATCH(1, (球員狀態!$A$2:$A$5000=$EI$151)*(ISNUMBER(SEARCH($EI160, 球員狀態!$B$2:$B$5000))), 0)), "")</f>
        <v>11</v>
      </c>
      <c r="EP160" s="4" t="str">
        <f t="array" ref="EP160">IFERROR(INDEX(球員狀態!I$2:I$5000, MATCH(1, (球員狀態!$A$2:$A$5000=$EI$151)*(ISNUMBER(SEARCH($EI160, 球員狀態!$B$2:$B$5000))), 0)), "")</f>
        <v>0</v>
      </c>
      <c r="EQ160" s="4" t="str">
        <f t="array" ref="EQ160">IFERROR(INDEX(球員狀態!J$2:J$5000, MATCH(1, (球員狀態!$A$2:$A$5000=$EI$151)*(ISNUMBER(SEARCH($EI160, 球員狀態!$B$2:$B$5000))), 0)), "")</f>
        <v>4</v>
      </c>
      <c r="ER160" s="4" t="str">
        <f t="array" ref="ER160">IFERROR(INDEX(球員狀態!K$2:K$5000, MATCH(1, (球員狀態!$A$2:$A$5000=$EI$151)*(ISNUMBER(SEARCH($EI160, 球員狀態!$B$2:$B$5000))), 0)), "")</f>
        <v>14</v>
      </c>
      <c r="ES160" s="4" t="str">
        <f t="array" ref="ES160">IFERROR(INDEX(球員狀態!L$2:L$5000, MATCH(1, (球員狀態!$A$2:$A$5000=$EI$151)*(ISNUMBER(SEARCH($EI160, 球員狀態!$B$2:$B$5000))), 0)), "")</f>
        <v>51</v>
      </c>
      <c r="ET160" s="4" t="str">
        <f t="array" ref="ET160">IFERROR(INDEX(球員狀態!M$2:M$5000, MATCH(1, (球員狀態!$A$2:$A$5000=$EI$151)*(ISNUMBER(SEARCH($EI160, 球員狀態!$B$2:$B$5000))), 0)), "")</f>
        <v>7</v>
      </c>
      <c r="EU160" s="4" t="str">
        <f t="array" ref="EU160">IFERROR(INDEX(球員狀態!N$2:N$5000, MATCH(1, (球員狀態!$A$2:$A$5000=$EI$151)*(ISNUMBER(SEARCH($EI160, 球員狀態!$B$2:$B$5000))), 0)), "")</f>
        <v>17</v>
      </c>
      <c r="EV160" s="4" t="str">
        <f t="array" ref="EV160">IFERROR(INDEX(球員狀態!O$2:O$5000, MATCH(1, (球員狀態!$A$2:$A$5000=$EI$1)*(ISNUMBER(SEARCH($EI160, 球員狀態!$B$2:$B$5000))), 0)), "")</f>
        <v/>
      </c>
      <c r="EW160" s="4" t="str">
        <f t="array" ref="EW160">IFERROR(INDEX(球員狀態!P$2:P$5000, MATCH(1, (球員狀態!$A$2:$A$5000=$EI$1)*(ISNUMBER(SEARCH($EI160, 球員狀態!$B$2:$B$5000))), 0)), "")</f>
        <v/>
      </c>
      <c r="EX160" s="4" t="str">
        <f t="array" ref="EX160">IFERROR(INDEX(球員狀態!Q$2:Q$5000, MATCH(1, (球員狀態!$A$2:$A$5000=$EI$151)*(ISNUMBER(SEARCH($EI160, 球員狀態!$B$2:$B$5000))), 0)), "")</f>
        <v>.360</v>
      </c>
      <c r="EY160" s="4" t="str">
        <f t="array" ref="EY160">IFERROR(INDEX(球員狀態!R$2:R$5000, MATCH(1, (球員狀態!$A$2:$A$5000=$EI$1)*(ISNUMBER(SEARCH($EI160, 球員狀態!$B$2:$B$5000))), 0)), "")</f>
        <v/>
      </c>
      <c r="EZ160" s="4" t="str">
        <f t="array" ref="EZ160">IFERROR(INDEX(球員狀態!S$2:S$5000, MATCH(1, (球員狀態!$A$2:$A$5000=$EI$1)*(ISNUMBER(SEARCH($EI160, 球員狀態!$B$2:$B$5000))), 0)), "")</f>
        <v/>
      </c>
      <c r="FA160" s="4" t="str">
        <f t="array" ref="FA160">IFERROR(INDEX(球員狀態!T$2:T$5000, MATCH(1, (球員狀態!$A$2:$A$5000=$EI$151)*(ISNUMBER(SEARCH($EI160, 球員狀態!$B$2:$B$5000))), 0)), "")</f>
        <v>0.9</v>
      </c>
      <c r="FB160" s="4" t="str">
        <f t="array" ref="FB160">IFERROR(INDEX(球員狀態!U$2:U$5000, MATCH(1, (球員狀態!$A$2:$A$5000=$EI$1)*(ISNUMBER(SEARCH($EI160, 球員狀態!$B$2:$B$5000))), 0)), "")</f>
        <v/>
      </c>
      <c r="FC160" s="4" t="str">
        <f t="array" ref="FC160">IFERROR(INDEX(球員狀態!V$2:V$5000, MATCH(1, (球員狀態!$A$2:$A$5000=$EI$1)*(ISNUMBER(SEARCH($EI160, 球員狀態!$B$2:$B$5000))), 0)), "")</f>
        <v/>
      </c>
      <c r="FD160" s="4" t="str">
        <f t="array" ref="FD160">IFERROR(INDEX(球員狀態!W$2:W$5000, MATCH(1, (球員狀態!$A$2:$A$5000=$EI$151)*(ISNUMBER(SEARCH($EI160, 球員狀態!$B$2:$B$5000))), 0)), "")</f>
        <v>.070</v>
      </c>
      <c r="FE160" s="4" t="str">
        <f t="array" ref="FE160">IFERROR(INDEX(球員狀態!X$2:X$5000, MATCH(1, (球員狀態!$A$2:$A$5000=$EI$1)*(ISNUMBER(SEARCH($EI160, 球員狀態!$B$2:$B$5000))), 0)), "")</f>
        <v/>
      </c>
      <c r="FF160" s="4" t="str">
        <f t="array" ref="FF160">IFERROR(INDEX(球員狀態!Y$2:Y$5000, MATCH(1, (球員狀態!$A$2:$A$5000=$EI$1)*(ISNUMBER(SEARCH($EI160, 球員狀態!$B$2:$B$5000))), 0)), "")</f>
        <v/>
      </c>
      <c r="FG160" s="4" t="str">
        <f t="array" ref="FG160">IFERROR(INDEX(球員狀態!Z$2:Z$5000, MATCH(1, (球員狀態!$A$2:$A$5000=$EI$151)*(ISNUMBER(SEARCH($EI160, 球員狀態!$B$2:$B$5000))), 0)), "")</f>
        <v>.341</v>
      </c>
      <c r="FH160" s="4" t="str">
        <f t="array" ref="FH160">IFERROR(INDEX(球員狀態!AA$2:AA$5000, MATCH(1, (球員狀態!$A$2:$A$5000=$EI$151)*(ISNUMBER(SEARCH($EI160, 球員狀態!$B$2:$B$5000))), 0)), "")</f>
        <v>3.63</v>
      </c>
      <c r="FI160" s="4" t="str">
        <f t="array" ref="FI160">IFERROR(INDEX(球員狀態!AB$2:AB$5000, MATCH(1, (球員狀態!$A$2:$A$5000=$EI$151)*(ISNUMBER(SEARCH($EI160, 球員狀態!$B$2:$B$5000))), 0)), "")</f>
        <v>15</v>
      </c>
    </row>
    <row r="161" spans="110:165">
      <c r="DF161" s="33"/>
      <c r="DH161" s="40">
        <f>DJ161+DL161+DM161+DN161+DO161-DP161-DQ161+DR161</f>
        <v>3.3</v>
      </c>
      <c r="DI161" s="42">
        <f>DU161+DX161+EA161+ED161+EE161+EF161</f>
        <v>5</v>
      </c>
      <c r="DJ161" s="38">
        <f>VLOOKUP(DJ160*1, FK$2:FM$12, 3, TRUE)*FM$1</f>
        <v>2</v>
      </c>
      <c r="DL161" s="38">
        <f>VLOOKUP(DL160*1, FN$2:FP$12, 3, TRUE)*FP$1</f>
        <v>0.3</v>
      </c>
      <c r="DM161" s="38">
        <f>VLOOKUP(DM160*1, FQ$2:FS$12, 3, TRUE)*FS$1</f>
        <v>0</v>
      </c>
      <c r="DN161" s="38">
        <f>VLOOKUP(DN160*1, FT$2:FV$12, 3, TRUE)*FV$1</f>
        <v>1</v>
      </c>
      <c r="DO161" s="38">
        <f>VLOOKUP(DO160*1, FW$2:FY$12, 3, TRUE)*FY$1</f>
        <v>0.5</v>
      </c>
      <c r="DP161" s="39">
        <f>VLOOKUP(DP160*1, FK$14:FM$25, 3, TRUE)*FM$14</f>
        <v>1</v>
      </c>
      <c r="DQ161" s="39">
        <f>VLOOKUP(DQ160*1, FN$14:FP$25, 3, TRUE)*FP$14</f>
        <v>1</v>
      </c>
      <c r="DR161" s="38">
        <f>VLOOKUP(DR160*1, FQ$14:FS$25, 3, TRUE)*FS$14</f>
        <v>1.5</v>
      </c>
      <c r="DU161" s="41">
        <f>VLOOKUP(DU160*1, FK$27:FM$38, 3, TRUE)*FM$27</f>
        <v>0</v>
      </c>
      <c r="DX161" s="41">
        <f>VLOOKUP(DX160*1, FN$27:FP$38, 3, TRUE)*FP$27</f>
        <v>0</v>
      </c>
      <c r="EA161" s="41">
        <f>VLOOKUP(EA160*1, FQ$27:FS$38, 3, TRUE)*FS$27</f>
        <v>0</v>
      </c>
      <c r="ED161" s="41">
        <f>VLOOKUP(ED160*1, FT$27:FV$38, 3, TRUE)*FV$27</f>
        <v>0</v>
      </c>
      <c r="EE161" s="41">
        <f>VLOOKUP(EE160*1, FW$27:FY$38, 3, TRUE)*FY$27</f>
        <v>1.5</v>
      </c>
      <c r="EF161" s="41">
        <f>VLOOKUP(EF160*1, FK$40:FM$51, 3, TRUE)*FM$40</f>
        <v>3.5</v>
      </c>
      <c r="EG161" s="57"/>
      <c r="EI161" s="33"/>
      <c r="EK161" s="40">
        <f>EM161+EO161+EP161+EQ161+ER161-ES161-ET161+EU161</f>
        <v>3.2</v>
      </c>
      <c r="EL161" s="42">
        <f>EX161+FA161+FD161+FG161+FH161+FI161</f>
        <v>5</v>
      </c>
      <c r="EM161" s="38">
        <f>VLOOKUP(EM160*1, $FK$2:$FM$12, 3, TRUE)*$FM$1</f>
        <v>1</v>
      </c>
      <c r="EO161" s="38">
        <f>VLOOKUP(EO160*1, $FN$2:$FP$12, 3, TRUE)*$FP$1</f>
        <v>1.2</v>
      </c>
      <c r="EP161" s="38">
        <f>VLOOKUP(EP160*1, $FQ$2:$FS$12, 3, TRUE)*$FS$1</f>
        <v>0</v>
      </c>
      <c r="EQ161" s="38">
        <f>VLOOKUP(EQ160*1, $FT$2:$FV$12, 3, TRUE)*$FV$1</f>
        <v>1</v>
      </c>
      <c r="ER161" s="38">
        <f>VLOOKUP(ER160*1, $FW$2:$FY$12, 3, TRUE)*$FY$1</f>
        <v>0.5</v>
      </c>
      <c r="ES161" s="39">
        <f>VLOOKUP(ES160*1, $FK$14:$FM$25, 3, TRUE)*$FM$14</f>
        <v>1</v>
      </c>
      <c r="ET161" s="39">
        <f>VLOOKUP(ET160*1, $FN$14:$FP$25, 3, TRUE)*$FP$14</f>
        <v>1</v>
      </c>
      <c r="EU161" s="38">
        <f>VLOOKUP(EU160*1, $FQ$14:$FS$25, 3, TRUE)*$FS$14</f>
        <v>1.5</v>
      </c>
      <c r="EX161" s="41">
        <f>VLOOKUP(EX160*1, $FK$27:$FM$38, 3, TRUE)*$FM$27</f>
        <v>0</v>
      </c>
      <c r="FA161" s="41">
        <f>VLOOKUP(FA160*1, $FN$27:$FP$38, 3, TRUE)*$FP$27</f>
        <v>0</v>
      </c>
      <c r="FD161" s="41">
        <f>VLOOKUP(FD160*1, $FQ$27:$FS$38, 3, TRUE)*$FS$27</f>
        <v>0</v>
      </c>
      <c r="FG161" s="41">
        <f>VLOOKUP(FG160*1, $FT$27:$FV$38, 3, TRUE)*$FV$27</f>
        <v>0</v>
      </c>
      <c r="FH161" s="41">
        <f>VLOOKUP(FH160*1, $FW$27:$FY$38, 3, TRUE)*$FY$27</f>
        <v>1.5</v>
      </c>
      <c r="FI161" s="41">
        <f>VLOOKUP(FI160*1, $FK$40:$FM$51, 3, TRUE)*$FM$40</f>
        <v>3.5</v>
      </c>
    </row>
    <row r="162" spans="110:165">
      <c r="DF162" s="37" t="str">
        <f>先發名單!J$7</f>
        <v>C. Bellinger</v>
      </c>
      <c r="DG162" s="4" t="str">
        <f t="array" ref="DG162">IFERROR(INDEX(球員狀態!$C$2:$C$5000, MATCH(1, (球員狀態!$A$2:$A$5000=$DF$151)*(ISNUMBER(SEARCH($DF162, 球員狀態!$B$2:$B$5000))), 0)), "")</f>
        <v/>
      </c>
      <c r="DJ162" s="4" t="str">
        <f t="array" ref="DJ162">IFERROR(INDEX(球員狀態!$F$2:$F$5000,MATCH(1,(球員狀態!$A$2:$A$5000=$DF$151)*(ISNUMBER(SEARCH($DF162,球員狀態!$B$2:$B$5000))),0)),"")</f>
        <v/>
      </c>
      <c r="DK162" s="4" t="str">
        <f t="array" ref="DK162">IFERROR(INDEX(球員狀態!G$2:G$5000, MATCH(1, (球員狀態!$A$2:$A$5000=$DF$1)*(ISNUMBER(SEARCH($DF162, 球員狀態!$B$2:$B$5000))), 0)), "")</f>
        <v/>
      </c>
      <c r="DL162" s="4" t="str">
        <f t="array" ref="DL162">IFERROR(INDEX(球員狀態!H$2:H$5000, MATCH(1, (球員狀態!$A$2:$A$5000=$DF$151)*(ISNUMBER(SEARCH($DF162, 球員狀態!$B$2:$B$5000))), 0)), "")</f>
        <v/>
      </c>
      <c r="DM162" s="4" t="str">
        <f t="array" ref="DM162">IFERROR(INDEX(球員狀態!I$2:I$5000,MATCH(1,(球員狀態!$A$2:$A$5000=$DF$151)*(ISNUMBER(SEARCH($DF162,球員狀態!$B$2:$B$5000))),0)),"")</f>
        <v/>
      </c>
      <c r="DN162" s="4" t="str">
        <f t="array" ref="DN162">IFERROR(INDEX(球員狀態!J$2:J$5000,MATCH(1,(球員狀態!$A$2:$A$5000=$DF$151)*(ISNUMBER(SEARCH($DF162,球員狀態!$B$2:$B$5000))),0)),"")</f>
        <v/>
      </c>
      <c r="DO162" s="4" t="str">
        <f t="array" ref="DO162">IFERROR(INDEX(球員狀態!K$2:K$5000,MATCH(1,(球員狀態!$A$2:$A$5000=$DF$151)*(ISNUMBER(SEARCH($DF162,球員狀態!$B$2:$B$5000))),0)),"")</f>
        <v/>
      </c>
      <c r="DP162" s="4" t="str">
        <f t="array" ref="DP162">IFERROR(INDEX(球員狀態!L$2:L$5000,MATCH(1,(球員狀態!$A$2:$A$5000=$DF$151)*(ISNUMBER(SEARCH($DF162,球員狀態!$B$2:$B$5000))),0)),"")</f>
        <v/>
      </c>
      <c r="DQ162" s="4" t="str">
        <f t="array" ref="DQ162">IFERROR(INDEX(球員狀態!M$2:M$5000,MATCH(1,(球員狀態!$A$2:$A$5000=$DF$151)*(ISNUMBER(SEARCH($DF162,球員狀態!$B$2:$B$5000))),0)),"")</f>
        <v/>
      </c>
      <c r="DR162" s="4" t="str">
        <f t="array" ref="DR162">IFERROR(INDEX(球員狀態!N$2:N$5000,MATCH(1,(球員狀態!$A$2:$A$5000=$DF$151)*(ISNUMBER(SEARCH($DF162,球員狀態!$B$2:$B$5000))),0)),"")</f>
        <v/>
      </c>
      <c r="DS162" s="4" t="str">
        <f t="array" ref="DS162">IFERROR(INDEX(球員狀態!O$2:O$5000, MATCH(1, (球員狀態!$A$2:$A$5000=$DF$1)*(ISNUMBER(SEARCH($DF162, 球員狀態!$B$2:$B$5000))), 0)), "")</f>
        <v/>
      </c>
      <c r="DT162" s="4" t="str">
        <f t="array" ref="DT162">IFERROR(INDEX(球員狀態!P$2:P$5000, MATCH(1, (球員狀態!$A$2:$A$5000=$DF$1)*(ISNUMBER(SEARCH($DF162, 球員狀態!$B$2:$B$5000))), 0)), "")</f>
        <v/>
      </c>
      <c r="DU162" s="4" t="str">
        <f t="array" ref="DU162">IFERROR(INDEX(球員狀態!Q$2:Q$5000,MATCH(1,(球員狀態!$A$2:$A$5000=$DF$151)*(ISNUMBER(SEARCH($DF162,球員狀態!$B$2:$B$5000))),0)),"")</f>
        <v/>
      </c>
      <c r="DV162" s="4" t="str">
        <f t="array" ref="DV162">IFERROR(INDEX(球員狀態!R$2:R$5000, MATCH(1, (球員狀態!$A$2:$A$5000=$DF$1)*(ISNUMBER(SEARCH($DF162, 球員狀態!$B$2:$B$5000))), 0)), "")</f>
        <v/>
      </c>
      <c r="DW162" s="4" t="str">
        <f t="array" ref="DW162">IFERROR(INDEX(球員狀態!S$2:S$5000, MATCH(1, (球員狀態!$A$2:$A$5000=$DF$1)*(ISNUMBER(SEARCH($DF162, 球員狀態!$B$2:$B$5000))), 0)), "")</f>
        <v/>
      </c>
      <c r="DX162" s="4" t="str">
        <f t="array" ref="DX162">IFERROR(INDEX(球員狀態!T$2:T$5000,MATCH(1,(球員狀態!$A$2:$A$5000=$DF$151)*(ISNUMBER(SEARCH($DF162,球員狀態!$B$2:$B$5000))),0)),"")</f>
        <v/>
      </c>
      <c r="DY162" s="4" t="str">
        <f t="array" ref="DY162">IFERROR(INDEX(球員狀態!U$2:U$5000, MATCH(1, (球員狀態!$A$2:$A$5000=$DF$1)*(ISNUMBER(SEARCH($DF162, 球員狀態!$B$2:$B$5000))), 0)), "")</f>
        <v/>
      </c>
      <c r="DZ162" s="4" t="str">
        <f t="array" ref="DZ162">IFERROR(INDEX(球員狀態!V$2:V$5000, MATCH(1, (球員狀態!$A$2:$A$5000=$DF$1)*(ISNUMBER(SEARCH($DF162, 球員狀態!$B$2:$B$5000))), 0)), "")</f>
        <v/>
      </c>
      <c r="EA162" s="4" t="str">
        <f t="array" ref="EA162">IFERROR(INDEX(球員狀態!W$2:W$5000,MATCH(1,(球員狀態!$A$2:$A$5000=$DF$151)*(ISNUMBER(SEARCH($DF162,球員狀態!$B$2:$B$5000))),0)),"")</f>
        <v/>
      </c>
      <c r="EB162" s="4" t="str">
        <f t="array" ref="EB162">IFERROR(INDEX(球員狀態!X$2:X$5000, MATCH(1, (球員狀態!$A$2:$A$5000=$DF$1)*(ISNUMBER(SEARCH($DF162, 球員狀態!$B$2:$B$5000))), 0)), "")</f>
        <v/>
      </c>
      <c r="EC162" s="4" t="str">
        <f t="array" ref="EC162">IFERROR(INDEX(球員狀態!Y$2:Y$5000, MATCH(1, (球員狀態!$A$2:$A$5000=$DF$1)*(ISNUMBER(SEARCH($DF162, 球員狀態!$B$2:$B$5000))), 0)), "")</f>
        <v/>
      </c>
      <c r="ED162" s="4" t="str">
        <f t="array" ref="ED162">IFERROR(INDEX(球員狀態!Z$2:Z$5000,MATCH(1,(球員狀態!$A$2:$A$5000=$DF$151)*(ISNUMBER(SEARCH($DF162,球員狀態!$B$2:$B$5000))),0)),"")</f>
        <v/>
      </c>
      <c r="EE162" s="4" t="str">
        <f t="array" ref="EE162">IFERROR(INDEX(球員狀態!AA$2:AA$5000,MATCH(1,(球員狀態!$A$2:$A$5000=$DF$151)*(ISNUMBER(SEARCH($DF162,球員狀態!$B$2:$B$5000))),0)),"")</f>
        <v/>
      </c>
      <c r="EF162" s="4" t="str">
        <f t="array" ref="EF162">IFERROR(INDEX(球員狀態!AB$2:AB$5000,MATCH(1,(球員狀態!$A$2:$A$5000=$DF$151)*(ISNUMBER(SEARCH($DF162,球員狀態!$B$2:$B$5000))),0)),"")</f>
        <v/>
      </c>
      <c r="EG162" s="56"/>
      <c r="EI162" s="37" t="str">
        <f>先發名單!T$7</f>
        <v>K. Higashioka</v>
      </c>
      <c r="EJ162" s="4" t="str">
        <f t="array" ref="EJ162">IFERROR(INDEX(球員狀態!C$2:C$5000, MATCH(1, (球員狀態!$A$2:$A$5000=$EI$151)*(ISNUMBER(SEARCH($EI162, 球員狀態!$B$2:$B$5000))), 0)), "")</f>
        <v/>
      </c>
      <c r="EM162" s="4" t="str">
        <f t="array" ref="EM162">IFERROR(INDEX(球員狀態!F$2:F$5000, MATCH(1, (球員狀態!$A$2:$A$5000=$EI$151)*(ISNUMBER(SEARCH($EI162, 球員狀態!$B$2:$B$5000))), 0)), "")</f>
        <v/>
      </c>
      <c r="EN162" s="4" t="str">
        <f t="array" ref="EN162">IFERROR(INDEX(球員狀態!G$2:G$5000, MATCH(1, (球員狀態!$A$2:$A$5000=$EI$1)*(ISNUMBER(SEARCH($EI162, 球員狀態!$B$2:$B$5000))), 0)), "")</f>
        <v/>
      </c>
      <c r="EO162" s="4" t="str">
        <f t="array" ref="EO162">IFERROR(INDEX(球員狀態!H$2:H$5000, MATCH(1, (球員狀態!$A$2:$A$5000=$EI$151)*(ISNUMBER(SEARCH($EI162, 球員狀態!$B$2:$B$5000))), 0)), "")</f>
        <v/>
      </c>
      <c r="EP162" s="4" t="str">
        <f t="array" ref="EP162">IFERROR(INDEX(球員狀態!I$2:I$5000, MATCH(1, (球員狀態!$A$2:$A$5000=$EI$151)*(ISNUMBER(SEARCH($EI162, 球員狀態!$B$2:$B$5000))), 0)), "")</f>
        <v/>
      </c>
      <c r="EQ162" s="4" t="str">
        <f t="array" ref="EQ162">IFERROR(INDEX(球員狀態!J$2:J$5000, MATCH(1, (球員狀態!$A$2:$A$5000=$EI$151)*(ISNUMBER(SEARCH($EI162, 球員狀態!$B$2:$B$5000))), 0)), "")</f>
        <v/>
      </c>
      <c r="ER162" s="4" t="str">
        <f t="array" ref="ER162">IFERROR(INDEX(球員狀態!K$2:K$5000, MATCH(1, (球員狀態!$A$2:$A$5000=$EI$151)*(ISNUMBER(SEARCH($EI162, 球員狀態!$B$2:$B$5000))), 0)), "")</f>
        <v/>
      </c>
      <c r="ES162" s="4" t="str">
        <f t="array" ref="ES162">IFERROR(INDEX(球員狀態!L$2:L$5000, MATCH(1, (球員狀態!$A$2:$A$5000=$EI$151)*(ISNUMBER(SEARCH($EI162, 球員狀態!$B$2:$B$5000))), 0)), "")</f>
        <v/>
      </c>
      <c r="ET162" s="4" t="str">
        <f t="array" ref="ET162">IFERROR(INDEX(球員狀態!M$2:M$5000, MATCH(1, (球員狀態!$A$2:$A$5000=$EI$151)*(ISNUMBER(SEARCH($EI162, 球員狀態!$B$2:$B$5000))), 0)), "")</f>
        <v/>
      </c>
      <c r="EU162" s="4" t="str">
        <f t="array" ref="EU162">IFERROR(INDEX(球員狀態!N$2:N$5000, MATCH(1, (球員狀態!$A$2:$A$5000=$EI$151)*(ISNUMBER(SEARCH($EI162, 球員狀態!$B$2:$B$5000))), 0)), "")</f>
        <v/>
      </c>
      <c r="EV162" s="4" t="str">
        <f t="array" ref="EV162">IFERROR(INDEX(球員狀態!O$2:O$5000, MATCH(1, (球員狀態!$A$2:$A$5000=$EI$1)*(ISNUMBER(SEARCH($EI162, 球員狀態!$B$2:$B$5000))), 0)), "")</f>
        <v/>
      </c>
      <c r="EW162" s="4" t="str">
        <f t="array" ref="EW162">IFERROR(INDEX(球員狀態!P$2:P$5000, MATCH(1, (球員狀態!$A$2:$A$5000=$EI$1)*(ISNUMBER(SEARCH($EI162, 球員狀態!$B$2:$B$5000))), 0)), "")</f>
        <v/>
      </c>
      <c r="EX162" s="4" t="str">
        <f t="array" ref="EX162">IFERROR(INDEX(球員狀態!Q$2:Q$5000, MATCH(1, (球員狀態!$A$2:$A$5000=$EI$151)*(ISNUMBER(SEARCH($EI162, 球員狀態!$B$2:$B$5000))), 0)), "")</f>
        <v/>
      </c>
      <c r="EY162" s="4" t="str">
        <f t="array" ref="EY162">IFERROR(INDEX(球員狀態!R$2:R$5000, MATCH(1, (球員狀態!$A$2:$A$5000=$EI$1)*(ISNUMBER(SEARCH($EI162, 球員狀態!$B$2:$B$5000))), 0)), "")</f>
        <v/>
      </c>
      <c r="EZ162" s="4" t="str">
        <f t="array" ref="EZ162">IFERROR(INDEX(球員狀態!S$2:S$5000, MATCH(1, (球員狀態!$A$2:$A$5000=$EI$1)*(ISNUMBER(SEARCH($EI162, 球員狀態!$B$2:$B$5000))), 0)), "")</f>
        <v/>
      </c>
      <c r="FA162" s="4" t="str">
        <f t="array" ref="FA162">IFERROR(INDEX(球員狀態!T$2:T$5000, MATCH(1, (球員狀態!$A$2:$A$5000=$EI$151)*(ISNUMBER(SEARCH($EI162, 球員狀態!$B$2:$B$5000))), 0)), "")</f>
        <v/>
      </c>
      <c r="FB162" s="4" t="str">
        <f t="array" ref="FB162">IFERROR(INDEX(球員狀態!U$2:U$5000, MATCH(1, (球員狀態!$A$2:$A$5000=$EI$1)*(ISNUMBER(SEARCH($EI162, 球員狀態!$B$2:$B$5000))), 0)), "")</f>
        <v/>
      </c>
      <c r="FC162" s="4" t="str">
        <f t="array" ref="FC162">IFERROR(INDEX(球員狀態!V$2:V$5000, MATCH(1, (球員狀態!$A$2:$A$5000=$EI$1)*(ISNUMBER(SEARCH($EI162, 球員狀態!$B$2:$B$5000))), 0)), "")</f>
        <v/>
      </c>
      <c r="FD162" s="4" t="str">
        <f t="array" ref="FD162">IFERROR(INDEX(球員狀態!W$2:W$5000, MATCH(1, (球員狀態!$A$2:$A$5000=$EI$151)*(ISNUMBER(SEARCH($EI162, 球員狀態!$B$2:$B$5000))), 0)), "")</f>
        <v/>
      </c>
      <c r="FE162" s="4" t="str">
        <f t="array" ref="FE162">IFERROR(INDEX(球員狀態!X$2:X$5000, MATCH(1, (球員狀態!$A$2:$A$5000=$EI$1)*(ISNUMBER(SEARCH($EI162, 球員狀態!$B$2:$B$5000))), 0)), "")</f>
        <v/>
      </c>
      <c r="FF162" s="4" t="str">
        <f t="array" ref="FF162">IFERROR(INDEX(球員狀態!Y$2:Y$5000, MATCH(1, (球員狀態!$A$2:$A$5000=$EI$1)*(ISNUMBER(SEARCH($EI162, 球員狀態!$B$2:$B$5000))), 0)), "")</f>
        <v/>
      </c>
      <c r="FG162" s="4" t="str">
        <f t="array" ref="FG162">IFERROR(INDEX(球員狀態!Z$2:Z$5000, MATCH(1, (球員狀態!$A$2:$A$5000=$EI$151)*(ISNUMBER(SEARCH($EI162, 球員狀態!$B$2:$B$5000))), 0)), "")</f>
        <v/>
      </c>
      <c r="FH162" s="4" t="str">
        <f t="array" ref="FH162">IFERROR(INDEX(球員狀態!AA$2:AA$5000, MATCH(1, (球員狀態!$A$2:$A$5000=$EI$151)*(ISNUMBER(SEARCH($EI162, 球員狀態!$B$2:$B$5000))), 0)), "")</f>
        <v/>
      </c>
      <c r="FI162" s="4" t="str">
        <f t="array" ref="FI162">IFERROR(INDEX(球員狀態!AB$2:AB$5000, MATCH(1, (球員狀態!$A$2:$A$5000=$EI$151)*(ISNUMBER(SEARCH($EI162, 球員狀態!$B$2:$B$5000))), 0)), "")</f>
        <v/>
      </c>
    </row>
    <row r="163" spans="110:165">
      <c r="DF163" s="33"/>
      <c r="DH163" s="40" t="e">
        <f>DJ163+DL163+DM163+DN163+DO163-DP163-DQ163+DR163</f>
        <v>#VALUE!</v>
      </c>
      <c r="DI163" s="42" t="e">
        <f>DU163+DX163+EA163+ED163+EE163+EF163</f>
        <v>#VALUE!</v>
      </c>
      <c r="DJ163" s="38" t="e">
        <f>VLOOKUP(DJ162*1, FK$2:FM$12, 3, TRUE)*FM$1</f>
        <v>#VALUE!</v>
      </c>
      <c r="DL163" s="38" t="e">
        <f>VLOOKUP(DL162*1, FN$2:FP$12, 3, TRUE)*FP$1</f>
        <v>#VALUE!</v>
      </c>
      <c r="DM163" s="38" t="e">
        <f>VLOOKUP(DM162*1, FQ$2:FS$12, 3, TRUE)*FS$1</f>
        <v>#VALUE!</v>
      </c>
      <c r="DN163" s="38" t="e">
        <f>VLOOKUP(DN162*1, FT$2:FV$12, 3, TRUE)*FV$1</f>
        <v>#VALUE!</v>
      </c>
      <c r="DO163" s="38" t="e">
        <f>VLOOKUP(DO162*1, FW$2:FY$12, 3, TRUE)*FY$1</f>
        <v>#VALUE!</v>
      </c>
      <c r="DP163" s="39" t="e">
        <f>VLOOKUP(DP162*1, FK$14:FM$25, 3, TRUE)*FM$14</f>
        <v>#VALUE!</v>
      </c>
      <c r="DQ163" s="39" t="e">
        <f>VLOOKUP(DQ162*1, FN$14:FP$25, 3, TRUE)*FP$14</f>
        <v>#VALUE!</v>
      </c>
      <c r="DR163" s="38" t="e">
        <f>VLOOKUP(DR162*1, FQ$14:FS$25, 3, TRUE)*FS$14</f>
        <v>#VALUE!</v>
      </c>
      <c r="DU163" s="41" t="e">
        <f>VLOOKUP(DU162*1, FK$27:FM$38, 3, TRUE)*FM$27</f>
        <v>#VALUE!</v>
      </c>
      <c r="DX163" s="41" t="e">
        <f>VLOOKUP(DX162*1, FN$27:FP$38, 3, TRUE)*FP$27</f>
        <v>#VALUE!</v>
      </c>
      <c r="EA163" s="41" t="e">
        <f>VLOOKUP(EA162*1, FQ$27:FS$38, 3, TRUE)*FS$27</f>
        <v>#VALUE!</v>
      </c>
      <c r="ED163" s="41" t="e">
        <f>VLOOKUP(ED162*1, FT$27:FV$38, 3, TRUE)*FV$27</f>
        <v>#VALUE!</v>
      </c>
      <c r="EE163" s="41" t="e">
        <f>VLOOKUP(EE162*1, FW$27:FY$38, 3, TRUE)*FY$27</f>
        <v>#VALUE!</v>
      </c>
      <c r="EF163" s="41" t="e">
        <f>VLOOKUP(EF162*1, FK$40:FM$51, 3, TRUE)*FM$40</f>
        <v>#VALUE!</v>
      </c>
      <c r="EG163" s="57"/>
      <c r="EI163" s="33"/>
      <c r="EK163" s="40" t="e">
        <f>EM163+EO163+EP163+EQ163+ER163-ES163-ET163+EU163</f>
        <v>#VALUE!</v>
      </c>
      <c r="EL163" s="42" t="e">
        <f>EX163+FA163+FD163+FG163+FH163+FI163</f>
        <v>#VALUE!</v>
      </c>
      <c r="EM163" s="38" t="e">
        <f>VLOOKUP(EM162*1, $FK$2:$FM$12, 3, TRUE)*$FM$1</f>
        <v>#VALUE!</v>
      </c>
      <c r="EO163" s="38" t="e">
        <f>VLOOKUP(EO162*1, $FN$2:$FP$12, 3, TRUE)*$FP$1</f>
        <v>#VALUE!</v>
      </c>
      <c r="EP163" s="38" t="e">
        <f>VLOOKUP(EP162*1, $FQ$2:$FS$12, 3, TRUE)*$FS$1</f>
        <v>#VALUE!</v>
      </c>
      <c r="EQ163" s="38" t="e">
        <f>VLOOKUP(EQ162*1, $FT$2:$FV$12, 3, TRUE)*$FV$1</f>
        <v>#VALUE!</v>
      </c>
      <c r="ER163" s="38" t="e">
        <f>VLOOKUP(ER162*1, $FW$2:$FY$12, 3, TRUE)*$FY$1</f>
        <v>#VALUE!</v>
      </c>
      <c r="ES163" s="39" t="e">
        <f>VLOOKUP(ES162*1, $FK$14:$FM$25, 3, TRUE)*$FM$14</f>
        <v>#VALUE!</v>
      </c>
      <c r="ET163" s="39" t="e">
        <f>VLOOKUP(ET162*1, $FN$14:$FP$25, 3, TRUE)*$FP$14</f>
        <v>#VALUE!</v>
      </c>
      <c r="EU163" s="38" t="e">
        <f>VLOOKUP(EU162*1, $FQ$14:$FS$25, 3, TRUE)*$FS$14</f>
        <v>#VALUE!</v>
      </c>
      <c r="EX163" s="41" t="e">
        <f>VLOOKUP(EX162*1, $FK$27:$FM$38, 3, TRUE)*$FM$27</f>
        <v>#VALUE!</v>
      </c>
      <c r="FA163" s="41" t="e">
        <f>VLOOKUP(FA162*1, $FN$27:$FP$38, 3, TRUE)*$FP$27</f>
        <v>#VALUE!</v>
      </c>
      <c r="FD163" s="41" t="e">
        <f>VLOOKUP(FD162*1, $FQ$27:$FS$38, 3, TRUE)*$FS$27</f>
        <v>#VALUE!</v>
      </c>
      <c r="FG163" s="41" t="e">
        <f>VLOOKUP(FG162*1, $FT$27:$FV$38, 3, TRUE)*$FV$27</f>
        <v>#VALUE!</v>
      </c>
      <c r="FH163" s="41" t="e">
        <f>VLOOKUP(FH162*1, $FW$27:$FY$38, 3, TRUE)*$FY$27</f>
        <v>#VALUE!</v>
      </c>
      <c r="FI163" s="41" t="e">
        <f>VLOOKUP(FI162*1, $FK$40:$FM$51, 3, TRUE)*$FM$40</f>
        <v>#VALUE!</v>
      </c>
    </row>
    <row r="164" spans="110:165">
      <c r="DF164" s="37" t="str">
        <f>先發名單!K$7</f>
        <v>G. Stanton</v>
      </c>
      <c r="DG164" s="4" t="str">
        <f t="array" ref="DG164">IFERROR(INDEX(球員狀態!$C$2:$C$5000, MATCH(1, (球員狀態!$A$2:$A$5000=$DF$151)*(ISNUMBER(SEARCH($DF164, 球員狀態!$B$2:$B$5000))), 0)), "")</f>
        <v/>
      </c>
      <c r="DJ164" s="4" t="str">
        <f t="array" ref="DJ164">IFERROR(INDEX(球員狀態!$F$2:$F$5000,MATCH(1,(球員狀態!$A$2:$A$5000=$DF$151)*(ISNUMBER(SEARCH($DF164,球員狀態!$B$2:$B$5000))),0)),"")</f>
        <v/>
      </c>
      <c r="DK164" s="4" t="str">
        <f t="array" ref="DK164">IFERROR(INDEX(球員狀態!G$2:G$5000, MATCH(1, (球員狀態!$A$2:$A$5000=$DF$1)*(ISNUMBER(SEARCH($DF164, 球員狀態!$B$2:$B$5000))), 0)), "")</f>
        <v/>
      </c>
      <c r="DL164" s="4" t="str">
        <f t="array" ref="DL164">IFERROR(INDEX(球員狀態!H$2:H$5000, MATCH(1, (球員狀態!$A$2:$A$5000=$DF$151)*(ISNUMBER(SEARCH($DF164, 球員狀態!$B$2:$B$5000))), 0)), "")</f>
        <v/>
      </c>
      <c r="DM164" s="4" t="str">
        <f t="array" ref="DM164">IFERROR(INDEX(球員狀態!I$2:I$5000,MATCH(1,(球員狀態!$A$2:$A$5000=$DF$151)*(ISNUMBER(SEARCH($DF164,球員狀態!$B$2:$B$5000))),0)),"")</f>
        <v/>
      </c>
      <c r="DN164" s="4" t="str">
        <f t="array" ref="DN164">IFERROR(INDEX(球員狀態!J$2:J$5000,MATCH(1,(球員狀態!$A$2:$A$5000=$DF$151)*(ISNUMBER(SEARCH($DF164,球員狀態!$B$2:$B$5000))),0)),"")</f>
        <v/>
      </c>
      <c r="DO164" s="4" t="str">
        <f t="array" ref="DO164">IFERROR(INDEX(球員狀態!K$2:K$5000,MATCH(1,(球員狀態!$A$2:$A$5000=$DF$151)*(ISNUMBER(SEARCH($DF164,球員狀態!$B$2:$B$5000))),0)),"")</f>
        <v/>
      </c>
      <c r="DP164" s="4" t="str">
        <f t="array" ref="DP164">IFERROR(INDEX(球員狀態!L$2:L$5000,MATCH(1,(球員狀態!$A$2:$A$5000=$DF$151)*(ISNUMBER(SEARCH($DF164,球員狀態!$B$2:$B$5000))),0)),"")</f>
        <v/>
      </c>
      <c r="DQ164" s="4" t="str">
        <f t="array" ref="DQ164">IFERROR(INDEX(球員狀態!M$2:M$5000,MATCH(1,(球員狀態!$A$2:$A$5000=$DF$151)*(ISNUMBER(SEARCH($DF164,球員狀態!$B$2:$B$5000))),0)),"")</f>
        <v/>
      </c>
      <c r="DR164" s="4" t="str">
        <f t="array" ref="DR164">IFERROR(INDEX(球員狀態!N$2:N$5000,MATCH(1,(球員狀態!$A$2:$A$5000=$DF$151)*(ISNUMBER(SEARCH($DF164,球員狀態!$B$2:$B$5000))),0)),"")</f>
        <v/>
      </c>
      <c r="DS164" s="4" t="str">
        <f t="array" ref="DS164">IFERROR(INDEX(球員狀態!O$2:O$5000, MATCH(1, (球員狀態!$A$2:$A$5000=$DF$1)*(ISNUMBER(SEARCH($DF164, 球員狀態!$B$2:$B$5000))), 0)), "")</f>
        <v/>
      </c>
      <c r="DT164" s="4" t="str">
        <f t="array" ref="DT164">IFERROR(INDEX(球員狀態!P$2:P$5000, MATCH(1, (球員狀態!$A$2:$A$5000=$DF$1)*(ISNUMBER(SEARCH($DF164, 球員狀態!$B$2:$B$5000))), 0)), "")</f>
        <v/>
      </c>
      <c r="DU164" s="4" t="str">
        <f t="array" ref="DU164">IFERROR(INDEX(球員狀態!Q$2:Q$5000,MATCH(1,(球員狀態!$A$2:$A$5000=$DF$151)*(ISNUMBER(SEARCH($DF164,球員狀態!$B$2:$B$5000))),0)),"")</f>
        <v/>
      </c>
      <c r="DV164" s="4" t="str">
        <f t="array" ref="DV164">IFERROR(INDEX(球員狀態!R$2:R$5000, MATCH(1, (球員狀態!$A$2:$A$5000=$DF$1)*(ISNUMBER(SEARCH($DF164, 球員狀態!$B$2:$B$5000))), 0)), "")</f>
        <v/>
      </c>
      <c r="DW164" s="4" t="str">
        <f t="array" ref="DW164">IFERROR(INDEX(球員狀態!S$2:S$5000, MATCH(1, (球員狀態!$A$2:$A$5000=$DF$1)*(ISNUMBER(SEARCH($DF164, 球員狀態!$B$2:$B$5000))), 0)), "")</f>
        <v/>
      </c>
      <c r="DX164" s="4" t="str">
        <f t="array" ref="DX164">IFERROR(INDEX(球員狀態!T$2:T$5000,MATCH(1,(球員狀態!$A$2:$A$5000=$DF$151)*(ISNUMBER(SEARCH($DF164,球員狀態!$B$2:$B$5000))),0)),"")</f>
        <v/>
      </c>
      <c r="DY164" s="4" t="str">
        <f t="array" ref="DY164">IFERROR(INDEX(球員狀態!U$2:U$5000, MATCH(1, (球員狀態!$A$2:$A$5000=$DF$1)*(ISNUMBER(SEARCH($DF164, 球員狀態!$B$2:$B$5000))), 0)), "")</f>
        <v/>
      </c>
      <c r="DZ164" s="4" t="str">
        <f t="array" ref="DZ164">IFERROR(INDEX(球員狀態!V$2:V$5000, MATCH(1, (球員狀態!$A$2:$A$5000=$DF$1)*(ISNUMBER(SEARCH($DF164, 球員狀態!$B$2:$B$5000))), 0)), "")</f>
        <v/>
      </c>
      <c r="EA164" s="4" t="str">
        <f t="array" ref="EA164">IFERROR(INDEX(球員狀態!W$2:W$5000,MATCH(1,(球員狀態!$A$2:$A$5000=$DF$151)*(ISNUMBER(SEARCH($DF164,球員狀態!$B$2:$B$5000))),0)),"")</f>
        <v/>
      </c>
      <c r="EB164" s="4" t="str">
        <f t="array" ref="EB164">IFERROR(INDEX(球員狀態!X$2:X$5000, MATCH(1, (球員狀態!$A$2:$A$5000=$DF$1)*(ISNUMBER(SEARCH($DF164, 球員狀態!$B$2:$B$5000))), 0)), "")</f>
        <v/>
      </c>
      <c r="EC164" s="4" t="str">
        <f t="array" ref="EC164">IFERROR(INDEX(球員狀態!Y$2:Y$5000, MATCH(1, (球員狀態!$A$2:$A$5000=$DF$1)*(ISNUMBER(SEARCH($DF164, 球員狀態!$B$2:$B$5000))), 0)), "")</f>
        <v/>
      </c>
      <c r="ED164" s="4" t="str">
        <f t="array" ref="ED164">IFERROR(INDEX(球員狀態!Z$2:Z$5000,MATCH(1,(球員狀態!$A$2:$A$5000=$DF$151)*(ISNUMBER(SEARCH($DF164,球員狀態!$B$2:$B$5000))),0)),"")</f>
        <v/>
      </c>
      <c r="EE164" s="4" t="str">
        <f t="array" ref="EE164">IFERROR(INDEX(球員狀態!AA$2:AA$5000,MATCH(1,(球員狀態!$A$2:$A$5000=$DF$151)*(ISNUMBER(SEARCH($DF164,球員狀態!$B$2:$B$5000))),0)),"")</f>
        <v/>
      </c>
      <c r="EF164" s="4" t="str">
        <f t="array" ref="EF164">IFERROR(INDEX(球員狀態!AB$2:AB$5000,MATCH(1,(球員狀態!$A$2:$A$5000=$DF$151)*(ISNUMBER(SEARCH($DF164,球員狀態!$B$2:$B$5000))),0)),"")</f>
        <v/>
      </c>
      <c r="EG164" s="56"/>
      <c r="EI164" s="37" t="str">
        <f>先發名單!U$7</f>
        <v>A. McCutchen</v>
      </c>
      <c r="EJ164" s="4" t="str">
        <f t="array" ref="EJ164">IFERROR(INDEX(球員狀態!C$2:C$5000, MATCH(1, (球員狀態!$A$2:$A$5000=$EI$151)*(ISNUMBER(SEARCH($EI164, 球員狀態!$B$2:$B$5000))), 0)), "")</f>
        <v/>
      </c>
      <c r="EM164" s="4" t="str">
        <f t="array" ref="EM164">IFERROR(INDEX(球員狀態!F$2:F$5000, MATCH(1, (球員狀態!$A$2:$A$5000=$EI$151)*(ISNUMBER(SEARCH($EI164, 球員狀態!$B$2:$B$5000))), 0)), "")</f>
        <v/>
      </c>
      <c r="EN164" s="4" t="str">
        <f t="array" ref="EN164">IFERROR(INDEX(球員狀態!G$2:G$5000, MATCH(1, (球員狀態!$A$2:$A$5000=$EI$1)*(ISNUMBER(SEARCH($EI164, 球員狀態!$B$2:$B$5000))), 0)), "")</f>
        <v/>
      </c>
      <c r="EO164" s="4" t="str">
        <f t="array" ref="EO164">IFERROR(INDEX(球員狀態!H$2:H$5000, MATCH(1, (球員狀態!$A$2:$A$5000=$EI$151)*(ISNUMBER(SEARCH($EI164, 球員狀態!$B$2:$B$5000))), 0)), "")</f>
        <v/>
      </c>
      <c r="EP164" s="4" t="str">
        <f t="array" ref="EP164">IFERROR(INDEX(球員狀態!I$2:I$5000, MATCH(1, (球員狀態!$A$2:$A$5000=$EI$151)*(ISNUMBER(SEARCH($EI164, 球員狀態!$B$2:$B$5000))), 0)), "")</f>
        <v/>
      </c>
      <c r="EQ164" s="4" t="str">
        <f t="array" ref="EQ164">IFERROR(INDEX(球員狀態!J$2:J$5000, MATCH(1, (球員狀態!$A$2:$A$5000=$EI$151)*(ISNUMBER(SEARCH($EI164, 球員狀態!$B$2:$B$5000))), 0)), "")</f>
        <v/>
      </c>
      <c r="ER164" s="4" t="str">
        <f t="array" ref="ER164">IFERROR(INDEX(球員狀態!K$2:K$5000, MATCH(1, (球員狀態!$A$2:$A$5000=$EI$151)*(ISNUMBER(SEARCH($EI164, 球員狀態!$B$2:$B$5000))), 0)), "")</f>
        <v/>
      </c>
      <c r="ES164" s="4" t="str">
        <f t="array" ref="ES164">IFERROR(INDEX(球員狀態!L$2:L$5000, MATCH(1, (球員狀態!$A$2:$A$5000=$EI$151)*(ISNUMBER(SEARCH($EI164, 球員狀態!$B$2:$B$5000))), 0)), "")</f>
        <v/>
      </c>
      <c r="ET164" s="4" t="str">
        <f t="array" ref="ET164">IFERROR(INDEX(球員狀態!M$2:M$5000, MATCH(1, (球員狀態!$A$2:$A$5000=$EI$151)*(ISNUMBER(SEARCH($EI164, 球員狀態!$B$2:$B$5000))), 0)), "")</f>
        <v/>
      </c>
      <c r="EU164" s="4" t="str">
        <f t="array" ref="EU164">IFERROR(INDEX(球員狀態!N$2:N$5000, MATCH(1, (球員狀態!$A$2:$A$5000=$EI$151)*(ISNUMBER(SEARCH($EI164, 球員狀態!$B$2:$B$5000))), 0)), "")</f>
        <v/>
      </c>
      <c r="EV164" s="4" t="str">
        <f t="array" ref="EV164">IFERROR(INDEX(球員狀態!O$2:O$5000, MATCH(1, (球員狀態!$A$2:$A$5000=$EI$1)*(ISNUMBER(SEARCH($EI164, 球員狀態!$B$2:$B$5000))), 0)), "")</f>
        <v/>
      </c>
      <c r="EW164" s="4" t="str">
        <f t="array" ref="EW164">IFERROR(INDEX(球員狀態!P$2:P$5000, MATCH(1, (球員狀態!$A$2:$A$5000=$EI$1)*(ISNUMBER(SEARCH($EI164, 球員狀態!$B$2:$B$5000))), 0)), "")</f>
        <v/>
      </c>
      <c r="EX164" s="4" t="str">
        <f t="array" ref="EX164">IFERROR(INDEX(球員狀態!Q$2:Q$5000, MATCH(1, (球員狀態!$A$2:$A$5000=$EI$151)*(ISNUMBER(SEARCH($EI164, 球員狀態!$B$2:$B$5000))), 0)), "")</f>
        <v/>
      </c>
      <c r="EY164" s="4" t="str">
        <f t="array" ref="EY164">IFERROR(INDEX(球員狀態!R$2:R$5000, MATCH(1, (球員狀態!$A$2:$A$5000=$EI$1)*(ISNUMBER(SEARCH($EI164, 球員狀態!$B$2:$B$5000))), 0)), "")</f>
        <v/>
      </c>
      <c r="EZ164" s="4" t="str">
        <f t="array" ref="EZ164">IFERROR(INDEX(球員狀態!S$2:S$5000, MATCH(1, (球員狀態!$A$2:$A$5000=$EI$1)*(ISNUMBER(SEARCH($EI164, 球員狀態!$B$2:$B$5000))), 0)), "")</f>
        <v/>
      </c>
      <c r="FA164" s="4" t="str">
        <f t="array" ref="FA164">IFERROR(INDEX(球員狀態!T$2:T$5000, MATCH(1, (球員狀態!$A$2:$A$5000=$EI$151)*(ISNUMBER(SEARCH($EI164, 球員狀態!$B$2:$B$5000))), 0)), "")</f>
        <v/>
      </c>
      <c r="FB164" s="4" t="str">
        <f t="array" ref="FB164">IFERROR(INDEX(球員狀態!U$2:U$5000, MATCH(1, (球員狀態!$A$2:$A$5000=$EI$1)*(ISNUMBER(SEARCH($EI164, 球員狀態!$B$2:$B$5000))), 0)), "")</f>
        <v/>
      </c>
      <c r="FC164" s="4" t="str">
        <f t="array" ref="FC164">IFERROR(INDEX(球員狀態!V$2:V$5000, MATCH(1, (球員狀態!$A$2:$A$5000=$EI$1)*(ISNUMBER(SEARCH($EI164, 球員狀態!$B$2:$B$5000))), 0)), "")</f>
        <v/>
      </c>
      <c r="FD164" s="4" t="str">
        <f t="array" ref="FD164">IFERROR(INDEX(球員狀態!W$2:W$5000, MATCH(1, (球員狀態!$A$2:$A$5000=$EI$151)*(ISNUMBER(SEARCH($EI164, 球員狀態!$B$2:$B$5000))), 0)), "")</f>
        <v/>
      </c>
      <c r="FE164" s="4" t="str">
        <f t="array" ref="FE164">IFERROR(INDEX(球員狀態!X$2:X$5000, MATCH(1, (球員狀態!$A$2:$A$5000=$EI$1)*(ISNUMBER(SEARCH($EI164, 球員狀態!$B$2:$B$5000))), 0)), "")</f>
        <v/>
      </c>
      <c r="FF164" s="4" t="str">
        <f t="array" ref="FF164">IFERROR(INDEX(球員狀態!Y$2:Y$5000, MATCH(1, (球員狀態!$A$2:$A$5000=$EI$1)*(ISNUMBER(SEARCH($EI164, 球員狀態!$B$2:$B$5000))), 0)), "")</f>
        <v/>
      </c>
      <c r="FG164" s="4" t="str">
        <f t="array" ref="FG164">IFERROR(INDEX(球員狀態!Z$2:Z$5000, MATCH(1, (球員狀態!$A$2:$A$5000=$EI$151)*(ISNUMBER(SEARCH($EI164, 球員狀態!$B$2:$B$5000))), 0)), "")</f>
        <v/>
      </c>
      <c r="FH164" s="4" t="str">
        <f t="array" ref="FH164">IFERROR(INDEX(球員狀態!AA$2:AA$5000, MATCH(1, (球員狀態!$A$2:$A$5000=$EI$151)*(ISNUMBER(SEARCH($EI164, 球員狀態!$B$2:$B$5000))), 0)), "")</f>
        <v/>
      </c>
      <c r="FI164" s="4" t="str">
        <f t="array" ref="FI164">IFERROR(INDEX(球員狀態!AB$2:AB$5000, MATCH(1, (球員狀態!$A$2:$A$5000=$EI$151)*(ISNUMBER(SEARCH($EI164, 球員狀態!$B$2:$B$5000))), 0)), "")</f>
        <v/>
      </c>
    </row>
    <row r="165" spans="110:165">
      <c r="DH165" s="40" t="e">
        <f>DJ165+DL165+DM165+DN165+DO165-DP165-DQ165+DR165</f>
        <v>#VALUE!</v>
      </c>
      <c r="DI165" s="42" t="e">
        <f>DU165+DX165+EA165+ED165+EE165+EF165</f>
        <v>#VALUE!</v>
      </c>
      <c r="DJ165" s="38" t="e">
        <f>VLOOKUP(DJ164*1, FK$2:FM$12, 3, TRUE)*FM$1</f>
        <v>#VALUE!</v>
      </c>
      <c r="DL165" s="38" t="e">
        <f>VLOOKUP(DL164*1, FN$2:FP$12, 3, TRUE)*FP$1</f>
        <v>#VALUE!</v>
      </c>
      <c r="DM165" s="38" t="e">
        <f>VLOOKUP(DM164*1, FQ$2:FS$12, 3, TRUE)*FS$1</f>
        <v>#VALUE!</v>
      </c>
      <c r="DN165" s="38" t="e">
        <f>VLOOKUP(DN164*1, FT$2:FV$12, 3, TRUE)*FV$1</f>
        <v>#VALUE!</v>
      </c>
      <c r="DO165" s="38" t="e">
        <f>VLOOKUP(DO164*1, FW$2:FY$12, 3, TRUE)*FY$1</f>
        <v>#VALUE!</v>
      </c>
      <c r="DP165" s="39" t="e">
        <f>VLOOKUP(DP164*1, FK$14:FM$25, 3, TRUE)*FM$14</f>
        <v>#VALUE!</v>
      </c>
      <c r="DQ165" s="39" t="e">
        <f>VLOOKUP(DQ164*1, FN$14:FP$25, 3, TRUE)*FP$14</f>
        <v>#VALUE!</v>
      </c>
      <c r="DR165" s="38" t="e">
        <f>VLOOKUP(DR164*1, FQ$14:FS$25, 3, TRUE)*FS$14</f>
        <v>#VALUE!</v>
      </c>
      <c r="DU165" s="41" t="e">
        <f>VLOOKUP(DU164*1, FK$27:FM$38, 3, TRUE)*FM$27</f>
        <v>#VALUE!</v>
      </c>
      <c r="DX165" s="41" t="e">
        <f>VLOOKUP(DX164*1, FN$27:FP$38, 3, TRUE)*FP$27</f>
        <v>#VALUE!</v>
      </c>
      <c r="EA165" s="41" t="e">
        <f>VLOOKUP(EA164*1, FQ$27:FS$38, 3, TRUE)*FS$27</f>
        <v>#VALUE!</v>
      </c>
      <c r="ED165" s="41" t="e">
        <f>VLOOKUP(ED164*1, FT$27:FV$38, 3, TRUE)*FV$27</f>
        <v>#VALUE!</v>
      </c>
      <c r="EE165" s="41" t="e">
        <f>VLOOKUP(EE164*1, FW$27:FY$38, 3, TRUE)*FY$27</f>
        <v>#VALUE!</v>
      </c>
      <c r="EF165" s="41" t="e">
        <f>VLOOKUP(EF164*1, FK$40:FM$51, 3, TRUE)*FM$40</f>
        <v>#VALUE!</v>
      </c>
      <c r="EG165" s="57"/>
      <c r="EK165" s="40" t="e">
        <f>EM165+EO165+EP165+EQ165+ER165-ES165-ET165+EU165</f>
        <v>#VALUE!</v>
      </c>
      <c r="EL165" s="42" t="e">
        <f>EX165+FA165+FD165+FG165+FH165+FI165</f>
        <v>#VALUE!</v>
      </c>
      <c r="EM165" s="38" t="e">
        <f>VLOOKUP(EM164*1, $FK$2:$FM$12, 3, TRUE)*$FM$1</f>
        <v>#VALUE!</v>
      </c>
      <c r="EO165" s="38" t="e">
        <f>VLOOKUP(EO164*1, $FN$2:$FP$12, 3, TRUE)*$FP$1</f>
        <v>#VALUE!</v>
      </c>
      <c r="EP165" s="38" t="e">
        <f>VLOOKUP(EP164*1, $FQ$2:$FS$12, 3, TRUE)*$FS$1</f>
        <v>#VALUE!</v>
      </c>
      <c r="EQ165" s="38" t="e">
        <f>VLOOKUP(EQ164*1, $FT$2:$FV$12, 3, TRUE)*$FV$1</f>
        <v>#VALUE!</v>
      </c>
      <c r="ER165" s="38" t="e">
        <f>VLOOKUP(ER164*1, $FW$2:$FY$12, 3, TRUE)*$FY$1</f>
        <v>#VALUE!</v>
      </c>
      <c r="ES165" s="39" t="e">
        <f>VLOOKUP(ES164*1, $FK$14:$FM$25, 3, TRUE)*$FM$14</f>
        <v>#VALUE!</v>
      </c>
      <c r="ET165" s="39" t="e">
        <f>VLOOKUP(ET164*1, $FN$14:$FP$25, 3, TRUE)*$FP$14</f>
        <v>#VALUE!</v>
      </c>
      <c r="EU165" s="38" t="e">
        <f>VLOOKUP(EU164*1, $FQ$14:$FS$25, 3, TRUE)*$FS$14</f>
        <v>#VALUE!</v>
      </c>
      <c r="EX165" s="41" t="e">
        <f>VLOOKUP(EX164*1, $FK$27:$FM$38, 3, TRUE)*$FM$27</f>
        <v>#VALUE!</v>
      </c>
      <c r="FA165" s="41" t="e">
        <f>VLOOKUP(FA164*1, $FN$27:$FP$38, 3, TRUE)*$FP$27</f>
        <v>#VALUE!</v>
      </c>
      <c r="FD165" s="41" t="e">
        <f>VLOOKUP(FD164*1, $FQ$27:$FS$38, 3, TRUE)*$FS$27</f>
        <v>#VALUE!</v>
      </c>
      <c r="FG165" s="41" t="e">
        <f>VLOOKUP(FG164*1, $FT$27:$FV$38, 3, TRUE)*$FV$27</f>
        <v>#VALUE!</v>
      </c>
      <c r="FH165" s="41" t="e">
        <f>VLOOKUP(FH164*1, $FW$27:$FY$38, 3, TRUE)*$FY$27</f>
        <v>#VALUE!</v>
      </c>
      <c r="FI165" s="41" t="e">
        <f>VLOOKUP(FI164*1, $FK$40:$FM$51, 3, TRUE)*$FM$40</f>
        <v>#VALUE!</v>
      </c>
    </row>
    <row r="166" spans="110:165">
      <c r="DF166" s="37" t="str">
        <f>先發名單!L$7</f>
        <v>J. Chisholm</v>
      </c>
      <c r="DG166" s="4" t="str">
        <f t="array" ref="DG166">IFERROR(INDEX(球員狀態!$C$2:$C$5000, MATCH(1, (球員狀態!$A$2:$A$5000=$DF$151)*(ISNUMBER(SEARCH($DF166, 球員狀態!$B$2:$B$5000))), 0)), "")</f>
        <v/>
      </c>
      <c r="DJ166" s="4" t="str">
        <f t="array" ref="DJ166">IFERROR(INDEX(球員狀態!$F$2:$F$5000,MATCH(1,(球員狀態!$A$2:$A$5000=$DF$151)*(ISNUMBER(SEARCH($DF166,球員狀態!$B$2:$B$5000))),0)),"")</f>
        <v/>
      </c>
      <c r="DK166" s="4" t="str">
        <f t="array" ref="DK166">IFERROR(INDEX(球員狀態!G$2:G$5000, MATCH(1, (球員狀態!$A$2:$A$5000=$DF$1)*(ISNUMBER(SEARCH($DF166, 球員狀態!$B$2:$B$5000))), 0)), "")</f>
        <v/>
      </c>
      <c r="DL166" s="4" t="str">
        <f t="array" ref="DL166">IFERROR(INDEX(球員狀態!H$2:H$5000, MATCH(1, (球員狀態!$A$2:$A$5000=$DF$151)*(ISNUMBER(SEARCH($DF166, 球員狀態!$B$2:$B$5000))), 0)), "")</f>
        <v/>
      </c>
      <c r="DM166" s="4" t="str">
        <f t="array" ref="DM166">IFERROR(INDEX(球員狀態!I$2:I$5000,MATCH(1,(球員狀態!$A$2:$A$5000=$DF$151)*(ISNUMBER(SEARCH($DF166,球員狀態!$B$2:$B$5000))),0)),"")</f>
        <v/>
      </c>
      <c r="DN166" s="4" t="str">
        <f t="array" ref="DN166">IFERROR(INDEX(球員狀態!J$2:J$5000,MATCH(1,(球員狀態!$A$2:$A$5000=$DF$151)*(ISNUMBER(SEARCH($DF166,球員狀態!$B$2:$B$5000))),0)),"")</f>
        <v/>
      </c>
      <c r="DO166" s="4" t="str">
        <f t="array" ref="DO166">IFERROR(INDEX(球員狀態!K$2:K$5000,MATCH(1,(球員狀態!$A$2:$A$5000=$DF$151)*(ISNUMBER(SEARCH($DF166,球員狀態!$B$2:$B$5000))),0)),"")</f>
        <v/>
      </c>
      <c r="DP166" s="4" t="str">
        <f t="array" ref="DP166">IFERROR(INDEX(球員狀態!L$2:L$5000,MATCH(1,(球員狀態!$A$2:$A$5000=$DF$151)*(ISNUMBER(SEARCH($DF166,球員狀態!$B$2:$B$5000))),0)),"")</f>
        <v/>
      </c>
      <c r="DQ166" s="4" t="str">
        <f t="array" ref="DQ166">IFERROR(INDEX(球員狀態!M$2:M$5000,MATCH(1,(球員狀態!$A$2:$A$5000=$DF$151)*(ISNUMBER(SEARCH($DF166,球員狀態!$B$2:$B$5000))),0)),"")</f>
        <v/>
      </c>
      <c r="DR166" s="4" t="str">
        <f t="array" ref="DR166">IFERROR(INDEX(球員狀態!N$2:N$5000,MATCH(1,(球員狀態!$A$2:$A$5000=$DF$151)*(ISNUMBER(SEARCH($DF166,球員狀態!$B$2:$B$5000))),0)),"")</f>
        <v/>
      </c>
      <c r="DS166" s="4" t="str">
        <f t="array" ref="DS166">IFERROR(INDEX(球員狀態!O$2:O$5000, MATCH(1, (球員狀態!$A$2:$A$5000=$DF$1)*(ISNUMBER(SEARCH($DF166, 球員狀態!$B$2:$B$5000))), 0)), "")</f>
        <v/>
      </c>
      <c r="DT166" s="4" t="str">
        <f t="array" ref="DT166">IFERROR(INDEX(球員狀態!P$2:P$5000, MATCH(1, (球員狀態!$A$2:$A$5000=$DF$1)*(ISNUMBER(SEARCH($DF166, 球員狀態!$B$2:$B$5000))), 0)), "")</f>
        <v/>
      </c>
      <c r="DU166" s="4" t="str">
        <f t="array" ref="DU166">IFERROR(INDEX(球員狀態!Q$2:Q$5000,MATCH(1,(球員狀態!$A$2:$A$5000=$DF$151)*(ISNUMBER(SEARCH($DF166,球員狀態!$B$2:$B$5000))),0)),"")</f>
        <v/>
      </c>
      <c r="DV166" s="4" t="str">
        <f t="array" ref="DV166">IFERROR(INDEX(球員狀態!R$2:R$5000, MATCH(1, (球員狀態!$A$2:$A$5000=$DF$1)*(ISNUMBER(SEARCH($DF166, 球員狀態!$B$2:$B$5000))), 0)), "")</f>
        <v/>
      </c>
      <c r="DW166" s="4" t="str">
        <f t="array" ref="DW166">IFERROR(INDEX(球員狀態!S$2:S$5000, MATCH(1, (球員狀態!$A$2:$A$5000=$DF$1)*(ISNUMBER(SEARCH($DF166, 球員狀態!$B$2:$B$5000))), 0)), "")</f>
        <v/>
      </c>
      <c r="DX166" s="4" t="str">
        <f t="array" ref="DX166">IFERROR(INDEX(球員狀態!T$2:T$5000,MATCH(1,(球員狀態!$A$2:$A$5000=$DF$151)*(ISNUMBER(SEARCH($DF166,球員狀態!$B$2:$B$5000))),0)),"")</f>
        <v/>
      </c>
      <c r="DY166" s="4" t="str">
        <f t="array" ref="DY166">IFERROR(INDEX(球員狀態!U$2:U$5000, MATCH(1, (球員狀態!$A$2:$A$5000=$DF$1)*(ISNUMBER(SEARCH($DF166, 球員狀態!$B$2:$B$5000))), 0)), "")</f>
        <v/>
      </c>
      <c r="DZ166" s="4" t="str">
        <f t="array" ref="DZ166">IFERROR(INDEX(球員狀態!V$2:V$5000, MATCH(1, (球員狀態!$A$2:$A$5000=$DF$1)*(ISNUMBER(SEARCH($DF166, 球員狀態!$B$2:$B$5000))), 0)), "")</f>
        <v/>
      </c>
      <c r="EA166" s="4" t="str">
        <f t="array" ref="EA166">IFERROR(INDEX(球員狀態!W$2:W$5000,MATCH(1,(球員狀態!$A$2:$A$5000=$DF$151)*(ISNUMBER(SEARCH($DF166,球員狀態!$B$2:$B$5000))),0)),"")</f>
        <v/>
      </c>
      <c r="EB166" s="4" t="str">
        <f t="array" ref="EB166">IFERROR(INDEX(球員狀態!X$2:X$5000, MATCH(1, (球員狀態!$A$2:$A$5000=$DF$1)*(ISNUMBER(SEARCH($DF166, 球員狀態!$B$2:$B$5000))), 0)), "")</f>
        <v/>
      </c>
      <c r="EC166" s="4" t="str">
        <f t="array" ref="EC166">IFERROR(INDEX(球員狀態!Y$2:Y$5000, MATCH(1, (球員狀態!$A$2:$A$5000=$DF$1)*(ISNUMBER(SEARCH($DF166, 球員狀態!$B$2:$B$5000))), 0)), "")</f>
        <v/>
      </c>
      <c r="ED166" s="4" t="str">
        <f t="array" ref="ED166">IFERROR(INDEX(球員狀態!Z$2:Z$5000,MATCH(1,(球員狀態!$A$2:$A$5000=$DF$151)*(ISNUMBER(SEARCH($DF166,球員狀態!$B$2:$B$5000))),0)),"")</f>
        <v/>
      </c>
      <c r="EE166" s="4" t="str">
        <f t="array" ref="EE166">IFERROR(INDEX(球員狀態!AA$2:AA$5000,MATCH(1,(球員狀態!$A$2:$A$5000=$DF$151)*(ISNUMBER(SEARCH($DF166,球員狀態!$B$2:$B$5000))),0)),"")</f>
        <v/>
      </c>
      <c r="EF166" s="4" t="str">
        <f t="array" ref="EF166">IFERROR(INDEX(球員狀態!AB$2:AB$5000,MATCH(1,(球員狀態!$A$2:$A$5000=$DF$151)*(ISNUMBER(SEARCH($DF166,球員狀態!$B$2:$B$5000))),0)),"")</f>
        <v/>
      </c>
      <c r="EG166" s="56"/>
      <c r="EI166" s="37" t="str">
        <f>先發名單!V$7</f>
        <v>Sam Haggerty</v>
      </c>
      <c r="EJ166" s="4" t="str">
        <f t="array" ref="EJ166">IFERROR(INDEX(球員狀態!C$2:C$5000, MATCH(1, (球員狀態!$A$2:$A$5000=$EI$151)*(ISNUMBER(SEARCH($EI166, 球員狀態!$B$2:$B$5000))), 0)), "")</f>
        <v>CF</v>
      </c>
      <c r="EM166" s="4" t="str">
        <f t="array" ref="EM166">IFERROR(INDEX(球員狀態!F$2:F$5000, MATCH(1, (球員狀態!$A$2:$A$5000=$EI$151)*(ISNUMBER(SEARCH($EI166, 球員狀態!$B$2:$B$5000))), 0)), "")</f>
        <v>2</v>
      </c>
      <c r="EN166" s="4" t="str">
        <f t="array" ref="EN166">IFERROR(INDEX(球員狀態!G$2:G$5000, MATCH(1, (球員狀態!$A$2:$A$5000=$EI$1)*(ISNUMBER(SEARCH($EI166, 球員狀態!$B$2:$B$5000))), 0)), "")</f>
        <v/>
      </c>
      <c r="EO166" s="4" t="str">
        <f t="array" ref="EO166">IFERROR(INDEX(球員狀態!H$2:H$5000, MATCH(1, (球員狀態!$A$2:$A$5000=$EI$151)*(ISNUMBER(SEARCH($EI166, 球員狀態!$B$2:$B$5000))), 0)), "")</f>
        <v>0</v>
      </c>
      <c r="EP166" s="4" t="str">
        <f t="array" ref="EP166">IFERROR(INDEX(球員狀態!I$2:I$5000, MATCH(1, (球員狀態!$A$2:$A$5000=$EI$151)*(ISNUMBER(SEARCH($EI166, 球員狀態!$B$2:$B$5000))), 0)), "")</f>
        <v>0</v>
      </c>
      <c r="EQ166" s="4" t="str">
        <f t="array" ref="EQ166">IFERROR(INDEX(球員狀態!J$2:J$5000, MATCH(1, (球員狀態!$A$2:$A$5000=$EI$151)*(ISNUMBER(SEARCH($EI166, 球員狀態!$B$2:$B$5000))), 0)), "")</f>
        <v>0</v>
      </c>
      <c r="ER166" s="4" t="str">
        <f t="array" ref="ER166">IFERROR(INDEX(球員狀態!K$2:K$5000, MATCH(1, (球員狀態!$A$2:$A$5000=$EI$151)*(ISNUMBER(SEARCH($EI166, 球員狀態!$B$2:$B$5000))), 0)), "")</f>
        <v>0</v>
      </c>
      <c r="ES166" s="4" t="str">
        <f t="array" ref="ES166">IFERROR(INDEX(球員狀態!L$2:L$5000, MATCH(1, (球員狀態!$A$2:$A$5000=$EI$151)*(ISNUMBER(SEARCH($EI166, 球員狀態!$B$2:$B$5000))), 0)), "")</f>
        <v>3</v>
      </c>
      <c r="ET166" s="4" t="str">
        <f t="array" ref="ET166">IFERROR(INDEX(球員狀態!M$2:M$5000, MATCH(1, (球員狀態!$A$2:$A$5000=$EI$151)*(ISNUMBER(SEARCH($EI166, 球員狀態!$B$2:$B$5000))), 0)), "")</f>
        <v>1</v>
      </c>
      <c r="EU166" s="4" t="str">
        <f t="array" ref="EU166">IFERROR(INDEX(球員狀態!N$2:N$5000, MATCH(1, (球員狀態!$A$2:$A$5000=$EI$151)*(ISNUMBER(SEARCH($EI166, 球員狀態!$B$2:$B$5000))), 0)), "")</f>
        <v>11</v>
      </c>
      <c r="EV166" s="4" t="str">
        <f t="array" ref="EV166">IFERROR(INDEX(球員狀態!O$2:O$5000, MATCH(1, (球員狀態!$A$2:$A$5000=$EI$1)*(ISNUMBER(SEARCH($EI166, 球員狀態!$B$2:$B$5000))), 0)), "")</f>
        <v/>
      </c>
      <c r="EW166" s="4" t="str">
        <f t="array" ref="EW166">IFERROR(INDEX(球員狀態!P$2:P$5000, MATCH(1, (球員狀態!$A$2:$A$5000=$EI$1)*(ISNUMBER(SEARCH($EI166, 球員狀態!$B$2:$B$5000))), 0)), "")</f>
        <v/>
      </c>
      <c r="EX166" s="4" t="str">
        <f t="array" ref="EX166">IFERROR(INDEX(球員狀態!Q$2:Q$5000, MATCH(1, (球員狀態!$A$2:$A$5000=$EI$151)*(ISNUMBER(SEARCH($EI166, 球員狀態!$B$2:$B$5000))), 0)), "")</f>
        <v>.182</v>
      </c>
      <c r="EY166" s="4" t="str">
        <f t="array" ref="EY166">IFERROR(INDEX(球員狀態!R$2:R$5000, MATCH(1, (球員狀態!$A$2:$A$5000=$EI$1)*(ISNUMBER(SEARCH($EI166, 球員狀態!$B$2:$B$5000))), 0)), "")</f>
        <v/>
      </c>
      <c r="EZ166" s="4" t="str">
        <f t="array" ref="EZ166">IFERROR(INDEX(球員狀態!S$2:S$5000, MATCH(1, (球員狀態!$A$2:$A$5000=$EI$1)*(ISNUMBER(SEARCH($EI166, 球員狀態!$B$2:$B$5000))), 0)), "")</f>
        <v/>
      </c>
      <c r="FA166" s="4" t="str">
        <f t="array" ref="FA166">IFERROR(INDEX(球員狀態!T$2:T$5000, MATCH(1, (球員狀態!$A$2:$A$5000=$EI$151)*(ISNUMBER(SEARCH($EI166, 球員狀態!$B$2:$B$5000))), 0)), "")</f>
        <v>-0.3</v>
      </c>
      <c r="FB166" s="4" t="str">
        <f t="array" ref="FB166">IFERROR(INDEX(球員狀態!U$2:U$5000, MATCH(1, (球員狀態!$A$2:$A$5000=$EI$1)*(ISNUMBER(SEARCH($EI166, 球員狀態!$B$2:$B$5000))), 0)), "")</f>
        <v/>
      </c>
      <c r="FC166" s="4" t="str">
        <f t="array" ref="FC166">IFERROR(INDEX(球員狀態!V$2:V$5000, MATCH(1, (球員狀態!$A$2:$A$5000=$EI$1)*(ISNUMBER(SEARCH($EI166, 球員狀態!$B$2:$B$5000))), 0)), "")</f>
        <v/>
      </c>
      <c r="FD166" s="4" t="str">
        <f t="array" ref="FD166">IFERROR(INDEX(球員狀態!W$2:W$5000, MATCH(1, (球員狀態!$A$2:$A$5000=$EI$151)*(ISNUMBER(SEARCH($EI166, 球員狀態!$B$2:$B$5000))), 0)), "")</f>
        <v>.045</v>
      </c>
      <c r="FE166" s="4" t="str">
        <f t="array" ref="FE166">IFERROR(INDEX(球員狀態!X$2:X$5000, MATCH(1, (球員狀態!$A$2:$A$5000=$EI$1)*(ISNUMBER(SEARCH($EI166, 球員狀態!$B$2:$B$5000))), 0)), "")</f>
        <v/>
      </c>
      <c r="FF166" s="4" t="str">
        <f t="array" ref="FF166">IFERROR(INDEX(球員狀態!Y$2:Y$5000, MATCH(1, (球員狀態!$A$2:$A$5000=$EI$1)*(ISNUMBER(SEARCH($EI166, 球員狀態!$B$2:$B$5000))), 0)), "")</f>
        <v/>
      </c>
      <c r="FG166" s="4" t="str">
        <f t="array" ref="FG166">IFERROR(INDEX(球員狀態!Z$2:Z$5000, MATCH(1, (球員狀態!$A$2:$A$5000=$EI$151)*(ISNUMBER(SEARCH($EI166, 球員狀態!$B$2:$B$5000))), 0)), "")</f>
        <v>.095</v>
      </c>
      <c r="FH166" s="4" t="str">
        <f t="array" ref="FH166">IFERROR(INDEX(球員狀態!AA$2:AA$5000, MATCH(1, (球員狀態!$A$2:$A$5000=$EI$151)*(ISNUMBER(SEARCH($EI166, 球員狀態!$B$2:$B$5000))), 0)), "")</f>
        <v>3.82</v>
      </c>
      <c r="FI166" s="4" t="str">
        <f t="array" ref="FI166">IFERROR(INDEX(球員狀態!AB$2:AB$5000, MATCH(1, (球員狀態!$A$2:$A$5000=$EI$151)*(ISNUMBER(SEARCH($EI166, 球員狀態!$B$2:$B$5000))), 0)), "")</f>
        <v>0</v>
      </c>
    </row>
    <row r="167" spans="110:165">
      <c r="DH167" s="40" t="e">
        <f>DJ167+DL167+DM167+DN167+DO167-DP167-DQ167+DR167</f>
        <v>#VALUE!</v>
      </c>
      <c r="DI167" s="42" t="e">
        <f>DU167+DX167+EA167+ED167+EE167+EF167</f>
        <v>#VALUE!</v>
      </c>
      <c r="DJ167" s="38" t="e">
        <f>VLOOKUP(DJ166*1, FK$2:FM$12, 3, TRUE)*FM$1</f>
        <v>#VALUE!</v>
      </c>
      <c r="DL167" s="38" t="e">
        <f>VLOOKUP(DL166*1, FN$2:FP$12, 3, TRUE)*FP$1</f>
        <v>#VALUE!</v>
      </c>
      <c r="DM167" s="38" t="e">
        <f>VLOOKUP(DM166*1, FQ$2:FS$12, 3, TRUE)*FS$1</f>
        <v>#VALUE!</v>
      </c>
      <c r="DN167" s="38" t="e">
        <f>VLOOKUP(DN166*1, FT$2:FV$12, 3, TRUE)*FV$1</f>
        <v>#VALUE!</v>
      </c>
      <c r="DO167" s="38" t="e">
        <f>VLOOKUP(DO166*1, FW$2:FY$12, 3, TRUE)*FY$1</f>
        <v>#VALUE!</v>
      </c>
      <c r="DP167" s="39" t="e">
        <f>VLOOKUP(DP166*1, FK$14:FM$25, 3, TRUE)*FM$14</f>
        <v>#VALUE!</v>
      </c>
      <c r="DQ167" s="39" t="e">
        <f>VLOOKUP(DQ166*1, FN$14:FP$25, 3, TRUE)*FP$14</f>
        <v>#VALUE!</v>
      </c>
      <c r="DR167" s="38" t="e">
        <f>VLOOKUP(DR166*1, FQ$14:FS$25, 3, TRUE)*FS$14</f>
        <v>#VALUE!</v>
      </c>
      <c r="DU167" s="41" t="e">
        <f>VLOOKUP(DU166*1, FK$27:FM$38, 3, TRUE)*FM$27</f>
        <v>#VALUE!</v>
      </c>
      <c r="DX167" s="41" t="e">
        <f>VLOOKUP(DX166*1, FN$27:FP$38, 3, TRUE)*FP$27</f>
        <v>#VALUE!</v>
      </c>
      <c r="EA167" s="41" t="e">
        <f>VLOOKUP(EA166*1, FQ$27:FS$38, 3, TRUE)*FS$27</f>
        <v>#VALUE!</v>
      </c>
      <c r="ED167" s="41" t="e">
        <f>VLOOKUP(ED166*1, FT$27:FV$38, 3, TRUE)*FV$27</f>
        <v>#VALUE!</v>
      </c>
      <c r="EE167" s="41" t="e">
        <f>VLOOKUP(EE166*1, FW$27:FY$38, 3, TRUE)*FY$27</f>
        <v>#VALUE!</v>
      </c>
      <c r="EF167" s="41" t="e">
        <f>VLOOKUP(EF166*1, FK$40:FM$51, 3, TRUE)*FM$40</f>
        <v>#VALUE!</v>
      </c>
      <c r="EG167" s="57"/>
      <c r="EK167" s="40">
        <f>EM167+EO167+EP167+EQ167+ER167-ES167-ET167+EU167</f>
        <v>0.79999999999999993</v>
      </c>
      <c r="EL167" s="42" t="e">
        <f>EX167+FA167+FD167+FG167+FH167+FI167</f>
        <v>#N/A</v>
      </c>
      <c r="EM167" s="38">
        <f>VLOOKUP(EM166*1, $FK$2:$FM$12, 3, TRUE)*$FM$1</f>
        <v>0</v>
      </c>
      <c r="EO167" s="38">
        <f>VLOOKUP(EO166*1, $FN$2:$FP$12, 3, TRUE)*$FP$1</f>
        <v>0</v>
      </c>
      <c r="EP167" s="38">
        <f>VLOOKUP(EP166*1, $FQ$2:$FS$12, 3, TRUE)*$FS$1</f>
        <v>0</v>
      </c>
      <c r="EQ167" s="38">
        <f>VLOOKUP(EQ166*1, $FT$2:$FV$12, 3, TRUE)*$FV$1</f>
        <v>0</v>
      </c>
      <c r="ER167" s="38">
        <f>VLOOKUP(ER166*1, $FW$2:$FY$12, 3, TRUE)*$FY$1</f>
        <v>0</v>
      </c>
      <c r="ES167" s="39">
        <f>VLOOKUP(ES166*1, $FK$14:$FM$25, 3, TRUE)*$FM$14</f>
        <v>0.70000000000000007</v>
      </c>
      <c r="ET167" s="39">
        <f>VLOOKUP(ET166*1, $FN$14:$FP$25, 3, TRUE)*$FP$14</f>
        <v>0</v>
      </c>
      <c r="EU167" s="38">
        <f>VLOOKUP(EU166*1, $FQ$14:$FS$25, 3, TRUE)*$FS$14</f>
        <v>1.5</v>
      </c>
      <c r="EX167" s="41">
        <f>VLOOKUP(EX166*1, $FK$27:$FM$38, 3, TRUE)*$FM$27</f>
        <v>0</v>
      </c>
      <c r="FA167" s="41" t="e">
        <f>VLOOKUP(FA166*1, $FN$27:$FP$38, 3, TRUE)*$FP$27</f>
        <v>#N/A</v>
      </c>
      <c r="FD167" s="41">
        <f>VLOOKUP(FD166*1, $FQ$27:$FS$38, 3, TRUE)*$FS$27</f>
        <v>0</v>
      </c>
      <c r="FG167" s="41">
        <f>VLOOKUP(FG166*1, $FT$27:$FV$38, 3, TRUE)*$FV$27</f>
        <v>0</v>
      </c>
      <c r="FH167" s="41">
        <f>VLOOKUP(FH166*1, $FW$27:$FY$38, 3, TRUE)*$FY$27</f>
        <v>1.5</v>
      </c>
      <c r="FI167" s="41">
        <f>VLOOKUP(FI166*1, $FK$40:$FM$51, 3, TRUE)*$FM$40</f>
        <v>0</v>
      </c>
    </row>
    <row r="168" spans="110:165">
      <c r="DF168" s="37" t="str">
        <f>先發名單!M$7</f>
        <v>Austin Wells</v>
      </c>
      <c r="DG168" s="4" t="str">
        <f t="array" ref="DG168">IFERROR(INDEX(球員狀態!$C$2:$C$5000, MATCH(1, (球員狀態!$A$2:$A$5000=$DF$151)*(ISNUMBER(SEARCH($DF168, 球員狀態!$B$2:$B$5000))), 0)), "")</f>
        <v>C</v>
      </c>
      <c r="DJ168" s="4" t="str">
        <f t="array" ref="DJ168">IFERROR(INDEX(球員狀態!$F$2:$F$5000,MATCH(1,(球員狀態!$A$2:$A$5000=$DF$151)*(ISNUMBER(SEARCH($DF168,球員狀態!$B$2:$B$5000))),0)),"")</f>
        <v>5</v>
      </c>
      <c r="DK168" s="4" t="str">
        <f t="array" ref="DK168">IFERROR(INDEX(球員狀態!G$2:G$5000, MATCH(1, (球員狀態!$A$2:$A$5000=$DF$1)*(ISNUMBER(SEARCH($DF168, 球員狀態!$B$2:$B$5000))), 0)), "")</f>
        <v/>
      </c>
      <c r="DL168" s="4" t="str">
        <f t="array" ref="DL168">IFERROR(INDEX(球員狀態!H$2:H$5000, MATCH(1, (球員狀態!$A$2:$A$5000=$DF$151)*(ISNUMBER(SEARCH($DF168, 球員狀態!$B$2:$B$5000))), 0)), "")</f>
        <v>1</v>
      </c>
      <c r="DM168" s="4" t="str">
        <f t="array" ref="DM168">IFERROR(INDEX(球員狀態!I$2:I$5000,MATCH(1,(球員狀態!$A$2:$A$5000=$DF$151)*(ISNUMBER(SEARCH($DF168,球員狀態!$B$2:$B$5000))),0)),"")</f>
        <v>0</v>
      </c>
      <c r="DN168" s="4" t="str">
        <f t="array" ref="DN168">IFERROR(INDEX(球員狀態!J$2:J$5000,MATCH(1,(球員狀態!$A$2:$A$5000=$DF$151)*(ISNUMBER(SEARCH($DF168,球員狀態!$B$2:$B$5000))),0)),"")</f>
        <v>2</v>
      </c>
      <c r="DO168" s="4" t="str">
        <f t="array" ref="DO168">IFERROR(INDEX(球員狀態!K$2:K$5000,MATCH(1,(球員狀態!$A$2:$A$5000=$DF$151)*(ISNUMBER(SEARCH($DF168,球員狀態!$B$2:$B$5000))),0)),"")</f>
        <v>4</v>
      </c>
      <c r="DP168" s="4" t="str">
        <f t="array" ref="DP168">IFERROR(INDEX(球員狀態!L$2:L$5000,MATCH(1,(球員狀態!$A$2:$A$5000=$DF$151)*(ISNUMBER(SEARCH($DF168,球員狀態!$B$2:$B$5000))),0)),"")</f>
        <v>19</v>
      </c>
      <c r="DQ168" s="4" t="str">
        <f t="array" ref="DQ168">IFERROR(INDEX(球員狀態!M$2:M$5000,MATCH(1,(球員狀態!$A$2:$A$5000=$DF$151)*(ISNUMBER(SEARCH($DF168,球員狀態!$B$2:$B$5000))),0)),"")</f>
        <v>15</v>
      </c>
      <c r="DR168" s="4" t="str">
        <f t="array" ref="DR168">IFERROR(INDEX(球員狀態!N$2:N$5000,MATCH(1,(球員狀態!$A$2:$A$5000=$DF$151)*(ISNUMBER(SEARCH($DF168,球員狀態!$B$2:$B$5000))),0)),"")</f>
        <v>14</v>
      </c>
      <c r="DS168" s="4" t="str">
        <f t="array" ref="DS168">IFERROR(INDEX(球員狀態!O$2:O$5000, MATCH(1, (球員狀態!$A$2:$A$5000=$DF$1)*(ISNUMBER(SEARCH($DF168, 球員狀態!$B$2:$B$5000))), 0)), "")</f>
        <v/>
      </c>
      <c r="DT168" s="4" t="str">
        <f t="array" ref="DT168">IFERROR(INDEX(球員狀態!P$2:P$5000, MATCH(1, (球員狀態!$A$2:$A$5000=$DF$1)*(ISNUMBER(SEARCH($DF168, 球員狀態!$B$2:$B$5000))), 0)), "")</f>
        <v/>
      </c>
      <c r="DU168" s="4" t="str">
        <f t="array" ref="DU168">IFERROR(INDEX(球員狀態!Q$2:Q$5000,MATCH(1,(球員狀態!$A$2:$A$5000=$DF$151)*(ISNUMBER(SEARCH($DF168,球員狀態!$B$2:$B$5000))),0)),"")</f>
        <v>.338</v>
      </c>
      <c r="DV168" s="4" t="str">
        <f t="array" ref="DV168">IFERROR(INDEX(球員狀態!R$2:R$5000, MATCH(1, (球員狀態!$A$2:$A$5000=$DF$1)*(ISNUMBER(SEARCH($DF168, 球員狀態!$B$2:$B$5000))), 0)), "")</f>
        <v/>
      </c>
      <c r="DW168" s="4" t="str">
        <f t="array" ref="DW168">IFERROR(INDEX(球員狀態!S$2:S$5000, MATCH(1, (球員狀態!$A$2:$A$5000=$DF$1)*(ISNUMBER(SEARCH($DF168, 球員狀態!$B$2:$B$5000))), 0)), "")</f>
        <v/>
      </c>
      <c r="DX168" s="4" t="str">
        <f t="array" ref="DX168">IFERROR(INDEX(球員狀態!T$2:T$5000,MATCH(1,(球員狀態!$A$2:$A$5000=$DF$151)*(ISNUMBER(SEARCH($DF168,球員狀態!$B$2:$B$5000))),0)),"")</f>
        <v>0.4</v>
      </c>
      <c r="DY168" s="4" t="str">
        <f t="array" ref="DY168">IFERROR(INDEX(球員狀態!U$2:U$5000, MATCH(1, (球員狀態!$A$2:$A$5000=$DF$1)*(ISNUMBER(SEARCH($DF168, 球員狀態!$B$2:$B$5000))), 0)), "")</f>
        <v/>
      </c>
      <c r="DZ168" s="4" t="str">
        <f t="array" ref="DZ168">IFERROR(INDEX(球員狀態!V$2:V$5000, MATCH(1, (球員狀態!$A$2:$A$5000=$DF$1)*(ISNUMBER(SEARCH($DF168, 球員狀態!$B$2:$B$5000))), 0)), "")</f>
        <v/>
      </c>
      <c r="EA168" s="4" t="str">
        <f t="array" ref="EA168">IFERROR(INDEX(球員狀態!W$2:W$5000,MATCH(1,(球員狀態!$A$2:$A$5000=$DF$151)*(ISNUMBER(SEARCH($DF168,球員狀態!$B$2:$B$5000))),0)),"")</f>
        <v>.188</v>
      </c>
      <c r="EB168" s="4" t="str">
        <f t="array" ref="EB168">IFERROR(INDEX(球員狀態!X$2:X$5000, MATCH(1, (球員狀態!$A$2:$A$5000=$DF$1)*(ISNUMBER(SEARCH($DF168, 球員狀態!$B$2:$B$5000))), 0)), "")</f>
        <v/>
      </c>
      <c r="EC168" s="4" t="str">
        <f t="array" ref="EC168">IFERROR(INDEX(球員狀態!Y$2:Y$5000, MATCH(1, (球員狀態!$A$2:$A$5000=$DF$1)*(ISNUMBER(SEARCH($DF168, 球員狀態!$B$2:$B$5000))), 0)), "")</f>
        <v/>
      </c>
      <c r="ED168" s="4" t="str">
        <f t="array" ref="ED168">IFERROR(INDEX(球員狀態!Z$2:Z$5000,MATCH(1,(球員狀態!$A$2:$A$5000=$DF$151)*(ISNUMBER(SEARCH($DF168,球員狀態!$B$2:$B$5000))),0)),"")</f>
        <v>.344</v>
      </c>
      <c r="EE168" s="4" t="str">
        <f t="array" ref="EE168">IFERROR(INDEX(球員狀態!AA$2:AA$5000,MATCH(1,(球員狀態!$A$2:$A$5000=$DF$151)*(ISNUMBER(SEARCH($DF168,球員狀態!$B$2:$B$5000))),0)),"")</f>
        <v>3.95</v>
      </c>
      <c r="EF168" s="4" t="str">
        <f t="array" ref="EF168">IFERROR(INDEX(球員狀態!AB$2:AB$5000,MATCH(1,(球員狀態!$A$2:$A$5000=$DF$151)*(ISNUMBER(SEARCH($DF168,球員狀態!$B$2:$B$5000))),0)),"")</f>
        <v>3</v>
      </c>
      <c r="EG168" s="56"/>
      <c r="EI168" s="37" t="str">
        <f>先發名單!W$7</f>
        <v>E. Duran</v>
      </c>
      <c r="EJ168" s="4" t="str">
        <f t="array" ref="EJ168">IFERROR(INDEX(球員狀態!C$2:C$5000, MATCH(1, (球員狀態!$A$2:$A$5000=$EI$151)*(ISNUMBER(SEARCH($EI168, 球員狀態!$B$2:$B$5000))), 0)), "")</f>
        <v/>
      </c>
      <c r="EM168" s="4" t="str">
        <f t="array" ref="EM168">IFERROR(INDEX(球員狀態!F$2:F$5000, MATCH(1, (球員狀態!$A$2:$A$5000=$EI$151)*(ISNUMBER(SEARCH($EI168, 球員狀態!$B$2:$B$5000))), 0)), "")</f>
        <v/>
      </c>
      <c r="EN168" s="4" t="str">
        <f t="array" ref="EN168">IFERROR(INDEX(球員狀態!G$2:G$5000, MATCH(1, (球員狀態!$A$2:$A$5000=$EI$1)*(ISNUMBER(SEARCH($EI168, 球員狀態!$B$2:$B$5000))), 0)), "")</f>
        <v/>
      </c>
      <c r="EO168" s="4" t="str">
        <f t="array" ref="EO168">IFERROR(INDEX(球員狀態!H$2:H$5000, MATCH(1, (球員狀態!$A$2:$A$5000=$EI$151)*(ISNUMBER(SEARCH($EI168, 球員狀態!$B$2:$B$5000))), 0)), "")</f>
        <v/>
      </c>
      <c r="EP168" s="4" t="str">
        <f t="array" ref="EP168">IFERROR(INDEX(球員狀態!I$2:I$5000, MATCH(1, (球員狀態!$A$2:$A$5000=$EI$151)*(ISNUMBER(SEARCH($EI168, 球員狀態!$B$2:$B$5000))), 0)), "")</f>
        <v/>
      </c>
      <c r="EQ168" s="4" t="str">
        <f t="array" ref="EQ168">IFERROR(INDEX(球員狀態!J$2:J$5000, MATCH(1, (球員狀態!$A$2:$A$5000=$EI$151)*(ISNUMBER(SEARCH($EI168, 球員狀態!$B$2:$B$5000))), 0)), "")</f>
        <v/>
      </c>
      <c r="ER168" s="4" t="str">
        <f t="array" ref="ER168">IFERROR(INDEX(球員狀態!K$2:K$5000, MATCH(1, (球員狀態!$A$2:$A$5000=$EI$151)*(ISNUMBER(SEARCH($EI168, 球員狀態!$B$2:$B$5000))), 0)), "")</f>
        <v/>
      </c>
      <c r="ES168" s="4" t="str">
        <f t="array" ref="ES168">IFERROR(INDEX(球員狀態!L$2:L$5000, MATCH(1, (球員狀態!$A$2:$A$5000=$EI$151)*(ISNUMBER(SEARCH($EI168, 球員狀態!$B$2:$B$5000))), 0)), "")</f>
        <v/>
      </c>
      <c r="ET168" s="4" t="str">
        <f t="array" ref="ET168">IFERROR(INDEX(球員狀態!M$2:M$5000, MATCH(1, (球員狀態!$A$2:$A$5000=$EI$151)*(ISNUMBER(SEARCH($EI168, 球員狀態!$B$2:$B$5000))), 0)), "")</f>
        <v/>
      </c>
      <c r="EU168" s="4" t="str">
        <f t="array" ref="EU168">IFERROR(INDEX(球員狀態!N$2:N$5000, MATCH(1, (球員狀態!$A$2:$A$5000=$EI$151)*(ISNUMBER(SEARCH($EI168, 球員狀態!$B$2:$B$5000))), 0)), "")</f>
        <v/>
      </c>
      <c r="EV168" s="4" t="str">
        <f t="array" ref="EV168">IFERROR(INDEX(球員狀態!O$2:O$5000, MATCH(1, (球員狀態!$A$2:$A$5000=$EI$1)*(ISNUMBER(SEARCH($EI168, 球員狀態!$B$2:$B$5000))), 0)), "")</f>
        <v/>
      </c>
      <c r="EW168" s="4" t="str">
        <f t="array" ref="EW168">IFERROR(INDEX(球員狀態!P$2:P$5000, MATCH(1, (球員狀態!$A$2:$A$5000=$EI$1)*(ISNUMBER(SEARCH($EI168, 球員狀態!$B$2:$B$5000))), 0)), "")</f>
        <v/>
      </c>
      <c r="EX168" s="4" t="str">
        <f t="array" ref="EX168">IFERROR(INDEX(球員狀態!Q$2:Q$5000, MATCH(1, (球員狀態!$A$2:$A$5000=$EI$151)*(ISNUMBER(SEARCH($EI168, 球員狀態!$B$2:$B$5000))), 0)), "")</f>
        <v/>
      </c>
      <c r="EY168" s="4" t="str">
        <f t="array" ref="EY168">IFERROR(INDEX(球員狀態!R$2:R$5000, MATCH(1, (球員狀態!$A$2:$A$5000=$EI$1)*(ISNUMBER(SEARCH($EI168, 球員狀態!$B$2:$B$5000))), 0)), "")</f>
        <v/>
      </c>
      <c r="EZ168" s="4" t="str">
        <f t="array" ref="EZ168">IFERROR(INDEX(球員狀態!S$2:S$5000, MATCH(1, (球員狀態!$A$2:$A$5000=$EI$1)*(ISNUMBER(SEARCH($EI168, 球員狀態!$B$2:$B$5000))), 0)), "")</f>
        <v/>
      </c>
      <c r="FA168" s="4" t="str">
        <f t="array" ref="FA168">IFERROR(INDEX(球員狀態!T$2:T$5000, MATCH(1, (球員狀態!$A$2:$A$5000=$EI$151)*(ISNUMBER(SEARCH($EI168, 球員狀態!$B$2:$B$5000))), 0)), "")</f>
        <v/>
      </c>
      <c r="FB168" s="4" t="str">
        <f t="array" ref="FB168">IFERROR(INDEX(球員狀態!U$2:U$5000, MATCH(1, (球員狀態!$A$2:$A$5000=$EI$1)*(ISNUMBER(SEARCH($EI168, 球員狀態!$B$2:$B$5000))), 0)), "")</f>
        <v/>
      </c>
      <c r="FC168" s="4" t="str">
        <f t="array" ref="FC168">IFERROR(INDEX(球員狀態!V$2:V$5000, MATCH(1, (球員狀態!$A$2:$A$5000=$EI$1)*(ISNUMBER(SEARCH($EI168, 球員狀態!$B$2:$B$5000))), 0)), "")</f>
        <v/>
      </c>
      <c r="FD168" s="4" t="str">
        <f t="array" ref="FD168">IFERROR(INDEX(球員狀態!W$2:W$5000, MATCH(1, (球員狀態!$A$2:$A$5000=$EI$151)*(ISNUMBER(SEARCH($EI168, 球員狀態!$B$2:$B$5000))), 0)), "")</f>
        <v/>
      </c>
      <c r="FE168" s="4" t="str">
        <f t="array" ref="FE168">IFERROR(INDEX(球員狀態!X$2:X$5000, MATCH(1, (球員狀態!$A$2:$A$5000=$EI$1)*(ISNUMBER(SEARCH($EI168, 球員狀態!$B$2:$B$5000))), 0)), "")</f>
        <v/>
      </c>
      <c r="FF168" s="4" t="str">
        <f t="array" ref="FF168">IFERROR(INDEX(球員狀態!Y$2:Y$5000, MATCH(1, (球員狀態!$A$2:$A$5000=$EI$1)*(ISNUMBER(SEARCH($EI168, 球員狀態!$B$2:$B$5000))), 0)), "")</f>
        <v/>
      </c>
      <c r="FG168" s="4" t="str">
        <f t="array" ref="FG168">IFERROR(INDEX(球員狀態!Z$2:Z$5000, MATCH(1, (球員狀態!$A$2:$A$5000=$EI$151)*(ISNUMBER(SEARCH($EI168, 球員狀態!$B$2:$B$5000))), 0)), "")</f>
        <v/>
      </c>
      <c r="FH168" s="4" t="str">
        <f t="array" ref="FH168">IFERROR(INDEX(球員狀態!AA$2:AA$5000, MATCH(1, (球員狀態!$A$2:$A$5000=$EI$151)*(ISNUMBER(SEARCH($EI168, 球員狀態!$B$2:$B$5000))), 0)), "")</f>
        <v/>
      </c>
      <c r="FI168" s="4" t="str">
        <f t="array" ref="FI168">IFERROR(INDEX(球員狀態!AB$2:AB$5000, MATCH(1, (球員狀態!$A$2:$A$5000=$EI$151)*(ISNUMBER(SEARCH($EI168, 球員狀態!$B$2:$B$5000))), 0)), "")</f>
        <v/>
      </c>
    </row>
    <row r="169" spans="110:165">
      <c r="DH169" s="40">
        <f>DJ169+DL169+DM169+DN169+DO169-DP169-DQ169+DR169</f>
        <v>1.05</v>
      </c>
      <c r="DI169" s="42">
        <f>DU169+DX169+EA169+ED169+EE169+EF169</f>
        <v>5</v>
      </c>
      <c r="DJ169" s="38">
        <f>VLOOKUP(DJ168*1, FK$2:FM$12, 3, TRUE)*FM$1</f>
        <v>0.25</v>
      </c>
      <c r="DL169" s="38">
        <f>VLOOKUP(DL168*1, FN$2:FP$12, 3, TRUE)*FP$1</f>
        <v>0</v>
      </c>
      <c r="DM169" s="38">
        <f>VLOOKUP(DM168*1, FQ$2:FS$12, 3, TRUE)*FS$1</f>
        <v>0</v>
      </c>
      <c r="DN169" s="38">
        <f>VLOOKUP(DN168*1, FT$2:FV$12, 3, TRUE)*FV$1</f>
        <v>0.8</v>
      </c>
      <c r="DO169" s="38">
        <f>VLOOKUP(DO168*1, FW$2:FY$12, 3, TRUE)*FY$1</f>
        <v>0.5</v>
      </c>
      <c r="DP169" s="39">
        <f>VLOOKUP(DP168*1, FK$14:FM$25, 3, TRUE)*FM$14</f>
        <v>1</v>
      </c>
      <c r="DQ169" s="39">
        <f>VLOOKUP(DQ168*1, FN$14:FP$25, 3, TRUE)*FP$14</f>
        <v>1</v>
      </c>
      <c r="DR169" s="38">
        <f>VLOOKUP(DR168*1, FQ$14:FS$25, 3, TRUE)*FS$14</f>
        <v>1.5</v>
      </c>
      <c r="DU169" s="41">
        <f>VLOOKUP(DU168*1, FK$27:FM$38, 3, TRUE)*FM$27</f>
        <v>0</v>
      </c>
      <c r="DX169" s="41">
        <f>VLOOKUP(DX168*1, FN$27:FP$38, 3, TRUE)*FP$27</f>
        <v>0</v>
      </c>
      <c r="EA169" s="41">
        <f>VLOOKUP(EA168*1, FQ$27:FS$38, 3, TRUE)*FS$27</f>
        <v>0</v>
      </c>
      <c r="ED169" s="41">
        <f>VLOOKUP(ED168*1, FT$27:FV$38, 3, TRUE)*FV$27</f>
        <v>0</v>
      </c>
      <c r="EE169" s="41">
        <f>VLOOKUP(EE168*1, FW$27:FY$38, 3, TRUE)*FY$27</f>
        <v>1.5</v>
      </c>
      <c r="EF169" s="41">
        <f>VLOOKUP(EF168*1, FK$40:FM$51, 3, TRUE)*FM$40</f>
        <v>3.5</v>
      </c>
      <c r="EG169" s="57"/>
      <c r="EK169" s="40" t="e">
        <f>EM169+EO169+EP169+EQ169+ER169-ES169-ET169+EU169</f>
        <v>#VALUE!</v>
      </c>
      <c r="EL169" s="42" t="e">
        <f>EX169+FA169+FD169+FG169+FH169+FI169</f>
        <v>#VALUE!</v>
      </c>
      <c r="EM169" s="38" t="e">
        <f>VLOOKUP(EM168*1, $FK$2:$FM$12, 3, TRUE)*$FM$1</f>
        <v>#VALUE!</v>
      </c>
      <c r="EO169" s="38" t="e">
        <f>VLOOKUP(EO168*1, $FN$2:$FP$12, 3, TRUE)*$FP$1</f>
        <v>#VALUE!</v>
      </c>
      <c r="EP169" s="38" t="e">
        <f>VLOOKUP(EP168*1, $FQ$2:$FS$12, 3, TRUE)*$FS$1</f>
        <v>#VALUE!</v>
      </c>
      <c r="EQ169" s="38" t="e">
        <f>VLOOKUP(EQ168*1, $FT$2:$FV$12, 3, TRUE)*$FV$1</f>
        <v>#VALUE!</v>
      </c>
      <c r="ER169" s="38" t="e">
        <f>VLOOKUP(ER168*1, $FW$2:$FY$12, 3, TRUE)*$FY$1</f>
        <v>#VALUE!</v>
      </c>
      <c r="ES169" s="39" t="e">
        <f>VLOOKUP(ES168*1, $FK$14:$FM$25, 3, TRUE)*$FM$14</f>
        <v>#VALUE!</v>
      </c>
      <c r="ET169" s="39" t="e">
        <f>VLOOKUP(ET168*1, $FN$14:$FP$25, 3, TRUE)*$FP$14</f>
        <v>#VALUE!</v>
      </c>
      <c r="EU169" s="38" t="e">
        <f>VLOOKUP(EU168*1, $FQ$14:$FS$25, 3, TRUE)*$FS$14</f>
        <v>#VALUE!</v>
      </c>
      <c r="EX169" s="41" t="e">
        <f>VLOOKUP(EX168*1, $FK$27:$FM$38, 3, TRUE)*$FM$27</f>
        <v>#VALUE!</v>
      </c>
      <c r="FA169" s="41" t="e">
        <f>VLOOKUP(FA168*1, $FN$27:$FP$38, 3, TRUE)*$FP$27</f>
        <v>#VALUE!</v>
      </c>
      <c r="FD169" s="41" t="e">
        <f>VLOOKUP(FD168*1, $FQ$27:$FS$38, 3, TRUE)*$FS$27</f>
        <v>#VALUE!</v>
      </c>
      <c r="FG169" s="41" t="e">
        <f>VLOOKUP(FG168*1, $FT$27:$FV$38, 3, TRUE)*$FV$27</f>
        <v>#VALUE!</v>
      </c>
      <c r="FH169" s="41" t="e">
        <f>VLOOKUP(FH168*1, $FW$27:$FY$38, 3, TRUE)*$FY$27</f>
        <v>#VALUE!</v>
      </c>
      <c r="FI169" s="41" t="e">
        <f>VLOOKUP(FI168*1, $FK$40:$FM$51, 3, TRUE)*$FM$40</f>
        <v>#VALUE!</v>
      </c>
    </row>
    <row r="170" spans="110:165">
      <c r="DF170" s="37" t="e">
        <f>先發名單!#REF!</f>
        <v>#REF!</v>
      </c>
      <c r="DG170" s="4" t="str">
        <f t="array" ref="DG170">IFERROR(INDEX(球員狀態!$C$2:$C$5000, MATCH(1, (球員狀態!$A$2:$A$5000=$DF$151)*(ISNUMBER(SEARCH($DF170, 球員狀態!$B$2:$B$5000))), 0)), "")</f>
        <v/>
      </c>
      <c r="DJ170" s="4" t="str">
        <f t="array" ref="DJ170">IFERROR(INDEX(球員狀態!$F$2:$F$5000,MATCH(1,(球員狀態!$A$2:$A$5000=$DF$151)*(ISNUMBER(SEARCH($DF170,球員狀態!$B$2:$B$5000))),0)),"")</f>
        <v/>
      </c>
      <c r="DK170" s="4" t="str">
        <f t="array" ref="DK170">IFERROR(INDEX(球員狀態!G$2:G$5000, MATCH(1, (球員狀態!$A$2:$A$5000=$DF$1)*(ISNUMBER(SEARCH($DF170, 球員狀態!$B$2:$B$5000))), 0)), "")</f>
        <v/>
      </c>
      <c r="DL170" s="4" t="str">
        <f t="array" ref="DL170">IFERROR(INDEX(球員狀態!H$2:H$5000, MATCH(1, (球員狀態!$A$2:$A$5000=$DF$151)*(ISNUMBER(SEARCH($DF170, 球員狀態!$B$2:$B$5000))), 0)), "")</f>
        <v/>
      </c>
      <c r="DM170" s="4" t="str">
        <f t="array" ref="DM170">IFERROR(INDEX(球員狀態!I$2:I$5000,MATCH(1,(球員狀態!$A$2:$A$5000=$DF$151)*(ISNUMBER(SEARCH($DF170,球員狀態!$B$2:$B$5000))),0)),"")</f>
        <v/>
      </c>
      <c r="DN170" s="4" t="str">
        <f t="array" ref="DN170">IFERROR(INDEX(球員狀態!J$2:J$5000,MATCH(1,(球員狀態!$A$2:$A$5000=$DF$151)*(ISNUMBER(SEARCH($DF170,球員狀態!$B$2:$B$5000))),0)),"")</f>
        <v/>
      </c>
      <c r="DO170" s="4" t="str">
        <f t="array" ref="DO170">IFERROR(INDEX(球員狀態!K$2:K$5000,MATCH(1,(球員狀態!$A$2:$A$5000=$DF$151)*(ISNUMBER(SEARCH($DF170,球員狀態!$B$2:$B$5000))),0)),"")</f>
        <v/>
      </c>
      <c r="DP170" s="4" t="str">
        <f t="array" ref="DP170">IFERROR(INDEX(球員狀態!L$2:L$5000,MATCH(1,(球員狀態!$A$2:$A$5000=$DF$151)*(ISNUMBER(SEARCH($DF170,球員狀態!$B$2:$B$5000))),0)),"")</f>
        <v/>
      </c>
      <c r="DQ170" s="4" t="str">
        <f t="array" ref="DQ170">IFERROR(INDEX(球員狀態!M$2:M$5000,MATCH(1,(球員狀態!$A$2:$A$5000=$DF$151)*(ISNUMBER(SEARCH($DF170,球員狀態!$B$2:$B$5000))),0)),"")</f>
        <v/>
      </c>
      <c r="DR170" s="4" t="str">
        <f t="array" ref="DR170">IFERROR(INDEX(球員狀態!N$2:N$5000,MATCH(1,(球員狀態!$A$2:$A$5000=$DF$151)*(ISNUMBER(SEARCH($DF170,球員狀態!$B$2:$B$5000))),0)),"")</f>
        <v/>
      </c>
      <c r="DS170" s="4" t="str">
        <f t="array" ref="DS170">IFERROR(INDEX(球員狀態!O$2:O$5000, MATCH(1, (球員狀態!$A$2:$A$5000=$DF$1)*(ISNUMBER(SEARCH($DF170, 球員狀態!$B$2:$B$5000))), 0)), "")</f>
        <v/>
      </c>
      <c r="DT170" s="4" t="str">
        <f t="array" ref="DT170">IFERROR(INDEX(球員狀態!P$2:P$5000, MATCH(1, (球員狀態!$A$2:$A$5000=$DF$1)*(ISNUMBER(SEARCH($DF170, 球員狀態!$B$2:$B$5000))), 0)), "")</f>
        <v/>
      </c>
      <c r="DU170" s="4" t="str">
        <f t="array" ref="DU170">IFERROR(INDEX(球員狀態!Q$2:Q$5000,MATCH(1,(球員狀態!$A$2:$A$5000=$DF$151)*(ISNUMBER(SEARCH($DF170,球員狀態!$B$2:$B$5000))),0)),"")</f>
        <v/>
      </c>
      <c r="DV170" s="4" t="str">
        <f t="array" ref="DV170">IFERROR(INDEX(球員狀態!R$2:R$5000, MATCH(1, (球員狀態!$A$2:$A$5000=$DF$1)*(ISNUMBER(SEARCH($DF170, 球員狀態!$B$2:$B$5000))), 0)), "")</f>
        <v/>
      </c>
      <c r="DW170" s="4" t="str">
        <f t="array" ref="DW170">IFERROR(INDEX(球員狀態!S$2:S$5000, MATCH(1, (球員狀態!$A$2:$A$5000=$DF$1)*(ISNUMBER(SEARCH($DF170, 球員狀態!$B$2:$B$5000))), 0)), "")</f>
        <v/>
      </c>
      <c r="DX170" s="4" t="str">
        <f t="array" ref="DX170">IFERROR(INDEX(球員狀態!T$2:T$5000,MATCH(1,(球員狀態!$A$2:$A$5000=$DF$151)*(ISNUMBER(SEARCH($DF170,球員狀態!$B$2:$B$5000))),0)),"")</f>
        <v/>
      </c>
      <c r="DY170" s="4" t="str">
        <f t="array" ref="DY170">IFERROR(INDEX(球員狀態!U$2:U$5000, MATCH(1, (球員狀態!$A$2:$A$5000=$DF$1)*(ISNUMBER(SEARCH($DF170, 球員狀態!$B$2:$B$5000))), 0)), "")</f>
        <v/>
      </c>
      <c r="DZ170" s="4" t="str">
        <f t="array" ref="DZ170">IFERROR(INDEX(球員狀態!V$2:V$5000, MATCH(1, (球員狀態!$A$2:$A$5000=$DF$1)*(ISNUMBER(SEARCH($DF170, 球員狀態!$B$2:$B$5000))), 0)), "")</f>
        <v/>
      </c>
      <c r="EA170" s="4" t="str">
        <f t="array" ref="EA170">IFERROR(INDEX(球員狀態!W$2:W$5000,MATCH(1,(球員狀態!$A$2:$A$5000=$DF$151)*(ISNUMBER(SEARCH($DF170,球員狀態!$B$2:$B$5000))),0)),"")</f>
        <v/>
      </c>
      <c r="EB170" s="4" t="str">
        <f t="array" ref="EB170">IFERROR(INDEX(球員狀態!X$2:X$5000, MATCH(1, (球員狀態!$A$2:$A$5000=$DF$1)*(ISNUMBER(SEARCH($DF170, 球員狀態!$B$2:$B$5000))), 0)), "")</f>
        <v/>
      </c>
      <c r="EC170" s="4" t="str">
        <f t="array" ref="EC170">IFERROR(INDEX(球員狀態!Y$2:Y$5000, MATCH(1, (球員狀態!$A$2:$A$5000=$DF$1)*(ISNUMBER(SEARCH($DF170, 球員狀態!$B$2:$B$5000))), 0)), "")</f>
        <v/>
      </c>
      <c r="ED170" s="4" t="str">
        <f t="array" ref="ED170">IFERROR(INDEX(球員狀態!Z$2:Z$5000,MATCH(1,(球員狀態!$A$2:$A$5000=$DF$151)*(ISNUMBER(SEARCH($DF170,球員狀態!$B$2:$B$5000))),0)),"")</f>
        <v/>
      </c>
      <c r="EE170" s="4" t="str">
        <f t="array" ref="EE170">IFERROR(INDEX(球員狀態!AA$2:AA$5000,MATCH(1,(球員狀態!$A$2:$A$5000=$DF$151)*(ISNUMBER(SEARCH($DF170,球員狀態!$B$2:$B$5000))),0)),"")</f>
        <v/>
      </c>
      <c r="EF170" s="4" t="str">
        <f t="array" ref="EF170">IFERROR(INDEX(球員狀態!AB$2:AB$5000,MATCH(1,(球員狀態!$A$2:$A$5000=$DF$151)*(ISNUMBER(SEARCH($DF170,球員狀態!$B$2:$B$5000))),0)),"")</f>
        <v/>
      </c>
      <c r="EG170" s="56"/>
      <c r="EI170" s="37" t="str">
        <f>先發名單!X$7</f>
        <v>Josh Smith</v>
      </c>
      <c r="EJ170" s="4" t="str">
        <f t="array" ref="EJ170">IFERROR(INDEX(球員狀態!C$2:C$5000, MATCH(1, (球員狀態!$A$2:$A$5000=$EI$151)*(ISNUMBER(SEARCH($EI170, 球員狀態!$B$2:$B$5000))), 0)), "")</f>
        <v>SS</v>
      </c>
      <c r="EM170" s="4" t="str">
        <f t="array" ref="EM170">IFERROR(INDEX(球員狀態!F$2:F$5000, MATCH(1, (球員狀態!$A$2:$A$5000=$EI$151)*(ISNUMBER(SEARCH($EI170, 球員狀態!$B$2:$B$5000))), 0)), "")</f>
        <v>6</v>
      </c>
      <c r="EN170" s="4" t="str">
        <f t="array" ref="EN170">IFERROR(INDEX(球員狀態!G$2:G$5000, MATCH(1, (球員狀態!$A$2:$A$5000=$EI$1)*(ISNUMBER(SEARCH($EI170, 球員狀態!$B$2:$B$5000))), 0)), "")</f>
        <v/>
      </c>
      <c r="EO170" s="4" t="str">
        <f t="array" ref="EO170">IFERROR(INDEX(球員狀態!H$2:H$5000, MATCH(1, (球員狀態!$A$2:$A$5000=$EI$151)*(ISNUMBER(SEARCH($EI170, 球員狀態!$B$2:$B$5000))), 0)), "")</f>
        <v>2</v>
      </c>
      <c r="EP170" s="4" t="str">
        <f t="array" ref="EP170">IFERROR(INDEX(球員狀態!I$2:I$5000, MATCH(1, (球員狀態!$A$2:$A$5000=$EI$151)*(ISNUMBER(SEARCH($EI170, 球員狀態!$B$2:$B$5000))), 0)), "")</f>
        <v>0</v>
      </c>
      <c r="EQ170" s="4" t="str">
        <f t="array" ref="EQ170">IFERROR(INDEX(球員狀態!J$2:J$5000, MATCH(1, (球員狀態!$A$2:$A$5000=$EI$151)*(ISNUMBER(SEARCH($EI170, 球員狀態!$B$2:$B$5000))), 0)), "")</f>
        <v>0</v>
      </c>
      <c r="ER170" s="4" t="str">
        <f t="array" ref="ER170">IFERROR(INDEX(球員狀態!K$2:K$5000, MATCH(1, (球員狀態!$A$2:$A$5000=$EI$151)*(ISNUMBER(SEARCH($EI170, 球員狀態!$B$2:$B$5000))), 0)), "")</f>
        <v>6</v>
      </c>
      <c r="ES170" s="4" t="str">
        <f t="array" ref="ES170">IFERROR(INDEX(球員狀態!L$2:L$5000, MATCH(1, (球員狀態!$A$2:$A$5000=$EI$151)*(ISNUMBER(SEARCH($EI170, 球員狀態!$B$2:$B$5000))), 0)), "")</f>
        <v>18</v>
      </c>
      <c r="ET170" s="4" t="str">
        <f t="array" ref="ET170">IFERROR(INDEX(球員狀態!M$2:M$5000, MATCH(1, (球員狀態!$A$2:$A$5000=$EI$151)*(ISNUMBER(SEARCH($EI170, 球員狀態!$B$2:$B$5000))), 0)), "")</f>
        <v>13</v>
      </c>
      <c r="EU170" s="4" t="str">
        <f t="array" ref="EU170">IFERROR(INDEX(球員狀態!N$2:N$5000, MATCH(1, (球員狀態!$A$2:$A$5000=$EI$151)*(ISNUMBER(SEARCH($EI170, 球員狀態!$B$2:$B$5000))), 0)), "")</f>
        <v>16</v>
      </c>
      <c r="EV170" s="4" t="str">
        <f t="array" ref="EV170">IFERROR(INDEX(球員狀態!O$2:O$5000, MATCH(1, (球員狀態!$A$2:$A$5000=$EI$1)*(ISNUMBER(SEARCH($EI170, 球員狀態!$B$2:$B$5000))), 0)), "")</f>
        <v/>
      </c>
      <c r="EW170" s="4" t="str">
        <f t="array" ref="EW170">IFERROR(INDEX(球員狀態!P$2:P$5000, MATCH(1, (球員狀態!$A$2:$A$5000=$EI$1)*(ISNUMBER(SEARCH($EI170, 球員狀態!$B$2:$B$5000))), 0)), "")</f>
        <v/>
      </c>
      <c r="EX170" s="4" t="str">
        <f t="array" ref="EX170">IFERROR(INDEX(球員狀態!Q$2:Q$5000, MATCH(1, (球員狀態!$A$2:$A$5000=$EI$151)*(ISNUMBER(SEARCH($EI170, 球員狀態!$B$2:$B$5000))), 0)), "")</f>
        <v>.326</v>
      </c>
      <c r="EY170" s="4" t="str">
        <f t="array" ref="EY170">IFERROR(INDEX(球員狀態!R$2:R$5000, MATCH(1, (球員狀態!$A$2:$A$5000=$EI$1)*(ISNUMBER(SEARCH($EI170, 球員狀態!$B$2:$B$5000))), 0)), "")</f>
        <v/>
      </c>
      <c r="EZ170" s="4" t="str">
        <f t="array" ref="EZ170">IFERROR(INDEX(球員狀態!S$2:S$5000, MATCH(1, (球員狀態!$A$2:$A$5000=$EI$1)*(ISNUMBER(SEARCH($EI170, 球員狀態!$B$2:$B$5000))), 0)), "")</f>
        <v/>
      </c>
      <c r="FA170" s="4" t="str">
        <f t="array" ref="FA170">IFERROR(INDEX(球員狀態!T$2:T$5000, MATCH(1, (球員狀態!$A$2:$A$5000=$EI$151)*(ISNUMBER(SEARCH($EI170, 球員狀態!$B$2:$B$5000))), 0)), "")</f>
        <v>-0.1</v>
      </c>
      <c r="FB170" s="4" t="str">
        <f t="array" ref="FB170">IFERROR(INDEX(球員狀態!U$2:U$5000, MATCH(1, (球員狀態!$A$2:$A$5000=$EI$1)*(ISNUMBER(SEARCH($EI170, 球員狀態!$B$2:$B$5000))), 0)), "")</f>
        <v/>
      </c>
      <c r="FC170" s="4" t="str">
        <f t="array" ref="FC170">IFERROR(INDEX(球員狀態!V$2:V$5000, MATCH(1, (球員狀態!$A$2:$A$5000=$EI$1)*(ISNUMBER(SEARCH($EI170, 球員狀態!$B$2:$B$5000))), 0)), "")</f>
        <v/>
      </c>
      <c r="FD170" s="4" t="str">
        <f t="array" ref="FD170">IFERROR(INDEX(球員狀態!W$2:W$5000, MATCH(1, (球員狀態!$A$2:$A$5000=$EI$151)*(ISNUMBER(SEARCH($EI170, 球員狀態!$B$2:$B$5000))), 0)), "")</f>
        <v>.141</v>
      </c>
      <c r="FE170" s="4" t="str">
        <f t="array" ref="FE170">IFERROR(INDEX(球員狀態!X$2:X$5000, MATCH(1, (球員狀態!$A$2:$A$5000=$EI$1)*(ISNUMBER(SEARCH($EI170, 球員狀態!$B$2:$B$5000))), 0)), "")</f>
        <v/>
      </c>
      <c r="FF170" s="4" t="str">
        <f t="array" ref="FF170">IFERROR(INDEX(球員狀態!Y$2:Y$5000, MATCH(1, (球員狀態!$A$2:$A$5000=$EI$1)*(ISNUMBER(SEARCH($EI170, 球員狀態!$B$2:$B$5000))), 0)), "")</f>
        <v/>
      </c>
      <c r="FG170" s="4" t="str">
        <f t="array" ref="FG170">IFERROR(INDEX(球員狀態!Z$2:Z$5000, MATCH(1, (球員狀態!$A$2:$A$5000=$EI$151)*(ISNUMBER(SEARCH($EI170, 球員狀態!$B$2:$B$5000))), 0)), "")</f>
        <v>.208</v>
      </c>
      <c r="FH170" s="4" t="str">
        <f t="array" ref="FH170">IFERROR(INDEX(球員狀態!AA$2:AA$5000, MATCH(1, (球員狀態!$A$2:$A$5000=$EI$151)*(ISNUMBER(SEARCH($EI170, 球員狀態!$B$2:$B$5000))), 0)), "")</f>
        <v>3.93</v>
      </c>
      <c r="FI170" s="4" t="str">
        <f t="array" ref="FI170">IFERROR(INDEX(球員狀態!AB$2:AB$5000, MATCH(1, (球員狀態!$A$2:$A$5000=$EI$151)*(ISNUMBER(SEARCH($EI170, 球員狀態!$B$2:$B$5000))), 0)), "")</f>
        <v>2</v>
      </c>
    </row>
    <row r="171" spans="110:165">
      <c r="DH171" s="40" t="e">
        <f>DJ171+DL171+DM171+DN171+DO171-DP171-DQ171+DR171</f>
        <v>#VALUE!</v>
      </c>
      <c r="DI171" s="42" t="e">
        <f>DU171+DX171+EA171+ED171+EE171+EF171</f>
        <v>#VALUE!</v>
      </c>
      <c r="DJ171" s="38" t="e">
        <f>VLOOKUP(DJ170*1, FK$2:FM$12, 3, TRUE)*FM$1</f>
        <v>#VALUE!</v>
      </c>
      <c r="DL171" s="38" t="e">
        <f>VLOOKUP(DL170*1, FN$2:FP$12, 3, TRUE)*FP$1</f>
        <v>#VALUE!</v>
      </c>
      <c r="DM171" s="38" t="e">
        <f>VLOOKUP(DM170*1, FQ$2:FS$12, 3, TRUE)*FS$1</f>
        <v>#VALUE!</v>
      </c>
      <c r="DN171" s="38" t="e">
        <f>VLOOKUP(DN170*1, FT$2:FV$12, 3, TRUE)*FV$1</f>
        <v>#VALUE!</v>
      </c>
      <c r="DO171" s="38" t="e">
        <f>VLOOKUP(DO170*1, FW$2:FY$12, 3, TRUE)*FY$1</f>
        <v>#VALUE!</v>
      </c>
      <c r="DP171" s="39" t="e">
        <f>VLOOKUP(DP170*1, FK$14:FM$25, 3, TRUE)*FM$14</f>
        <v>#VALUE!</v>
      </c>
      <c r="DQ171" s="39" t="e">
        <f>VLOOKUP(DQ170*1, FN$14:FP$25, 3, TRUE)*FP$14</f>
        <v>#VALUE!</v>
      </c>
      <c r="DR171" s="38" t="e">
        <f>VLOOKUP(DR170*1, FQ$14:FS$25, 3, TRUE)*FS$14</f>
        <v>#VALUE!</v>
      </c>
      <c r="DU171" s="41" t="e">
        <f>VLOOKUP(DU170*1, FK$27:FM$38, 3, TRUE)*FM$27</f>
        <v>#VALUE!</v>
      </c>
      <c r="DX171" s="41" t="e">
        <f>VLOOKUP(DX170*1, FN$27:FP$38, 3, TRUE)*FP$27</f>
        <v>#VALUE!</v>
      </c>
      <c r="EA171" s="41" t="e">
        <f>VLOOKUP(EA170*1, FQ$27:FS$38, 3, TRUE)*FS$27</f>
        <v>#VALUE!</v>
      </c>
      <c r="ED171" s="41" t="e">
        <f>VLOOKUP(ED170*1, FT$27:FV$38, 3, TRUE)*FV$27</f>
        <v>#VALUE!</v>
      </c>
      <c r="EE171" s="41" t="e">
        <f>VLOOKUP(EE170*1, FW$27:FY$38, 3, TRUE)*FY$27</f>
        <v>#VALUE!</v>
      </c>
      <c r="EF171" s="41" t="e">
        <f>VLOOKUP(EF170*1, FK$40:FM$51, 3, TRUE)*FM$40</f>
        <v>#VALUE!</v>
      </c>
      <c r="EG171" s="57"/>
      <c r="EK171" s="40">
        <f>EM171+EO171+EP171+EQ171+ER171-ES171-ET171+EU171</f>
        <v>0.64999999999999991</v>
      </c>
      <c r="EL171" s="42" t="e">
        <f>EX171+FA171+FD171+FG171+FH171+FI171</f>
        <v>#N/A</v>
      </c>
      <c r="EM171" s="38">
        <f>VLOOKUP(EM170*1, $FK$2:$FM$12, 3, TRUE)*$FM$1</f>
        <v>0.5</v>
      </c>
      <c r="EO171" s="38">
        <f>VLOOKUP(EO170*1, $FN$2:$FP$12, 3, TRUE)*$FP$1</f>
        <v>0.15</v>
      </c>
      <c r="EP171" s="38">
        <f>VLOOKUP(EP170*1, $FQ$2:$FS$12, 3, TRUE)*$FS$1</f>
        <v>0</v>
      </c>
      <c r="EQ171" s="38">
        <f>VLOOKUP(EQ170*1, $FT$2:$FV$12, 3, TRUE)*$FV$1</f>
        <v>0</v>
      </c>
      <c r="ER171" s="38">
        <f>VLOOKUP(ER170*1, $FW$2:$FY$12, 3, TRUE)*$FY$1</f>
        <v>0.5</v>
      </c>
      <c r="ES171" s="39">
        <f>VLOOKUP(ES170*1, $FK$14:$FM$25, 3, TRUE)*$FM$14</f>
        <v>1</v>
      </c>
      <c r="ET171" s="39">
        <f>VLOOKUP(ET170*1, $FN$14:$FP$25, 3, TRUE)*$FP$14</f>
        <v>1</v>
      </c>
      <c r="EU171" s="38">
        <f>VLOOKUP(EU170*1, $FQ$14:$FS$25, 3, TRUE)*$FS$14</f>
        <v>1.5</v>
      </c>
      <c r="EX171" s="41">
        <f>VLOOKUP(EX170*1, $FK$27:$FM$38, 3, TRUE)*$FM$27</f>
        <v>0</v>
      </c>
      <c r="FA171" s="41" t="e">
        <f>VLOOKUP(FA170*1, $FN$27:$FP$38, 3, TRUE)*$FP$27</f>
        <v>#N/A</v>
      </c>
      <c r="FD171" s="41">
        <f>VLOOKUP(FD170*1, $FQ$27:$FS$38, 3, TRUE)*$FS$27</f>
        <v>0</v>
      </c>
      <c r="FG171" s="41">
        <f>VLOOKUP(FG170*1, $FT$27:$FV$38, 3, TRUE)*$FV$27</f>
        <v>0</v>
      </c>
      <c r="FH171" s="41">
        <f>VLOOKUP(FH170*1, $FW$27:$FY$38, 3, TRUE)*$FY$27</f>
        <v>1.5</v>
      </c>
      <c r="FI171" s="41">
        <f>VLOOKUP(FI170*1, $FK$40:$FM$51, 3, TRUE)*$FM$40</f>
        <v>3.5</v>
      </c>
    </row>
    <row r="172" spans="110:165">
      <c r="DF172" s="37" t="e">
        <f>先發名單!#REF!</f>
        <v>#REF!</v>
      </c>
      <c r="DG172" s="4" t="str">
        <f t="array" ref="DG172">IFERROR(INDEX(球員狀態!$C$2:$C$5000, MATCH(1, (球員狀態!$A$2:$A$5000=$DF$151)*(ISNUMBER(SEARCH($DF172, 球員狀態!$B$2:$B$5000))), 0)), "")</f>
        <v/>
      </c>
      <c r="DJ172" s="4" t="str">
        <f t="array" ref="DJ172">IFERROR(INDEX(球員狀態!$F$2:$F$5000,MATCH(1,(球員狀態!$A$2:$A$5000=$DF$151)*(ISNUMBER(SEARCH($DF172,球員狀態!$B$2:$B$5000))),0)),"")</f>
        <v/>
      </c>
      <c r="DK172" s="4" t="str">
        <f t="array" ref="DK172">IFERROR(INDEX(球員狀態!G$2:G$5000, MATCH(1, (球員狀態!$A$2:$A$5000=$DF$1)*(ISNUMBER(SEARCH($DF172, 球員狀態!$B$2:$B$5000))), 0)), "")</f>
        <v/>
      </c>
      <c r="DL172" s="4" t="str">
        <f t="array" ref="DL172">IFERROR(INDEX(球員狀態!H$2:H$5000, MATCH(1, (球員狀態!$A$2:$A$5000=$DF$151)*(ISNUMBER(SEARCH($DF172, 球員狀態!$B$2:$B$5000))), 0)), "")</f>
        <v/>
      </c>
      <c r="DM172" s="4" t="str">
        <f t="array" ref="DM172">IFERROR(INDEX(球員狀態!I$2:I$5000,MATCH(1,(球員狀態!$A$2:$A$5000=$DF$151)*(ISNUMBER(SEARCH($DF172,球員狀態!$B$2:$B$5000))),0)),"")</f>
        <v/>
      </c>
      <c r="DN172" s="4" t="str">
        <f t="array" ref="DN172">IFERROR(INDEX(球員狀態!J$2:J$5000,MATCH(1,(球員狀態!$A$2:$A$5000=$DF$151)*(ISNUMBER(SEARCH($DF172,球員狀態!$B$2:$B$5000))),0)),"")</f>
        <v/>
      </c>
      <c r="DO172" s="4" t="str">
        <f t="array" ref="DO172">IFERROR(INDEX(球員狀態!K$2:K$5000,MATCH(1,(球員狀態!$A$2:$A$5000=$DF$151)*(ISNUMBER(SEARCH($DF172,球員狀態!$B$2:$B$5000))),0)),"")</f>
        <v/>
      </c>
      <c r="DP172" s="4" t="str">
        <f t="array" ref="DP172">IFERROR(INDEX(球員狀態!L$2:L$5000,MATCH(1,(球員狀態!$A$2:$A$5000=$DF$151)*(ISNUMBER(SEARCH($DF172,球員狀態!$B$2:$B$5000))),0)),"")</f>
        <v/>
      </c>
      <c r="DQ172" s="4" t="str">
        <f t="array" ref="DQ172">IFERROR(INDEX(球員狀態!M$2:M$5000,MATCH(1,(球員狀態!$A$2:$A$5000=$DF$151)*(ISNUMBER(SEARCH($DF172,球員狀態!$B$2:$B$5000))),0)),"")</f>
        <v/>
      </c>
      <c r="DR172" s="4" t="str">
        <f t="array" ref="DR172">IFERROR(INDEX(球員狀態!N$2:N$5000,MATCH(1,(球員狀態!$A$2:$A$5000=$DF$151)*(ISNUMBER(SEARCH($DF172,球員狀態!$B$2:$B$5000))),0)),"")</f>
        <v/>
      </c>
      <c r="DS172" s="4" t="str">
        <f t="array" ref="DS172">IFERROR(INDEX(球員狀態!O$2:O$5000, MATCH(1, (球員狀態!$A$2:$A$5000=$DF$1)*(ISNUMBER(SEARCH($DF172, 球員狀態!$B$2:$B$5000))), 0)), "")</f>
        <v/>
      </c>
      <c r="DT172" s="4" t="str">
        <f t="array" ref="DT172">IFERROR(INDEX(球員狀態!P$2:P$5000, MATCH(1, (球員狀態!$A$2:$A$5000=$DF$1)*(ISNUMBER(SEARCH($DF172, 球員狀態!$B$2:$B$5000))), 0)), "")</f>
        <v/>
      </c>
      <c r="DU172" s="4" t="str">
        <f t="array" ref="DU172">IFERROR(INDEX(球員狀態!Q$2:Q$5000,MATCH(1,(球員狀態!$A$2:$A$5000=$DF$151)*(ISNUMBER(SEARCH($DF172,球員狀態!$B$2:$B$5000))),0)),"")</f>
        <v/>
      </c>
      <c r="DV172" s="4" t="str">
        <f t="array" ref="DV172">IFERROR(INDEX(球員狀態!R$2:R$5000, MATCH(1, (球員狀態!$A$2:$A$5000=$DF$1)*(ISNUMBER(SEARCH($DF172, 球員狀態!$B$2:$B$5000))), 0)), "")</f>
        <v/>
      </c>
      <c r="DW172" s="4" t="str">
        <f t="array" ref="DW172">IFERROR(INDEX(球員狀態!S$2:S$5000, MATCH(1, (球員狀態!$A$2:$A$5000=$DF$1)*(ISNUMBER(SEARCH($DF172, 球員狀態!$B$2:$B$5000))), 0)), "")</f>
        <v/>
      </c>
      <c r="DX172" s="4" t="str">
        <f t="array" ref="DX172">IFERROR(INDEX(球員狀態!T$2:T$5000,MATCH(1,(球員狀態!$A$2:$A$5000=$DF$151)*(ISNUMBER(SEARCH($DF172,球員狀態!$B$2:$B$5000))),0)),"")</f>
        <v/>
      </c>
      <c r="DY172" s="4" t="str">
        <f t="array" ref="DY172">IFERROR(INDEX(球員狀態!U$2:U$5000, MATCH(1, (球員狀態!$A$2:$A$5000=$DF$1)*(ISNUMBER(SEARCH($DF172, 球員狀態!$B$2:$B$5000))), 0)), "")</f>
        <v/>
      </c>
      <c r="DZ172" s="4" t="str">
        <f t="array" ref="DZ172">IFERROR(INDEX(球員狀態!V$2:V$5000, MATCH(1, (球員狀態!$A$2:$A$5000=$DF$1)*(ISNUMBER(SEARCH($DF172, 球員狀態!$B$2:$B$5000))), 0)), "")</f>
        <v/>
      </c>
      <c r="EA172" s="4" t="str">
        <f t="array" ref="EA172">IFERROR(INDEX(球員狀態!W$2:W$5000,MATCH(1,(球員狀態!$A$2:$A$5000=$DF$151)*(ISNUMBER(SEARCH($DF172,球員狀態!$B$2:$B$5000))),0)),"")</f>
        <v/>
      </c>
      <c r="EB172" s="4" t="str">
        <f t="array" ref="EB172">IFERROR(INDEX(球員狀態!X$2:X$5000, MATCH(1, (球員狀態!$A$2:$A$5000=$DF$1)*(ISNUMBER(SEARCH($DF172, 球員狀態!$B$2:$B$5000))), 0)), "")</f>
        <v/>
      </c>
      <c r="EC172" s="4" t="str">
        <f t="array" ref="EC172">IFERROR(INDEX(球員狀態!Y$2:Y$5000, MATCH(1, (球員狀態!$A$2:$A$5000=$DF$1)*(ISNUMBER(SEARCH($DF172, 球員狀態!$B$2:$B$5000))), 0)), "")</f>
        <v/>
      </c>
      <c r="ED172" s="4" t="str">
        <f t="array" ref="ED172">IFERROR(INDEX(球員狀態!Z$2:Z$5000,MATCH(1,(球員狀態!$A$2:$A$5000=$DF$151)*(ISNUMBER(SEARCH($DF172,球員狀態!$B$2:$B$5000))),0)),"")</f>
        <v/>
      </c>
      <c r="EE172" s="4" t="str">
        <f t="array" ref="EE172">IFERROR(INDEX(球員狀態!AA$2:AA$5000,MATCH(1,(球員狀態!$A$2:$A$5000=$DF$151)*(ISNUMBER(SEARCH($DF172,球員狀態!$B$2:$B$5000))),0)),"")</f>
        <v/>
      </c>
      <c r="EF172" s="4" t="str">
        <f t="array" ref="EF172">IFERROR(INDEX(球員狀態!AB$2:AB$5000,MATCH(1,(球員狀態!$A$2:$A$5000=$DF$151)*(ISNUMBER(SEARCH($DF172,球員狀態!$B$2:$B$5000))),0)),"")</f>
        <v/>
      </c>
      <c r="EG172" s="56"/>
      <c r="EI172" s="37">
        <f>先發名單!Y$7</f>
        <v>0</v>
      </c>
      <c r="EJ172" s="4" t="str">
        <f t="array" ref="EJ172">IFERROR(INDEX(球員狀態!C$2:C$5000, MATCH(1, (球員狀態!$A$2:$A$5000=$EI$151)*(ISNUMBER(SEARCH($EI172, 球員狀態!$B$2:$B$5000))), 0)), "")</f>
        <v/>
      </c>
      <c r="EM172" s="4" t="str">
        <f t="array" ref="EM172">IFERROR(INDEX(球員狀態!F$2:F$5000, MATCH(1, (球員狀態!$A$2:$A$5000=$EI$151)*(ISNUMBER(SEARCH($EI172, 球員狀態!$B$2:$B$5000))), 0)), "")</f>
        <v/>
      </c>
      <c r="EN172" s="4" t="str">
        <f t="array" ref="EN172">IFERROR(INDEX(球員狀態!G$2:G$5000, MATCH(1, (球員狀態!$A$2:$A$5000=$EI$1)*(ISNUMBER(SEARCH($EI172, 球員狀態!$B$2:$B$5000))), 0)), "")</f>
        <v/>
      </c>
      <c r="EO172" s="4" t="str">
        <f t="array" ref="EO172">IFERROR(INDEX(球員狀態!H$2:H$5000, MATCH(1, (球員狀態!$A$2:$A$5000=$EI$151)*(ISNUMBER(SEARCH($EI172, 球員狀態!$B$2:$B$5000))), 0)), "")</f>
        <v/>
      </c>
      <c r="EP172" s="4" t="str">
        <f t="array" ref="EP172">IFERROR(INDEX(球員狀態!I$2:I$5000, MATCH(1, (球員狀態!$A$2:$A$5000=$EI$151)*(ISNUMBER(SEARCH($EI172, 球員狀態!$B$2:$B$5000))), 0)), "")</f>
        <v/>
      </c>
      <c r="EQ172" s="4" t="str">
        <f t="array" ref="EQ172">IFERROR(INDEX(球員狀態!J$2:J$5000, MATCH(1, (球員狀態!$A$2:$A$5000=$EI$151)*(ISNUMBER(SEARCH($EI172, 球員狀態!$B$2:$B$5000))), 0)), "")</f>
        <v/>
      </c>
      <c r="ER172" s="4" t="str">
        <f t="array" ref="ER172">IFERROR(INDEX(球員狀態!K$2:K$5000, MATCH(1, (球員狀態!$A$2:$A$5000=$EI$151)*(ISNUMBER(SEARCH($EI172, 球員狀態!$B$2:$B$5000))), 0)), "")</f>
        <v/>
      </c>
      <c r="ES172" s="4" t="str">
        <f t="array" ref="ES172">IFERROR(INDEX(球員狀態!L$2:L$5000, MATCH(1, (球員狀態!$A$2:$A$5000=$EI$151)*(ISNUMBER(SEARCH($EI172, 球員狀態!$B$2:$B$5000))), 0)), "")</f>
        <v/>
      </c>
      <c r="ET172" s="4" t="str">
        <f t="array" ref="ET172">IFERROR(INDEX(球員狀態!M$2:M$5000, MATCH(1, (球員狀態!$A$2:$A$5000=$EI$151)*(ISNUMBER(SEARCH($EI172, 球員狀態!$B$2:$B$5000))), 0)), "")</f>
        <v/>
      </c>
      <c r="EU172" s="4" t="str">
        <f t="array" ref="EU172">IFERROR(INDEX(球員狀態!N$2:N$5000, MATCH(1, (球員狀態!$A$2:$A$5000=$EI$151)*(ISNUMBER(SEARCH($EI172, 球員狀態!$B$2:$B$5000))), 0)), "")</f>
        <v/>
      </c>
      <c r="EV172" s="4" t="str">
        <f t="array" ref="EV172">IFERROR(INDEX(球員狀態!O$2:O$5000, MATCH(1, (球員狀態!$A$2:$A$5000=$EI$1)*(ISNUMBER(SEARCH($EI172, 球員狀態!$B$2:$B$5000))), 0)), "")</f>
        <v/>
      </c>
      <c r="EW172" s="4" t="str">
        <f t="array" ref="EW172">IFERROR(INDEX(球員狀態!P$2:P$5000, MATCH(1, (球員狀態!$A$2:$A$5000=$EI$1)*(ISNUMBER(SEARCH($EI172, 球員狀態!$B$2:$B$5000))), 0)), "")</f>
        <v/>
      </c>
      <c r="EX172" s="4" t="str">
        <f t="array" ref="EX172">IFERROR(INDEX(球員狀態!Q$2:Q$5000, MATCH(1, (球員狀態!$A$2:$A$5000=$EI$151)*(ISNUMBER(SEARCH($EI172, 球員狀態!$B$2:$B$5000))), 0)), "")</f>
        <v/>
      </c>
      <c r="EY172" s="4" t="str">
        <f t="array" ref="EY172">IFERROR(INDEX(球員狀態!R$2:R$5000, MATCH(1, (球員狀態!$A$2:$A$5000=$EI$1)*(ISNUMBER(SEARCH($EI172, 球員狀態!$B$2:$B$5000))), 0)), "")</f>
        <v/>
      </c>
      <c r="EZ172" s="4" t="str">
        <f t="array" ref="EZ172">IFERROR(INDEX(球員狀態!S$2:S$5000, MATCH(1, (球員狀態!$A$2:$A$5000=$EI$1)*(ISNUMBER(SEARCH($EI172, 球員狀態!$B$2:$B$5000))), 0)), "")</f>
        <v/>
      </c>
      <c r="FA172" s="4" t="str">
        <f t="array" ref="FA172">IFERROR(INDEX(球員狀態!T$2:T$5000, MATCH(1, (球員狀態!$A$2:$A$5000=$EI$151)*(ISNUMBER(SEARCH($EI172, 球員狀態!$B$2:$B$5000))), 0)), "")</f>
        <v/>
      </c>
      <c r="FB172" s="4" t="str">
        <f t="array" ref="FB172">IFERROR(INDEX(球員狀態!U$2:U$5000, MATCH(1, (球員狀態!$A$2:$A$5000=$EI$1)*(ISNUMBER(SEARCH($EI172, 球員狀態!$B$2:$B$5000))), 0)), "")</f>
        <v/>
      </c>
      <c r="FC172" s="4" t="str">
        <f t="array" ref="FC172">IFERROR(INDEX(球員狀態!V$2:V$5000, MATCH(1, (球員狀態!$A$2:$A$5000=$EI$1)*(ISNUMBER(SEARCH($EI172, 球員狀態!$B$2:$B$5000))), 0)), "")</f>
        <v/>
      </c>
      <c r="FD172" s="4" t="str">
        <f t="array" ref="FD172">IFERROR(INDEX(球員狀態!W$2:W$5000, MATCH(1, (球員狀態!$A$2:$A$5000=$EI$151)*(ISNUMBER(SEARCH($EI172, 球員狀態!$B$2:$B$5000))), 0)), "")</f>
        <v/>
      </c>
      <c r="FE172" s="4" t="str">
        <f t="array" ref="FE172">IFERROR(INDEX(球員狀態!X$2:X$5000, MATCH(1, (球員狀態!$A$2:$A$5000=$EI$1)*(ISNUMBER(SEARCH($EI172, 球員狀態!$B$2:$B$5000))), 0)), "")</f>
        <v/>
      </c>
      <c r="FF172" s="4" t="str">
        <f t="array" ref="FF172">IFERROR(INDEX(球員狀態!Y$2:Y$5000, MATCH(1, (球員狀態!$A$2:$A$5000=$EI$1)*(ISNUMBER(SEARCH($EI172, 球員狀態!$B$2:$B$5000))), 0)), "")</f>
        <v/>
      </c>
      <c r="FG172" s="4" t="str">
        <f t="array" ref="FG172">IFERROR(INDEX(球員狀態!Z$2:Z$5000, MATCH(1, (球員狀態!$A$2:$A$5000=$EI$151)*(ISNUMBER(SEARCH($EI172, 球員狀態!$B$2:$B$5000))), 0)), "")</f>
        <v/>
      </c>
      <c r="FH172" s="4" t="str">
        <f t="array" ref="FH172">IFERROR(INDEX(球員狀態!AA$2:AA$5000, MATCH(1, (球員狀態!$A$2:$A$5000=$EI$151)*(ISNUMBER(SEARCH($EI172, 球員狀態!$B$2:$B$5000))), 0)), "")</f>
        <v/>
      </c>
      <c r="FI172" s="4" t="str">
        <f t="array" ref="FI172">IFERROR(INDEX(球員狀態!AB$2:AB$5000, MATCH(1, (球員狀態!$A$2:$A$5000=$EI$151)*(ISNUMBER(SEARCH($EI172, 球員狀態!$B$2:$B$5000))), 0)), "")</f>
        <v/>
      </c>
    </row>
    <row r="173" spans="110:165">
      <c r="DH173" s="40" t="e">
        <f>DJ173+DL173+DM173+DN173+DO173-DP173-DQ173+DR173</f>
        <v>#VALUE!</v>
      </c>
      <c r="DI173" s="42" t="e">
        <f>DU173+DX173+EA173+ED173+EE173+EF173</f>
        <v>#VALUE!</v>
      </c>
      <c r="DJ173" s="38" t="e">
        <f>VLOOKUP(DJ172*1, FK$2:FM$12, 3, TRUE)*FM$1</f>
        <v>#VALUE!</v>
      </c>
      <c r="DL173" s="38" t="e">
        <f>VLOOKUP(DL172*1, FN$2:FP$12, 3, TRUE)*FP$1</f>
        <v>#VALUE!</v>
      </c>
      <c r="DM173" s="38" t="e">
        <f>VLOOKUP(DM172*1, FQ$2:FS$12, 3, TRUE)*FS$1</f>
        <v>#VALUE!</v>
      </c>
      <c r="DN173" s="38" t="e">
        <f>VLOOKUP(DN172*1, FT$2:FV$12, 3, TRUE)*FV$1</f>
        <v>#VALUE!</v>
      </c>
      <c r="DO173" s="38" t="e">
        <f>VLOOKUP(DO172*1, FW$2:FY$12, 3, TRUE)*FY$1</f>
        <v>#VALUE!</v>
      </c>
      <c r="DP173" s="39" t="e">
        <f>VLOOKUP(DP172*1, FK$14:FM$25, 3, TRUE)*FM$14</f>
        <v>#VALUE!</v>
      </c>
      <c r="DQ173" s="39" t="e">
        <f>VLOOKUP(DQ172*1, FN$14:FP$25, 3, TRUE)*FP$14</f>
        <v>#VALUE!</v>
      </c>
      <c r="DR173" s="38" t="e">
        <f>VLOOKUP(DR172*1, FQ$14:FS$25, 3, TRUE)*FS$14</f>
        <v>#VALUE!</v>
      </c>
      <c r="DU173" s="41" t="e">
        <f>VLOOKUP(DU172*1, FK$27:FM$38, 3, TRUE)*FM$27</f>
        <v>#VALUE!</v>
      </c>
      <c r="DX173" s="41" t="e">
        <f>VLOOKUP(DX172*1, FN$27:FP$38, 3, TRUE)*FP$27</f>
        <v>#VALUE!</v>
      </c>
      <c r="EA173" s="41" t="e">
        <f>VLOOKUP(EA172*1, FQ$27:FS$38, 3, TRUE)*FS$27</f>
        <v>#VALUE!</v>
      </c>
      <c r="ED173" s="41" t="e">
        <f>VLOOKUP(ED172*1, FT$27:FV$38, 3, TRUE)*FV$27</f>
        <v>#VALUE!</v>
      </c>
      <c r="EE173" s="41" t="e">
        <f>VLOOKUP(EE172*1, FW$27:FY$38, 3, TRUE)*FY$27</f>
        <v>#VALUE!</v>
      </c>
      <c r="EF173" s="41" t="e">
        <f>VLOOKUP(EF172*1, FK$40:FM$51, 3, TRUE)*FM$40</f>
        <v>#VALUE!</v>
      </c>
      <c r="EG173" s="57"/>
      <c r="EK173" s="40" t="e">
        <f>EM173+EO173+EP173+EQ173+ER173-ES173-ET173+EU173</f>
        <v>#VALUE!</v>
      </c>
      <c r="EL173" s="42" t="e">
        <f>EX173+FA173+FD173+FG173+FH173+FI173</f>
        <v>#VALUE!</v>
      </c>
      <c r="EM173" s="38" t="e">
        <f>VLOOKUP(EM172*1, $FK$2:$FM$12, 3, TRUE)*$FM$1</f>
        <v>#VALUE!</v>
      </c>
      <c r="EO173" s="38" t="e">
        <f>VLOOKUP(EO172*1, $FN$2:$FP$12, 3, TRUE)*$FP$1</f>
        <v>#VALUE!</v>
      </c>
      <c r="EP173" s="38" t="e">
        <f>VLOOKUP(EP172*1, $FQ$2:$FS$12, 3, TRUE)*$FS$1</f>
        <v>#VALUE!</v>
      </c>
      <c r="EQ173" s="38" t="e">
        <f>VLOOKUP(EQ172*1, $FT$2:$FV$12, 3, TRUE)*$FV$1</f>
        <v>#VALUE!</v>
      </c>
      <c r="ER173" s="38" t="e">
        <f>VLOOKUP(ER172*1, $FW$2:$FY$12, 3, TRUE)*$FY$1</f>
        <v>#VALUE!</v>
      </c>
      <c r="ES173" s="39" t="e">
        <f>VLOOKUP(ES172*1, $FK$14:$FM$25, 3, TRUE)*$FM$14</f>
        <v>#VALUE!</v>
      </c>
      <c r="ET173" s="39" t="e">
        <f>VLOOKUP(ET172*1, $FN$14:$FP$25, 3, TRUE)*$FP$14</f>
        <v>#VALUE!</v>
      </c>
      <c r="EU173" s="38" t="e">
        <f>VLOOKUP(EU172*1, $FQ$14:$FS$25, 3, TRUE)*$FS$14</f>
        <v>#VALUE!</v>
      </c>
      <c r="EX173" s="41" t="e">
        <f>VLOOKUP(EX172*1, $FK$27:$FM$38, 3, TRUE)*$FM$27</f>
        <v>#VALUE!</v>
      </c>
      <c r="FA173" s="41" t="e">
        <f>VLOOKUP(FA172*1, $FN$27:$FP$38, 3, TRUE)*$FP$27</f>
        <v>#VALUE!</v>
      </c>
      <c r="FD173" s="41" t="e">
        <f>VLOOKUP(FD172*1, $FQ$27:$FS$38, 3, TRUE)*$FS$27</f>
        <v>#VALUE!</v>
      </c>
      <c r="FG173" s="41" t="e">
        <f>VLOOKUP(FG172*1, $FT$27:$FV$38, 3, TRUE)*$FV$27</f>
        <v>#VALUE!</v>
      </c>
      <c r="FH173" s="41" t="e">
        <f>VLOOKUP(FH172*1, $FW$27:$FY$38, 3, TRUE)*$FY$27</f>
        <v>#VALUE!</v>
      </c>
      <c r="FI173" s="41" t="e">
        <f>VLOOKUP(FI172*1, $FK$40:$FM$51, 3, TRUE)*$FM$40</f>
        <v>#VALUE!</v>
      </c>
    </row>
    <row r="174" spans="110:165">
      <c r="DF174" s="37" t="e">
        <f>先發名單!#REF!</f>
        <v>#REF!</v>
      </c>
      <c r="DG174" s="4" t="str">
        <f t="array" ref="DG174">IFERROR(INDEX(球員狀態!$C$2:$C$5000, MATCH(1, (球員狀態!$A$2:$A$5000=$DF$151)*(ISNUMBER(SEARCH($DF174, 球員狀態!$B$2:$B$5000))), 0)), "")</f>
        <v/>
      </c>
      <c r="DJ174" s="4" t="str">
        <f t="array" ref="DJ174">IFERROR(INDEX(球員狀態!$F$2:$F$5000,MATCH(1,(球員狀態!$A$2:$A$5000=$DF$151)*(ISNUMBER(SEARCH($DF174,球員狀態!$B$2:$B$5000))),0)),"")</f>
        <v/>
      </c>
      <c r="DK174" s="4" t="str">
        <f t="array" ref="DK174">IFERROR(INDEX(球員狀態!G$2:G$5000, MATCH(1, (球員狀態!$A$2:$A$5000=$DF$1)*(ISNUMBER(SEARCH($DF174, 球員狀態!$B$2:$B$5000))), 0)), "")</f>
        <v/>
      </c>
      <c r="DL174" s="4" t="str">
        <f t="array" ref="DL174">IFERROR(INDEX(球員狀態!H$2:H$5000, MATCH(1, (球員狀態!$A$2:$A$5000=$DF$151)*(ISNUMBER(SEARCH($DF174, 球員狀態!$B$2:$B$5000))), 0)), "")</f>
        <v/>
      </c>
      <c r="DM174" s="4" t="str">
        <f t="array" ref="DM174">IFERROR(INDEX(球員狀態!I$2:I$5000,MATCH(1,(球員狀態!$A$2:$A$5000=$DF$151)*(ISNUMBER(SEARCH($DF174,球員狀態!$B$2:$B$5000))),0)),"")</f>
        <v/>
      </c>
      <c r="DN174" s="4" t="str">
        <f t="array" ref="DN174">IFERROR(INDEX(球員狀態!J$2:J$5000,MATCH(1,(球員狀態!$A$2:$A$5000=$DF$151)*(ISNUMBER(SEARCH($DF174,球員狀態!$B$2:$B$5000))),0)),"")</f>
        <v/>
      </c>
      <c r="DO174" s="4" t="str">
        <f t="array" ref="DO174">IFERROR(INDEX(球員狀態!K$2:K$5000,MATCH(1,(球員狀態!$A$2:$A$5000=$DF$151)*(ISNUMBER(SEARCH($DF174,球員狀態!$B$2:$B$5000))),0)),"")</f>
        <v/>
      </c>
      <c r="DP174" s="4" t="str">
        <f t="array" ref="DP174">IFERROR(INDEX(球員狀態!L$2:L$5000,MATCH(1,(球員狀態!$A$2:$A$5000=$DF$151)*(ISNUMBER(SEARCH($DF174,球員狀態!$B$2:$B$5000))),0)),"")</f>
        <v/>
      </c>
      <c r="DQ174" s="4" t="str">
        <f t="array" ref="DQ174">IFERROR(INDEX(球員狀態!M$2:M$5000,MATCH(1,(球員狀態!$A$2:$A$5000=$DF$151)*(ISNUMBER(SEARCH($DF174,球員狀態!$B$2:$B$5000))),0)),"")</f>
        <v/>
      </c>
      <c r="DR174" s="4" t="str">
        <f t="array" ref="DR174">IFERROR(INDEX(球員狀態!N$2:N$5000,MATCH(1,(球員狀態!$A$2:$A$5000=$DF$151)*(ISNUMBER(SEARCH($DF174,球員狀態!$B$2:$B$5000))),0)),"")</f>
        <v/>
      </c>
      <c r="DS174" s="4" t="str">
        <f t="array" ref="DS174">IFERROR(INDEX(球員狀態!O$2:O$5000, MATCH(1, (球員狀態!$A$2:$A$5000=$DF$1)*(ISNUMBER(SEARCH($DF174, 球員狀態!$B$2:$B$5000))), 0)), "")</f>
        <v/>
      </c>
      <c r="DT174" s="4" t="str">
        <f t="array" ref="DT174">IFERROR(INDEX(球員狀態!P$2:P$5000, MATCH(1, (球員狀態!$A$2:$A$5000=$DF$1)*(ISNUMBER(SEARCH($DF174, 球員狀態!$B$2:$B$5000))), 0)), "")</f>
        <v/>
      </c>
      <c r="DU174" s="4" t="str">
        <f t="array" ref="DU174">IFERROR(INDEX(球員狀態!Q$2:Q$5000,MATCH(1,(球員狀態!$A$2:$A$5000=$DF$151)*(ISNUMBER(SEARCH($DF174,球員狀態!$B$2:$B$5000))),0)),"")</f>
        <v/>
      </c>
      <c r="DV174" s="4" t="str">
        <f t="array" ref="DV174">IFERROR(INDEX(球員狀態!R$2:R$5000, MATCH(1, (球員狀態!$A$2:$A$5000=$DF$1)*(ISNUMBER(SEARCH($DF174, 球員狀態!$B$2:$B$5000))), 0)), "")</f>
        <v/>
      </c>
      <c r="DW174" s="4" t="str">
        <f t="array" ref="DW174">IFERROR(INDEX(球員狀態!S$2:S$5000, MATCH(1, (球員狀態!$A$2:$A$5000=$DF$1)*(ISNUMBER(SEARCH($DF174, 球員狀態!$B$2:$B$5000))), 0)), "")</f>
        <v/>
      </c>
      <c r="DX174" s="4" t="str">
        <f t="array" ref="DX174">IFERROR(INDEX(球員狀態!T$2:T$5000,MATCH(1,(球員狀態!$A$2:$A$5000=$DF$151)*(ISNUMBER(SEARCH($DF174,球員狀態!$B$2:$B$5000))),0)),"")</f>
        <v/>
      </c>
      <c r="DY174" s="4" t="str">
        <f t="array" ref="DY174">IFERROR(INDEX(球員狀態!U$2:U$5000, MATCH(1, (球員狀態!$A$2:$A$5000=$DF$1)*(ISNUMBER(SEARCH($DF174, 球員狀態!$B$2:$B$5000))), 0)), "")</f>
        <v/>
      </c>
      <c r="DZ174" s="4" t="str">
        <f t="array" ref="DZ174">IFERROR(INDEX(球員狀態!V$2:V$5000, MATCH(1, (球員狀態!$A$2:$A$5000=$DF$1)*(ISNUMBER(SEARCH($DF174, 球員狀態!$B$2:$B$5000))), 0)), "")</f>
        <v/>
      </c>
      <c r="EA174" s="4" t="str">
        <f t="array" ref="EA174">IFERROR(INDEX(球員狀態!W$2:W$5000,MATCH(1,(球員狀態!$A$2:$A$5000=$DF$151)*(ISNUMBER(SEARCH($DF174,球員狀態!$B$2:$B$5000))),0)),"")</f>
        <v/>
      </c>
      <c r="EB174" s="4" t="str">
        <f t="array" ref="EB174">IFERROR(INDEX(球員狀態!X$2:X$5000, MATCH(1, (球員狀態!$A$2:$A$5000=$DF$1)*(ISNUMBER(SEARCH($DF174, 球員狀態!$B$2:$B$5000))), 0)), "")</f>
        <v/>
      </c>
      <c r="EC174" s="4" t="str">
        <f t="array" ref="EC174">IFERROR(INDEX(球員狀態!Y$2:Y$5000, MATCH(1, (球員狀態!$A$2:$A$5000=$DF$1)*(ISNUMBER(SEARCH($DF174, 球員狀態!$B$2:$B$5000))), 0)), "")</f>
        <v/>
      </c>
      <c r="ED174" s="4" t="str">
        <f t="array" ref="ED174">IFERROR(INDEX(球員狀態!Z$2:Z$5000,MATCH(1,(球員狀態!$A$2:$A$5000=$DF$151)*(ISNUMBER(SEARCH($DF174,球員狀態!$B$2:$B$5000))),0)),"")</f>
        <v/>
      </c>
      <c r="EE174" s="4" t="str">
        <f t="array" ref="EE174">IFERROR(INDEX(球員狀態!AA$2:AA$5000,MATCH(1,(球員狀態!$A$2:$A$5000=$DF$151)*(ISNUMBER(SEARCH($DF174,球員狀態!$B$2:$B$5000))),0)),"")</f>
        <v/>
      </c>
      <c r="EF174" s="4" t="str">
        <f t="array" ref="EF174">IFERROR(INDEX(球員狀態!AB$2:AB$5000,MATCH(1,(球員狀態!$A$2:$A$5000=$DF$151)*(ISNUMBER(SEARCH($DF174,球員狀態!$B$2:$B$5000))),0)),"")</f>
        <v/>
      </c>
      <c r="EG174" s="56"/>
      <c r="EI174" s="37">
        <f>先發名單!Z$7</f>
        <v>0</v>
      </c>
      <c r="EJ174" s="4" t="str">
        <f t="array" ref="EJ174">IFERROR(INDEX(球員狀態!C$2:C$5000, MATCH(1, (球員狀態!$A$2:$A$5000=$EI$151)*(ISNUMBER(SEARCH($EI174, 球員狀態!$B$2:$B$5000))), 0)), "")</f>
        <v/>
      </c>
      <c r="EM174" s="4" t="str">
        <f t="array" ref="EM174">IFERROR(INDEX(球員狀態!F$2:F$5000, MATCH(1, (球員狀態!$A$2:$A$5000=$EI$151)*(ISNUMBER(SEARCH($EI174, 球員狀態!$B$2:$B$5000))), 0)), "")</f>
        <v/>
      </c>
      <c r="EN174" s="4" t="str">
        <f t="array" ref="EN174">IFERROR(INDEX(球員狀態!G$2:G$5000, MATCH(1, (球員狀態!$A$2:$A$5000=$EI$1)*(ISNUMBER(SEARCH($EI174, 球員狀態!$B$2:$B$5000))), 0)), "")</f>
        <v/>
      </c>
      <c r="EO174" s="4" t="str">
        <f t="array" ref="EO174">IFERROR(INDEX(球員狀態!H$2:H$5000, MATCH(1, (球員狀態!$A$2:$A$5000=$EI$151)*(ISNUMBER(SEARCH($EI174, 球員狀態!$B$2:$B$5000))), 0)), "")</f>
        <v/>
      </c>
      <c r="EP174" s="4" t="str">
        <f t="array" ref="EP174">IFERROR(INDEX(球員狀態!I$2:I$5000, MATCH(1, (球員狀態!$A$2:$A$5000=$EI$151)*(ISNUMBER(SEARCH($EI174, 球員狀態!$B$2:$B$5000))), 0)), "")</f>
        <v/>
      </c>
      <c r="EQ174" s="4" t="str">
        <f t="array" ref="EQ174">IFERROR(INDEX(球員狀態!J$2:J$5000, MATCH(1, (球員狀態!$A$2:$A$5000=$EI$151)*(ISNUMBER(SEARCH($EI174, 球員狀態!$B$2:$B$5000))), 0)), "")</f>
        <v/>
      </c>
      <c r="ER174" s="4" t="str">
        <f t="array" ref="ER174">IFERROR(INDEX(球員狀態!K$2:K$5000, MATCH(1, (球員狀態!$A$2:$A$5000=$EI$151)*(ISNUMBER(SEARCH($EI174, 球員狀態!$B$2:$B$5000))), 0)), "")</f>
        <v/>
      </c>
      <c r="ES174" s="4" t="str">
        <f t="array" ref="ES174">IFERROR(INDEX(球員狀態!L$2:L$5000, MATCH(1, (球員狀態!$A$2:$A$5000=$EI$151)*(ISNUMBER(SEARCH($EI174, 球員狀態!$B$2:$B$5000))), 0)), "")</f>
        <v/>
      </c>
      <c r="ET174" s="4" t="str">
        <f t="array" ref="ET174">IFERROR(INDEX(球員狀態!M$2:M$5000, MATCH(1, (球員狀態!$A$2:$A$5000=$EI$151)*(ISNUMBER(SEARCH($EI174, 球員狀態!$B$2:$B$5000))), 0)), "")</f>
        <v/>
      </c>
      <c r="EU174" s="4" t="str">
        <f t="array" ref="EU174">IFERROR(INDEX(球員狀態!N$2:N$5000, MATCH(1, (球員狀態!$A$2:$A$5000=$EI$151)*(ISNUMBER(SEARCH($EI174, 球員狀態!$B$2:$B$5000))), 0)), "")</f>
        <v/>
      </c>
      <c r="EV174" s="4" t="str">
        <f t="array" ref="EV174">IFERROR(INDEX(球員狀態!O$2:O$5000, MATCH(1, (球員狀態!$A$2:$A$5000=$EI$1)*(ISNUMBER(SEARCH($EI174, 球員狀態!$B$2:$B$5000))), 0)), "")</f>
        <v/>
      </c>
      <c r="EW174" s="4" t="str">
        <f t="array" ref="EW174">IFERROR(INDEX(球員狀態!P$2:P$5000, MATCH(1, (球員狀態!$A$2:$A$5000=$EI$1)*(ISNUMBER(SEARCH($EI174, 球員狀態!$B$2:$B$5000))), 0)), "")</f>
        <v/>
      </c>
      <c r="EX174" s="4" t="str">
        <f t="array" ref="EX174">IFERROR(INDEX(球員狀態!Q$2:Q$5000, MATCH(1, (球員狀態!$A$2:$A$5000=$EI$151)*(ISNUMBER(SEARCH($EI174, 球員狀態!$B$2:$B$5000))), 0)), "")</f>
        <v/>
      </c>
      <c r="EY174" s="4" t="str">
        <f t="array" ref="EY174">IFERROR(INDEX(球員狀態!R$2:R$5000, MATCH(1, (球員狀態!$A$2:$A$5000=$EI$1)*(ISNUMBER(SEARCH($EI174, 球員狀態!$B$2:$B$5000))), 0)), "")</f>
        <v/>
      </c>
      <c r="EZ174" s="4" t="str">
        <f t="array" ref="EZ174">IFERROR(INDEX(球員狀態!S$2:S$5000, MATCH(1, (球員狀態!$A$2:$A$5000=$EI$1)*(ISNUMBER(SEARCH($EI174, 球員狀態!$B$2:$B$5000))), 0)), "")</f>
        <v/>
      </c>
      <c r="FA174" s="4" t="str">
        <f t="array" ref="FA174">IFERROR(INDEX(球員狀態!T$2:T$5000, MATCH(1, (球員狀態!$A$2:$A$5000=$EI$151)*(ISNUMBER(SEARCH($EI174, 球員狀態!$B$2:$B$5000))), 0)), "")</f>
        <v/>
      </c>
      <c r="FB174" s="4" t="str">
        <f t="array" ref="FB174">IFERROR(INDEX(球員狀態!U$2:U$5000, MATCH(1, (球員狀態!$A$2:$A$5000=$EI$1)*(ISNUMBER(SEARCH($EI174, 球員狀態!$B$2:$B$5000))), 0)), "")</f>
        <v/>
      </c>
      <c r="FC174" s="4" t="str">
        <f t="array" ref="FC174">IFERROR(INDEX(球員狀態!V$2:V$5000, MATCH(1, (球員狀態!$A$2:$A$5000=$EI$1)*(ISNUMBER(SEARCH($EI174, 球員狀態!$B$2:$B$5000))), 0)), "")</f>
        <v/>
      </c>
      <c r="FD174" s="4" t="str">
        <f t="array" ref="FD174">IFERROR(INDEX(球員狀態!W$2:W$5000, MATCH(1, (球員狀態!$A$2:$A$5000=$EI$151)*(ISNUMBER(SEARCH($EI174, 球員狀態!$B$2:$B$5000))), 0)), "")</f>
        <v/>
      </c>
      <c r="FE174" s="4" t="str">
        <f t="array" ref="FE174">IFERROR(INDEX(球員狀態!X$2:X$5000, MATCH(1, (球員狀態!$A$2:$A$5000=$EI$1)*(ISNUMBER(SEARCH($EI174, 球員狀態!$B$2:$B$5000))), 0)), "")</f>
        <v/>
      </c>
      <c r="FF174" s="4" t="str">
        <f t="array" ref="FF174">IFERROR(INDEX(球員狀態!Y$2:Y$5000, MATCH(1, (球員狀態!$A$2:$A$5000=$EI$1)*(ISNUMBER(SEARCH($EI174, 球員狀態!$B$2:$B$5000))), 0)), "")</f>
        <v/>
      </c>
      <c r="FG174" s="4" t="str">
        <f t="array" ref="FG174">IFERROR(INDEX(球員狀態!Z$2:Z$5000, MATCH(1, (球員狀態!$A$2:$A$5000=$EI$151)*(ISNUMBER(SEARCH($EI174, 球員狀態!$B$2:$B$5000))), 0)), "")</f>
        <v/>
      </c>
      <c r="FH174" s="4" t="str">
        <f t="array" ref="FH174">IFERROR(INDEX(球員狀態!AA$2:AA$5000, MATCH(1, (球員狀態!$A$2:$A$5000=$EI$151)*(ISNUMBER(SEARCH($EI174, 球員狀態!$B$2:$B$5000))), 0)), "")</f>
        <v/>
      </c>
      <c r="FI174" s="4" t="str">
        <f t="array" ref="FI174">IFERROR(INDEX(球員狀態!AB$2:AB$5000, MATCH(1, (球員狀態!$A$2:$A$5000=$EI$151)*(ISNUMBER(SEARCH($EI174, 球員狀態!$B$2:$B$5000))), 0)), "")</f>
        <v/>
      </c>
    </row>
    <row r="175" spans="110:165">
      <c r="DH175" s="40" t="e">
        <f>DJ175+DL175+DM175+DN175+DO175-DP175-DQ175+DR175</f>
        <v>#VALUE!</v>
      </c>
      <c r="DI175" s="42" t="e">
        <f>DU175+DX175+EA175+ED175+EE175+EF175</f>
        <v>#VALUE!</v>
      </c>
      <c r="DJ175" s="38" t="e">
        <f>VLOOKUP(DJ174*1, FK$2:FM$12, 3, TRUE)*FM$1</f>
        <v>#VALUE!</v>
      </c>
      <c r="DL175" s="38" t="e">
        <f>VLOOKUP(DL174*1, FN$2:FP$12, 3, TRUE)*FP$1</f>
        <v>#VALUE!</v>
      </c>
      <c r="DM175" s="38" t="e">
        <f>VLOOKUP(DM174*1, FQ$2:FS$12, 3, TRUE)*FS$1</f>
        <v>#VALUE!</v>
      </c>
      <c r="DN175" s="38" t="e">
        <f>VLOOKUP(DN174*1, FT$2:FV$12, 3, TRUE)*FV$1</f>
        <v>#VALUE!</v>
      </c>
      <c r="DO175" s="38" t="e">
        <f>VLOOKUP(DO174*1, FW$2:FY$12, 3, TRUE)*FY$1</f>
        <v>#VALUE!</v>
      </c>
      <c r="DP175" s="39" t="e">
        <f>VLOOKUP(DP174*1, FK$14:FM$25, 3, TRUE)*FM$14</f>
        <v>#VALUE!</v>
      </c>
      <c r="DQ175" s="39" t="e">
        <f>VLOOKUP(DQ174*1, FN$14:FP$25, 3, TRUE)*FP$14</f>
        <v>#VALUE!</v>
      </c>
      <c r="DR175" s="38" t="e">
        <f>VLOOKUP(DR174*1, FQ$14:FS$25, 3, TRUE)*FS$14</f>
        <v>#VALUE!</v>
      </c>
      <c r="DU175" s="41" t="e">
        <f>VLOOKUP(DU174*1, FK$27:FM$38, 3, TRUE)*FM$27</f>
        <v>#VALUE!</v>
      </c>
      <c r="DX175" s="41" t="e">
        <f>VLOOKUP(DX174*1, FN$27:FP$38, 3, TRUE)*FP$27</f>
        <v>#VALUE!</v>
      </c>
      <c r="EA175" s="41" t="e">
        <f>VLOOKUP(EA174*1, FQ$27:FS$38, 3, TRUE)*FS$27</f>
        <v>#VALUE!</v>
      </c>
      <c r="ED175" s="41" t="e">
        <f>VLOOKUP(ED174*1, FT$27:FV$38, 3, TRUE)*FV$27</f>
        <v>#VALUE!</v>
      </c>
      <c r="EE175" s="41" t="e">
        <f>VLOOKUP(EE174*1, FW$27:FY$38, 3, TRUE)*FY$27</f>
        <v>#VALUE!</v>
      </c>
      <c r="EF175" s="41" t="e">
        <f>VLOOKUP(EF174*1, FK$40:FM$51, 3, TRUE)*FM$40</f>
        <v>#VALUE!</v>
      </c>
      <c r="EG175" s="57"/>
      <c r="EK175" s="40" t="e">
        <f>EM175+EO175+EP175+EQ175+ER175-ES175-ET175+EU175</f>
        <v>#VALUE!</v>
      </c>
      <c r="EL175" s="42" t="e">
        <f>EX175+FA175+FD175+FG175+FH175+FI175</f>
        <v>#VALUE!</v>
      </c>
      <c r="EM175" s="38" t="e">
        <f>VLOOKUP(EM174*1, $FK$2:$FM$12, 3, TRUE)*$FM$1</f>
        <v>#VALUE!</v>
      </c>
      <c r="EO175" s="38" t="e">
        <f>VLOOKUP(EO174*1, $FN$2:$FP$12, 3, TRUE)*$FP$1</f>
        <v>#VALUE!</v>
      </c>
      <c r="EP175" s="38" t="e">
        <f>VLOOKUP(EP174*1, $FQ$2:$FS$12, 3, TRUE)*$FS$1</f>
        <v>#VALUE!</v>
      </c>
      <c r="EQ175" s="38" t="e">
        <f>VLOOKUP(EQ174*1, $FT$2:$FV$12, 3, TRUE)*$FV$1</f>
        <v>#VALUE!</v>
      </c>
      <c r="ER175" s="38" t="e">
        <f>VLOOKUP(ER174*1, $FW$2:$FY$12, 3, TRUE)*$FY$1</f>
        <v>#VALUE!</v>
      </c>
      <c r="ES175" s="39" t="e">
        <f>VLOOKUP(ES174*1, $FK$14:$FM$25, 3, TRUE)*$FM$14</f>
        <v>#VALUE!</v>
      </c>
      <c r="ET175" s="39" t="e">
        <f>VLOOKUP(ET174*1, $FN$14:$FP$25, 3, TRUE)*$FP$14</f>
        <v>#VALUE!</v>
      </c>
      <c r="EU175" s="38" t="e">
        <f>VLOOKUP(EU174*1, $FQ$14:$FS$25, 3, TRUE)*$FS$14</f>
        <v>#VALUE!</v>
      </c>
      <c r="EX175" s="41" t="e">
        <f>VLOOKUP(EX174*1, $FK$27:$FM$38, 3, TRUE)*$FM$27</f>
        <v>#VALUE!</v>
      </c>
      <c r="FA175" s="41" t="e">
        <f>VLOOKUP(FA174*1, $FN$27:$FP$38, 3, TRUE)*$FP$27</f>
        <v>#VALUE!</v>
      </c>
      <c r="FD175" s="41" t="e">
        <f>VLOOKUP(FD174*1, $FQ$27:$FS$38, 3, TRUE)*$FS$27</f>
        <v>#VALUE!</v>
      </c>
      <c r="FG175" s="41" t="e">
        <f>VLOOKUP(FG174*1, $FT$27:$FV$38, 3, TRUE)*$FV$27</f>
        <v>#VALUE!</v>
      </c>
      <c r="FH175" s="41" t="e">
        <f>VLOOKUP(FH174*1, $FW$27:$FY$38, 3, TRUE)*$FY$27</f>
        <v>#VALUE!</v>
      </c>
      <c r="FI175" s="41" t="e">
        <f>VLOOKUP(FI174*1, $FK$40:$FM$51, 3, TRUE)*$FM$40</f>
        <v>#VALUE!</v>
      </c>
    </row>
    <row r="176" spans="110:165">
      <c r="DF176" s="37" t="e">
        <f>先發名單!#REF!</f>
        <v>#REF!</v>
      </c>
      <c r="DG176" s="4" t="str">
        <f t="array" ref="DG176">IFERROR(INDEX(球員狀態!$C$2:$C$5000, MATCH(1, (球員狀態!$A$2:$A$5000=$DF$151)*(ISNUMBER(SEARCH($DF176, 球員狀態!$B$2:$B$5000))), 0)), "")</f>
        <v/>
      </c>
      <c r="DJ176" s="4" t="str">
        <f t="array" ref="DJ176">IFERROR(INDEX(球員狀態!$F$2:$F$5000,MATCH(1,(球員狀態!$A$2:$A$5000=$DF$151)*(ISNUMBER(SEARCH($DF176,球員狀態!$B$2:$B$5000))),0)),"")</f>
        <v/>
      </c>
      <c r="DK176" s="4" t="str">
        <f t="array" ref="DK176">IFERROR(INDEX(球員狀態!G$2:G$5000, MATCH(1, (球員狀態!$A$2:$A$5000=$DF$1)*(ISNUMBER(SEARCH($DF176, 球員狀態!$B$2:$B$5000))), 0)), "")</f>
        <v/>
      </c>
      <c r="DL176" s="4" t="str">
        <f t="array" ref="DL176">IFERROR(INDEX(球員狀態!H$2:H$5000, MATCH(1, (球員狀態!$A$2:$A$5000=$DF$151)*(ISNUMBER(SEARCH($DF176, 球員狀態!$B$2:$B$5000))), 0)), "")</f>
        <v/>
      </c>
      <c r="DM176" s="4" t="str">
        <f t="array" ref="DM176">IFERROR(INDEX(球員狀態!I$2:I$5000,MATCH(1,(球員狀態!$A$2:$A$5000=$DF$151)*(ISNUMBER(SEARCH($DF176,球員狀態!$B$2:$B$5000))),0)),"")</f>
        <v/>
      </c>
      <c r="DN176" s="4" t="str">
        <f t="array" ref="DN176">IFERROR(INDEX(球員狀態!J$2:J$5000,MATCH(1,(球員狀態!$A$2:$A$5000=$DF$151)*(ISNUMBER(SEARCH($DF176,球員狀態!$B$2:$B$5000))),0)),"")</f>
        <v/>
      </c>
      <c r="DO176" s="4" t="str">
        <f t="array" ref="DO176">IFERROR(INDEX(球員狀態!K$2:K$5000,MATCH(1,(球員狀態!$A$2:$A$5000=$DF$151)*(ISNUMBER(SEARCH($DF176,球員狀態!$B$2:$B$5000))),0)),"")</f>
        <v/>
      </c>
      <c r="DP176" s="4" t="str">
        <f t="array" ref="DP176">IFERROR(INDEX(球員狀態!L$2:L$5000,MATCH(1,(球員狀態!$A$2:$A$5000=$DF$151)*(ISNUMBER(SEARCH($DF176,球員狀態!$B$2:$B$5000))),0)),"")</f>
        <v/>
      </c>
      <c r="DQ176" s="4" t="str">
        <f t="array" ref="DQ176">IFERROR(INDEX(球員狀態!M$2:M$5000,MATCH(1,(球員狀態!$A$2:$A$5000=$DF$151)*(ISNUMBER(SEARCH($DF176,球員狀態!$B$2:$B$5000))),0)),"")</f>
        <v/>
      </c>
      <c r="DR176" s="4" t="str">
        <f t="array" ref="DR176">IFERROR(INDEX(球員狀態!N$2:N$5000,MATCH(1,(球員狀態!$A$2:$A$5000=$DF$151)*(ISNUMBER(SEARCH($DF176,球員狀態!$B$2:$B$5000))),0)),"")</f>
        <v/>
      </c>
      <c r="DS176" s="4" t="str">
        <f t="array" ref="DS176">IFERROR(INDEX(球員狀態!O$2:O$5000, MATCH(1, (球員狀態!$A$2:$A$5000=$DF$1)*(ISNUMBER(SEARCH($DF176, 球員狀態!$B$2:$B$5000))), 0)), "")</f>
        <v/>
      </c>
      <c r="DT176" s="4" t="str">
        <f t="array" ref="DT176">IFERROR(INDEX(球員狀態!P$2:P$5000, MATCH(1, (球員狀態!$A$2:$A$5000=$DF$1)*(ISNUMBER(SEARCH($DF176, 球員狀態!$B$2:$B$5000))), 0)), "")</f>
        <v/>
      </c>
      <c r="DU176" s="4" t="str">
        <f t="array" ref="DU176">IFERROR(INDEX(球員狀態!Q$2:Q$5000,MATCH(1,(球員狀態!$A$2:$A$5000=$DF$151)*(ISNUMBER(SEARCH($DF176,球員狀態!$B$2:$B$5000))),0)),"")</f>
        <v/>
      </c>
      <c r="DV176" s="4" t="str">
        <f t="array" ref="DV176">IFERROR(INDEX(球員狀態!R$2:R$5000, MATCH(1, (球員狀態!$A$2:$A$5000=$DF$1)*(ISNUMBER(SEARCH($DF176, 球員狀態!$B$2:$B$5000))), 0)), "")</f>
        <v/>
      </c>
      <c r="DW176" s="4" t="str">
        <f t="array" ref="DW176">IFERROR(INDEX(球員狀態!S$2:S$5000, MATCH(1, (球員狀態!$A$2:$A$5000=$DF$1)*(ISNUMBER(SEARCH($DF176, 球員狀態!$B$2:$B$5000))), 0)), "")</f>
        <v/>
      </c>
      <c r="DX176" s="4" t="str">
        <f t="array" ref="DX176">IFERROR(INDEX(球員狀態!T$2:T$5000,MATCH(1,(球員狀態!$A$2:$A$5000=$DF$151)*(ISNUMBER(SEARCH($DF176,球員狀態!$B$2:$B$5000))),0)),"")</f>
        <v/>
      </c>
      <c r="DY176" s="4" t="str">
        <f t="array" ref="DY176">IFERROR(INDEX(球員狀態!U$2:U$5000, MATCH(1, (球員狀態!$A$2:$A$5000=$DF$1)*(ISNUMBER(SEARCH($DF176, 球員狀態!$B$2:$B$5000))), 0)), "")</f>
        <v/>
      </c>
      <c r="DZ176" s="4" t="str">
        <f t="array" ref="DZ176">IFERROR(INDEX(球員狀態!V$2:V$5000, MATCH(1, (球員狀態!$A$2:$A$5000=$DF$1)*(ISNUMBER(SEARCH($DF176, 球員狀態!$B$2:$B$5000))), 0)), "")</f>
        <v/>
      </c>
      <c r="EA176" s="4" t="str">
        <f t="array" ref="EA176">IFERROR(INDEX(球員狀態!W$2:W$5000,MATCH(1,(球員狀態!$A$2:$A$5000=$DF$151)*(ISNUMBER(SEARCH($DF176,球員狀態!$B$2:$B$5000))),0)),"")</f>
        <v/>
      </c>
      <c r="EB176" s="4" t="str">
        <f t="array" ref="EB176">IFERROR(INDEX(球員狀態!X$2:X$5000, MATCH(1, (球員狀態!$A$2:$A$5000=$DF$1)*(ISNUMBER(SEARCH($DF176, 球員狀態!$B$2:$B$5000))), 0)), "")</f>
        <v/>
      </c>
      <c r="EC176" s="4" t="str">
        <f t="array" ref="EC176">IFERROR(INDEX(球員狀態!Y$2:Y$5000, MATCH(1, (球員狀態!$A$2:$A$5000=$DF$1)*(ISNUMBER(SEARCH($DF176, 球員狀態!$B$2:$B$5000))), 0)), "")</f>
        <v/>
      </c>
      <c r="ED176" s="4" t="str">
        <f t="array" ref="ED176">IFERROR(INDEX(球員狀態!Z$2:Z$5000,MATCH(1,(球員狀態!$A$2:$A$5000=$DF$151)*(ISNUMBER(SEARCH($DF176,球員狀態!$B$2:$B$5000))),0)),"")</f>
        <v/>
      </c>
      <c r="EE176" s="4" t="str">
        <f t="array" ref="EE176">IFERROR(INDEX(球員狀態!AA$2:AA$5000,MATCH(1,(球員狀態!$A$2:$A$5000=$DF$151)*(ISNUMBER(SEARCH($DF176,球員狀態!$B$2:$B$5000))),0)),"")</f>
        <v/>
      </c>
      <c r="EF176" s="4" t="str">
        <f t="array" ref="EF176">IFERROR(INDEX(球員狀態!AB$2:AB$5000,MATCH(1,(球員狀態!$A$2:$A$5000=$DF$151)*(ISNUMBER(SEARCH($DF176,球員狀態!$B$2:$B$5000))),0)),"")</f>
        <v/>
      </c>
      <c r="EG176" s="56"/>
      <c r="EI176" s="37">
        <f>先發名單!AA$7</f>
        <v>0</v>
      </c>
      <c r="EJ176" s="4" t="str">
        <f t="array" ref="EJ176">IFERROR(INDEX(球員狀態!C$2:C$5000, MATCH(1, (球員狀態!$A$2:$A$5000=$EI$151)*(ISNUMBER(SEARCH($EI176, 球員狀態!$B$2:$B$5000))), 0)), "")</f>
        <v/>
      </c>
      <c r="EM176" s="4" t="str">
        <f t="array" ref="EM176">IFERROR(INDEX(球員狀態!F$2:F$5000, MATCH(1, (球員狀態!$A$2:$A$5000=$EI$151)*(ISNUMBER(SEARCH($EI176, 球員狀態!$B$2:$B$5000))), 0)), "")</f>
        <v/>
      </c>
      <c r="EN176" s="4" t="str">
        <f t="array" ref="EN176">IFERROR(INDEX(球員狀態!G$2:G$5000, MATCH(1, (球員狀態!$A$2:$A$5000=$EI$1)*(ISNUMBER(SEARCH($EI176, 球員狀態!$B$2:$B$5000))), 0)), "")</f>
        <v/>
      </c>
      <c r="EO176" s="4" t="str">
        <f t="array" ref="EO176">IFERROR(INDEX(球員狀態!H$2:H$5000, MATCH(1, (球員狀態!$A$2:$A$5000=$EI$151)*(ISNUMBER(SEARCH($EI176, 球員狀態!$B$2:$B$5000))), 0)), "")</f>
        <v/>
      </c>
      <c r="EP176" s="4" t="str">
        <f t="array" ref="EP176">IFERROR(INDEX(球員狀態!I$2:I$5000, MATCH(1, (球員狀態!$A$2:$A$5000=$EI$151)*(ISNUMBER(SEARCH($EI176, 球員狀態!$B$2:$B$5000))), 0)), "")</f>
        <v/>
      </c>
      <c r="EQ176" s="4" t="str">
        <f t="array" ref="EQ176">IFERROR(INDEX(球員狀態!J$2:J$5000, MATCH(1, (球員狀態!$A$2:$A$5000=$EI$151)*(ISNUMBER(SEARCH($EI176, 球員狀態!$B$2:$B$5000))), 0)), "")</f>
        <v/>
      </c>
      <c r="ER176" s="4" t="str">
        <f t="array" ref="ER176">IFERROR(INDEX(球員狀態!K$2:K$5000, MATCH(1, (球員狀態!$A$2:$A$5000=$EI$151)*(ISNUMBER(SEARCH($EI176, 球員狀態!$B$2:$B$5000))), 0)), "")</f>
        <v/>
      </c>
      <c r="ES176" s="4" t="str">
        <f t="array" ref="ES176">IFERROR(INDEX(球員狀態!L$2:L$5000, MATCH(1, (球員狀態!$A$2:$A$5000=$EI$151)*(ISNUMBER(SEARCH($EI176, 球員狀態!$B$2:$B$5000))), 0)), "")</f>
        <v/>
      </c>
      <c r="ET176" s="4" t="str">
        <f t="array" ref="ET176">IFERROR(INDEX(球員狀態!M$2:M$5000, MATCH(1, (球員狀態!$A$2:$A$5000=$EI$151)*(ISNUMBER(SEARCH($EI176, 球員狀態!$B$2:$B$5000))), 0)), "")</f>
        <v/>
      </c>
      <c r="EU176" s="4" t="str">
        <f t="array" ref="EU176">IFERROR(INDEX(球員狀態!N$2:N$5000, MATCH(1, (球員狀態!$A$2:$A$5000=$EI$151)*(ISNUMBER(SEARCH($EI176, 球員狀態!$B$2:$B$5000))), 0)), "")</f>
        <v/>
      </c>
      <c r="EV176" s="4" t="str">
        <f t="array" ref="EV176">IFERROR(INDEX(球員狀態!O$2:O$5000, MATCH(1, (球員狀態!$A$2:$A$5000=$EI$1)*(ISNUMBER(SEARCH($EI176, 球員狀態!$B$2:$B$5000))), 0)), "")</f>
        <v/>
      </c>
      <c r="EW176" s="4" t="str">
        <f t="array" ref="EW176">IFERROR(INDEX(球員狀態!P$2:P$5000, MATCH(1, (球員狀態!$A$2:$A$5000=$EI$1)*(ISNUMBER(SEARCH($EI176, 球員狀態!$B$2:$B$5000))), 0)), "")</f>
        <v/>
      </c>
      <c r="EX176" s="4" t="str">
        <f t="array" ref="EX176">IFERROR(INDEX(球員狀態!Q$2:Q$5000, MATCH(1, (球員狀態!$A$2:$A$5000=$EI$151)*(ISNUMBER(SEARCH($EI176, 球員狀態!$B$2:$B$5000))), 0)), "")</f>
        <v/>
      </c>
      <c r="EY176" s="4" t="str">
        <f t="array" ref="EY176">IFERROR(INDEX(球員狀態!R$2:R$5000, MATCH(1, (球員狀態!$A$2:$A$5000=$EI$1)*(ISNUMBER(SEARCH($EI176, 球員狀態!$B$2:$B$5000))), 0)), "")</f>
        <v/>
      </c>
      <c r="EZ176" s="4" t="str">
        <f t="array" ref="EZ176">IFERROR(INDEX(球員狀態!S$2:S$5000, MATCH(1, (球員狀態!$A$2:$A$5000=$EI$1)*(ISNUMBER(SEARCH($EI176, 球員狀態!$B$2:$B$5000))), 0)), "")</f>
        <v/>
      </c>
      <c r="FA176" s="4" t="str">
        <f t="array" ref="FA176">IFERROR(INDEX(球員狀態!T$2:T$5000, MATCH(1, (球員狀態!$A$2:$A$5000=$EI$151)*(ISNUMBER(SEARCH($EI176, 球員狀態!$B$2:$B$5000))), 0)), "")</f>
        <v/>
      </c>
      <c r="FB176" s="4" t="str">
        <f t="array" ref="FB176">IFERROR(INDEX(球員狀態!U$2:U$5000, MATCH(1, (球員狀態!$A$2:$A$5000=$EI$1)*(ISNUMBER(SEARCH($EI176, 球員狀態!$B$2:$B$5000))), 0)), "")</f>
        <v/>
      </c>
      <c r="FC176" s="4" t="str">
        <f t="array" ref="FC176">IFERROR(INDEX(球員狀態!V$2:V$5000, MATCH(1, (球員狀態!$A$2:$A$5000=$EI$1)*(ISNUMBER(SEARCH($EI176, 球員狀態!$B$2:$B$5000))), 0)), "")</f>
        <v/>
      </c>
      <c r="FD176" s="4" t="str">
        <f t="array" ref="FD176">IFERROR(INDEX(球員狀態!W$2:W$5000, MATCH(1, (球員狀態!$A$2:$A$5000=$EI$151)*(ISNUMBER(SEARCH($EI176, 球員狀態!$B$2:$B$5000))), 0)), "")</f>
        <v/>
      </c>
      <c r="FE176" s="4" t="str">
        <f t="array" ref="FE176">IFERROR(INDEX(球員狀態!X$2:X$5000, MATCH(1, (球員狀態!$A$2:$A$5000=$EI$1)*(ISNUMBER(SEARCH($EI176, 球員狀態!$B$2:$B$5000))), 0)), "")</f>
        <v/>
      </c>
      <c r="FF176" s="4" t="str">
        <f t="array" ref="FF176">IFERROR(INDEX(球員狀態!Y$2:Y$5000, MATCH(1, (球員狀態!$A$2:$A$5000=$EI$1)*(ISNUMBER(SEARCH($EI176, 球員狀態!$B$2:$B$5000))), 0)), "")</f>
        <v/>
      </c>
      <c r="FG176" s="4" t="str">
        <f t="array" ref="FG176">IFERROR(INDEX(球員狀態!Z$2:Z$5000, MATCH(1, (球員狀態!$A$2:$A$5000=$EI$151)*(ISNUMBER(SEARCH($EI176, 球員狀態!$B$2:$B$5000))), 0)), "")</f>
        <v/>
      </c>
      <c r="FH176" s="4" t="str">
        <f t="array" ref="FH176">IFERROR(INDEX(球員狀態!AA$2:AA$5000, MATCH(1, (球員狀態!$A$2:$A$5000=$EI$151)*(ISNUMBER(SEARCH($EI176, 球員狀態!$B$2:$B$5000))), 0)), "")</f>
        <v/>
      </c>
      <c r="FI176" s="4" t="str">
        <f t="array" ref="FI176">IFERROR(INDEX(球員狀態!AB$2:AB$5000, MATCH(1, (球員狀態!$A$2:$A$5000=$EI$151)*(ISNUMBER(SEARCH($EI176, 球員狀態!$B$2:$B$5000))), 0)), "")</f>
        <v/>
      </c>
    </row>
    <row r="177" spans="110:165">
      <c r="DH177" s="40" t="e">
        <f>DJ177+DL177+DM177+DN177+DO177-DP177-DQ177+DR177</f>
        <v>#VALUE!</v>
      </c>
      <c r="DI177" s="42" t="e">
        <f>DU177+DX177+EA177+ED177+EE177+EF177</f>
        <v>#VALUE!</v>
      </c>
      <c r="DJ177" s="38" t="e">
        <f>VLOOKUP(DJ176*1, FK$2:FM$12, 3, TRUE)*FM$1</f>
        <v>#VALUE!</v>
      </c>
      <c r="DL177" s="38" t="e">
        <f>VLOOKUP(DL176*1, FN$2:FP$12, 3, TRUE)*FP$1</f>
        <v>#VALUE!</v>
      </c>
      <c r="DM177" s="38" t="e">
        <f>VLOOKUP(DM176*1, FQ$2:FS$12, 3, TRUE)*FS$1</f>
        <v>#VALUE!</v>
      </c>
      <c r="DN177" s="38" t="e">
        <f>VLOOKUP(DN176*1, FT$2:FV$12, 3, TRUE)*FV$1</f>
        <v>#VALUE!</v>
      </c>
      <c r="DO177" s="38" t="e">
        <f>VLOOKUP(DO176*1, FW$2:FY$12, 3, TRUE)*FY$1</f>
        <v>#VALUE!</v>
      </c>
      <c r="DP177" s="39" t="e">
        <f>VLOOKUP(DP176*1, FK$14:FM$25, 3, TRUE)*FM$14</f>
        <v>#VALUE!</v>
      </c>
      <c r="DQ177" s="39" t="e">
        <f>VLOOKUP(DQ176*1, FN$14:FP$25, 3, TRUE)*FP$14</f>
        <v>#VALUE!</v>
      </c>
      <c r="DR177" s="38" t="e">
        <f>VLOOKUP(DR176*1, FQ$14:FS$25, 3, TRUE)*FS$14</f>
        <v>#VALUE!</v>
      </c>
      <c r="DU177" s="41" t="e">
        <f>VLOOKUP(DU176*1, FK$27:FM$38, 3, TRUE)*FM$27</f>
        <v>#VALUE!</v>
      </c>
      <c r="DX177" s="41" t="e">
        <f>VLOOKUP(DX176*1, FN$27:FP$38, 3, TRUE)*FP$27</f>
        <v>#VALUE!</v>
      </c>
      <c r="EA177" s="41" t="e">
        <f>VLOOKUP(EA176*1, FQ$27:FS$38, 3, TRUE)*FS$27</f>
        <v>#VALUE!</v>
      </c>
      <c r="ED177" s="41" t="e">
        <f>VLOOKUP(ED176*1, FT$27:FV$38, 3, TRUE)*FV$27</f>
        <v>#VALUE!</v>
      </c>
      <c r="EE177" s="41" t="e">
        <f>VLOOKUP(EE176*1, FW$27:FY$38, 3, TRUE)*FY$27</f>
        <v>#VALUE!</v>
      </c>
      <c r="EF177" s="41" t="e">
        <f>VLOOKUP(EF176*1, FK$40:FM$51, 3, TRUE)*FM$40</f>
        <v>#VALUE!</v>
      </c>
      <c r="EG177" s="57"/>
      <c r="EK177" s="40" t="e">
        <f>EM177+EO177+EP177+EQ177+ER177-ES177-ET177+EU177</f>
        <v>#VALUE!</v>
      </c>
      <c r="EL177" s="42" t="e">
        <f>EX177+FA177+FD177+FG177+FH177+FI177</f>
        <v>#VALUE!</v>
      </c>
      <c r="EM177" s="38" t="e">
        <f>VLOOKUP(EM176*1, $FK$2:$FM$12, 3, TRUE)*$FM$1</f>
        <v>#VALUE!</v>
      </c>
      <c r="EO177" s="38" t="e">
        <f>VLOOKUP(EO176*1, $FN$2:$FP$12, 3, TRUE)*$FP$1</f>
        <v>#VALUE!</v>
      </c>
      <c r="EP177" s="38" t="e">
        <f>VLOOKUP(EP176*1, $FQ$2:$FS$12, 3, TRUE)*$FS$1</f>
        <v>#VALUE!</v>
      </c>
      <c r="EQ177" s="38" t="e">
        <f>VLOOKUP(EQ176*1, $FT$2:$FV$12, 3, TRUE)*$FV$1</f>
        <v>#VALUE!</v>
      </c>
      <c r="ER177" s="38" t="e">
        <f>VLOOKUP(ER176*1, $FW$2:$FY$12, 3, TRUE)*$FY$1</f>
        <v>#VALUE!</v>
      </c>
      <c r="ES177" s="39" t="e">
        <f>VLOOKUP(ES176*1, $FK$14:$FM$25, 3, TRUE)*$FM$14</f>
        <v>#VALUE!</v>
      </c>
      <c r="ET177" s="39" t="e">
        <f>VLOOKUP(ET176*1, $FN$14:$FP$25, 3, TRUE)*$FP$14</f>
        <v>#VALUE!</v>
      </c>
      <c r="EU177" s="38" t="e">
        <f>VLOOKUP(EU176*1, $FQ$14:$FS$25, 3, TRUE)*$FS$14</f>
        <v>#VALUE!</v>
      </c>
      <c r="EX177" s="41" t="e">
        <f>VLOOKUP(EX176*1, $FK$27:$FM$38, 3, TRUE)*$FM$27</f>
        <v>#VALUE!</v>
      </c>
      <c r="FA177" s="41" t="e">
        <f>VLOOKUP(FA176*1, $FN$27:$FP$38, 3, TRUE)*$FP$27</f>
        <v>#VALUE!</v>
      </c>
      <c r="FD177" s="41" t="e">
        <f>VLOOKUP(FD176*1, $FQ$27:$FS$38, 3, TRUE)*$FS$27</f>
        <v>#VALUE!</v>
      </c>
      <c r="FG177" s="41" t="e">
        <f>VLOOKUP(FG176*1, $FT$27:$FV$38, 3, TRUE)*$FV$27</f>
        <v>#VALUE!</v>
      </c>
      <c r="FH177" s="41" t="e">
        <f>VLOOKUP(FH176*1, $FW$27:$FY$38, 3, TRUE)*$FY$27</f>
        <v>#VALUE!</v>
      </c>
      <c r="FI177" s="41" t="e">
        <f>VLOOKUP(FI176*1, $FK$40:$FM$51, 3, TRUE)*$FM$40</f>
        <v>#VALUE!</v>
      </c>
    </row>
    <row r="178" spans="110:165">
      <c r="DF178" s="82" t="str">
        <f>$DF151&amp;"整體"</f>
        <v>洋基整體</v>
      </c>
      <c r="DG178" t="s">
        <v>487</v>
      </c>
      <c r="DH178" t="s">
        <v>488</v>
      </c>
      <c r="DJ178" s="82" t="str">
        <f>$DF151&amp;"先發"</f>
        <v>洋基先發</v>
      </c>
      <c r="DK178" s="78"/>
      <c r="DL178" t="s">
        <v>487</v>
      </c>
      <c r="DM178" t="s">
        <v>488</v>
      </c>
      <c r="DO178" s="82" t="str">
        <f>$DF151&amp;"板凳"</f>
        <v>洋基板凳</v>
      </c>
      <c r="DP178" s="78"/>
      <c r="DQ178" t="s">
        <v>487</v>
      </c>
      <c r="DR178" t="s">
        <v>488</v>
      </c>
      <c r="EI178" s="82" t="str">
        <f>$EI151&amp;"整體"</f>
        <v>遊騎兵整體</v>
      </c>
      <c r="EJ178" t="s">
        <v>487</v>
      </c>
      <c r="EK178" t="s">
        <v>488</v>
      </c>
      <c r="EM178" s="82" t="str">
        <f>$EI151&amp;"先發"</f>
        <v>遊騎兵先發</v>
      </c>
      <c r="EN178" s="78"/>
      <c r="EO178" t="s">
        <v>487</v>
      </c>
      <c r="EP178" t="s">
        <v>488</v>
      </c>
      <c r="ER178" s="82" t="str">
        <f>$EI151&amp;"板凳"</f>
        <v>遊騎兵板凳</v>
      </c>
      <c r="ES178" s="78"/>
      <c r="ET178" t="s">
        <v>487</v>
      </c>
      <c r="EU178" t="s">
        <v>488</v>
      </c>
    </row>
    <row r="179" spans="110:165">
      <c r="DF179" s="78"/>
      <c r="DG179" s="43" t="e">
        <f>(DH153+DH155+DH157+DH159+DH161+DH163+DH165+DH167+DH169+DH171+DH173+DH175+DH177)/13</f>
        <v>#VALUE!</v>
      </c>
      <c r="DH179" s="43" t="e">
        <f>(DI153+DI155+DI157+DI159+DI161+DI163+DI165+DI167+DI169+DI171+DI173+DI175+DI177)/13</f>
        <v>#VALUE!</v>
      </c>
      <c r="DJ179" s="78"/>
      <c r="DK179" s="78"/>
      <c r="DL179" s="4" t="e">
        <f>(DH153+DH155+DH157+DH159+DH161)/5</f>
        <v>#VALUE!</v>
      </c>
      <c r="DM179" s="4" t="e">
        <f>(DI153+DI155+DI157+DI159+DI161)/5</f>
        <v>#VALUE!</v>
      </c>
      <c r="DO179" s="78"/>
      <c r="DP179" s="78"/>
      <c r="DQ179" s="43" t="e">
        <f>(DH163+DH165+DH167+DH169+DH171+DH173+DH175+DH175+DH177)/8</f>
        <v>#VALUE!</v>
      </c>
      <c r="DR179" s="43" t="e">
        <f>(DI163+DI165+DI167+DI169+DI171+DI173+DI175+DI177)/8</f>
        <v>#VALUE!</v>
      </c>
      <c r="EI179" s="78"/>
      <c r="EJ179" s="43" t="e">
        <f>(EK153+EK155+EK157+EK159+EK161+EK163+EK165+EK167+EK169+EK171+EK173+EK175+EK177)/13</f>
        <v>#VALUE!</v>
      </c>
      <c r="EK179" s="43" t="e">
        <f>(EL153+EL155+EL157+EL159+EL161+EL163+EL165+EL167+EL169+EL171+EL173+EL175+EL177)/13</f>
        <v>#VALUE!</v>
      </c>
      <c r="EM179" s="78"/>
      <c r="EN179" s="78"/>
      <c r="EO179" s="4" t="e">
        <f>(EK153+EK155+EK157+EK159+EK161)/5</f>
        <v>#VALUE!</v>
      </c>
      <c r="EP179" s="4" t="e">
        <f>(EL153+EL155+EL157+EL159+EL161)/5</f>
        <v>#VALUE!</v>
      </c>
      <c r="ER179" s="78"/>
      <c r="ES179" s="78"/>
      <c r="ET179" s="43" t="e">
        <f>(EK163+EK165+EK167+EK169+EK171+EK173+EK175+EK175+EK177)/8</f>
        <v>#VALUE!</v>
      </c>
      <c r="EU179" s="43" t="e">
        <f>(EL163+EL165+EL167+EL169+EL171+EL173+EL175+EL177)/8</f>
        <v>#VALUE!</v>
      </c>
    </row>
    <row r="181" spans="110:165">
      <c r="DF181" s="34" t="str">
        <f>CB26</f>
        <v>小熊</v>
      </c>
      <c r="DG181" t="s">
        <v>486</v>
      </c>
      <c r="DH181" s="1" t="s">
        <v>487</v>
      </c>
      <c r="DI181" s="1" t="s">
        <v>488</v>
      </c>
      <c r="DJ181" t="s">
        <v>517</v>
      </c>
      <c r="DK181" t="s">
        <v>554</v>
      </c>
      <c r="DL181" t="s">
        <v>518</v>
      </c>
      <c r="DM181" t="s">
        <v>519</v>
      </c>
      <c r="DN181" t="s">
        <v>520</v>
      </c>
      <c r="DO181" t="s">
        <v>521</v>
      </c>
      <c r="DP181" t="s">
        <v>532</v>
      </c>
      <c r="DQ181" t="s">
        <v>533</v>
      </c>
      <c r="DR181" t="s">
        <v>534</v>
      </c>
      <c r="DS181" t="s">
        <v>555</v>
      </c>
      <c r="DT181" t="s">
        <v>556</v>
      </c>
      <c r="DU181" t="s">
        <v>549</v>
      </c>
      <c r="DV181" t="s">
        <v>557</v>
      </c>
      <c r="DW181" t="s">
        <v>558</v>
      </c>
      <c r="DX181" t="s">
        <v>550</v>
      </c>
      <c r="DY181" t="s">
        <v>559</v>
      </c>
      <c r="DZ181" t="s">
        <v>560</v>
      </c>
      <c r="EA181" t="s">
        <v>551</v>
      </c>
      <c r="EB181" t="s">
        <v>561</v>
      </c>
      <c r="EC181" t="s">
        <v>562</v>
      </c>
      <c r="ED181" t="s">
        <v>552</v>
      </c>
      <c r="EE181" t="s">
        <v>553</v>
      </c>
      <c r="EF181" t="s">
        <v>563</v>
      </c>
      <c r="EH181" s="14"/>
      <c r="EI181" s="34" t="str">
        <f>CB28</f>
        <v>教士</v>
      </c>
      <c r="EJ181" t="s">
        <v>486</v>
      </c>
      <c r="EK181" s="1" t="s">
        <v>487</v>
      </c>
      <c r="EL181" s="1" t="s">
        <v>488</v>
      </c>
      <c r="EM181" t="s">
        <v>517</v>
      </c>
      <c r="EN181" t="s">
        <v>554</v>
      </c>
      <c r="EO181" t="s">
        <v>518</v>
      </c>
      <c r="EP181" t="s">
        <v>519</v>
      </c>
      <c r="EQ181" t="s">
        <v>520</v>
      </c>
      <c r="ER181" t="s">
        <v>521</v>
      </c>
      <c r="ES181" t="s">
        <v>532</v>
      </c>
      <c r="ET181" t="s">
        <v>533</v>
      </c>
      <c r="EU181" t="s">
        <v>534</v>
      </c>
      <c r="EV181" t="s">
        <v>555</v>
      </c>
      <c r="EW181" t="s">
        <v>556</v>
      </c>
      <c r="EX181" t="s">
        <v>549</v>
      </c>
      <c r="EY181" t="s">
        <v>557</v>
      </c>
      <c r="EZ181" t="s">
        <v>558</v>
      </c>
      <c r="FA181" t="s">
        <v>550</v>
      </c>
      <c r="FB181" t="s">
        <v>559</v>
      </c>
      <c r="FC181" t="s">
        <v>560</v>
      </c>
      <c r="FD181" t="s">
        <v>551</v>
      </c>
      <c r="FE181" t="s">
        <v>561</v>
      </c>
      <c r="FF181" t="s">
        <v>562</v>
      </c>
      <c r="FG181" t="s">
        <v>552</v>
      </c>
      <c r="FH181" t="s">
        <v>553</v>
      </c>
      <c r="FI181" t="s">
        <v>563</v>
      </c>
    </row>
    <row r="182" spans="110:165">
      <c r="DF182" s="35" t="str">
        <f>先發名單!E$8</f>
        <v>Matthew Boyd</v>
      </c>
      <c r="DG182" s="4" t="str">
        <f t="array" ref="DG182">IFERROR(INDEX(球員狀態!$C$2:$C$5000, MATCH(1, (球員狀態!$A$2:$A$5000=$DF$181)*(ISNUMBER(SEARCH($DF182, 球員狀態!$B$2:$B$5000))), 0)), "")</f>
        <v/>
      </c>
      <c r="DJ182" s="4" t="str">
        <f t="array" ref="DJ182">IFERROR(INDEX(球員狀態!$F$2:$F$5000,MATCH(1,(球員狀態!$A$2:$A$5000=$DF$181)*(ISNUMBER(SEARCH($DF182,球員狀態!$B$2:$B$5000))),0)),"")</f>
        <v/>
      </c>
      <c r="DK182" s="4" t="str">
        <f t="array" ref="DK182">IFERROR(INDEX(球員狀態!G$2:G$5000, MATCH(1, (球員狀態!$A$2:$A$5000=$DF$1)*(ISNUMBER(SEARCH($DF182, 球員狀態!$B$2:$B$5000))), 0)), "")</f>
        <v/>
      </c>
      <c r="DL182" s="4" t="str">
        <f t="array" ref="DL182">IFERROR(INDEX(球員狀態!H$2:H$5000, MATCH(1, (球員狀態!$A$2:$A$5000=$DF$181)*(ISNUMBER(SEARCH($DF182, 球員狀態!$B$2:$B$5000))), 0)), "")</f>
        <v/>
      </c>
      <c r="DM182" s="4" t="str">
        <f t="array" ref="DM182">IFERROR(INDEX(球員狀態!I$2:I$5000,MATCH(1,(球員狀態!$A$2:$A$5000=$DF$181)*(ISNUMBER(SEARCH($DF182,球員狀態!$B$2:$B$5000))),0)),"")</f>
        <v/>
      </c>
      <c r="DN182" s="4" t="str">
        <f t="array" ref="DN182">IFERROR(INDEX(球員狀態!J$2:J$5000,MATCH(1,(球員狀態!$A$2:$A$5000=$DF$181)*(ISNUMBER(SEARCH($DF182,球員狀態!$B$2:$B$5000))),0)),"")</f>
        <v/>
      </c>
      <c r="DO182" s="4" t="str">
        <f t="array" ref="DO182">IFERROR(INDEX(球員狀態!K$2:K$5000,MATCH(1,(球員狀態!$A$2:$A$5000=$DF$181)*(ISNUMBER(SEARCH($DF182,球員狀態!$B$2:$B$5000))),0)),"")</f>
        <v/>
      </c>
      <c r="DP182" s="4" t="str">
        <f t="array" ref="DP182">IFERROR(INDEX(球員狀態!L$2:L$5000,MATCH(1,(球員狀態!$A$2:$A$5000=$DF$181)*(ISNUMBER(SEARCH($DF182,球員狀態!$B$2:$B$5000))),0)),"")</f>
        <v/>
      </c>
      <c r="DQ182" s="4" t="str">
        <f t="array" ref="DQ182">IFERROR(INDEX(球員狀態!M$2:M$5000,MATCH(1,(球員狀態!$A$2:$A$5000=$DF$181)*(ISNUMBER(SEARCH($DF182,球員狀態!$B$2:$B$5000))),0)),"")</f>
        <v/>
      </c>
      <c r="DR182" s="4" t="str">
        <f t="array" ref="DR182">IFERROR(INDEX(球員狀態!N$2:N$5000,MATCH(1,(球員狀態!$A$2:$A$5000=$DF$181)*(ISNUMBER(SEARCH($DF182,球員狀態!$B$2:$B$5000))),0)),"")</f>
        <v/>
      </c>
      <c r="DS182" s="4" t="str">
        <f t="array" ref="DS182">IFERROR(INDEX(球員狀態!O$2:O$5000, MATCH(1, (球員狀態!$A$2:$A$5000=$DF$1)*(ISNUMBER(SEARCH($DF182, 球員狀態!$B$2:$B$5000))), 0)), "")</f>
        <v/>
      </c>
      <c r="DT182" s="4" t="str">
        <f t="array" ref="DT182">IFERROR(INDEX(球員狀態!P$2:P$5000, MATCH(1, (球員狀態!$A$2:$A$5000=$DF$1)*(ISNUMBER(SEARCH($DF182, 球員狀態!$B$2:$B$5000))), 0)), "")</f>
        <v/>
      </c>
      <c r="DU182" s="4" t="str">
        <f t="array" ref="DU182">IFERROR(INDEX(球員狀態!Q$2:Q$5000,MATCH(1,(球員狀態!$A$2:$A$5000=$DF$181)*(ISNUMBER(SEARCH($DF182,球員狀態!$B$2:$B$5000))),0)),"")</f>
        <v/>
      </c>
      <c r="DV182" s="4" t="str">
        <f t="array" ref="DV182">IFERROR(INDEX(球員狀態!R$2:R$5000, MATCH(1, (球員狀態!$A$2:$A$5000=$DF$1)*(ISNUMBER(SEARCH($DF182, 球員狀態!$B$2:$B$5000))), 0)), "")</f>
        <v/>
      </c>
      <c r="DW182" s="4" t="str">
        <f t="array" ref="DW182">IFERROR(INDEX(球員狀態!S$2:S$5000, MATCH(1, (球員狀態!$A$2:$A$5000=$DF$1)*(ISNUMBER(SEARCH($DF182, 球員狀態!$B$2:$B$5000))), 0)), "")</f>
        <v/>
      </c>
      <c r="DX182" s="4" t="str">
        <f t="array" ref="DX182">IFERROR(INDEX(球員狀態!T$2:T$5000,MATCH(1,(球員狀態!$A$2:$A$5000=$DF$181)*(ISNUMBER(SEARCH($DF182,球員狀態!$B$2:$B$5000))),0)),"")</f>
        <v/>
      </c>
      <c r="DY182" s="4" t="str">
        <f t="array" ref="DY182">IFERROR(INDEX(球員狀態!U$2:U$5000, MATCH(1, (球員狀態!$A$2:$A$5000=$DF$1)*(ISNUMBER(SEARCH($DF182, 球員狀態!$B$2:$B$5000))), 0)), "")</f>
        <v/>
      </c>
      <c r="DZ182" s="4" t="str">
        <f t="array" ref="DZ182">IFERROR(INDEX(球員狀態!V$2:V$5000, MATCH(1, (球員狀態!$A$2:$A$5000=$DF$1)*(ISNUMBER(SEARCH($DF182, 球員狀態!$B$2:$B$5000))), 0)), "")</f>
        <v/>
      </c>
      <c r="EA182" s="4" t="str">
        <f t="array" ref="EA182">IFERROR(INDEX(球員狀態!W$2:W$5000,MATCH(1,(球員狀態!$A$2:$A$5000=$DF$181)*(ISNUMBER(SEARCH($DF182,球員狀態!$B$2:$B$5000))),0)),"")</f>
        <v/>
      </c>
      <c r="EB182" s="4" t="str">
        <f t="array" ref="EB182">IFERROR(INDEX(球員狀態!X$2:X$5000, MATCH(1, (球員狀態!$A$2:$A$5000=$DF$1)*(ISNUMBER(SEARCH($DF182, 球員狀態!$B$2:$B$5000))), 0)), "")</f>
        <v/>
      </c>
      <c r="EC182" s="4" t="str">
        <f t="array" ref="EC182">IFERROR(INDEX(球員狀態!Y$2:Y$5000, MATCH(1, (球員狀態!$A$2:$A$5000=$DF$1)*(ISNUMBER(SEARCH($DF182, 球員狀態!$B$2:$B$5000))), 0)), "")</f>
        <v/>
      </c>
      <c r="ED182" s="4" t="str">
        <f t="array" ref="ED182">IFERROR(INDEX(球員狀態!Z$2:Z$5000,MATCH(1,(球員狀態!$A$2:$A$5000=$DF$181)*(ISNUMBER(SEARCH($DF182,球員狀態!$B$2:$B$5000))),0)),"")</f>
        <v/>
      </c>
      <c r="EE182" s="4" t="str">
        <f t="array" ref="EE182">IFERROR(INDEX(球員狀態!AA$2:AA$5000,MATCH(1,(球員狀態!$A$2:$A$5000=$DF$181)*(ISNUMBER(SEARCH($DF182,球員狀態!$B$2:$B$5000))),0)),"")</f>
        <v/>
      </c>
      <c r="EF182" s="4" t="str">
        <f t="array" ref="EF182">IFERROR(INDEX(球員狀態!AB$2:AB$5000,MATCH(1,(球員狀態!$A$2:$A$5000=$DF$181)*(ISNUMBER(SEARCH($DF182,球員狀態!$B$2:$B$5000))),0)),"")</f>
        <v/>
      </c>
      <c r="EG182" s="56"/>
      <c r="EI182" s="35" t="str">
        <f>先發名單!O$8</f>
        <v>D. Swanson</v>
      </c>
      <c r="EJ182" s="4" t="str">
        <f t="array" ref="EJ182">IFERROR(INDEX(球員狀態!C$2:C$5000, MATCH(1, (球員狀態!$A$2:$A$5000=$EI$181)*(ISNUMBER(SEARCH($EI182, 球員狀態!$B$2:$B$5000))), 0)), "")</f>
        <v/>
      </c>
      <c r="EM182" s="4" t="str">
        <f t="array" ref="EM182">IFERROR(INDEX(球員狀態!F$2:F$5000, MATCH(1, (球員狀態!$A$2:$A$5000=$EI$181)*(ISNUMBER(SEARCH($EI182, 球員狀態!$B$2:$B$5000))), 0)), "")</f>
        <v/>
      </c>
      <c r="EN182" s="4" t="str">
        <f t="array" ref="EN182">IFERROR(INDEX(球員狀態!G$2:G$5000, MATCH(1, (球員狀態!$A$2:$A$5000=$EI$1)*(ISNUMBER(SEARCH($EI182, 球員狀態!$B$2:$B$5000))), 0)), "")</f>
        <v/>
      </c>
      <c r="EO182" s="4" t="str">
        <f t="array" ref="EO182">IFERROR(INDEX(球員狀態!H$2:H$5000, MATCH(1, (球員狀態!$A$2:$A$5000=$EI$181)*(ISNUMBER(SEARCH($EI182, 球員狀態!$B$2:$B$5000))), 0)), "")</f>
        <v/>
      </c>
      <c r="EP182" s="4" t="str">
        <f t="array" ref="EP182">IFERROR(INDEX(球員狀態!I$2:I$5000, MATCH(1, (球員狀態!$A$2:$A$5000=$EI$181)*(ISNUMBER(SEARCH($EI182, 球員狀態!$B$2:$B$5000))), 0)), "")</f>
        <v/>
      </c>
      <c r="EQ182" s="4" t="str">
        <f t="array" ref="EQ182">IFERROR(INDEX(球員狀態!J$2:J$5000, MATCH(1, (球員狀態!$A$2:$A$5000=$EI$181)*(ISNUMBER(SEARCH($EI182, 球員狀態!$B$2:$B$5000))), 0)), "")</f>
        <v/>
      </c>
      <c r="ER182" s="4" t="str">
        <f t="array" ref="ER182">IFERROR(INDEX(球員狀態!K$2:K$5000, MATCH(1, (球員狀態!$A$2:$A$5000=$EI$181)*(ISNUMBER(SEARCH($EI182, 球員狀態!$B$2:$B$5000))), 0)), "")</f>
        <v/>
      </c>
      <c r="ES182" s="4" t="str">
        <f t="array" ref="ES182">IFERROR(INDEX(球員狀態!L$2:L$5000, MATCH(1, (球員狀態!$A$2:$A$5000=$EI$181)*(ISNUMBER(SEARCH($EI182, 球員狀態!$B$2:$B$5000))), 0)), "")</f>
        <v/>
      </c>
      <c r="ET182" s="4" t="str">
        <f t="array" ref="ET182">IFERROR(INDEX(球員狀態!M$2:M$5000, MATCH(1, (球員狀態!$A$2:$A$5000=$EI$181)*(ISNUMBER(SEARCH($EI182, 球員狀態!$B$2:$B$5000))), 0)), "")</f>
        <v/>
      </c>
      <c r="EU182" s="4" t="str">
        <f t="array" ref="EU182">IFERROR(INDEX(球員狀態!N$2:N$5000, MATCH(1, (球員狀態!$A$2:$A$5000=$EI$181)*(ISNUMBER(SEARCH($EI182, 球員狀態!$B$2:$B$5000))), 0)), "")</f>
        <v/>
      </c>
      <c r="EV182" s="4" t="str">
        <f t="array" ref="EV182">IFERROR(INDEX(球員狀態!O$2:O$5000, MATCH(1, (球員狀態!$A$2:$A$5000=$EI$1)*(ISNUMBER(SEARCH($EI182, 球員狀態!$B$2:$B$5000))), 0)), "")</f>
        <v/>
      </c>
      <c r="EW182" s="4" t="str">
        <f t="array" ref="EW182">IFERROR(INDEX(球員狀態!P$2:P$5000, MATCH(1, (球員狀態!$A$2:$A$5000=$EI$1)*(ISNUMBER(SEARCH($EI182, 球員狀態!$B$2:$B$5000))), 0)), "")</f>
        <v/>
      </c>
      <c r="EX182" s="4" t="str">
        <f t="array" ref="EX182">IFERROR(INDEX(球員狀態!Q$2:Q$5000, MATCH(1, (球員狀態!$A$2:$A$5000=$EI$181)*(ISNUMBER(SEARCH($EI182, 球員狀態!$B$2:$B$5000))), 0)), "")</f>
        <v/>
      </c>
      <c r="EY182" s="4" t="str">
        <f t="array" ref="EY182">IFERROR(INDEX(球員狀態!R$2:R$5000, MATCH(1, (球員狀態!$A$2:$A$5000=$EI$1)*(ISNUMBER(SEARCH($EI182, 球員狀態!$B$2:$B$5000))), 0)), "")</f>
        <v/>
      </c>
      <c r="EZ182" s="4" t="str">
        <f t="array" ref="EZ182">IFERROR(INDEX(球員狀態!S$2:S$5000, MATCH(1, (球員狀態!$A$2:$A$5000=$EI$1)*(ISNUMBER(SEARCH($EI182, 球員狀態!$B$2:$B$5000))), 0)), "")</f>
        <v/>
      </c>
      <c r="FA182" s="4" t="str">
        <f t="array" ref="FA182">IFERROR(INDEX(球員狀態!T$2:T$5000, MATCH(1, (球員狀態!$A$2:$A$5000=$EI$181)*(ISNUMBER(SEARCH($EI182, 球員狀態!$B$2:$B$5000))), 0)), "")</f>
        <v/>
      </c>
      <c r="FB182" s="4" t="str">
        <f t="array" ref="FB182">IFERROR(INDEX(球員狀態!U$2:U$5000, MATCH(1, (球員狀態!$A$2:$A$5000=$EI$1)*(ISNUMBER(SEARCH($EI182, 球員狀態!$B$2:$B$5000))), 0)), "")</f>
        <v/>
      </c>
      <c r="FC182" s="4" t="str">
        <f t="array" ref="FC182">IFERROR(INDEX(球員狀態!V$2:V$5000, MATCH(1, (球員狀態!$A$2:$A$5000=$EI$1)*(ISNUMBER(SEARCH($EI182, 球員狀態!$B$2:$B$5000))), 0)), "")</f>
        <v/>
      </c>
      <c r="FD182" s="4" t="str">
        <f t="array" ref="FD182">IFERROR(INDEX(球員狀態!W$2:W$5000, MATCH(1, (球員狀態!$A$2:$A$5000=$EI$181)*(ISNUMBER(SEARCH($EI182, 球員狀態!$B$2:$B$5000))), 0)), "")</f>
        <v/>
      </c>
      <c r="FE182" s="4" t="str">
        <f t="array" ref="FE182">IFERROR(INDEX(球員狀態!X$2:X$5000, MATCH(1, (球員狀態!$A$2:$A$5000=$EI$1)*(ISNUMBER(SEARCH($EI182, 球員狀態!$B$2:$B$5000))), 0)), "")</f>
        <v/>
      </c>
      <c r="FF182" s="4" t="str">
        <f t="array" ref="FF182">IFERROR(INDEX(球員狀態!Y$2:Y$5000, MATCH(1, (球員狀態!$A$2:$A$5000=$EI$1)*(ISNUMBER(SEARCH($EI182, 球員狀態!$B$2:$B$5000))), 0)), "")</f>
        <v/>
      </c>
      <c r="FG182" s="4" t="str">
        <f t="array" ref="FG182">IFERROR(INDEX(球員狀態!Z$2:Z$5000, MATCH(1, (球員狀態!$A$2:$A$5000=$EI$181)*(ISNUMBER(SEARCH($EI182, 球員狀態!$B$2:$B$5000))), 0)), "")</f>
        <v/>
      </c>
      <c r="FH182" s="4" t="str">
        <f t="array" ref="FH182">IFERROR(INDEX(球員狀態!AA$2:AA$5000, MATCH(1, (球員狀態!$A$2:$A$5000=$EI$181)*(ISNUMBER(SEARCH($EI182, 球員狀態!$B$2:$B$5000))), 0)), "")</f>
        <v/>
      </c>
      <c r="FI182" s="4" t="str">
        <f t="array" ref="FI182">IFERROR(INDEX(球員狀態!AB$2:AB$5000, MATCH(1, (球員狀態!$A$2:$A$5000=$EI$181)*(ISNUMBER(SEARCH($EI182, 球員狀態!$B$2:$B$5000))), 0)), "")</f>
        <v/>
      </c>
    </row>
    <row r="183" spans="110:165">
      <c r="DF183" s="36"/>
      <c r="DG183" s="4"/>
      <c r="DH183" s="40" t="e">
        <f>DJ183+DL183+DM183+DN183+DO183-DP183-DQ183+DR183</f>
        <v>#VALUE!</v>
      </c>
      <c r="DI183" s="42" t="e">
        <f>DU183+DX183+EA183+ED183+EE183+EF183</f>
        <v>#VALUE!</v>
      </c>
      <c r="DJ183" s="38" t="e">
        <f>VLOOKUP(DJ182*1, $FK$2:$FM$12, 3, TRUE)*$FM$1</f>
        <v>#VALUE!</v>
      </c>
      <c r="DL183" s="38" t="e">
        <f>VLOOKUP(DL182*1, $FN$2:$FP$12, 3, TRUE)*$FP$1</f>
        <v>#VALUE!</v>
      </c>
      <c r="DM183" s="38" t="e">
        <f>VLOOKUP(DM182*1, $FQ$2:$FS$12, 3, TRUE)*$FS$1</f>
        <v>#VALUE!</v>
      </c>
      <c r="DN183" s="38" t="e">
        <f>VLOOKUP(DN182*1, $FT$2:$FV$12, 3, TRUE)*$FV$1</f>
        <v>#VALUE!</v>
      </c>
      <c r="DO183" s="38" t="e">
        <f>VLOOKUP(DO182*1, $FW$2:$FY$12, 3, TRUE)*$FY$1</f>
        <v>#VALUE!</v>
      </c>
      <c r="DP183" s="39" t="e">
        <f>VLOOKUP(DP182*1, $FK$14:$FM$25, 3, TRUE)*$FM$14</f>
        <v>#VALUE!</v>
      </c>
      <c r="DQ183" s="39" t="e">
        <f>VLOOKUP(DQ182*1, $FN$14:$FP$25, 3, TRUE)*$FP$14</f>
        <v>#VALUE!</v>
      </c>
      <c r="DR183" s="38" t="e">
        <f>VLOOKUP(DR182*1, $FQ$14:$FS$25, 3, TRUE)*$FS$14</f>
        <v>#VALUE!</v>
      </c>
      <c r="DU183" s="41" t="e">
        <f>VLOOKUP(DU182*1, $FK$27:$FM$38, 3, TRUE)*$FM$27</f>
        <v>#VALUE!</v>
      </c>
      <c r="DX183" s="41" t="e">
        <f>VLOOKUP(DX182*1, $FN$27:$FP$38, 3, TRUE)*$FP$27</f>
        <v>#VALUE!</v>
      </c>
      <c r="EA183" s="41" t="e">
        <f>VLOOKUP(EA182*1, $FQ$27:$FS$38, 3, TRUE)*$FS$27</f>
        <v>#VALUE!</v>
      </c>
      <c r="ED183" s="41" t="e">
        <f>VLOOKUP(ED182*1, $FT$27:$FV$38, 3, TRUE)*$FV$27</f>
        <v>#VALUE!</v>
      </c>
      <c r="EE183" s="41" t="e">
        <f>VLOOKUP(EE182*1, $FW$27:$FY$38, 3, TRUE)*$FY$27</f>
        <v>#VALUE!</v>
      </c>
      <c r="EF183" s="41" t="e">
        <f>VLOOKUP(EF182*1, $FK$40:$FM$51, 3, TRUE)*$FM$40</f>
        <v>#VALUE!</v>
      </c>
      <c r="EG183" s="57"/>
      <c r="EI183" s="36"/>
      <c r="EJ183" s="4"/>
      <c r="EK183" s="40" t="e">
        <f>EM183+EO183+EP183+EQ183+ER183-ES183-ET183+EU183</f>
        <v>#VALUE!</v>
      </c>
      <c r="EL183" s="42" t="e">
        <f>EX183+FA183+FD183+FG183+FH183+FI183</f>
        <v>#VALUE!</v>
      </c>
      <c r="EM183" s="38" t="e">
        <f>VLOOKUP(EM182*1, $FK$2:$FM$12, 3, TRUE)*$FM$1</f>
        <v>#VALUE!</v>
      </c>
      <c r="EO183" s="38" t="e">
        <f>VLOOKUP(EO182*1, $FN$2:$FP$12, 3, TRUE)*$FP$1</f>
        <v>#VALUE!</v>
      </c>
      <c r="EP183" s="38" t="e">
        <f>VLOOKUP(EP182*1, $FQ$2:$FS$12, 3, TRUE)*$FS$1</f>
        <v>#VALUE!</v>
      </c>
      <c r="EQ183" s="38" t="e">
        <f>VLOOKUP(EQ182*1, $FT$2:$FV$12, 3, TRUE)*$FV$1</f>
        <v>#VALUE!</v>
      </c>
      <c r="ER183" s="38" t="e">
        <f>VLOOKUP(ER182*1, $FW$2:$FY$12, 3, TRUE)*$FY$1</f>
        <v>#VALUE!</v>
      </c>
      <c r="ES183" s="39" t="e">
        <f>VLOOKUP(ES182*1, $FK$14:$FM$25, 3, TRUE)*$FM$14</f>
        <v>#VALUE!</v>
      </c>
      <c r="ET183" s="39" t="e">
        <f>VLOOKUP(ET182*1, $FN$14:$FP$25, 3, TRUE)*$FP$14</f>
        <v>#VALUE!</v>
      </c>
      <c r="EU183" s="38" t="e">
        <f>VLOOKUP(EU182*1, $FQ$14:$FS$25, 3, TRUE)*$FS$14</f>
        <v>#VALUE!</v>
      </c>
      <c r="EX183" s="41" t="e">
        <f>VLOOKUP(EX182*1, $FK$27:$FM$38, 3, TRUE)*$FM$27</f>
        <v>#VALUE!</v>
      </c>
      <c r="FA183" s="41" t="e">
        <f>VLOOKUP(FA182*1, $FN$27:$FP$38, 3, TRUE)*$FP$27</f>
        <v>#VALUE!</v>
      </c>
      <c r="FD183" s="41" t="e">
        <f>VLOOKUP(FD182*1, $FQ$27:$FS$38, 3, TRUE)*$FS$27</f>
        <v>#VALUE!</v>
      </c>
      <c r="FG183" s="41" t="e">
        <f>VLOOKUP(FG182*1, $FT$27:$FV$38, 3, TRUE)*$FV$27</f>
        <v>#VALUE!</v>
      </c>
      <c r="FH183" s="41" t="e">
        <f>VLOOKUP(FH182*1, $FW$27:$FY$38, 3, TRUE)*$FY$27</f>
        <v>#VALUE!</v>
      </c>
      <c r="FI183" s="41" t="e">
        <f>VLOOKUP(FI182*1, $FK$40:$FM$51, 3, TRUE)*$FM$40</f>
        <v>#VALUE!</v>
      </c>
    </row>
    <row r="184" spans="110:165">
      <c r="DF184" s="35" t="str">
        <f>先發名單!F8</f>
        <v>Randy Vasquez</v>
      </c>
      <c r="DG184" s="4" t="str">
        <f t="array" ref="DG184">IFERROR(INDEX(球員狀態!$C$2:$C$5000, MATCH(1, (球員狀態!$A$2:$A$5000=$DF$181)*(ISNUMBER(SEARCH($DF184, 球員狀態!$B$2:$B$5000))), 0)), "")</f>
        <v/>
      </c>
      <c r="DJ184" s="4" t="str">
        <f t="array" ref="DJ184">IFERROR(INDEX(球員狀態!$F$2:$F$5000,MATCH(1,(球員狀態!$A$2:$A$5000=$DF$181)*(ISNUMBER(SEARCH($DF184,球員狀態!$B$2:$B$5000))),0)),"")</f>
        <v/>
      </c>
      <c r="DK184" s="4" t="str">
        <f t="array" ref="DK184">IFERROR(INDEX(球員狀態!G$2:G$5000, MATCH(1, (球員狀態!$A$2:$A$5000=$DF$1)*(ISNUMBER(SEARCH($DF184, 球員狀態!$B$2:$B$5000))), 0)), "")</f>
        <v/>
      </c>
      <c r="DL184" s="4" t="str">
        <f t="array" ref="DL184">IFERROR(INDEX(球員狀態!H$2:H$5000, MATCH(1, (球員狀態!$A$2:$A$5000=$DF$181)*(ISNUMBER(SEARCH($DF184, 球員狀態!$B$2:$B$5000))), 0)), "")</f>
        <v/>
      </c>
      <c r="DM184" s="4" t="str">
        <f t="array" ref="DM184">IFERROR(INDEX(球員狀態!I$2:I$5000,MATCH(1,(球員狀態!$A$2:$A$5000=$DF$181)*(ISNUMBER(SEARCH($DF184,球員狀態!$B$2:$B$5000))),0)),"")</f>
        <v/>
      </c>
      <c r="DN184" s="4" t="str">
        <f t="array" ref="DN184">IFERROR(INDEX(球員狀態!J$2:J$5000,MATCH(1,(球員狀態!$A$2:$A$5000=$DF$181)*(ISNUMBER(SEARCH($DF184,球員狀態!$B$2:$B$5000))),0)),"")</f>
        <v/>
      </c>
      <c r="DO184" s="4" t="str">
        <f t="array" ref="DO184">IFERROR(INDEX(球員狀態!K$2:K$5000,MATCH(1,(球員狀態!$A$2:$A$5000=$DF$181)*(ISNUMBER(SEARCH($DF184,球員狀態!$B$2:$B$5000))),0)),"")</f>
        <v/>
      </c>
      <c r="DP184" s="4" t="str">
        <f t="array" ref="DP184">IFERROR(INDEX(球員狀態!L$2:L$5000,MATCH(1,(球員狀態!$A$2:$A$5000=$DF$181)*(ISNUMBER(SEARCH($DF184,球員狀態!$B$2:$B$5000))),0)),"")</f>
        <v/>
      </c>
      <c r="DQ184" s="4" t="str">
        <f t="array" ref="DQ184">IFERROR(INDEX(球員狀態!M$2:M$5000,MATCH(1,(球員狀態!$A$2:$A$5000=$DF$181)*(ISNUMBER(SEARCH($DF184,球員狀態!$B$2:$B$5000))),0)),"")</f>
        <v/>
      </c>
      <c r="DR184" s="4" t="str">
        <f t="array" ref="DR184">IFERROR(INDEX(球員狀態!N$2:N$5000,MATCH(1,(球員狀態!$A$2:$A$5000=$DF$181)*(ISNUMBER(SEARCH($DF184,球員狀態!$B$2:$B$5000))),0)),"")</f>
        <v/>
      </c>
      <c r="DS184" s="4" t="str">
        <f t="array" ref="DS184">IFERROR(INDEX(球員狀態!O$2:O$5000, MATCH(1, (球員狀態!$A$2:$A$5000=$DF$1)*(ISNUMBER(SEARCH($DF184, 球員狀態!$B$2:$B$5000))), 0)), "")</f>
        <v/>
      </c>
      <c r="DT184" s="4" t="str">
        <f t="array" ref="DT184">IFERROR(INDEX(球員狀態!P$2:P$5000, MATCH(1, (球員狀態!$A$2:$A$5000=$DF$1)*(ISNUMBER(SEARCH($DF184, 球員狀態!$B$2:$B$5000))), 0)), "")</f>
        <v/>
      </c>
      <c r="DU184" s="4" t="str">
        <f t="array" ref="DU184">IFERROR(INDEX(球員狀態!Q$2:Q$5000,MATCH(1,(球員狀態!$A$2:$A$5000=$DF$181)*(ISNUMBER(SEARCH($DF184,球員狀態!$B$2:$B$5000))),0)),"")</f>
        <v/>
      </c>
      <c r="DV184" s="4" t="str">
        <f t="array" ref="DV184">IFERROR(INDEX(球員狀態!R$2:R$5000, MATCH(1, (球員狀態!$A$2:$A$5000=$DF$1)*(ISNUMBER(SEARCH($DF184, 球員狀態!$B$2:$B$5000))), 0)), "")</f>
        <v/>
      </c>
      <c r="DW184" s="4" t="str">
        <f t="array" ref="DW184">IFERROR(INDEX(球員狀態!S$2:S$5000, MATCH(1, (球員狀態!$A$2:$A$5000=$DF$1)*(ISNUMBER(SEARCH($DF184, 球員狀態!$B$2:$B$5000))), 0)), "")</f>
        <v/>
      </c>
      <c r="DX184" s="4" t="str">
        <f t="array" ref="DX184">IFERROR(INDEX(球員狀態!T$2:T$5000,MATCH(1,(球員狀態!$A$2:$A$5000=$DF$181)*(ISNUMBER(SEARCH($DF184,球員狀態!$B$2:$B$5000))),0)),"")</f>
        <v/>
      </c>
      <c r="DY184" s="4" t="str">
        <f t="array" ref="DY184">IFERROR(INDEX(球員狀態!U$2:U$5000, MATCH(1, (球員狀態!$A$2:$A$5000=$DF$1)*(ISNUMBER(SEARCH($DF184, 球員狀態!$B$2:$B$5000))), 0)), "")</f>
        <v/>
      </c>
      <c r="DZ184" s="4" t="str">
        <f t="array" ref="DZ184">IFERROR(INDEX(球員狀態!V$2:V$5000, MATCH(1, (球員狀態!$A$2:$A$5000=$DF$1)*(ISNUMBER(SEARCH($DF184, 球員狀態!$B$2:$B$5000))), 0)), "")</f>
        <v/>
      </c>
      <c r="EA184" s="4" t="str">
        <f t="array" ref="EA184">IFERROR(INDEX(球員狀態!W$2:W$5000,MATCH(1,(球員狀態!$A$2:$A$5000=$DF$181)*(ISNUMBER(SEARCH($DF184,球員狀態!$B$2:$B$5000))),0)),"")</f>
        <v/>
      </c>
      <c r="EB184" s="4" t="str">
        <f t="array" ref="EB184">IFERROR(INDEX(球員狀態!X$2:X$5000, MATCH(1, (球員狀態!$A$2:$A$5000=$DF$1)*(ISNUMBER(SEARCH($DF184, 球員狀態!$B$2:$B$5000))), 0)), "")</f>
        <v/>
      </c>
      <c r="EC184" s="4" t="str">
        <f t="array" ref="EC184">IFERROR(INDEX(球員狀態!Y$2:Y$5000, MATCH(1, (球員狀態!$A$2:$A$5000=$DF$1)*(ISNUMBER(SEARCH($DF184, 球員狀態!$B$2:$B$5000))), 0)), "")</f>
        <v/>
      </c>
      <c r="ED184" s="4" t="str">
        <f t="array" ref="ED184">IFERROR(INDEX(球員狀態!Z$2:Z$5000,MATCH(1,(球員狀態!$A$2:$A$5000=$DF$181)*(ISNUMBER(SEARCH($DF184,球員狀態!$B$2:$B$5000))),0)),"")</f>
        <v/>
      </c>
      <c r="EE184" s="4" t="str">
        <f t="array" ref="EE184">IFERROR(INDEX(球員狀態!AA$2:AA$5000,MATCH(1,(球員狀態!$A$2:$A$5000=$DF$181)*(ISNUMBER(SEARCH($DF184,球員狀態!$B$2:$B$5000))),0)),"")</f>
        <v/>
      </c>
      <c r="EF184" s="4" t="str">
        <f t="array" ref="EF184">IFERROR(INDEX(球員狀態!AB$2:AB$5000,MATCH(1,(球員狀態!$A$2:$A$5000=$DF$181)*(ISNUMBER(SEARCH($DF184,球員狀態!$B$2:$B$5000))),0)),"")</f>
        <v/>
      </c>
      <c r="EG184" s="56"/>
      <c r="EI184" s="35" t="str">
        <f>先發名單!P$8</f>
        <v>R. Laureano</v>
      </c>
      <c r="EJ184" s="4" t="str">
        <f t="array" ref="EJ184">IFERROR(INDEX(球員狀態!C$2:C$5000, MATCH(1, (球員狀態!$A$2:$A$5000=$EI$181)*(ISNUMBER(SEARCH($EI184, 球員狀態!$B$2:$B$5000))), 0)), "")</f>
        <v/>
      </c>
      <c r="EM184" s="4" t="str">
        <f t="array" ref="EM184">IFERROR(INDEX(球員狀態!F$2:F$5000, MATCH(1, (球員狀態!$A$2:$A$5000=$EI$181)*(ISNUMBER(SEARCH($EI184, 球員狀態!$B$2:$B$5000))), 0)), "")</f>
        <v/>
      </c>
      <c r="EN184" s="4" t="str">
        <f t="array" ref="EN184">IFERROR(INDEX(球員狀態!G$2:G$5000, MATCH(1, (球員狀態!$A$2:$A$5000=$EI$1)*(ISNUMBER(SEARCH($EI184, 球員狀態!$B$2:$B$5000))), 0)), "")</f>
        <v/>
      </c>
      <c r="EO184" s="4" t="str">
        <f t="array" ref="EO184">IFERROR(INDEX(球員狀態!H$2:H$5000, MATCH(1, (球員狀態!$A$2:$A$5000=$EI$181)*(ISNUMBER(SEARCH($EI184, 球員狀態!$B$2:$B$5000))), 0)), "")</f>
        <v/>
      </c>
      <c r="EP184" s="4" t="str">
        <f t="array" ref="EP184">IFERROR(INDEX(球員狀態!I$2:I$5000, MATCH(1, (球員狀態!$A$2:$A$5000=$EI$181)*(ISNUMBER(SEARCH($EI184, 球員狀態!$B$2:$B$5000))), 0)), "")</f>
        <v/>
      </c>
      <c r="EQ184" s="4" t="str">
        <f t="array" ref="EQ184">IFERROR(INDEX(球員狀態!J$2:J$5000, MATCH(1, (球員狀態!$A$2:$A$5000=$EI$181)*(ISNUMBER(SEARCH($EI184, 球員狀態!$B$2:$B$5000))), 0)), "")</f>
        <v/>
      </c>
      <c r="ER184" s="4" t="str">
        <f t="array" ref="ER184">IFERROR(INDEX(球員狀態!K$2:K$5000, MATCH(1, (球員狀態!$A$2:$A$5000=$EI$181)*(ISNUMBER(SEARCH($EI184, 球員狀態!$B$2:$B$5000))), 0)), "")</f>
        <v/>
      </c>
      <c r="ES184" s="4" t="str">
        <f t="array" ref="ES184">IFERROR(INDEX(球員狀態!L$2:L$5000, MATCH(1, (球員狀態!$A$2:$A$5000=$EI$181)*(ISNUMBER(SEARCH($EI184, 球員狀態!$B$2:$B$5000))), 0)), "")</f>
        <v/>
      </c>
      <c r="ET184" s="4" t="str">
        <f t="array" ref="ET184">IFERROR(INDEX(球員狀態!M$2:M$5000, MATCH(1, (球員狀態!$A$2:$A$5000=$EI$181)*(ISNUMBER(SEARCH($EI184, 球員狀態!$B$2:$B$5000))), 0)), "")</f>
        <v/>
      </c>
      <c r="EU184" s="4" t="str">
        <f t="array" ref="EU184">IFERROR(INDEX(球員狀態!N$2:N$5000, MATCH(1, (球員狀態!$A$2:$A$5000=$EI$181)*(ISNUMBER(SEARCH($EI184, 球員狀態!$B$2:$B$5000))), 0)), "")</f>
        <v/>
      </c>
      <c r="EV184" s="4" t="str">
        <f t="array" ref="EV184">IFERROR(INDEX(球員狀態!O$2:O$5000, MATCH(1, (球員狀態!$A$2:$A$5000=$EI$1)*(ISNUMBER(SEARCH($EI184, 球員狀態!$B$2:$B$5000))), 0)), "")</f>
        <v/>
      </c>
      <c r="EW184" s="4" t="str">
        <f t="array" ref="EW184">IFERROR(INDEX(球員狀態!P$2:P$5000, MATCH(1, (球員狀態!$A$2:$A$5000=$EI$1)*(ISNUMBER(SEARCH($EI184, 球員狀態!$B$2:$B$5000))), 0)), "")</f>
        <v/>
      </c>
      <c r="EX184" s="4" t="str">
        <f t="array" ref="EX184">IFERROR(INDEX(球員狀態!Q$2:Q$5000, MATCH(1, (球員狀態!$A$2:$A$5000=$EI$181)*(ISNUMBER(SEARCH($EI184, 球員狀態!$B$2:$B$5000))), 0)), "")</f>
        <v/>
      </c>
      <c r="EY184" s="4" t="str">
        <f t="array" ref="EY184">IFERROR(INDEX(球員狀態!R$2:R$5000, MATCH(1, (球員狀態!$A$2:$A$5000=$EI$1)*(ISNUMBER(SEARCH($EI184, 球員狀態!$B$2:$B$5000))), 0)), "")</f>
        <v/>
      </c>
      <c r="EZ184" s="4" t="str">
        <f t="array" ref="EZ184">IFERROR(INDEX(球員狀態!S$2:S$5000, MATCH(1, (球員狀態!$A$2:$A$5000=$EI$1)*(ISNUMBER(SEARCH($EI184, 球員狀態!$B$2:$B$5000))), 0)), "")</f>
        <v/>
      </c>
      <c r="FA184" s="4" t="str">
        <f t="array" ref="FA184">IFERROR(INDEX(球員狀態!T$2:T$5000, MATCH(1, (球員狀態!$A$2:$A$5000=$EI$181)*(ISNUMBER(SEARCH($EI184, 球員狀態!$B$2:$B$5000))), 0)), "")</f>
        <v/>
      </c>
      <c r="FB184" s="4" t="str">
        <f t="array" ref="FB184">IFERROR(INDEX(球員狀態!U$2:U$5000, MATCH(1, (球員狀態!$A$2:$A$5000=$EI$1)*(ISNUMBER(SEARCH($EI184, 球員狀態!$B$2:$B$5000))), 0)), "")</f>
        <v/>
      </c>
      <c r="FC184" s="4" t="str">
        <f t="array" ref="FC184">IFERROR(INDEX(球員狀態!V$2:V$5000, MATCH(1, (球員狀態!$A$2:$A$5000=$EI$1)*(ISNUMBER(SEARCH($EI184, 球員狀態!$B$2:$B$5000))), 0)), "")</f>
        <v/>
      </c>
      <c r="FD184" s="4" t="str">
        <f t="array" ref="FD184">IFERROR(INDEX(球員狀態!W$2:W$5000, MATCH(1, (球員狀態!$A$2:$A$5000=$EI$181)*(ISNUMBER(SEARCH($EI184, 球員狀態!$B$2:$B$5000))), 0)), "")</f>
        <v/>
      </c>
      <c r="FE184" s="4" t="str">
        <f t="array" ref="FE184">IFERROR(INDEX(球員狀態!X$2:X$5000, MATCH(1, (球員狀態!$A$2:$A$5000=$EI$1)*(ISNUMBER(SEARCH($EI184, 球員狀態!$B$2:$B$5000))), 0)), "")</f>
        <v/>
      </c>
      <c r="FF184" s="4" t="str">
        <f t="array" ref="FF184">IFERROR(INDEX(球員狀態!Y$2:Y$5000, MATCH(1, (球員狀態!$A$2:$A$5000=$EI$1)*(ISNUMBER(SEARCH($EI184, 球員狀態!$B$2:$B$5000))), 0)), "")</f>
        <v/>
      </c>
      <c r="FG184" s="4" t="str">
        <f t="array" ref="FG184">IFERROR(INDEX(球員狀態!Z$2:Z$5000, MATCH(1, (球員狀態!$A$2:$A$5000=$EI$181)*(ISNUMBER(SEARCH($EI184, 球員狀態!$B$2:$B$5000))), 0)), "")</f>
        <v/>
      </c>
      <c r="FH184" s="4" t="str">
        <f t="array" ref="FH184">IFERROR(INDEX(球員狀態!AA$2:AA$5000, MATCH(1, (球員狀態!$A$2:$A$5000=$EI$181)*(ISNUMBER(SEARCH($EI184, 球員狀態!$B$2:$B$5000))), 0)), "")</f>
        <v/>
      </c>
      <c r="FI184" s="4" t="str">
        <f t="array" ref="FI184">IFERROR(INDEX(球員狀態!AB$2:AB$5000, MATCH(1, (球員狀態!$A$2:$A$5000=$EI$181)*(ISNUMBER(SEARCH($EI184, 球員狀態!$B$2:$B$5000))), 0)), "")</f>
        <v/>
      </c>
    </row>
    <row r="185" spans="110:165">
      <c r="DF185" s="36"/>
      <c r="DG185" s="4"/>
      <c r="DH185" s="40" t="e">
        <f>DJ185+DL185+DM185+DN185+DO185-DP185-DQ185+DR185</f>
        <v>#VALUE!</v>
      </c>
      <c r="DI185" s="42" t="e">
        <f>DU185+DX185+EA185+ED185+EE185+EF185</f>
        <v>#VALUE!</v>
      </c>
      <c r="DJ185" s="38" t="e">
        <f>VLOOKUP(DJ184*1, FK$2:FM$12, 3, TRUE)*FM$1</f>
        <v>#VALUE!</v>
      </c>
      <c r="DL185" s="38" t="e">
        <f>VLOOKUP(DL184*1, FN$2:FP$12, 3, TRUE)*FP$1</f>
        <v>#VALUE!</v>
      </c>
      <c r="DM185" s="38" t="e">
        <f>VLOOKUP(DM184*1, FQ$2:FS$12, 3, TRUE)*FS$1</f>
        <v>#VALUE!</v>
      </c>
      <c r="DN185" s="38" t="e">
        <f>VLOOKUP(DN184*1, FT$2:FV$12, 3, TRUE)*FV$1</f>
        <v>#VALUE!</v>
      </c>
      <c r="DO185" s="38" t="e">
        <f>VLOOKUP(DO184*1, FW$2:FY$12, 3, TRUE)*FY$1</f>
        <v>#VALUE!</v>
      </c>
      <c r="DP185" s="39" t="e">
        <f>VLOOKUP(DP184*1, FK$14:FM$25, 3, TRUE)*FM$14</f>
        <v>#VALUE!</v>
      </c>
      <c r="DQ185" s="39" t="e">
        <f>VLOOKUP(DQ184*1, FN$14:FP$25, 3, TRUE)*FP$14</f>
        <v>#VALUE!</v>
      </c>
      <c r="DR185" s="38" t="e">
        <f>VLOOKUP(DR184*1, FQ$14:FS$25, 3, TRUE)*FS$14</f>
        <v>#VALUE!</v>
      </c>
      <c r="DU185" s="41" t="e">
        <f>VLOOKUP(DU184*1, FK$27:FM$38, 3, TRUE)*FM$27</f>
        <v>#VALUE!</v>
      </c>
      <c r="DX185" s="41" t="e">
        <f>VLOOKUP(DX184*1, FN$27:FP$38, 3, TRUE)*FP$27</f>
        <v>#VALUE!</v>
      </c>
      <c r="EA185" s="41" t="e">
        <f>VLOOKUP(EA184*1, FQ$27:FS$38, 3, TRUE)*FS$27</f>
        <v>#VALUE!</v>
      </c>
      <c r="ED185" s="41" t="e">
        <f>VLOOKUP(ED184*1, FT$27:FV$38, 3, TRUE)*FV$27</f>
        <v>#VALUE!</v>
      </c>
      <c r="EE185" s="41" t="e">
        <f>VLOOKUP(EE184*1, FW$27:FY$38, 3, TRUE)*FY$27</f>
        <v>#VALUE!</v>
      </c>
      <c r="EF185" s="41" t="e">
        <f>VLOOKUP(EF184*1, FK$40:FM$51, 3, TRUE)*FM$40</f>
        <v>#VALUE!</v>
      </c>
      <c r="EG185" s="57"/>
      <c r="EI185" s="36"/>
      <c r="EJ185" s="4"/>
      <c r="EK185" s="40" t="e">
        <f>EM185+EO185+EP185+EQ185+ER185-ES185-ET185+EU185</f>
        <v>#VALUE!</v>
      </c>
      <c r="EL185" s="42" t="e">
        <f>EX185+FA185+FD185+FG185+FH185+FI185</f>
        <v>#VALUE!</v>
      </c>
      <c r="EM185" s="38" t="e">
        <f>VLOOKUP(EM184*1, $FK$2:$FM$12, 3, TRUE)*$FM$1</f>
        <v>#VALUE!</v>
      </c>
      <c r="EO185" s="38" t="e">
        <f>VLOOKUP(EO184*1, $FN$2:$FP$12, 3, TRUE)*$FP$1</f>
        <v>#VALUE!</v>
      </c>
      <c r="EP185" s="38" t="e">
        <f>VLOOKUP(EP184*1, $FQ$2:$FS$12, 3, TRUE)*$FS$1</f>
        <v>#VALUE!</v>
      </c>
      <c r="EQ185" s="38" t="e">
        <f>VLOOKUP(EQ184*1, $FT$2:$FV$12, 3, TRUE)*$FV$1</f>
        <v>#VALUE!</v>
      </c>
      <c r="ER185" s="38" t="e">
        <f>VLOOKUP(ER184*1, $FW$2:$FY$12, 3, TRUE)*$FY$1</f>
        <v>#VALUE!</v>
      </c>
      <c r="ES185" s="39" t="e">
        <f>VLOOKUP(ES184*1, $FK$14:$FM$25, 3, TRUE)*$FM$14</f>
        <v>#VALUE!</v>
      </c>
      <c r="ET185" s="39" t="e">
        <f>VLOOKUP(ET184*1, $FN$14:$FP$25, 3, TRUE)*$FP$14</f>
        <v>#VALUE!</v>
      </c>
      <c r="EU185" s="38" t="e">
        <f>VLOOKUP(EU184*1, $FQ$14:$FS$25, 3, TRUE)*$FS$14</f>
        <v>#VALUE!</v>
      </c>
      <c r="EX185" s="41" t="e">
        <f>VLOOKUP(EX184*1, $FK$27:$FM$38, 3, TRUE)*$FM$27</f>
        <v>#VALUE!</v>
      </c>
      <c r="FA185" s="41" t="e">
        <f>VLOOKUP(FA184*1, $FN$27:$FP$38, 3, TRUE)*$FP$27</f>
        <v>#VALUE!</v>
      </c>
      <c r="FD185" s="41" t="e">
        <f>VLOOKUP(FD184*1, $FQ$27:$FS$38, 3, TRUE)*$FS$27</f>
        <v>#VALUE!</v>
      </c>
      <c r="FG185" s="41" t="e">
        <f>VLOOKUP(FG184*1, $FT$27:$FV$38, 3, TRUE)*$FV$27</f>
        <v>#VALUE!</v>
      </c>
      <c r="FH185" s="41" t="e">
        <f>VLOOKUP(FH184*1, $FW$27:$FY$38, 3, TRUE)*$FY$27</f>
        <v>#VALUE!</v>
      </c>
      <c r="FI185" s="41" t="e">
        <f>VLOOKUP(FI184*1, $FK$40:$FM$51, 3, TRUE)*$FM$40</f>
        <v>#VALUE!</v>
      </c>
    </row>
    <row r="186" spans="110:165">
      <c r="DF186" s="35" t="str">
        <f>先發名單!G$8</f>
        <v>Nico Hoerner</v>
      </c>
      <c r="DG186" s="4" t="str">
        <f t="array" ref="DG186">IFERROR(INDEX(球員狀態!$C$2:$C$5000, MATCH(1, (球員狀態!$A$2:$A$5000=$DF$181)*(ISNUMBER(SEARCH($DF186, 球員狀態!$B$2:$B$5000))), 0)), "")</f>
        <v>2B</v>
      </c>
      <c r="DJ186" s="4" t="str">
        <f t="array" ref="DJ186">IFERROR(INDEX(球員狀態!$F$2:$F$5000,MATCH(1,(球員狀態!$A$2:$A$5000=$DF$181)*(ISNUMBER(SEARCH($DF186,球員狀態!$B$2:$B$5000))),0)),"")</f>
        <v>16</v>
      </c>
      <c r="DK186" s="4" t="str">
        <f t="array" ref="DK186">IFERROR(INDEX(球員狀態!G$2:G$5000, MATCH(1, (球員狀態!$A$2:$A$5000=$DF$1)*(ISNUMBER(SEARCH($DF186, 球員狀態!$B$2:$B$5000))), 0)), "")</f>
        <v/>
      </c>
      <c r="DL186" s="4" t="str">
        <f t="array" ref="DL186">IFERROR(INDEX(球員狀態!H$2:H$5000, MATCH(1, (球員狀態!$A$2:$A$5000=$DF$181)*(ISNUMBER(SEARCH($DF186, 球員狀態!$B$2:$B$5000))), 0)), "")</f>
        <v>7</v>
      </c>
      <c r="DM186" s="4" t="str">
        <f t="array" ref="DM186">IFERROR(INDEX(球員狀態!I$2:I$5000,MATCH(1,(球員狀態!$A$2:$A$5000=$DF$181)*(ISNUMBER(SEARCH($DF186,球員狀態!$B$2:$B$5000))),0)),"")</f>
        <v>0</v>
      </c>
      <c r="DN186" s="4" t="str">
        <f t="array" ref="DN186">IFERROR(INDEX(球員狀態!J$2:J$5000,MATCH(1,(球員狀態!$A$2:$A$5000=$DF$181)*(ISNUMBER(SEARCH($DF186,球員狀態!$B$2:$B$5000))),0)),"")</f>
        <v>4</v>
      </c>
      <c r="DO186" s="4" t="str">
        <f t="array" ref="DO186">IFERROR(INDEX(球員狀態!K$2:K$5000,MATCH(1,(球員狀態!$A$2:$A$5000=$DF$181)*(ISNUMBER(SEARCH($DF186,球員狀態!$B$2:$B$5000))),0)),"")</f>
        <v>23</v>
      </c>
      <c r="DP186" s="4" t="str">
        <f t="array" ref="DP186">IFERROR(INDEX(球員狀態!L$2:L$5000,MATCH(1,(球員狀態!$A$2:$A$5000=$DF$181)*(ISNUMBER(SEARCH($DF186,球員狀態!$B$2:$B$5000))),0)),"")</f>
        <v>54</v>
      </c>
      <c r="DQ186" s="4" t="str">
        <f t="array" ref="DQ186">IFERROR(INDEX(球員狀態!M$2:M$5000,MATCH(1,(球員狀態!$A$2:$A$5000=$DF$181)*(ISNUMBER(SEARCH($DF186,球員狀態!$B$2:$B$5000))),0)),"")</f>
        <v>12</v>
      </c>
      <c r="DR186" s="4" t="str">
        <f t="array" ref="DR186">IFERROR(INDEX(球員狀態!N$2:N$5000,MATCH(1,(球員狀態!$A$2:$A$5000=$DF$181)*(ISNUMBER(SEARCH($DF186,球員狀態!$B$2:$B$5000))),0)),"")</f>
        <v>13</v>
      </c>
      <c r="DS186" s="4" t="str">
        <f t="array" ref="DS186">IFERROR(INDEX(球員狀態!O$2:O$5000, MATCH(1, (球員狀態!$A$2:$A$5000=$DF$1)*(ISNUMBER(SEARCH($DF186, 球員狀態!$B$2:$B$5000))), 0)), "")</f>
        <v/>
      </c>
      <c r="DT186" s="4" t="str">
        <f t="array" ref="DT186">IFERROR(INDEX(球員狀態!P$2:P$5000, MATCH(1, (球員狀態!$A$2:$A$5000=$DF$1)*(ISNUMBER(SEARCH($DF186, 球員狀態!$B$2:$B$5000))), 0)), "")</f>
        <v/>
      </c>
      <c r="DU186" s="4" t="str">
        <f t="array" ref="DU186">IFERROR(INDEX(球員狀態!Q$2:Q$5000,MATCH(1,(球員狀態!$A$2:$A$5000=$DF$181)*(ISNUMBER(SEARCH($DF186,球員狀態!$B$2:$B$5000))),0)),"")</f>
        <v>.382</v>
      </c>
      <c r="DV186" s="4" t="str">
        <f t="array" ref="DV186">IFERROR(INDEX(球員狀態!R$2:R$5000, MATCH(1, (球員狀態!$A$2:$A$5000=$DF$1)*(ISNUMBER(SEARCH($DF186, 球員狀態!$B$2:$B$5000))), 0)), "")</f>
        <v/>
      </c>
      <c r="DW186" s="4" t="str">
        <f t="array" ref="DW186">IFERROR(INDEX(球員狀態!S$2:S$5000, MATCH(1, (球員狀態!$A$2:$A$5000=$DF$1)*(ISNUMBER(SEARCH($DF186, 球員狀態!$B$2:$B$5000))), 0)), "")</f>
        <v/>
      </c>
      <c r="DX186" s="4" t="str">
        <f t="array" ref="DX186">IFERROR(INDEX(球員狀態!T$2:T$5000,MATCH(1,(球員狀態!$A$2:$A$5000=$DF$181)*(ISNUMBER(SEARCH($DF186,球員狀態!$B$2:$B$5000))),0)),"")</f>
        <v>2.0</v>
      </c>
      <c r="DY186" s="4" t="str">
        <f t="array" ref="DY186">IFERROR(INDEX(球員狀態!U$2:U$5000, MATCH(1, (球員狀態!$A$2:$A$5000=$DF$1)*(ISNUMBER(SEARCH($DF186, 球員狀態!$B$2:$B$5000))), 0)), "")</f>
        <v/>
      </c>
      <c r="DZ186" s="4" t="str">
        <f t="array" ref="DZ186">IFERROR(INDEX(球員狀態!V$2:V$5000, MATCH(1, (球員狀態!$A$2:$A$5000=$DF$1)*(ISNUMBER(SEARCH($DF186, 球員狀態!$B$2:$B$5000))), 0)), "")</f>
        <v/>
      </c>
      <c r="EA186" s="4" t="str">
        <f t="array" ref="EA186">IFERROR(INDEX(球員狀態!W$2:W$5000,MATCH(1,(球員狀態!$A$2:$A$5000=$DF$181)*(ISNUMBER(SEARCH($DF186,球員狀態!$B$2:$B$5000))),0)),"")</f>
        <v>.092</v>
      </c>
      <c r="EB186" s="4" t="str">
        <f t="array" ref="EB186">IFERROR(INDEX(球員狀態!X$2:X$5000, MATCH(1, (球員狀態!$A$2:$A$5000=$DF$1)*(ISNUMBER(SEARCH($DF186, 球員狀態!$B$2:$B$5000))), 0)), "")</f>
        <v/>
      </c>
      <c r="EC186" s="4" t="str">
        <f t="array" ref="EC186">IFERROR(INDEX(球員狀態!Y$2:Y$5000, MATCH(1, (球員狀態!$A$2:$A$5000=$DF$1)*(ISNUMBER(SEARCH($DF186, 球員狀態!$B$2:$B$5000))), 0)), "")</f>
        <v/>
      </c>
      <c r="ED186" s="4" t="str">
        <f t="array" ref="ED186">IFERROR(INDEX(球員狀態!Z$2:Z$5000,MATCH(1,(球員狀態!$A$2:$A$5000=$DF$181)*(ISNUMBER(SEARCH($DF186,球員狀態!$B$2:$B$5000))),0)),"")</f>
        <v>.333</v>
      </c>
      <c r="EE186" s="4" t="str">
        <f t="array" ref="EE186">IFERROR(INDEX(球員狀態!AA$2:AA$5000,MATCH(1,(球員狀態!$A$2:$A$5000=$DF$181)*(ISNUMBER(SEARCH($DF186,球員狀態!$B$2:$B$5000))),0)),"")</f>
        <v>3.60</v>
      </c>
      <c r="EF186" s="4" t="str">
        <f t="array" ref="EF186">IFERROR(INDEX(球員狀態!AB$2:AB$5000,MATCH(1,(球員狀態!$A$2:$A$5000=$DF$181)*(ISNUMBER(SEARCH($DF186,球員狀態!$B$2:$B$5000))),0)),"")</f>
        <v>11</v>
      </c>
      <c r="EG186" s="56"/>
      <c r="EI186" s="35" t="str">
        <f>先發名單!Q$8</f>
        <v>F. Tatis</v>
      </c>
      <c r="EJ186" s="4" t="str">
        <f t="array" ref="EJ186">IFERROR(INDEX(球員狀態!C$2:C$5000, MATCH(1, (球員狀態!$A$2:$A$5000=$EI$181)*(ISNUMBER(SEARCH($EI186, 球員狀態!$B$2:$B$5000))), 0)), "")</f>
        <v/>
      </c>
      <c r="EM186" s="4" t="str">
        <f t="array" ref="EM186">IFERROR(INDEX(球員狀態!F$2:F$5000, MATCH(1, (球員狀態!$A$2:$A$5000=$EI$181)*(ISNUMBER(SEARCH($EI186, 球員狀態!$B$2:$B$5000))), 0)), "")</f>
        <v/>
      </c>
      <c r="EN186" s="4" t="str">
        <f t="array" ref="EN186">IFERROR(INDEX(球員狀態!G$2:G$5000, MATCH(1, (球員狀態!$A$2:$A$5000=$EI$1)*(ISNUMBER(SEARCH($EI186, 球員狀態!$B$2:$B$5000))), 0)), "")</f>
        <v/>
      </c>
      <c r="EO186" s="4" t="str">
        <f t="array" ref="EO186">IFERROR(INDEX(球員狀態!H$2:H$5000, MATCH(1, (球員狀態!$A$2:$A$5000=$EI$181)*(ISNUMBER(SEARCH($EI186, 球員狀態!$B$2:$B$5000))), 0)), "")</f>
        <v/>
      </c>
      <c r="EP186" s="4" t="str">
        <f t="array" ref="EP186">IFERROR(INDEX(球員狀態!I$2:I$5000, MATCH(1, (球員狀態!$A$2:$A$5000=$EI$181)*(ISNUMBER(SEARCH($EI186, 球員狀態!$B$2:$B$5000))), 0)), "")</f>
        <v/>
      </c>
      <c r="EQ186" s="4" t="str">
        <f t="array" ref="EQ186">IFERROR(INDEX(球員狀態!J$2:J$5000, MATCH(1, (球員狀態!$A$2:$A$5000=$EI$181)*(ISNUMBER(SEARCH($EI186, 球員狀態!$B$2:$B$5000))), 0)), "")</f>
        <v/>
      </c>
      <c r="ER186" s="4" t="str">
        <f t="array" ref="ER186">IFERROR(INDEX(球員狀態!K$2:K$5000, MATCH(1, (球員狀態!$A$2:$A$5000=$EI$181)*(ISNUMBER(SEARCH($EI186, 球員狀態!$B$2:$B$5000))), 0)), "")</f>
        <v/>
      </c>
      <c r="ES186" s="4" t="str">
        <f t="array" ref="ES186">IFERROR(INDEX(球員狀態!L$2:L$5000, MATCH(1, (球員狀態!$A$2:$A$5000=$EI$181)*(ISNUMBER(SEARCH($EI186, 球員狀態!$B$2:$B$5000))), 0)), "")</f>
        <v/>
      </c>
      <c r="ET186" s="4" t="str">
        <f t="array" ref="ET186">IFERROR(INDEX(球員狀態!M$2:M$5000, MATCH(1, (球員狀態!$A$2:$A$5000=$EI$181)*(ISNUMBER(SEARCH($EI186, 球員狀態!$B$2:$B$5000))), 0)), "")</f>
        <v/>
      </c>
      <c r="EU186" s="4" t="str">
        <f t="array" ref="EU186">IFERROR(INDEX(球員狀態!N$2:N$5000, MATCH(1, (球員狀態!$A$2:$A$5000=$EI$181)*(ISNUMBER(SEARCH($EI186, 球員狀態!$B$2:$B$5000))), 0)), "")</f>
        <v/>
      </c>
      <c r="EV186" s="4" t="str">
        <f t="array" ref="EV186">IFERROR(INDEX(球員狀態!O$2:O$5000, MATCH(1, (球員狀態!$A$2:$A$5000=$EI$1)*(ISNUMBER(SEARCH($EI186, 球員狀態!$B$2:$B$5000))), 0)), "")</f>
        <v/>
      </c>
      <c r="EW186" s="4" t="str">
        <f t="array" ref="EW186">IFERROR(INDEX(球員狀態!P$2:P$5000, MATCH(1, (球員狀態!$A$2:$A$5000=$EI$1)*(ISNUMBER(SEARCH($EI186, 球員狀態!$B$2:$B$5000))), 0)), "")</f>
        <v/>
      </c>
      <c r="EX186" s="4" t="str">
        <f t="array" ref="EX186">IFERROR(INDEX(球員狀態!Q$2:Q$5000, MATCH(1, (球員狀態!$A$2:$A$5000=$EI$181)*(ISNUMBER(SEARCH($EI186, 球員狀態!$B$2:$B$5000))), 0)), "")</f>
        <v/>
      </c>
      <c r="EY186" s="4" t="str">
        <f t="array" ref="EY186">IFERROR(INDEX(球員狀態!R$2:R$5000, MATCH(1, (球員狀態!$A$2:$A$5000=$EI$1)*(ISNUMBER(SEARCH($EI186, 球員狀態!$B$2:$B$5000))), 0)), "")</f>
        <v/>
      </c>
      <c r="EZ186" s="4" t="str">
        <f t="array" ref="EZ186">IFERROR(INDEX(球員狀態!S$2:S$5000, MATCH(1, (球員狀態!$A$2:$A$5000=$EI$1)*(ISNUMBER(SEARCH($EI186, 球員狀態!$B$2:$B$5000))), 0)), "")</f>
        <v/>
      </c>
      <c r="FA186" s="4" t="str">
        <f t="array" ref="FA186">IFERROR(INDEX(球員狀態!T$2:T$5000, MATCH(1, (球員狀態!$A$2:$A$5000=$EI$181)*(ISNUMBER(SEARCH($EI186, 球員狀態!$B$2:$B$5000))), 0)), "")</f>
        <v/>
      </c>
      <c r="FB186" s="4" t="str">
        <f t="array" ref="FB186">IFERROR(INDEX(球員狀態!U$2:U$5000, MATCH(1, (球員狀態!$A$2:$A$5000=$EI$1)*(ISNUMBER(SEARCH($EI186, 球員狀態!$B$2:$B$5000))), 0)), "")</f>
        <v/>
      </c>
      <c r="FC186" s="4" t="str">
        <f t="array" ref="FC186">IFERROR(INDEX(球員狀態!V$2:V$5000, MATCH(1, (球員狀態!$A$2:$A$5000=$EI$1)*(ISNUMBER(SEARCH($EI186, 球員狀態!$B$2:$B$5000))), 0)), "")</f>
        <v/>
      </c>
      <c r="FD186" s="4" t="str">
        <f t="array" ref="FD186">IFERROR(INDEX(球員狀態!W$2:W$5000, MATCH(1, (球員狀態!$A$2:$A$5000=$EI$181)*(ISNUMBER(SEARCH($EI186, 球員狀態!$B$2:$B$5000))), 0)), "")</f>
        <v/>
      </c>
      <c r="FE186" s="4" t="str">
        <f t="array" ref="FE186">IFERROR(INDEX(球員狀態!X$2:X$5000, MATCH(1, (球員狀態!$A$2:$A$5000=$EI$1)*(ISNUMBER(SEARCH($EI186, 球員狀態!$B$2:$B$5000))), 0)), "")</f>
        <v/>
      </c>
      <c r="FF186" s="4" t="str">
        <f t="array" ref="FF186">IFERROR(INDEX(球員狀態!Y$2:Y$5000, MATCH(1, (球員狀態!$A$2:$A$5000=$EI$1)*(ISNUMBER(SEARCH($EI186, 球員狀態!$B$2:$B$5000))), 0)), "")</f>
        <v/>
      </c>
      <c r="FG186" s="4" t="str">
        <f t="array" ref="FG186">IFERROR(INDEX(球員狀態!Z$2:Z$5000, MATCH(1, (球員狀態!$A$2:$A$5000=$EI$181)*(ISNUMBER(SEARCH($EI186, 球員狀態!$B$2:$B$5000))), 0)), "")</f>
        <v/>
      </c>
      <c r="FH186" s="4" t="str">
        <f t="array" ref="FH186">IFERROR(INDEX(球員狀態!AA$2:AA$5000, MATCH(1, (球員狀態!$A$2:$A$5000=$EI$181)*(ISNUMBER(SEARCH($EI186, 球員狀態!$B$2:$B$5000))), 0)), "")</f>
        <v/>
      </c>
      <c r="FI186" s="4" t="str">
        <f t="array" ref="FI186">IFERROR(INDEX(球員狀態!AB$2:AB$5000, MATCH(1, (球員狀態!$A$2:$A$5000=$EI$181)*(ISNUMBER(SEARCH($EI186, 球員狀態!$B$2:$B$5000))), 0)), "")</f>
        <v/>
      </c>
    </row>
    <row r="187" spans="110:165">
      <c r="DF187" s="33"/>
      <c r="DG187" s="4"/>
      <c r="DH187" s="40">
        <f>DJ187+DL187+DM187+DN187+DO187-DP187-DQ187+DR187</f>
        <v>3.4</v>
      </c>
      <c r="DI187" s="42">
        <f>DU187+DX187+EA187+ED187+EE187+EF187</f>
        <v>5</v>
      </c>
      <c r="DJ187" s="38">
        <f>VLOOKUP(DJ186*1, FK$2:FM$12, 3, TRUE)*FM$1</f>
        <v>1.5</v>
      </c>
      <c r="DL187" s="38">
        <f>VLOOKUP(DL186*1, FN$2:FP$12, 3, TRUE)*FP$1</f>
        <v>0.89999999999999991</v>
      </c>
      <c r="DM187" s="38">
        <f>VLOOKUP(DM186*1, FQ$2:FS$12, 3, TRUE)*FS$1</f>
        <v>0</v>
      </c>
      <c r="DN187" s="38">
        <f>VLOOKUP(DN186*1, FT$2:FV$12, 3, TRUE)*FV$1</f>
        <v>1</v>
      </c>
      <c r="DO187" s="38">
        <f>VLOOKUP(DO186*1, FW$2:FY$12, 3, TRUE)*FY$1</f>
        <v>0.5</v>
      </c>
      <c r="DP187" s="39">
        <f>VLOOKUP(DP186*1, FK$14:FM$25, 3, TRUE)*FM$14</f>
        <v>1</v>
      </c>
      <c r="DQ187" s="39">
        <f>VLOOKUP(DQ186*1, FN$14:FP$25, 3, TRUE)*FP$14</f>
        <v>1</v>
      </c>
      <c r="DR187" s="38">
        <f>VLOOKUP(DR186*1, FQ$14:FS$25, 3, TRUE)*FS$14</f>
        <v>1.5</v>
      </c>
      <c r="DU187" s="41">
        <f>VLOOKUP(DU186*1, FK$27:FM$38, 3, TRUE)*FM$27</f>
        <v>0</v>
      </c>
      <c r="DX187" s="41">
        <f>VLOOKUP(DX186*1, FN$27:FP$38, 3, TRUE)*FP$27</f>
        <v>0</v>
      </c>
      <c r="EA187" s="41">
        <f>VLOOKUP(EA186*1, FQ$27:FS$38, 3, TRUE)*FS$27</f>
        <v>0</v>
      </c>
      <c r="ED187" s="41">
        <f>VLOOKUP(ED186*1, FT$27:FV$38, 3, TRUE)*FV$27</f>
        <v>0</v>
      </c>
      <c r="EE187" s="41">
        <f>VLOOKUP(EE186*1, FW$27:FY$38, 3, TRUE)*FY$27</f>
        <v>1.5</v>
      </c>
      <c r="EF187" s="41">
        <f>VLOOKUP(EF186*1, FK$40:FM$51, 3, TRUE)*FM$40</f>
        <v>3.5</v>
      </c>
      <c r="EG187" s="57"/>
      <c r="EI187" s="33"/>
      <c r="EJ187" s="4"/>
      <c r="EK187" s="40" t="e">
        <f>EM187+EO187+EP187+EQ187+ER187-ES187-ET187+EU187</f>
        <v>#VALUE!</v>
      </c>
      <c r="EL187" s="42" t="e">
        <f>EX187+FA187+FD187+FG187+FH187+FI187</f>
        <v>#VALUE!</v>
      </c>
      <c r="EM187" s="38" t="e">
        <f>VLOOKUP(EM186*1, $FK$2:$FM$12, 3, TRUE)*$FM$1</f>
        <v>#VALUE!</v>
      </c>
      <c r="EO187" s="38" t="e">
        <f>VLOOKUP(EO186*1, $FN$2:$FP$12, 3, TRUE)*$FP$1</f>
        <v>#VALUE!</v>
      </c>
      <c r="EP187" s="38" t="e">
        <f>VLOOKUP(EP186*1, $FQ$2:$FS$12, 3, TRUE)*$FS$1</f>
        <v>#VALUE!</v>
      </c>
      <c r="EQ187" s="38" t="e">
        <f>VLOOKUP(EQ186*1, $FT$2:$FV$12, 3, TRUE)*$FV$1</f>
        <v>#VALUE!</v>
      </c>
      <c r="ER187" s="38" t="e">
        <f>VLOOKUP(ER186*1, $FW$2:$FY$12, 3, TRUE)*$FY$1</f>
        <v>#VALUE!</v>
      </c>
      <c r="ES187" s="39" t="e">
        <f>VLOOKUP(ES186*1, $FK$14:$FM$25, 3, TRUE)*$FM$14</f>
        <v>#VALUE!</v>
      </c>
      <c r="ET187" s="39" t="e">
        <f>VLOOKUP(ET186*1, $FN$14:$FP$25, 3, TRUE)*$FP$14</f>
        <v>#VALUE!</v>
      </c>
      <c r="EU187" s="38" t="e">
        <f>VLOOKUP(EU186*1, $FQ$14:$FS$25, 3, TRUE)*$FS$14</f>
        <v>#VALUE!</v>
      </c>
      <c r="EX187" s="41" t="e">
        <f>VLOOKUP(EX186*1, $FK$27:$FM$38, 3, TRUE)*$FM$27</f>
        <v>#VALUE!</v>
      </c>
      <c r="FA187" s="41" t="e">
        <f>VLOOKUP(FA186*1, $FN$27:$FP$38, 3, TRUE)*$FP$27</f>
        <v>#VALUE!</v>
      </c>
      <c r="FD187" s="41" t="e">
        <f>VLOOKUP(FD186*1, $FQ$27:$FS$38, 3, TRUE)*$FS$27</f>
        <v>#VALUE!</v>
      </c>
      <c r="FG187" s="41" t="e">
        <f>VLOOKUP(FG186*1, $FT$27:$FV$38, 3, TRUE)*$FV$27</f>
        <v>#VALUE!</v>
      </c>
      <c r="FH187" s="41" t="e">
        <f>VLOOKUP(FH186*1, $FW$27:$FY$38, 3, TRUE)*$FY$27</f>
        <v>#VALUE!</v>
      </c>
      <c r="FI187" s="41" t="e">
        <f>VLOOKUP(FI186*1, $FK$40:$FM$51, 3, TRUE)*$FM$40</f>
        <v>#VALUE!</v>
      </c>
    </row>
    <row r="188" spans="110:165">
      <c r="DF188" s="35" t="str">
        <f>先發名單!H$8</f>
        <v>M. Busch</v>
      </c>
      <c r="DG188" s="4" t="str">
        <f t="array" ref="DG188">IFERROR(INDEX(球員狀態!$C$2:$C$5000, MATCH(1, (球員狀態!$A$2:$A$5000=$DF$181)*(ISNUMBER(SEARCH($DF188, 球員狀態!$B$2:$B$5000))), 0)), "")</f>
        <v/>
      </c>
      <c r="DJ188" s="4" t="str">
        <f t="array" ref="DJ188">IFERROR(INDEX(球員狀態!$F$2:$F$5000,MATCH(1,(球員狀態!$A$2:$A$5000=$DF$181)*(ISNUMBER(SEARCH($DF188,球員狀態!$B$2:$B$5000))),0)),"")</f>
        <v/>
      </c>
      <c r="DK188" s="4" t="str">
        <f t="array" ref="DK188">IFERROR(INDEX(球員狀態!G$2:G$5000, MATCH(1, (球員狀態!$A$2:$A$5000=$DF$1)*(ISNUMBER(SEARCH($DF188, 球員狀態!$B$2:$B$5000))), 0)), "")</f>
        <v/>
      </c>
      <c r="DL188" s="4" t="str">
        <f t="array" ref="DL188">IFERROR(INDEX(球員狀態!H$2:H$5000, MATCH(1, (球員狀態!$A$2:$A$5000=$DF$181)*(ISNUMBER(SEARCH($DF188, 球員狀態!$B$2:$B$5000))), 0)), "")</f>
        <v/>
      </c>
      <c r="DM188" s="4" t="str">
        <f t="array" ref="DM188">IFERROR(INDEX(球員狀態!I$2:I$5000,MATCH(1,(球員狀態!$A$2:$A$5000=$DF$181)*(ISNUMBER(SEARCH($DF188,球員狀態!$B$2:$B$5000))),0)),"")</f>
        <v/>
      </c>
      <c r="DN188" s="4" t="str">
        <f t="array" ref="DN188">IFERROR(INDEX(球員狀態!J$2:J$5000,MATCH(1,(球員狀態!$A$2:$A$5000=$DF$181)*(ISNUMBER(SEARCH($DF188,球員狀態!$B$2:$B$5000))),0)),"")</f>
        <v/>
      </c>
      <c r="DO188" s="4" t="str">
        <f t="array" ref="DO188">IFERROR(INDEX(球員狀態!K$2:K$5000,MATCH(1,(球員狀態!$A$2:$A$5000=$DF$181)*(ISNUMBER(SEARCH($DF188,球員狀態!$B$2:$B$5000))),0)),"")</f>
        <v/>
      </c>
      <c r="DP188" s="4" t="str">
        <f t="array" ref="DP188">IFERROR(INDEX(球員狀態!L$2:L$5000,MATCH(1,(球員狀態!$A$2:$A$5000=$DF$181)*(ISNUMBER(SEARCH($DF188,球員狀態!$B$2:$B$5000))),0)),"")</f>
        <v/>
      </c>
      <c r="DQ188" s="4" t="str">
        <f t="array" ref="DQ188">IFERROR(INDEX(球員狀態!M$2:M$5000,MATCH(1,(球員狀態!$A$2:$A$5000=$DF$181)*(ISNUMBER(SEARCH($DF188,球員狀態!$B$2:$B$5000))),0)),"")</f>
        <v/>
      </c>
      <c r="DR188" s="4" t="str">
        <f t="array" ref="DR188">IFERROR(INDEX(球員狀態!N$2:N$5000,MATCH(1,(球員狀態!$A$2:$A$5000=$DF$181)*(ISNUMBER(SEARCH($DF188,球員狀態!$B$2:$B$5000))),0)),"")</f>
        <v/>
      </c>
      <c r="DS188" s="4" t="str">
        <f t="array" ref="DS188">IFERROR(INDEX(球員狀態!O$2:O$5000, MATCH(1, (球員狀態!$A$2:$A$5000=$DF$1)*(ISNUMBER(SEARCH($DF188, 球員狀態!$B$2:$B$5000))), 0)), "")</f>
        <v/>
      </c>
      <c r="DT188" s="4" t="str">
        <f t="array" ref="DT188">IFERROR(INDEX(球員狀態!P$2:P$5000, MATCH(1, (球員狀態!$A$2:$A$5000=$DF$1)*(ISNUMBER(SEARCH($DF188, 球員狀態!$B$2:$B$5000))), 0)), "")</f>
        <v/>
      </c>
      <c r="DU188" s="4" t="str">
        <f t="array" ref="DU188">IFERROR(INDEX(球員狀態!Q$2:Q$5000,MATCH(1,(球員狀態!$A$2:$A$5000=$DF$181)*(ISNUMBER(SEARCH($DF188,球員狀態!$B$2:$B$5000))),0)),"")</f>
        <v/>
      </c>
      <c r="DV188" s="4" t="str">
        <f t="array" ref="DV188">IFERROR(INDEX(球員狀態!R$2:R$5000, MATCH(1, (球員狀態!$A$2:$A$5000=$DF$1)*(ISNUMBER(SEARCH($DF188, 球員狀態!$B$2:$B$5000))), 0)), "")</f>
        <v/>
      </c>
      <c r="DW188" s="4" t="str">
        <f t="array" ref="DW188">IFERROR(INDEX(球員狀態!S$2:S$5000, MATCH(1, (球員狀態!$A$2:$A$5000=$DF$1)*(ISNUMBER(SEARCH($DF188, 球員狀態!$B$2:$B$5000))), 0)), "")</f>
        <v/>
      </c>
      <c r="DX188" s="4" t="str">
        <f t="array" ref="DX188">IFERROR(INDEX(球員狀態!T$2:T$5000,MATCH(1,(球員狀態!$A$2:$A$5000=$DF$181)*(ISNUMBER(SEARCH($DF188,球員狀態!$B$2:$B$5000))),0)),"")</f>
        <v/>
      </c>
      <c r="DY188" s="4" t="str">
        <f t="array" ref="DY188">IFERROR(INDEX(球員狀態!U$2:U$5000, MATCH(1, (球員狀態!$A$2:$A$5000=$DF$1)*(ISNUMBER(SEARCH($DF188, 球員狀態!$B$2:$B$5000))), 0)), "")</f>
        <v/>
      </c>
      <c r="DZ188" s="4" t="str">
        <f t="array" ref="DZ188">IFERROR(INDEX(球員狀態!V$2:V$5000, MATCH(1, (球員狀態!$A$2:$A$5000=$DF$1)*(ISNUMBER(SEARCH($DF188, 球員狀態!$B$2:$B$5000))), 0)), "")</f>
        <v/>
      </c>
      <c r="EA188" s="4" t="str">
        <f t="array" ref="EA188">IFERROR(INDEX(球員狀態!W$2:W$5000,MATCH(1,(球員狀態!$A$2:$A$5000=$DF$181)*(ISNUMBER(SEARCH($DF188,球員狀態!$B$2:$B$5000))),0)),"")</f>
        <v/>
      </c>
      <c r="EB188" s="4" t="str">
        <f t="array" ref="EB188">IFERROR(INDEX(球員狀態!X$2:X$5000, MATCH(1, (球員狀態!$A$2:$A$5000=$DF$1)*(ISNUMBER(SEARCH($DF188, 球員狀態!$B$2:$B$5000))), 0)), "")</f>
        <v/>
      </c>
      <c r="EC188" s="4" t="str">
        <f t="array" ref="EC188">IFERROR(INDEX(球員狀態!Y$2:Y$5000, MATCH(1, (球員狀態!$A$2:$A$5000=$DF$1)*(ISNUMBER(SEARCH($DF188, 球員狀態!$B$2:$B$5000))), 0)), "")</f>
        <v/>
      </c>
      <c r="ED188" s="4" t="str">
        <f t="array" ref="ED188">IFERROR(INDEX(球員狀態!Z$2:Z$5000,MATCH(1,(球員狀態!$A$2:$A$5000=$DF$181)*(ISNUMBER(SEARCH($DF188,球員狀態!$B$2:$B$5000))),0)),"")</f>
        <v/>
      </c>
      <c r="EE188" s="4" t="str">
        <f t="array" ref="EE188">IFERROR(INDEX(球員狀態!AA$2:AA$5000,MATCH(1,(球員狀態!$A$2:$A$5000=$DF$181)*(ISNUMBER(SEARCH($DF188,球員狀態!$B$2:$B$5000))),0)),"")</f>
        <v/>
      </c>
      <c r="EF188" s="4" t="str">
        <f t="array" ref="EF188">IFERROR(INDEX(球員狀態!AB$2:AB$5000,MATCH(1,(球員狀態!$A$2:$A$5000=$DF$181)*(ISNUMBER(SEARCH($DF188,球員狀態!$B$2:$B$5000))),0)),"")</f>
        <v/>
      </c>
      <c r="EG188" s="56"/>
      <c r="EI188" s="35" t="str">
        <f>先發名單!R$8</f>
        <v>J. Merrill</v>
      </c>
      <c r="EJ188" s="4" t="str">
        <f t="array" ref="EJ188">IFERROR(INDEX(球員狀態!C$2:C$5000, MATCH(1, (球員狀態!$A$2:$A$5000=$EI$181)*(ISNUMBER(SEARCH($EI188, 球員狀態!$B$2:$B$5000))), 0)), "")</f>
        <v/>
      </c>
      <c r="EM188" s="4" t="str">
        <f t="array" ref="EM188">IFERROR(INDEX(球員狀態!F$2:F$5000, MATCH(1, (球員狀態!$A$2:$A$5000=$EI$181)*(ISNUMBER(SEARCH($EI188, 球員狀態!$B$2:$B$5000))), 0)), "")</f>
        <v/>
      </c>
      <c r="EN188" s="4" t="str">
        <f t="array" ref="EN188">IFERROR(INDEX(球員狀態!G$2:G$5000, MATCH(1, (球員狀態!$A$2:$A$5000=$EI$1)*(ISNUMBER(SEARCH($EI188, 球員狀態!$B$2:$B$5000))), 0)), "")</f>
        <v/>
      </c>
      <c r="EO188" s="4" t="str">
        <f t="array" ref="EO188">IFERROR(INDEX(球員狀態!H$2:H$5000, MATCH(1, (球員狀態!$A$2:$A$5000=$EI$181)*(ISNUMBER(SEARCH($EI188, 球員狀態!$B$2:$B$5000))), 0)), "")</f>
        <v/>
      </c>
      <c r="EP188" s="4" t="str">
        <f t="array" ref="EP188">IFERROR(INDEX(球員狀態!I$2:I$5000, MATCH(1, (球員狀態!$A$2:$A$5000=$EI$181)*(ISNUMBER(SEARCH($EI188, 球員狀態!$B$2:$B$5000))), 0)), "")</f>
        <v/>
      </c>
      <c r="EQ188" s="4" t="str">
        <f t="array" ref="EQ188">IFERROR(INDEX(球員狀態!J$2:J$5000, MATCH(1, (球員狀態!$A$2:$A$5000=$EI$181)*(ISNUMBER(SEARCH($EI188, 球員狀態!$B$2:$B$5000))), 0)), "")</f>
        <v/>
      </c>
      <c r="ER188" s="4" t="str">
        <f t="array" ref="ER188">IFERROR(INDEX(球員狀態!K$2:K$5000, MATCH(1, (球員狀態!$A$2:$A$5000=$EI$181)*(ISNUMBER(SEARCH($EI188, 球員狀態!$B$2:$B$5000))), 0)), "")</f>
        <v/>
      </c>
      <c r="ES188" s="4" t="str">
        <f t="array" ref="ES188">IFERROR(INDEX(球員狀態!L$2:L$5000, MATCH(1, (球員狀態!$A$2:$A$5000=$EI$181)*(ISNUMBER(SEARCH($EI188, 球員狀態!$B$2:$B$5000))), 0)), "")</f>
        <v/>
      </c>
      <c r="ET188" s="4" t="str">
        <f t="array" ref="ET188">IFERROR(INDEX(球員狀態!M$2:M$5000, MATCH(1, (球員狀態!$A$2:$A$5000=$EI$181)*(ISNUMBER(SEARCH($EI188, 球員狀態!$B$2:$B$5000))), 0)), "")</f>
        <v/>
      </c>
      <c r="EU188" s="4" t="str">
        <f t="array" ref="EU188">IFERROR(INDEX(球員狀態!N$2:N$5000, MATCH(1, (球員狀態!$A$2:$A$5000=$EI$181)*(ISNUMBER(SEARCH($EI188, 球員狀態!$B$2:$B$5000))), 0)), "")</f>
        <v/>
      </c>
      <c r="EV188" s="4" t="str">
        <f t="array" ref="EV188">IFERROR(INDEX(球員狀態!O$2:O$5000, MATCH(1, (球員狀態!$A$2:$A$5000=$EI$1)*(ISNUMBER(SEARCH($EI188, 球員狀態!$B$2:$B$5000))), 0)), "")</f>
        <v/>
      </c>
      <c r="EW188" s="4" t="str">
        <f t="array" ref="EW188">IFERROR(INDEX(球員狀態!P$2:P$5000, MATCH(1, (球員狀態!$A$2:$A$5000=$EI$1)*(ISNUMBER(SEARCH($EI188, 球員狀態!$B$2:$B$5000))), 0)), "")</f>
        <v/>
      </c>
      <c r="EX188" s="4" t="str">
        <f t="array" ref="EX188">IFERROR(INDEX(球員狀態!Q$2:Q$5000, MATCH(1, (球員狀態!$A$2:$A$5000=$EI$181)*(ISNUMBER(SEARCH($EI188, 球員狀態!$B$2:$B$5000))), 0)), "")</f>
        <v/>
      </c>
      <c r="EY188" s="4" t="str">
        <f t="array" ref="EY188">IFERROR(INDEX(球員狀態!R$2:R$5000, MATCH(1, (球員狀態!$A$2:$A$5000=$EI$1)*(ISNUMBER(SEARCH($EI188, 球員狀態!$B$2:$B$5000))), 0)), "")</f>
        <v/>
      </c>
      <c r="EZ188" s="4" t="str">
        <f t="array" ref="EZ188">IFERROR(INDEX(球員狀態!S$2:S$5000, MATCH(1, (球員狀態!$A$2:$A$5000=$EI$1)*(ISNUMBER(SEARCH($EI188, 球員狀態!$B$2:$B$5000))), 0)), "")</f>
        <v/>
      </c>
      <c r="FA188" s="4" t="str">
        <f t="array" ref="FA188">IFERROR(INDEX(球員狀態!T$2:T$5000, MATCH(1, (球員狀態!$A$2:$A$5000=$EI$181)*(ISNUMBER(SEARCH($EI188, 球員狀態!$B$2:$B$5000))), 0)), "")</f>
        <v/>
      </c>
      <c r="FB188" s="4" t="str">
        <f t="array" ref="FB188">IFERROR(INDEX(球員狀態!U$2:U$5000, MATCH(1, (球員狀態!$A$2:$A$5000=$EI$1)*(ISNUMBER(SEARCH($EI188, 球員狀態!$B$2:$B$5000))), 0)), "")</f>
        <v/>
      </c>
      <c r="FC188" s="4" t="str">
        <f t="array" ref="FC188">IFERROR(INDEX(球員狀態!V$2:V$5000, MATCH(1, (球員狀態!$A$2:$A$5000=$EI$1)*(ISNUMBER(SEARCH($EI188, 球員狀態!$B$2:$B$5000))), 0)), "")</f>
        <v/>
      </c>
      <c r="FD188" s="4" t="str">
        <f t="array" ref="FD188">IFERROR(INDEX(球員狀態!W$2:W$5000, MATCH(1, (球員狀態!$A$2:$A$5000=$EI$181)*(ISNUMBER(SEARCH($EI188, 球員狀態!$B$2:$B$5000))), 0)), "")</f>
        <v/>
      </c>
      <c r="FE188" s="4" t="str">
        <f t="array" ref="FE188">IFERROR(INDEX(球員狀態!X$2:X$5000, MATCH(1, (球員狀態!$A$2:$A$5000=$EI$1)*(ISNUMBER(SEARCH($EI188, 球員狀態!$B$2:$B$5000))), 0)), "")</f>
        <v/>
      </c>
      <c r="FF188" s="4" t="str">
        <f t="array" ref="FF188">IFERROR(INDEX(球員狀態!Y$2:Y$5000, MATCH(1, (球員狀態!$A$2:$A$5000=$EI$1)*(ISNUMBER(SEARCH($EI188, 球員狀態!$B$2:$B$5000))), 0)), "")</f>
        <v/>
      </c>
      <c r="FG188" s="4" t="str">
        <f t="array" ref="FG188">IFERROR(INDEX(球員狀態!Z$2:Z$5000, MATCH(1, (球員狀態!$A$2:$A$5000=$EI$181)*(ISNUMBER(SEARCH($EI188, 球員狀態!$B$2:$B$5000))), 0)), "")</f>
        <v/>
      </c>
      <c r="FH188" s="4" t="str">
        <f t="array" ref="FH188">IFERROR(INDEX(球員狀態!AA$2:AA$5000, MATCH(1, (球員狀態!$A$2:$A$5000=$EI$181)*(ISNUMBER(SEARCH($EI188, 球員狀態!$B$2:$B$5000))), 0)), "")</f>
        <v/>
      </c>
      <c r="FI188" s="4" t="str">
        <f t="array" ref="FI188">IFERROR(INDEX(球員狀態!AB$2:AB$5000, MATCH(1, (球員狀態!$A$2:$A$5000=$EI$181)*(ISNUMBER(SEARCH($EI188, 球員狀態!$B$2:$B$5000))), 0)), "")</f>
        <v/>
      </c>
    </row>
    <row r="189" spans="110:165">
      <c r="DF189" s="33"/>
      <c r="DG189" s="4"/>
      <c r="DH189" s="40" t="e">
        <f>DJ189+DL189+DM189+DN189+DO189-DP189-DQ189+DR189</f>
        <v>#VALUE!</v>
      </c>
      <c r="DI189" s="42" t="e">
        <f>DU189+DX189+EA189+ED189+EE189+EF189</f>
        <v>#VALUE!</v>
      </c>
      <c r="DJ189" s="38" t="e">
        <f>VLOOKUP(DJ188*1, FK$2:FM$12, 3, TRUE)*FM$1</f>
        <v>#VALUE!</v>
      </c>
      <c r="DL189" s="38" t="e">
        <f>VLOOKUP(DL188*1, FN$2:FP$12, 3, TRUE)*FP$1</f>
        <v>#VALUE!</v>
      </c>
      <c r="DM189" s="38" t="e">
        <f>VLOOKUP(DM188*1, FQ$2:FS$12, 3, TRUE)*FS$1</f>
        <v>#VALUE!</v>
      </c>
      <c r="DN189" s="38" t="e">
        <f>VLOOKUP(DN188*1, FT$2:FV$12, 3, TRUE)*FV$1</f>
        <v>#VALUE!</v>
      </c>
      <c r="DO189" s="38" t="e">
        <f>VLOOKUP(DO188*1, FW$2:FY$12, 3, TRUE)*FY$1</f>
        <v>#VALUE!</v>
      </c>
      <c r="DP189" s="39" t="e">
        <f>VLOOKUP(DP188*1, FK$14:FM$25, 3, TRUE)*FM$14</f>
        <v>#VALUE!</v>
      </c>
      <c r="DQ189" s="39" t="e">
        <f>VLOOKUP(DQ188*1, FN$14:FP$25, 3, TRUE)*FP$14</f>
        <v>#VALUE!</v>
      </c>
      <c r="DR189" s="38" t="e">
        <f>VLOOKUP(DR188*1, FQ$14:FS$25, 3, TRUE)*FS$14</f>
        <v>#VALUE!</v>
      </c>
      <c r="DU189" s="41" t="e">
        <f>VLOOKUP(DU188*1, FK$27:FM$38, 3, TRUE)*FM$27</f>
        <v>#VALUE!</v>
      </c>
      <c r="DX189" s="41" t="e">
        <f>VLOOKUP(DX188*1, FN$27:FP$38, 3, TRUE)*FP$27</f>
        <v>#VALUE!</v>
      </c>
      <c r="EA189" s="41" t="e">
        <f>VLOOKUP(EA188*1, FQ$27:FS$38, 3, TRUE)*FS$27</f>
        <v>#VALUE!</v>
      </c>
      <c r="ED189" s="41" t="e">
        <f>VLOOKUP(ED188*1, FT$27:FV$38, 3, TRUE)*FV$27</f>
        <v>#VALUE!</v>
      </c>
      <c r="EE189" s="41" t="e">
        <f>VLOOKUP(EE188*1, FW$27:FY$38, 3, TRUE)*FY$27</f>
        <v>#VALUE!</v>
      </c>
      <c r="EF189" s="41" t="e">
        <f>VLOOKUP(EF188*1, FK$40:FM$51, 3, TRUE)*FM$40</f>
        <v>#VALUE!</v>
      </c>
      <c r="EG189" s="57"/>
      <c r="EI189" s="33"/>
      <c r="EJ189" s="4"/>
      <c r="EK189" s="40" t="e">
        <f>EM189+EO189+EP189+EQ189+ER189-ES189-ET189+EU189</f>
        <v>#VALUE!</v>
      </c>
      <c r="EL189" s="42" t="e">
        <f>EX189+FA189+FD189+FG189+FH189+FI189</f>
        <v>#VALUE!</v>
      </c>
      <c r="EM189" s="38" t="e">
        <f>VLOOKUP(EM188*1, $FK$2:$FM$12, 3, TRUE)*$FM$1</f>
        <v>#VALUE!</v>
      </c>
      <c r="EO189" s="38" t="e">
        <f>VLOOKUP(EO188*1, $FN$2:$FP$12, 3, TRUE)*$FP$1</f>
        <v>#VALUE!</v>
      </c>
      <c r="EP189" s="38" t="e">
        <f>VLOOKUP(EP188*1, $FQ$2:$FS$12, 3, TRUE)*$FS$1</f>
        <v>#VALUE!</v>
      </c>
      <c r="EQ189" s="38" t="e">
        <f>VLOOKUP(EQ188*1, $FT$2:$FV$12, 3, TRUE)*$FV$1</f>
        <v>#VALUE!</v>
      </c>
      <c r="ER189" s="38" t="e">
        <f>VLOOKUP(ER188*1, $FW$2:$FY$12, 3, TRUE)*$FY$1</f>
        <v>#VALUE!</v>
      </c>
      <c r="ES189" s="39" t="e">
        <f>VLOOKUP(ES188*1, $FK$14:$FM$25, 3, TRUE)*$FM$14</f>
        <v>#VALUE!</v>
      </c>
      <c r="ET189" s="39" t="e">
        <f>VLOOKUP(ET188*1, $FN$14:$FP$25, 3, TRUE)*$FP$14</f>
        <v>#VALUE!</v>
      </c>
      <c r="EU189" s="38" t="e">
        <f>VLOOKUP(EU188*1, $FQ$14:$FS$25, 3, TRUE)*$FS$14</f>
        <v>#VALUE!</v>
      </c>
      <c r="EX189" s="41" t="e">
        <f>VLOOKUP(EX188*1, $FK$27:$FM$38, 3, TRUE)*$FM$27</f>
        <v>#VALUE!</v>
      </c>
      <c r="FA189" s="41" t="e">
        <f>VLOOKUP(FA188*1, $FN$27:$FP$38, 3, TRUE)*$FP$27</f>
        <v>#VALUE!</v>
      </c>
      <c r="FD189" s="41" t="e">
        <f>VLOOKUP(FD188*1, $FQ$27:$FS$38, 3, TRUE)*$FS$27</f>
        <v>#VALUE!</v>
      </c>
      <c r="FG189" s="41" t="e">
        <f>VLOOKUP(FG188*1, $FT$27:$FV$38, 3, TRUE)*$FV$27</f>
        <v>#VALUE!</v>
      </c>
      <c r="FH189" s="41" t="e">
        <f>VLOOKUP(FH188*1, $FW$27:$FY$38, 3, TRUE)*$FY$27</f>
        <v>#VALUE!</v>
      </c>
      <c r="FI189" s="41" t="e">
        <f>VLOOKUP(FI188*1, $FK$40:$FM$51, 3, TRUE)*$FM$40</f>
        <v>#VALUE!</v>
      </c>
    </row>
    <row r="190" spans="110:165">
      <c r="DF190" s="35" t="str">
        <f>先發名單!I$8</f>
        <v>Alex Bregman</v>
      </c>
      <c r="DG190" s="4" t="str">
        <f t="array" ref="DG190">IFERROR(INDEX(球員狀態!$C$2:$C$5000, MATCH(1, (球員狀態!$A$2:$A$5000=$DF$181)*(ISNUMBER(SEARCH($DF190, 球員狀態!$B$2:$B$5000))), 0)), "")</f>
        <v>3B</v>
      </c>
      <c r="DJ190" s="4" t="str">
        <f t="array" ref="DJ190">IFERROR(INDEX(球員狀態!$F$2:$F$5000,MATCH(1,(球員狀態!$A$2:$A$5000=$DF$181)*(ISNUMBER(SEARCH($DF190,球員狀態!$B$2:$B$5000))),0)),"")</f>
        <v>8</v>
      </c>
      <c r="DK190" s="4" t="str">
        <f t="array" ref="DK190">IFERROR(INDEX(球員狀態!G$2:G$5000, MATCH(1, (球員狀態!$A$2:$A$5000=$DF$1)*(ISNUMBER(SEARCH($DF190, 球員狀態!$B$2:$B$5000))), 0)), "")</f>
        <v/>
      </c>
      <c r="DL190" s="4" t="str">
        <f t="array" ref="DL190">IFERROR(INDEX(球員狀態!H$2:H$5000, MATCH(1, (球員狀態!$A$2:$A$5000=$DF$181)*(ISNUMBER(SEARCH($DF190, 球員狀態!$B$2:$B$5000))), 0)), "")</f>
        <v>3</v>
      </c>
      <c r="DM190" s="4" t="str">
        <f t="array" ref="DM190">IFERROR(INDEX(球員狀態!I$2:I$5000,MATCH(1,(球員狀態!$A$2:$A$5000=$DF$181)*(ISNUMBER(SEARCH($DF190,球員狀態!$B$2:$B$5000))),0)),"")</f>
        <v>1</v>
      </c>
      <c r="DN190" s="4" t="str">
        <f t="array" ref="DN190">IFERROR(INDEX(球員狀態!J$2:J$5000,MATCH(1,(球員狀態!$A$2:$A$5000=$DF$181)*(ISNUMBER(SEARCH($DF190,球員狀態!$B$2:$B$5000))),0)),"")</f>
        <v>3</v>
      </c>
      <c r="DO190" s="4" t="str">
        <f t="array" ref="DO190">IFERROR(INDEX(球員狀態!K$2:K$5000,MATCH(1,(球員狀態!$A$2:$A$5000=$DF$181)*(ISNUMBER(SEARCH($DF190,球員狀態!$B$2:$B$5000))),0)),"")</f>
        <v>10</v>
      </c>
      <c r="DP190" s="4" t="str">
        <f t="array" ref="DP190">IFERROR(INDEX(球員狀態!L$2:L$5000,MATCH(1,(球員狀態!$A$2:$A$5000=$DF$181)*(ISNUMBER(SEARCH($DF190,球員狀態!$B$2:$B$5000))),0)),"")</f>
        <v>43</v>
      </c>
      <c r="DQ190" s="4" t="str">
        <f t="array" ref="DQ190">IFERROR(INDEX(球員狀態!M$2:M$5000,MATCH(1,(球員狀態!$A$2:$A$5000=$DF$181)*(ISNUMBER(SEARCH($DF190,球員狀態!$B$2:$B$5000))),0)),"")</f>
        <v>14</v>
      </c>
      <c r="DR190" s="4" t="str">
        <f t="array" ref="DR190">IFERROR(INDEX(球員狀態!N$2:N$5000,MATCH(1,(球員狀態!$A$2:$A$5000=$DF$181)*(ISNUMBER(SEARCH($DF190,球員狀態!$B$2:$B$5000))),0)),"")</f>
        <v>20</v>
      </c>
      <c r="DS190" s="4" t="str">
        <f t="array" ref="DS190">IFERROR(INDEX(球員狀態!O$2:O$5000, MATCH(1, (球員狀態!$A$2:$A$5000=$DF$1)*(ISNUMBER(SEARCH($DF190, 球員狀態!$B$2:$B$5000))), 0)), "")</f>
        <v/>
      </c>
      <c r="DT190" s="4" t="str">
        <f t="array" ref="DT190">IFERROR(INDEX(球員狀態!P$2:P$5000, MATCH(1, (球員狀態!$A$2:$A$5000=$DF$1)*(ISNUMBER(SEARCH($DF190, 球員狀態!$B$2:$B$5000))), 0)), "")</f>
        <v/>
      </c>
      <c r="DU190" s="4" t="str">
        <f t="array" ref="DU190">IFERROR(INDEX(球員狀態!Q$2:Q$5000,MATCH(1,(球員狀態!$A$2:$A$5000=$DF$181)*(ISNUMBER(SEARCH($DF190,球員狀態!$B$2:$B$5000))),0)),"")</f>
        <v>.336</v>
      </c>
      <c r="DV190" s="4" t="str">
        <f t="array" ref="DV190">IFERROR(INDEX(球員狀態!R$2:R$5000, MATCH(1, (球員狀態!$A$2:$A$5000=$DF$1)*(ISNUMBER(SEARCH($DF190, 球員狀態!$B$2:$B$5000))), 0)), "")</f>
        <v/>
      </c>
      <c r="DW190" s="4" t="str">
        <f t="array" ref="DW190">IFERROR(INDEX(球員狀態!S$2:S$5000, MATCH(1, (球員狀態!$A$2:$A$5000=$DF$1)*(ISNUMBER(SEARCH($DF190, 球員狀態!$B$2:$B$5000))), 0)), "")</f>
        <v/>
      </c>
      <c r="DX190" s="4" t="str">
        <f t="array" ref="DX190">IFERROR(INDEX(球員狀態!T$2:T$5000,MATCH(1,(球員狀態!$A$2:$A$5000=$DF$181)*(ISNUMBER(SEARCH($DF190,球員狀態!$B$2:$B$5000))),0)),"")</f>
        <v>0.5</v>
      </c>
      <c r="DY190" s="4" t="str">
        <f t="array" ref="DY190">IFERROR(INDEX(球員狀態!U$2:U$5000, MATCH(1, (球員狀態!$A$2:$A$5000=$DF$1)*(ISNUMBER(SEARCH($DF190, 球員狀態!$B$2:$B$5000))), 0)), "")</f>
        <v/>
      </c>
      <c r="DZ190" s="4" t="str">
        <f t="array" ref="DZ190">IFERROR(INDEX(球員狀態!V$2:V$5000, MATCH(1, (球員狀態!$A$2:$A$5000=$DF$1)*(ISNUMBER(SEARCH($DF190, 球員狀態!$B$2:$B$5000))), 0)), "")</f>
        <v/>
      </c>
      <c r="EA190" s="4" t="str">
        <f t="array" ref="EA190">IFERROR(INDEX(球員狀態!W$2:W$5000,MATCH(1,(球員狀態!$A$2:$A$5000=$DF$181)*(ISNUMBER(SEARCH($DF190,球員狀態!$B$2:$B$5000))),0)),"")</f>
        <v>.107</v>
      </c>
      <c r="EB190" s="4" t="str">
        <f t="array" ref="EB190">IFERROR(INDEX(球員狀態!X$2:X$5000, MATCH(1, (球員狀態!$A$2:$A$5000=$DF$1)*(ISNUMBER(SEARCH($DF190, 球員狀態!$B$2:$B$5000))), 0)), "")</f>
        <v/>
      </c>
      <c r="EC190" s="4" t="str">
        <f t="array" ref="EC190">IFERROR(INDEX(球員狀態!Y$2:Y$5000, MATCH(1, (球員狀態!$A$2:$A$5000=$DF$1)*(ISNUMBER(SEARCH($DF190, 球員狀態!$B$2:$B$5000))), 0)), "")</f>
        <v/>
      </c>
      <c r="ED190" s="4" t="str">
        <f t="array" ref="ED190">IFERROR(INDEX(球員狀態!Z$2:Z$5000,MATCH(1,(球員狀態!$A$2:$A$5000=$DF$181)*(ISNUMBER(SEARCH($DF190,球員狀態!$B$2:$B$5000))),0)),"")</f>
        <v>.252</v>
      </c>
      <c r="EE190" s="4" t="str">
        <f t="array" ref="EE190">IFERROR(INDEX(球員狀態!AA$2:AA$5000,MATCH(1,(球員狀態!$A$2:$A$5000=$DF$181)*(ISNUMBER(SEARCH($DF190,球員狀態!$B$2:$B$5000))),0)),"")</f>
        <v>4.06</v>
      </c>
      <c r="EF190" s="4" t="str">
        <f t="array" ref="EF190">IFERROR(INDEX(球員狀態!AB$2:AB$5000,MATCH(1,(球員狀態!$A$2:$A$5000=$DF$181)*(ISNUMBER(SEARCH($DF190,球員狀態!$B$2:$B$5000))),0)),"")</f>
        <v>7</v>
      </c>
      <c r="EG190" s="56"/>
      <c r="EI190" s="35" t="str">
        <f>先發名單!S$8</f>
        <v>M. Machado</v>
      </c>
      <c r="EJ190" s="4" t="str">
        <f t="array" ref="EJ190">IFERROR(INDEX(球員狀態!C$2:C$5000, MATCH(1, (球員狀態!$A$2:$A$5000=$EI$181)*(ISNUMBER(SEARCH($EI190, 球員狀態!$B$2:$B$5000))), 0)), "")</f>
        <v/>
      </c>
      <c r="EM190" s="4" t="str">
        <f t="array" ref="EM190">IFERROR(INDEX(球員狀態!F$2:F$5000, MATCH(1, (球員狀態!$A$2:$A$5000=$EI$181)*(ISNUMBER(SEARCH($EI190, 球員狀態!$B$2:$B$5000))), 0)), "")</f>
        <v/>
      </c>
      <c r="EN190" s="4" t="str">
        <f t="array" ref="EN190">IFERROR(INDEX(球員狀態!G$2:G$5000, MATCH(1, (球員狀態!$A$2:$A$5000=$EI$1)*(ISNUMBER(SEARCH($EI190, 球員狀態!$B$2:$B$5000))), 0)), "")</f>
        <v/>
      </c>
      <c r="EO190" s="4" t="str">
        <f t="array" ref="EO190">IFERROR(INDEX(球員狀態!H$2:H$5000, MATCH(1, (球員狀態!$A$2:$A$5000=$EI$181)*(ISNUMBER(SEARCH($EI190, 球員狀態!$B$2:$B$5000))), 0)), "")</f>
        <v/>
      </c>
      <c r="EP190" s="4" t="str">
        <f t="array" ref="EP190">IFERROR(INDEX(球員狀態!I$2:I$5000, MATCH(1, (球員狀態!$A$2:$A$5000=$EI$181)*(ISNUMBER(SEARCH($EI190, 球員狀態!$B$2:$B$5000))), 0)), "")</f>
        <v/>
      </c>
      <c r="EQ190" s="4" t="str">
        <f t="array" ref="EQ190">IFERROR(INDEX(球員狀態!J$2:J$5000, MATCH(1, (球員狀態!$A$2:$A$5000=$EI$181)*(ISNUMBER(SEARCH($EI190, 球員狀態!$B$2:$B$5000))), 0)), "")</f>
        <v/>
      </c>
      <c r="ER190" s="4" t="str">
        <f t="array" ref="ER190">IFERROR(INDEX(球員狀態!K$2:K$5000, MATCH(1, (球員狀態!$A$2:$A$5000=$EI$181)*(ISNUMBER(SEARCH($EI190, 球員狀態!$B$2:$B$5000))), 0)), "")</f>
        <v/>
      </c>
      <c r="ES190" s="4" t="str">
        <f t="array" ref="ES190">IFERROR(INDEX(球員狀態!L$2:L$5000, MATCH(1, (球員狀態!$A$2:$A$5000=$EI$181)*(ISNUMBER(SEARCH($EI190, 球員狀態!$B$2:$B$5000))), 0)), "")</f>
        <v/>
      </c>
      <c r="ET190" s="4" t="str">
        <f t="array" ref="ET190">IFERROR(INDEX(球員狀態!M$2:M$5000, MATCH(1, (球員狀態!$A$2:$A$5000=$EI$181)*(ISNUMBER(SEARCH($EI190, 球員狀態!$B$2:$B$5000))), 0)), "")</f>
        <v/>
      </c>
      <c r="EU190" s="4" t="str">
        <f t="array" ref="EU190">IFERROR(INDEX(球員狀態!N$2:N$5000, MATCH(1, (球員狀態!$A$2:$A$5000=$EI$181)*(ISNUMBER(SEARCH($EI190, 球員狀態!$B$2:$B$5000))), 0)), "")</f>
        <v/>
      </c>
      <c r="EV190" s="4" t="str">
        <f t="array" ref="EV190">IFERROR(INDEX(球員狀態!O$2:O$5000, MATCH(1, (球員狀態!$A$2:$A$5000=$EI$1)*(ISNUMBER(SEARCH($EI190, 球員狀態!$B$2:$B$5000))), 0)), "")</f>
        <v/>
      </c>
      <c r="EW190" s="4" t="str">
        <f t="array" ref="EW190">IFERROR(INDEX(球員狀態!P$2:P$5000, MATCH(1, (球員狀態!$A$2:$A$5000=$EI$1)*(ISNUMBER(SEARCH($EI190, 球員狀態!$B$2:$B$5000))), 0)), "")</f>
        <v/>
      </c>
      <c r="EX190" s="4" t="str">
        <f t="array" ref="EX190">IFERROR(INDEX(球員狀態!Q$2:Q$5000, MATCH(1, (球員狀態!$A$2:$A$5000=$EI$181)*(ISNUMBER(SEARCH($EI190, 球員狀態!$B$2:$B$5000))), 0)), "")</f>
        <v/>
      </c>
      <c r="EY190" s="4" t="str">
        <f t="array" ref="EY190">IFERROR(INDEX(球員狀態!R$2:R$5000, MATCH(1, (球員狀態!$A$2:$A$5000=$EI$1)*(ISNUMBER(SEARCH($EI190, 球員狀態!$B$2:$B$5000))), 0)), "")</f>
        <v/>
      </c>
      <c r="EZ190" s="4" t="str">
        <f t="array" ref="EZ190">IFERROR(INDEX(球員狀態!S$2:S$5000, MATCH(1, (球員狀態!$A$2:$A$5000=$EI$1)*(ISNUMBER(SEARCH($EI190, 球員狀態!$B$2:$B$5000))), 0)), "")</f>
        <v/>
      </c>
      <c r="FA190" s="4" t="str">
        <f t="array" ref="FA190">IFERROR(INDEX(球員狀態!T$2:T$5000, MATCH(1, (球員狀態!$A$2:$A$5000=$EI$181)*(ISNUMBER(SEARCH($EI190, 球員狀態!$B$2:$B$5000))), 0)), "")</f>
        <v/>
      </c>
      <c r="FB190" s="4" t="str">
        <f t="array" ref="FB190">IFERROR(INDEX(球員狀態!U$2:U$5000, MATCH(1, (球員狀態!$A$2:$A$5000=$EI$1)*(ISNUMBER(SEARCH($EI190, 球員狀態!$B$2:$B$5000))), 0)), "")</f>
        <v/>
      </c>
      <c r="FC190" s="4" t="str">
        <f t="array" ref="FC190">IFERROR(INDEX(球員狀態!V$2:V$5000, MATCH(1, (球員狀態!$A$2:$A$5000=$EI$1)*(ISNUMBER(SEARCH($EI190, 球員狀態!$B$2:$B$5000))), 0)), "")</f>
        <v/>
      </c>
      <c r="FD190" s="4" t="str">
        <f t="array" ref="FD190">IFERROR(INDEX(球員狀態!W$2:W$5000, MATCH(1, (球員狀態!$A$2:$A$5000=$EI$181)*(ISNUMBER(SEARCH($EI190, 球員狀態!$B$2:$B$5000))), 0)), "")</f>
        <v/>
      </c>
      <c r="FE190" s="4" t="str">
        <f t="array" ref="FE190">IFERROR(INDEX(球員狀態!X$2:X$5000, MATCH(1, (球員狀態!$A$2:$A$5000=$EI$1)*(ISNUMBER(SEARCH($EI190, 球員狀態!$B$2:$B$5000))), 0)), "")</f>
        <v/>
      </c>
      <c r="FF190" s="4" t="str">
        <f t="array" ref="FF190">IFERROR(INDEX(球員狀態!Y$2:Y$5000, MATCH(1, (球員狀態!$A$2:$A$5000=$EI$1)*(ISNUMBER(SEARCH($EI190, 球員狀態!$B$2:$B$5000))), 0)), "")</f>
        <v/>
      </c>
      <c r="FG190" s="4" t="str">
        <f t="array" ref="FG190">IFERROR(INDEX(球員狀態!Z$2:Z$5000, MATCH(1, (球員狀態!$A$2:$A$5000=$EI$181)*(ISNUMBER(SEARCH($EI190, 球員狀態!$B$2:$B$5000))), 0)), "")</f>
        <v/>
      </c>
      <c r="FH190" s="4" t="str">
        <f t="array" ref="FH190">IFERROR(INDEX(球員狀態!AA$2:AA$5000, MATCH(1, (球員狀態!$A$2:$A$5000=$EI$181)*(ISNUMBER(SEARCH($EI190, 球員狀態!$B$2:$B$5000))), 0)), "")</f>
        <v/>
      </c>
      <c r="FI190" s="4" t="str">
        <f t="array" ref="FI190">IFERROR(INDEX(球員狀態!AB$2:AB$5000, MATCH(1, (球員狀態!$A$2:$A$5000=$EI$181)*(ISNUMBER(SEARCH($EI190, 球員狀態!$B$2:$B$5000))), 0)), "")</f>
        <v/>
      </c>
    </row>
    <row r="191" spans="110:165">
      <c r="DF191" s="33"/>
      <c r="DH191" s="40">
        <f>DJ191+DL191+DM191+DN191+DO191-DP191-DQ191+DR191</f>
        <v>1.7999999999999998</v>
      </c>
      <c r="DI191" s="42">
        <f>DU191+DX191+EA191+ED191+EE191+EF191</f>
        <v>5</v>
      </c>
      <c r="DJ191" s="38">
        <f>VLOOKUP(DJ190*1, FK$2:FM$12, 3, TRUE)*FM$1</f>
        <v>0.5</v>
      </c>
      <c r="DL191" s="38">
        <f>VLOOKUP(DL190*1, FN$2:FP$12, 3, TRUE)*FP$1</f>
        <v>0.3</v>
      </c>
      <c r="DM191" s="38">
        <f>VLOOKUP(DM190*1, FQ$2:FS$12, 3, TRUE)*FS$1</f>
        <v>0</v>
      </c>
      <c r="DN191" s="38">
        <f>VLOOKUP(DN190*1, FT$2:FV$12, 3, TRUE)*FV$1</f>
        <v>1</v>
      </c>
      <c r="DO191" s="38">
        <f>VLOOKUP(DO190*1, FW$2:FY$12, 3, TRUE)*FY$1</f>
        <v>0.5</v>
      </c>
      <c r="DP191" s="39">
        <f>VLOOKUP(DP190*1, FK$14:FM$25, 3, TRUE)*FM$14</f>
        <v>1</v>
      </c>
      <c r="DQ191" s="39">
        <f>VLOOKUP(DQ190*1, FN$14:FP$25, 3, TRUE)*FP$14</f>
        <v>1</v>
      </c>
      <c r="DR191" s="38">
        <f>VLOOKUP(DR190*1, FQ$14:FS$25, 3, TRUE)*FS$14</f>
        <v>1.5</v>
      </c>
      <c r="DU191" s="41">
        <f>VLOOKUP(DU190*1, FK$27:FM$38, 3, TRUE)*FM$27</f>
        <v>0</v>
      </c>
      <c r="DX191" s="41">
        <f>VLOOKUP(DX190*1, FN$27:FP$38, 3, TRUE)*FP$27</f>
        <v>0</v>
      </c>
      <c r="EA191" s="41">
        <f>VLOOKUP(EA190*1, FQ$27:FS$38, 3, TRUE)*FS$27</f>
        <v>0</v>
      </c>
      <c r="ED191" s="41">
        <f>VLOOKUP(ED190*1, FT$27:FV$38, 3, TRUE)*FV$27</f>
        <v>0</v>
      </c>
      <c r="EE191" s="41">
        <f>VLOOKUP(EE190*1, FW$27:FY$38, 3, TRUE)*FY$27</f>
        <v>1.5</v>
      </c>
      <c r="EF191" s="41">
        <f>VLOOKUP(EF190*1, FK$40:FM$51, 3, TRUE)*FM$40</f>
        <v>3.5</v>
      </c>
      <c r="EG191" s="57"/>
      <c r="EI191" s="33"/>
      <c r="EK191" s="40" t="e">
        <f>EM191+EO191+EP191+EQ191+ER191-ES191-ET191+EU191</f>
        <v>#VALUE!</v>
      </c>
      <c r="EL191" s="42" t="e">
        <f>EX191+FA191+FD191+FG191+FH191+FI191</f>
        <v>#VALUE!</v>
      </c>
      <c r="EM191" s="38" t="e">
        <f>VLOOKUP(EM190*1, $FK$2:$FM$12, 3, TRUE)*$FM$1</f>
        <v>#VALUE!</v>
      </c>
      <c r="EO191" s="38" t="e">
        <f>VLOOKUP(EO190*1, $FN$2:$FP$12, 3, TRUE)*$FP$1</f>
        <v>#VALUE!</v>
      </c>
      <c r="EP191" s="38" t="e">
        <f>VLOOKUP(EP190*1, $FQ$2:$FS$12, 3, TRUE)*$FS$1</f>
        <v>#VALUE!</v>
      </c>
      <c r="EQ191" s="38" t="e">
        <f>VLOOKUP(EQ190*1, $FT$2:$FV$12, 3, TRUE)*$FV$1</f>
        <v>#VALUE!</v>
      </c>
      <c r="ER191" s="38" t="e">
        <f>VLOOKUP(ER190*1, $FW$2:$FY$12, 3, TRUE)*$FY$1</f>
        <v>#VALUE!</v>
      </c>
      <c r="ES191" s="39" t="e">
        <f>VLOOKUP(ES190*1, $FK$14:$FM$25, 3, TRUE)*$FM$14</f>
        <v>#VALUE!</v>
      </c>
      <c r="ET191" s="39" t="e">
        <f>VLOOKUP(ET190*1, $FN$14:$FP$25, 3, TRUE)*$FP$14</f>
        <v>#VALUE!</v>
      </c>
      <c r="EU191" s="38" t="e">
        <f>VLOOKUP(EU190*1, $FQ$14:$FS$25, 3, TRUE)*$FS$14</f>
        <v>#VALUE!</v>
      </c>
      <c r="EX191" s="41" t="e">
        <f>VLOOKUP(EX190*1, $FK$27:$FM$38, 3, TRUE)*$FM$27</f>
        <v>#VALUE!</v>
      </c>
      <c r="FA191" s="41" t="e">
        <f>VLOOKUP(FA190*1, $FN$27:$FP$38, 3, TRUE)*$FP$27</f>
        <v>#VALUE!</v>
      </c>
      <c r="FD191" s="41" t="e">
        <f>VLOOKUP(FD190*1, $FQ$27:$FS$38, 3, TRUE)*$FS$27</f>
        <v>#VALUE!</v>
      </c>
      <c r="FG191" s="41" t="e">
        <f>VLOOKUP(FG190*1, $FT$27:$FV$38, 3, TRUE)*$FV$27</f>
        <v>#VALUE!</v>
      </c>
      <c r="FH191" s="41" t="e">
        <f>VLOOKUP(FH190*1, $FW$27:$FY$38, 3, TRUE)*$FY$27</f>
        <v>#VALUE!</v>
      </c>
      <c r="FI191" s="41" t="e">
        <f>VLOOKUP(FI190*1, $FK$40:$FM$51, 3, TRUE)*$FM$40</f>
        <v>#VALUE!</v>
      </c>
    </row>
    <row r="192" spans="110:165">
      <c r="DF192" s="37" t="str">
        <f>先發名單!J$8</f>
        <v>Ian Happ</v>
      </c>
      <c r="DG192" s="4" t="str">
        <f t="array" ref="DG192">IFERROR(INDEX(球員狀態!$C$2:$C$5000, MATCH(1, (球員狀態!$A$2:$A$5000=$DF$181)*(ISNUMBER(SEARCH($DF192, 球員狀態!$B$2:$B$5000))), 0)), "")</f>
        <v>LF</v>
      </c>
      <c r="DJ192" s="4" t="str">
        <f t="array" ref="DJ192">IFERROR(INDEX(球員狀態!$F$2:$F$5000,MATCH(1,(球員狀態!$A$2:$A$5000=$DF$181)*(ISNUMBER(SEARCH($DF192,球員狀態!$B$2:$B$5000))),0)),"")</f>
        <v>18</v>
      </c>
      <c r="DK192" s="4" t="str">
        <f t="array" ref="DK192">IFERROR(INDEX(球員狀態!G$2:G$5000, MATCH(1, (球員狀態!$A$2:$A$5000=$DF$1)*(ISNUMBER(SEARCH($DF192, 球員狀態!$B$2:$B$5000))), 0)), "")</f>
        <v/>
      </c>
      <c r="DL192" s="4" t="str">
        <f t="array" ref="DL192">IFERROR(INDEX(球員狀態!H$2:H$5000, MATCH(1, (球員狀態!$A$2:$A$5000=$DF$181)*(ISNUMBER(SEARCH($DF192, 球員狀態!$B$2:$B$5000))), 0)), "")</f>
        <v>4</v>
      </c>
      <c r="DM192" s="4" t="str">
        <f t="array" ref="DM192">IFERROR(INDEX(球員狀態!I$2:I$5000,MATCH(1,(球員狀態!$A$2:$A$5000=$DF$181)*(ISNUMBER(SEARCH($DF192,球員狀態!$B$2:$B$5000))),0)),"")</f>
        <v>0</v>
      </c>
      <c r="DN192" s="4" t="str">
        <f t="array" ref="DN192">IFERROR(INDEX(球員狀態!J$2:J$5000,MATCH(1,(球員狀態!$A$2:$A$5000=$DF$181)*(ISNUMBER(SEARCH($DF192,球員狀態!$B$2:$B$5000))),0)),"")</f>
        <v>7</v>
      </c>
      <c r="DO192" s="4" t="str">
        <f t="array" ref="DO192">IFERROR(INDEX(球員狀態!K$2:K$5000,MATCH(1,(球員狀態!$A$2:$A$5000=$DF$181)*(ISNUMBER(SEARCH($DF192,球員狀態!$B$2:$B$5000))),0)),"")</f>
        <v>14</v>
      </c>
      <c r="DP192" s="4" t="str">
        <f t="array" ref="DP192">IFERROR(INDEX(球員狀態!L$2:L$5000,MATCH(1,(球員狀態!$A$2:$A$5000=$DF$181)*(ISNUMBER(SEARCH($DF192,球員狀態!$B$2:$B$5000))),0)),"")</f>
        <v>49</v>
      </c>
      <c r="DQ192" s="4" t="str">
        <f t="array" ref="DQ192">IFERROR(INDEX(球員狀態!M$2:M$5000,MATCH(1,(球員狀態!$A$2:$A$5000=$DF$181)*(ISNUMBER(SEARCH($DF192,球員狀態!$B$2:$B$5000))),0)),"")</f>
        <v>17</v>
      </c>
      <c r="DR192" s="4" t="str">
        <f t="array" ref="DR192">IFERROR(INDEX(球員狀態!N$2:N$5000,MATCH(1,(球員狀態!$A$2:$A$5000=$DF$181)*(ISNUMBER(SEARCH($DF192,球員狀態!$B$2:$B$5000))),0)),"")</f>
        <v>36</v>
      </c>
      <c r="DS192" s="4" t="str">
        <f t="array" ref="DS192">IFERROR(INDEX(球員狀態!O$2:O$5000, MATCH(1, (球員狀態!$A$2:$A$5000=$DF$1)*(ISNUMBER(SEARCH($DF192, 球員狀態!$B$2:$B$5000))), 0)), "")</f>
        <v/>
      </c>
      <c r="DT192" s="4" t="str">
        <f t="array" ref="DT192">IFERROR(INDEX(球員狀態!P$2:P$5000, MATCH(1, (球員狀態!$A$2:$A$5000=$DF$1)*(ISNUMBER(SEARCH($DF192, 球員狀態!$B$2:$B$5000))), 0)), "")</f>
        <v/>
      </c>
      <c r="DU192" s="4" t="str">
        <f t="array" ref="DU192">IFERROR(INDEX(球員狀態!Q$2:Q$5000,MATCH(1,(球員狀態!$A$2:$A$5000=$DF$181)*(ISNUMBER(SEARCH($DF192,球員狀態!$B$2:$B$5000))),0)),"")</f>
        <v>.350</v>
      </c>
      <c r="DV192" s="4" t="str">
        <f t="array" ref="DV192">IFERROR(INDEX(球員狀態!R$2:R$5000, MATCH(1, (球員狀態!$A$2:$A$5000=$DF$1)*(ISNUMBER(SEARCH($DF192, 球員狀態!$B$2:$B$5000))), 0)), "")</f>
        <v/>
      </c>
      <c r="DW192" s="4" t="str">
        <f t="array" ref="DW192">IFERROR(INDEX(球員狀態!S$2:S$5000, MATCH(1, (球員狀態!$A$2:$A$5000=$DF$1)*(ISNUMBER(SEARCH($DF192, 球員狀態!$B$2:$B$5000))), 0)), "")</f>
        <v/>
      </c>
      <c r="DX192" s="4" t="str">
        <f t="array" ref="DX192">IFERROR(INDEX(球員狀態!T$2:T$5000,MATCH(1,(球員狀態!$A$2:$A$5000=$DF$181)*(ISNUMBER(SEARCH($DF192,球員狀態!$B$2:$B$5000))),0)),"")</f>
        <v>1.1</v>
      </c>
      <c r="DY192" s="4" t="str">
        <f t="array" ref="DY192">IFERROR(INDEX(球員狀態!U$2:U$5000, MATCH(1, (球員狀態!$A$2:$A$5000=$DF$1)*(ISNUMBER(SEARCH($DF192, 球員狀態!$B$2:$B$5000))), 0)), "")</f>
        <v/>
      </c>
      <c r="DZ192" s="4" t="str">
        <f t="array" ref="DZ192">IFERROR(INDEX(球員狀態!V$2:V$5000, MATCH(1, (球員狀態!$A$2:$A$5000=$DF$1)*(ISNUMBER(SEARCH($DF192, 球員狀態!$B$2:$B$5000))), 0)), "")</f>
        <v/>
      </c>
      <c r="EA192" s="4" t="str">
        <f t="array" ref="EA192">IFERROR(INDEX(球員狀態!W$2:W$5000,MATCH(1,(球員狀態!$A$2:$A$5000=$DF$181)*(ISNUMBER(SEARCH($DF192,球員狀態!$B$2:$B$5000))),0)),"")</f>
        <v>.142</v>
      </c>
      <c r="EB192" s="4" t="str">
        <f t="array" ref="EB192">IFERROR(INDEX(球員狀態!X$2:X$5000, MATCH(1, (球員狀態!$A$2:$A$5000=$DF$1)*(ISNUMBER(SEARCH($DF192, 球員狀態!$B$2:$B$5000))), 0)), "")</f>
        <v/>
      </c>
      <c r="EC192" s="4" t="str">
        <f t="array" ref="EC192">IFERROR(INDEX(球員狀態!Y$2:Y$5000, MATCH(1, (球員狀態!$A$2:$A$5000=$DF$1)*(ISNUMBER(SEARCH($DF192, 球員狀態!$B$2:$B$5000))), 0)), "")</f>
        <v/>
      </c>
      <c r="ED192" s="4" t="str">
        <f t="array" ref="ED192">IFERROR(INDEX(球員狀態!Z$2:Z$5000,MATCH(1,(球員狀態!$A$2:$A$5000=$DF$181)*(ISNUMBER(SEARCH($DF192,球員狀態!$B$2:$B$5000))),0)),"")</f>
        <v>.422</v>
      </c>
      <c r="EE192" s="4" t="str">
        <f t="array" ref="EE192">IFERROR(INDEX(球員狀態!AA$2:AA$5000,MATCH(1,(球員狀態!$A$2:$A$5000=$DF$181)*(ISNUMBER(SEARCH($DF192,球員狀態!$B$2:$B$5000))),0)),"")</f>
        <v>3.92</v>
      </c>
      <c r="EF192" s="4" t="str">
        <f t="array" ref="EF192">IFERROR(INDEX(球員狀態!AB$2:AB$5000,MATCH(1,(球員狀態!$A$2:$A$5000=$DF$181)*(ISNUMBER(SEARCH($DF192,球員狀態!$B$2:$B$5000))),0)),"")</f>
        <v>11</v>
      </c>
      <c r="EG192" s="56"/>
      <c r="EI192" s="37" t="str">
        <f>先發名單!T$8</f>
        <v>M. Andujar</v>
      </c>
      <c r="EJ192" s="4" t="str">
        <f t="array" ref="EJ192">IFERROR(INDEX(球員狀態!C$2:C$5000, MATCH(1, (球員狀態!$A$2:$A$5000=$EI$181)*(ISNUMBER(SEARCH($EI192, 球員狀態!$B$2:$B$5000))), 0)), "")</f>
        <v/>
      </c>
      <c r="EM192" s="4" t="str">
        <f t="array" ref="EM192">IFERROR(INDEX(球員狀態!F$2:F$5000, MATCH(1, (球員狀態!$A$2:$A$5000=$EI$181)*(ISNUMBER(SEARCH($EI192, 球員狀態!$B$2:$B$5000))), 0)), "")</f>
        <v/>
      </c>
      <c r="EN192" s="4" t="str">
        <f t="array" ref="EN192">IFERROR(INDEX(球員狀態!G$2:G$5000, MATCH(1, (球員狀態!$A$2:$A$5000=$EI$1)*(ISNUMBER(SEARCH($EI192, 球員狀態!$B$2:$B$5000))), 0)), "")</f>
        <v/>
      </c>
      <c r="EO192" s="4" t="str">
        <f t="array" ref="EO192">IFERROR(INDEX(球員狀態!H$2:H$5000, MATCH(1, (球員狀態!$A$2:$A$5000=$EI$181)*(ISNUMBER(SEARCH($EI192, 球員狀態!$B$2:$B$5000))), 0)), "")</f>
        <v/>
      </c>
      <c r="EP192" s="4" t="str">
        <f t="array" ref="EP192">IFERROR(INDEX(球員狀態!I$2:I$5000, MATCH(1, (球員狀態!$A$2:$A$5000=$EI$181)*(ISNUMBER(SEARCH($EI192, 球員狀態!$B$2:$B$5000))), 0)), "")</f>
        <v/>
      </c>
      <c r="EQ192" s="4" t="str">
        <f t="array" ref="EQ192">IFERROR(INDEX(球員狀態!J$2:J$5000, MATCH(1, (球員狀態!$A$2:$A$5000=$EI$181)*(ISNUMBER(SEARCH($EI192, 球員狀態!$B$2:$B$5000))), 0)), "")</f>
        <v/>
      </c>
      <c r="ER192" s="4" t="str">
        <f t="array" ref="ER192">IFERROR(INDEX(球員狀態!K$2:K$5000, MATCH(1, (球員狀態!$A$2:$A$5000=$EI$181)*(ISNUMBER(SEARCH($EI192, 球員狀態!$B$2:$B$5000))), 0)), "")</f>
        <v/>
      </c>
      <c r="ES192" s="4" t="str">
        <f t="array" ref="ES192">IFERROR(INDEX(球員狀態!L$2:L$5000, MATCH(1, (球員狀態!$A$2:$A$5000=$EI$181)*(ISNUMBER(SEARCH($EI192, 球員狀態!$B$2:$B$5000))), 0)), "")</f>
        <v/>
      </c>
      <c r="ET192" s="4" t="str">
        <f t="array" ref="ET192">IFERROR(INDEX(球員狀態!M$2:M$5000, MATCH(1, (球員狀態!$A$2:$A$5000=$EI$181)*(ISNUMBER(SEARCH($EI192, 球員狀態!$B$2:$B$5000))), 0)), "")</f>
        <v/>
      </c>
      <c r="EU192" s="4" t="str">
        <f t="array" ref="EU192">IFERROR(INDEX(球員狀態!N$2:N$5000, MATCH(1, (球員狀態!$A$2:$A$5000=$EI$181)*(ISNUMBER(SEARCH($EI192, 球員狀態!$B$2:$B$5000))), 0)), "")</f>
        <v/>
      </c>
      <c r="EV192" s="4" t="str">
        <f t="array" ref="EV192">IFERROR(INDEX(球員狀態!O$2:O$5000, MATCH(1, (球員狀態!$A$2:$A$5000=$EI$1)*(ISNUMBER(SEARCH($EI192, 球員狀態!$B$2:$B$5000))), 0)), "")</f>
        <v/>
      </c>
      <c r="EW192" s="4" t="str">
        <f t="array" ref="EW192">IFERROR(INDEX(球員狀態!P$2:P$5000, MATCH(1, (球員狀態!$A$2:$A$5000=$EI$1)*(ISNUMBER(SEARCH($EI192, 球員狀態!$B$2:$B$5000))), 0)), "")</f>
        <v/>
      </c>
      <c r="EX192" s="4" t="str">
        <f t="array" ref="EX192">IFERROR(INDEX(球員狀態!Q$2:Q$5000, MATCH(1, (球員狀態!$A$2:$A$5000=$EI$181)*(ISNUMBER(SEARCH($EI192, 球員狀態!$B$2:$B$5000))), 0)), "")</f>
        <v/>
      </c>
      <c r="EY192" s="4" t="str">
        <f t="array" ref="EY192">IFERROR(INDEX(球員狀態!R$2:R$5000, MATCH(1, (球員狀態!$A$2:$A$5000=$EI$1)*(ISNUMBER(SEARCH($EI192, 球員狀態!$B$2:$B$5000))), 0)), "")</f>
        <v/>
      </c>
      <c r="EZ192" s="4" t="str">
        <f t="array" ref="EZ192">IFERROR(INDEX(球員狀態!S$2:S$5000, MATCH(1, (球員狀態!$A$2:$A$5000=$EI$1)*(ISNUMBER(SEARCH($EI192, 球員狀態!$B$2:$B$5000))), 0)), "")</f>
        <v/>
      </c>
      <c r="FA192" s="4" t="str">
        <f t="array" ref="FA192">IFERROR(INDEX(球員狀態!T$2:T$5000, MATCH(1, (球員狀態!$A$2:$A$5000=$EI$181)*(ISNUMBER(SEARCH($EI192, 球員狀態!$B$2:$B$5000))), 0)), "")</f>
        <v/>
      </c>
      <c r="FB192" s="4" t="str">
        <f t="array" ref="FB192">IFERROR(INDEX(球員狀態!U$2:U$5000, MATCH(1, (球員狀態!$A$2:$A$5000=$EI$1)*(ISNUMBER(SEARCH($EI192, 球員狀態!$B$2:$B$5000))), 0)), "")</f>
        <v/>
      </c>
      <c r="FC192" s="4" t="str">
        <f t="array" ref="FC192">IFERROR(INDEX(球員狀態!V$2:V$5000, MATCH(1, (球員狀態!$A$2:$A$5000=$EI$1)*(ISNUMBER(SEARCH($EI192, 球員狀態!$B$2:$B$5000))), 0)), "")</f>
        <v/>
      </c>
      <c r="FD192" s="4" t="str">
        <f t="array" ref="FD192">IFERROR(INDEX(球員狀態!W$2:W$5000, MATCH(1, (球員狀態!$A$2:$A$5000=$EI$181)*(ISNUMBER(SEARCH($EI192, 球員狀態!$B$2:$B$5000))), 0)), "")</f>
        <v/>
      </c>
      <c r="FE192" s="4" t="str">
        <f t="array" ref="FE192">IFERROR(INDEX(球員狀態!X$2:X$5000, MATCH(1, (球員狀態!$A$2:$A$5000=$EI$1)*(ISNUMBER(SEARCH($EI192, 球員狀態!$B$2:$B$5000))), 0)), "")</f>
        <v/>
      </c>
      <c r="FF192" s="4" t="str">
        <f t="array" ref="FF192">IFERROR(INDEX(球員狀態!Y$2:Y$5000, MATCH(1, (球員狀態!$A$2:$A$5000=$EI$1)*(ISNUMBER(SEARCH($EI192, 球員狀態!$B$2:$B$5000))), 0)), "")</f>
        <v/>
      </c>
      <c r="FG192" s="4" t="str">
        <f t="array" ref="FG192">IFERROR(INDEX(球員狀態!Z$2:Z$5000, MATCH(1, (球員狀態!$A$2:$A$5000=$EI$181)*(ISNUMBER(SEARCH($EI192, 球員狀態!$B$2:$B$5000))), 0)), "")</f>
        <v/>
      </c>
      <c r="FH192" s="4" t="str">
        <f t="array" ref="FH192">IFERROR(INDEX(球員狀態!AA$2:AA$5000, MATCH(1, (球員狀態!$A$2:$A$5000=$EI$181)*(ISNUMBER(SEARCH($EI192, 球員狀態!$B$2:$B$5000))), 0)), "")</f>
        <v/>
      </c>
      <c r="FI192" s="4" t="str">
        <f t="array" ref="FI192">IFERROR(INDEX(球員狀態!AB$2:AB$5000, MATCH(1, (球員狀態!$A$2:$A$5000=$EI$181)*(ISNUMBER(SEARCH($EI192, 球員狀態!$B$2:$B$5000))), 0)), "")</f>
        <v/>
      </c>
    </row>
    <row r="193" spans="110:165">
      <c r="DF193" s="33"/>
      <c r="DH193" s="40">
        <f>DJ193+DL193+DM193+DN193+DO193-DP193-DQ193+DR193</f>
        <v>3.2</v>
      </c>
      <c r="DI193" s="42">
        <f>DU193+DX193+EA193+ED193+EE193+EF193</f>
        <v>5</v>
      </c>
      <c r="DJ193" s="38">
        <f>VLOOKUP(DJ192*1, FK$2:FM$12, 3, TRUE)*FM$1</f>
        <v>1.75</v>
      </c>
      <c r="DL193" s="38">
        <f>VLOOKUP(DL192*1, FN$2:FP$12, 3, TRUE)*FP$1</f>
        <v>0.44999999999999996</v>
      </c>
      <c r="DM193" s="38">
        <f>VLOOKUP(DM192*1, FQ$2:FS$12, 3, TRUE)*FS$1</f>
        <v>0</v>
      </c>
      <c r="DN193" s="38">
        <f>VLOOKUP(DN192*1, FT$2:FV$12, 3, TRUE)*FV$1</f>
        <v>1</v>
      </c>
      <c r="DO193" s="38">
        <f>VLOOKUP(DO192*1, FW$2:FY$12, 3, TRUE)*FY$1</f>
        <v>0.5</v>
      </c>
      <c r="DP193" s="39">
        <f>VLOOKUP(DP192*1, FK$14:FM$25, 3, TRUE)*FM$14</f>
        <v>1</v>
      </c>
      <c r="DQ193" s="39">
        <f>VLOOKUP(DQ192*1, FN$14:FP$25, 3, TRUE)*FP$14</f>
        <v>1</v>
      </c>
      <c r="DR193" s="38">
        <f>VLOOKUP(DR192*1, FQ$14:FS$25, 3, TRUE)*FS$14</f>
        <v>1.5</v>
      </c>
      <c r="DU193" s="41">
        <f>VLOOKUP(DU192*1, FK$27:FM$38, 3, TRUE)*FM$27</f>
        <v>0</v>
      </c>
      <c r="DX193" s="41">
        <f>VLOOKUP(DX192*1, FN$27:FP$38, 3, TRUE)*FP$27</f>
        <v>0</v>
      </c>
      <c r="EA193" s="41">
        <f>VLOOKUP(EA192*1, FQ$27:FS$38, 3, TRUE)*FS$27</f>
        <v>0</v>
      </c>
      <c r="ED193" s="41">
        <f>VLOOKUP(ED192*1, FT$27:FV$38, 3, TRUE)*FV$27</f>
        <v>0</v>
      </c>
      <c r="EE193" s="41">
        <f>VLOOKUP(EE192*1, FW$27:FY$38, 3, TRUE)*FY$27</f>
        <v>1.5</v>
      </c>
      <c r="EF193" s="41">
        <f>VLOOKUP(EF192*1, FK$40:FM$51, 3, TRUE)*FM$40</f>
        <v>3.5</v>
      </c>
      <c r="EG193" s="57"/>
      <c r="EI193" s="33"/>
      <c r="EK193" s="40" t="e">
        <f>EM193+EO193+EP193+EQ193+ER193-ES193-ET193+EU193</f>
        <v>#VALUE!</v>
      </c>
      <c r="EL193" s="42" t="e">
        <f>EX193+FA193+FD193+FG193+FH193+FI193</f>
        <v>#VALUE!</v>
      </c>
      <c r="EM193" s="38" t="e">
        <f>VLOOKUP(EM192*1, $FK$2:$FM$12, 3, TRUE)*$FM$1</f>
        <v>#VALUE!</v>
      </c>
      <c r="EO193" s="38" t="e">
        <f>VLOOKUP(EO192*1, $FN$2:$FP$12, 3, TRUE)*$FP$1</f>
        <v>#VALUE!</v>
      </c>
      <c r="EP193" s="38" t="e">
        <f>VLOOKUP(EP192*1, $FQ$2:$FS$12, 3, TRUE)*$FS$1</f>
        <v>#VALUE!</v>
      </c>
      <c r="EQ193" s="38" t="e">
        <f>VLOOKUP(EQ192*1, $FT$2:$FV$12, 3, TRUE)*$FV$1</f>
        <v>#VALUE!</v>
      </c>
      <c r="ER193" s="38" t="e">
        <f>VLOOKUP(ER192*1, $FW$2:$FY$12, 3, TRUE)*$FY$1</f>
        <v>#VALUE!</v>
      </c>
      <c r="ES193" s="39" t="e">
        <f>VLOOKUP(ES192*1, $FK$14:$FM$25, 3, TRUE)*$FM$14</f>
        <v>#VALUE!</v>
      </c>
      <c r="ET193" s="39" t="e">
        <f>VLOOKUP(ET192*1, $FN$14:$FP$25, 3, TRUE)*$FP$14</f>
        <v>#VALUE!</v>
      </c>
      <c r="EU193" s="38" t="e">
        <f>VLOOKUP(EU192*1, $FQ$14:$FS$25, 3, TRUE)*$FS$14</f>
        <v>#VALUE!</v>
      </c>
      <c r="EX193" s="41" t="e">
        <f>VLOOKUP(EX192*1, $FK$27:$FM$38, 3, TRUE)*$FM$27</f>
        <v>#VALUE!</v>
      </c>
      <c r="FA193" s="41" t="e">
        <f>VLOOKUP(FA192*1, $FN$27:$FP$38, 3, TRUE)*$FP$27</f>
        <v>#VALUE!</v>
      </c>
      <c r="FD193" s="41" t="e">
        <f>VLOOKUP(FD192*1, $FQ$27:$FS$38, 3, TRUE)*$FS$27</f>
        <v>#VALUE!</v>
      </c>
      <c r="FG193" s="41" t="e">
        <f>VLOOKUP(FG192*1, $FT$27:$FV$38, 3, TRUE)*$FV$27</f>
        <v>#VALUE!</v>
      </c>
      <c r="FH193" s="41" t="e">
        <f>VLOOKUP(FH192*1, $FW$27:$FY$38, 3, TRUE)*$FY$27</f>
        <v>#VALUE!</v>
      </c>
      <c r="FI193" s="41" t="e">
        <f>VLOOKUP(FI192*1, $FK$40:$FM$51, 3, TRUE)*$FM$40</f>
        <v>#VALUE!</v>
      </c>
    </row>
    <row r="194" spans="110:165">
      <c r="DF194" s="37" t="str">
        <f>先發名單!K$8</f>
        <v>Seiya Suzuki</v>
      </c>
      <c r="DG194" s="4" t="str">
        <f t="array" ref="DG194">IFERROR(INDEX(球員狀態!$C$2:$C$5000, MATCH(1, (球員狀態!$A$2:$A$5000=$DF$181)*(ISNUMBER(SEARCH($DF194, 球員狀態!$B$2:$B$5000))), 0)), "")</f>
        <v>RF</v>
      </c>
      <c r="DJ194" s="4" t="str">
        <f t="array" ref="DJ194">IFERROR(INDEX(球員狀態!$F$2:$F$5000,MATCH(1,(球員狀態!$A$2:$A$5000=$DF$181)*(ISNUMBER(SEARCH($DF194,球員狀態!$B$2:$B$5000))),0)),"")</f>
        <v>11</v>
      </c>
      <c r="DK194" s="4" t="str">
        <f t="array" ref="DK194">IFERROR(INDEX(球員狀態!G$2:G$5000, MATCH(1, (球員狀態!$A$2:$A$5000=$DF$1)*(ISNUMBER(SEARCH($DF194, 球員狀態!$B$2:$B$5000))), 0)), "")</f>
        <v/>
      </c>
      <c r="DL194" s="4" t="str">
        <f t="array" ref="DL194">IFERROR(INDEX(球員狀態!H$2:H$5000, MATCH(1, (球員狀態!$A$2:$A$5000=$DF$181)*(ISNUMBER(SEARCH($DF194, 球員狀態!$B$2:$B$5000))), 0)), "")</f>
        <v>1</v>
      </c>
      <c r="DM194" s="4" t="str">
        <f t="array" ref="DM194">IFERROR(INDEX(球員狀態!I$2:I$5000,MATCH(1,(球員狀態!$A$2:$A$5000=$DF$181)*(ISNUMBER(SEARCH($DF194,球員狀態!$B$2:$B$5000))),0)),"")</f>
        <v>0</v>
      </c>
      <c r="DN194" s="4" t="str">
        <f t="array" ref="DN194">IFERROR(INDEX(球員狀態!J$2:J$5000,MATCH(1,(球員狀態!$A$2:$A$5000=$DF$181)*(ISNUMBER(SEARCH($DF194,球員狀態!$B$2:$B$5000))),0)),"")</f>
        <v>4</v>
      </c>
      <c r="DO194" s="4" t="str">
        <f t="array" ref="DO194">IFERROR(INDEX(球員狀態!K$2:K$5000,MATCH(1,(球員狀態!$A$2:$A$5000=$DF$181)*(ISNUMBER(SEARCH($DF194,球員狀態!$B$2:$B$5000))),0)),"")</f>
        <v>8</v>
      </c>
      <c r="DP194" s="4" t="str">
        <f t="array" ref="DP194">IFERROR(INDEX(球員狀態!L$2:L$5000,MATCH(1,(球員狀態!$A$2:$A$5000=$DF$181)*(ISNUMBER(SEARCH($DF194,球員狀態!$B$2:$B$5000))),0)),"")</f>
        <v>31</v>
      </c>
      <c r="DQ194" s="4" t="str">
        <f t="array" ref="DQ194">IFERROR(INDEX(球員狀態!M$2:M$5000,MATCH(1,(球員狀態!$A$2:$A$5000=$DF$181)*(ISNUMBER(SEARCH($DF194,球員狀態!$B$2:$B$5000))),0)),"")</f>
        <v>9</v>
      </c>
      <c r="DR194" s="4" t="str">
        <f t="array" ref="DR194">IFERROR(INDEX(球員狀態!N$2:N$5000,MATCH(1,(球員狀態!$A$2:$A$5000=$DF$181)*(ISNUMBER(SEARCH($DF194,球員狀態!$B$2:$B$5000))),0)),"")</f>
        <v>17</v>
      </c>
      <c r="DS194" s="4" t="str">
        <f t="array" ref="DS194">IFERROR(INDEX(球員狀態!O$2:O$5000, MATCH(1, (球員狀態!$A$2:$A$5000=$DF$1)*(ISNUMBER(SEARCH($DF194, 球員狀態!$B$2:$B$5000))), 0)), "")</f>
        <v/>
      </c>
      <c r="DT194" s="4" t="str">
        <f t="array" ref="DT194">IFERROR(INDEX(球員狀態!P$2:P$5000, MATCH(1, (球員狀態!$A$2:$A$5000=$DF$1)*(ISNUMBER(SEARCH($DF194, 球員狀態!$B$2:$B$5000))), 0)), "")</f>
        <v/>
      </c>
      <c r="DU194" s="4" t="str">
        <f t="array" ref="DU194">IFERROR(INDEX(球員狀態!Q$2:Q$5000,MATCH(1,(球員狀態!$A$2:$A$5000=$DF$181)*(ISNUMBER(SEARCH($DF194,球員狀態!$B$2:$B$5000))),0)),"")</f>
        <v>.414</v>
      </c>
      <c r="DV194" s="4" t="str">
        <f t="array" ref="DV194">IFERROR(INDEX(球員狀態!R$2:R$5000, MATCH(1, (球員狀態!$A$2:$A$5000=$DF$1)*(ISNUMBER(SEARCH($DF194, 球員狀態!$B$2:$B$5000))), 0)), "")</f>
        <v/>
      </c>
      <c r="DW194" s="4" t="str">
        <f t="array" ref="DW194">IFERROR(INDEX(球員狀態!S$2:S$5000, MATCH(1, (球員狀態!$A$2:$A$5000=$DF$1)*(ISNUMBER(SEARCH($DF194, 球員狀態!$B$2:$B$5000))), 0)), "")</f>
        <v/>
      </c>
      <c r="DX194" s="4" t="str">
        <f t="array" ref="DX194">IFERROR(INDEX(球員狀態!T$2:T$5000,MATCH(1,(球員狀態!$A$2:$A$5000=$DF$181)*(ISNUMBER(SEARCH($DF194,球員狀態!$B$2:$B$5000))),0)),"")</f>
        <v>0.7</v>
      </c>
      <c r="DY194" s="4" t="str">
        <f t="array" ref="DY194">IFERROR(INDEX(球員狀態!U$2:U$5000, MATCH(1, (球員狀態!$A$2:$A$5000=$DF$1)*(ISNUMBER(SEARCH($DF194, 球員狀態!$B$2:$B$5000))), 0)), "")</f>
        <v/>
      </c>
      <c r="DZ194" s="4" t="str">
        <f t="array" ref="DZ194">IFERROR(INDEX(球員狀態!V$2:V$5000, MATCH(1, (球員狀態!$A$2:$A$5000=$DF$1)*(ISNUMBER(SEARCH($DF194, 球員狀態!$B$2:$B$5000))), 0)), "")</f>
        <v/>
      </c>
      <c r="EA194" s="4" t="str">
        <f t="array" ref="EA194">IFERROR(INDEX(球員狀態!W$2:W$5000,MATCH(1,(球員狀態!$A$2:$A$5000=$DF$181)*(ISNUMBER(SEARCH($DF194,球員狀態!$B$2:$B$5000))),0)),"")</f>
        <v>.129</v>
      </c>
      <c r="EB194" s="4" t="str">
        <f t="array" ref="EB194">IFERROR(INDEX(球員狀態!X$2:X$5000, MATCH(1, (球員狀態!$A$2:$A$5000=$DF$1)*(ISNUMBER(SEARCH($DF194, 球員狀態!$B$2:$B$5000))), 0)), "")</f>
        <v/>
      </c>
      <c r="EC194" s="4" t="str">
        <f t="array" ref="EC194">IFERROR(INDEX(球員狀態!Y$2:Y$5000, MATCH(1, (球員狀態!$A$2:$A$5000=$DF$1)*(ISNUMBER(SEARCH($DF194, 球員狀態!$B$2:$B$5000))), 0)), "")</f>
        <v/>
      </c>
      <c r="ED194" s="4" t="str">
        <f t="array" ref="ED194">IFERROR(INDEX(球員狀態!Z$2:Z$5000,MATCH(1,(球員狀態!$A$2:$A$5000=$DF$181)*(ISNUMBER(SEARCH($DF194,球員狀態!$B$2:$B$5000))),0)),"")</f>
        <v>.373</v>
      </c>
      <c r="EE194" s="4" t="str">
        <f t="array" ref="EE194">IFERROR(INDEX(球員狀態!AA$2:AA$5000,MATCH(1,(球員狀態!$A$2:$A$5000=$DF$181)*(ISNUMBER(SEARCH($DF194,球員狀態!$B$2:$B$5000))),0)),"")</f>
        <v>3.97</v>
      </c>
      <c r="EF194" s="4" t="str">
        <f t="array" ref="EF194">IFERROR(INDEX(球員狀態!AB$2:AB$5000,MATCH(1,(球員狀態!$A$2:$A$5000=$DF$181)*(ISNUMBER(SEARCH($DF194,球員狀態!$B$2:$B$5000))),0)),"")</f>
        <v>5</v>
      </c>
      <c r="EG194" s="56"/>
      <c r="EI194" s="37" t="str">
        <f>先發名單!U$8</f>
        <v>X. Bogaerts</v>
      </c>
      <c r="EJ194" s="4" t="str">
        <f t="array" ref="EJ194">IFERROR(INDEX(球員狀態!C$2:C$5000, MATCH(1, (球員狀態!$A$2:$A$5000=$EI$181)*(ISNUMBER(SEARCH($EI194, 球員狀態!$B$2:$B$5000))), 0)), "")</f>
        <v/>
      </c>
      <c r="EM194" s="4" t="str">
        <f t="array" ref="EM194">IFERROR(INDEX(球員狀態!F$2:F$5000, MATCH(1, (球員狀態!$A$2:$A$5000=$EI$181)*(ISNUMBER(SEARCH($EI194, 球員狀態!$B$2:$B$5000))), 0)), "")</f>
        <v/>
      </c>
      <c r="EN194" s="4" t="str">
        <f t="array" ref="EN194">IFERROR(INDEX(球員狀態!G$2:G$5000, MATCH(1, (球員狀態!$A$2:$A$5000=$EI$1)*(ISNUMBER(SEARCH($EI194, 球員狀態!$B$2:$B$5000))), 0)), "")</f>
        <v/>
      </c>
      <c r="EO194" s="4" t="str">
        <f t="array" ref="EO194">IFERROR(INDEX(球員狀態!H$2:H$5000, MATCH(1, (球員狀態!$A$2:$A$5000=$EI$181)*(ISNUMBER(SEARCH($EI194, 球員狀態!$B$2:$B$5000))), 0)), "")</f>
        <v/>
      </c>
      <c r="EP194" s="4" t="str">
        <f t="array" ref="EP194">IFERROR(INDEX(球員狀態!I$2:I$5000, MATCH(1, (球員狀態!$A$2:$A$5000=$EI$181)*(ISNUMBER(SEARCH($EI194, 球員狀態!$B$2:$B$5000))), 0)), "")</f>
        <v/>
      </c>
      <c r="EQ194" s="4" t="str">
        <f t="array" ref="EQ194">IFERROR(INDEX(球員狀態!J$2:J$5000, MATCH(1, (球員狀態!$A$2:$A$5000=$EI$181)*(ISNUMBER(SEARCH($EI194, 球員狀態!$B$2:$B$5000))), 0)), "")</f>
        <v/>
      </c>
      <c r="ER194" s="4" t="str">
        <f t="array" ref="ER194">IFERROR(INDEX(球員狀態!K$2:K$5000, MATCH(1, (球員狀態!$A$2:$A$5000=$EI$181)*(ISNUMBER(SEARCH($EI194, 球員狀態!$B$2:$B$5000))), 0)), "")</f>
        <v/>
      </c>
      <c r="ES194" s="4" t="str">
        <f t="array" ref="ES194">IFERROR(INDEX(球員狀態!L$2:L$5000, MATCH(1, (球員狀態!$A$2:$A$5000=$EI$181)*(ISNUMBER(SEARCH($EI194, 球員狀態!$B$2:$B$5000))), 0)), "")</f>
        <v/>
      </c>
      <c r="ET194" s="4" t="str">
        <f t="array" ref="ET194">IFERROR(INDEX(球員狀態!M$2:M$5000, MATCH(1, (球員狀態!$A$2:$A$5000=$EI$181)*(ISNUMBER(SEARCH($EI194, 球員狀態!$B$2:$B$5000))), 0)), "")</f>
        <v/>
      </c>
      <c r="EU194" s="4" t="str">
        <f t="array" ref="EU194">IFERROR(INDEX(球員狀態!N$2:N$5000, MATCH(1, (球員狀態!$A$2:$A$5000=$EI$181)*(ISNUMBER(SEARCH($EI194, 球員狀態!$B$2:$B$5000))), 0)), "")</f>
        <v/>
      </c>
      <c r="EV194" s="4" t="str">
        <f t="array" ref="EV194">IFERROR(INDEX(球員狀態!O$2:O$5000, MATCH(1, (球員狀態!$A$2:$A$5000=$EI$1)*(ISNUMBER(SEARCH($EI194, 球員狀態!$B$2:$B$5000))), 0)), "")</f>
        <v/>
      </c>
      <c r="EW194" s="4" t="str">
        <f t="array" ref="EW194">IFERROR(INDEX(球員狀態!P$2:P$5000, MATCH(1, (球員狀態!$A$2:$A$5000=$EI$1)*(ISNUMBER(SEARCH($EI194, 球員狀態!$B$2:$B$5000))), 0)), "")</f>
        <v/>
      </c>
      <c r="EX194" s="4" t="str">
        <f t="array" ref="EX194">IFERROR(INDEX(球員狀態!Q$2:Q$5000, MATCH(1, (球員狀態!$A$2:$A$5000=$EI$181)*(ISNUMBER(SEARCH($EI194, 球員狀態!$B$2:$B$5000))), 0)), "")</f>
        <v/>
      </c>
      <c r="EY194" s="4" t="str">
        <f t="array" ref="EY194">IFERROR(INDEX(球員狀態!R$2:R$5000, MATCH(1, (球員狀態!$A$2:$A$5000=$EI$1)*(ISNUMBER(SEARCH($EI194, 球員狀態!$B$2:$B$5000))), 0)), "")</f>
        <v/>
      </c>
      <c r="EZ194" s="4" t="str">
        <f t="array" ref="EZ194">IFERROR(INDEX(球員狀態!S$2:S$5000, MATCH(1, (球員狀態!$A$2:$A$5000=$EI$1)*(ISNUMBER(SEARCH($EI194, 球員狀態!$B$2:$B$5000))), 0)), "")</f>
        <v/>
      </c>
      <c r="FA194" s="4" t="str">
        <f t="array" ref="FA194">IFERROR(INDEX(球員狀態!T$2:T$5000, MATCH(1, (球員狀態!$A$2:$A$5000=$EI$181)*(ISNUMBER(SEARCH($EI194, 球員狀態!$B$2:$B$5000))), 0)), "")</f>
        <v/>
      </c>
      <c r="FB194" s="4" t="str">
        <f t="array" ref="FB194">IFERROR(INDEX(球員狀態!U$2:U$5000, MATCH(1, (球員狀態!$A$2:$A$5000=$EI$1)*(ISNUMBER(SEARCH($EI194, 球員狀態!$B$2:$B$5000))), 0)), "")</f>
        <v/>
      </c>
      <c r="FC194" s="4" t="str">
        <f t="array" ref="FC194">IFERROR(INDEX(球員狀態!V$2:V$5000, MATCH(1, (球員狀態!$A$2:$A$5000=$EI$1)*(ISNUMBER(SEARCH($EI194, 球員狀態!$B$2:$B$5000))), 0)), "")</f>
        <v/>
      </c>
      <c r="FD194" s="4" t="str">
        <f t="array" ref="FD194">IFERROR(INDEX(球員狀態!W$2:W$5000, MATCH(1, (球員狀態!$A$2:$A$5000=$EI$181)*(ISNUMBER(SEARCH($EI194, 球員狀態!$B$2:$B$5000))), 0)), "")</f>
        <v/>
      </c>
      <c r="FE194" s="4" t="str">
        <f t="array" ref="FE194">IFERROR(INDEX(球員狀態!X$2:X$5000, MATCH(1, (球員狀態!$A$2:$A$5000=$EI$1)*(ISNUMBER(SEARCH($EI194, 球員狀態!$B$2:$B$5000))), 0)), "")</f>
        <v/>
      </c>
      <c r="FF194" s="4" t="str">
        <f t="array" ref="FF194">IFERROR(INDEX(球員狀態!Y$2:Y$5000, MATCH(1, (球員狀態!$A$2:$A$5000=$EI$1)*(ISNUMBER(SEARCH($EI194, 球員狀態!$B$2:$B$5000))), 0)), "")</f>
        <v/>
      </c>
      <c r="FG194" s="4" t="str">
        <f t="array" ref="FG194">IFERROR(INDEX(球員狀態!Z$2:Z$5000, MATCH(1, (球員狀態!$A$2:$A$5000=$EI$181)*(ISNUMBER(SEARCH($EI194, 球員狀態!$B$2:$B$5000))), 0)), "")</f>
        <v/>
      </c>
      <c r="FH194" s="4" t="str">
        <f t="array" ref="FH194">IFERROR(INDEX(球員狀態!AA$2:AA$5000, MATCH(1, (球員狀態!$A$2:$A$5000=$EI$181)*(ISNUMBER(SEARCH($EI194, 球員狀態!$B$2:$B$5000))), 0)), "")</f>
        <v/>
      </c>
      <c r="FI194" s="4" t="str">
        <f t="array" ref="FI194">IFERROR(INDEX(球員狀態!AB$2:AB$5000, MATCH(1, (球員狀態!$A$2:$A$5000=$EI$181)*(ISNUMBER(SEARCH($EI194, 球員狀態!$B$2:$B$5000))), 0)), "")</f>
        <v/>
      </c>
    </row>
    <row r="195" spans="110:165">
      <c r="DH195" s="40">
        <f>DJ195+DL195+DM195+DN195+DO195-DP195-DQ195+DR195</f>
        <v>2</v>
      </c>
      <c r="DI195" s="42">
        <f>DU195+DX195+EA195+ED195+EE195+EF195</f>
        <v>5</v>
      </c>
      <c r="DJ195" s="38">
        <f>VLOOKUP(DJ194*1, FK$2:FM$12, 3, TRUE)*FM$1</f>
        <v>1</v>
      </c>
      <c r="DL195" s="38">
        <f>VLOOKUP(DL194*1, FN$2:FP$12, 3, TRUE)*FP$1</f>
        <v>0</v>
      </c>
      <c r="DM195" s="38">
        <f>VLOOKUP(DM194*1, FQ$2:FS$12, 3, TRUE)*FS$1</f>
        <v>0</v>
      </c>
      <c r="DN195" s="38">
        <f>VLOOKUP(DN194*1, FT$2:FV$12, 3, TRUE)*FV$1</f>
        <v>1</v>
      </c>
      <c r="DO195" s="38">
        <f>VLOOKUP(DO194*1, FW$2:FY$12, 3, TRUE)*FY$1</f>
        <v>0.5</v>
      </c>
      <c r="DP195" s="39">
        <f>VLOOKUP(DP194*1, FK$14:FM$25, 3, TRUE)*FM$14</f>
        <v>1</v>
      </c>
      <c r="DQ195" s="39">
        <f>VLOOKUP(DQ194*1, FN$14:FP$25, 3, TRUE)*FP$14</f>
        <v>1</v>
      </c>
      <c r="DR195" s="38">
        <f>VLOOKUP(DR194*1, FQ$14:FS$25, 3, TRUE)*FS$14</f>
        <v>1.5</v>
      </c>
      <c r="DU195" s="41">
        <f>VLOOKUP(DU194*1, FK$27:FM$38, 3, TRUE)*FM$27</f>
        <v>0</v>
      </c>
      <c r="DX195" s="41">
        <f>VLOOKUP(DX194*1, FN$27:FP$38, 3, TRUE)*FP$27</f>
        <v>0</v>
      </c>
      <c r="EA195" s="41">
        <f>VLOOKUP(EA194*1, FQ$27:FS$38, 3, TRUE)*FS$27</f>
        <v>0</v>
      </c>
      <c r="ED195" s="41">
        <f>VLOOKUP(ED194*1, FT$27:FV$38, 3, TRUE)*FV$27</f>
        <v>0</v>
      </c>
      <c r="EE195" s="41">
        <f>VLOOKUP(EE194*1, FW$27:FY$38, 3, TRUE)*FY$27</f>
        <v>1.5</v>
      </c>
      <c r="EF195" s="41">
        <f>VLOOKUP(EF194*1, FK$40:FM$51, 3, TRUE)*FM$40</f>
        <v>3.5</v>
      </c>
      <c r="EG195" s="57"/>
      <c r="EK195" s="40" t="e">
        <f>EM195+EO195+EP195+EQ195+ER195-ES195-ET195+EU195</f>
        <v>#VALUE!</v>
      </c>
      <c r="EL195" s="42" t="e">
        <f>EX195+FA195+FD195+FG195+FH195+FI195</f>
        <v>#VALUE!</v>
      </c>
      <c r="EM195" s="38" t="e">
        <f>VLOOKUP(EM194*1, $FK$2:$FM$12, 3, TRUE)*$FM$1</f>
        <v>#VALUE!</v>
      </c>
      <c r="EO195" s="38" t="e">
        <f>VLOOKUP(EO194*1, $FN$2:$FP$12, 3, TRUE)*$FP$1</f>
        <v>#VALUE!</v>
      </c>
      <c r="EP195" s="38" t="e">
        <f>VLOOKUP(EP194*1, $FQ$2:$FS$12, 3, TRUE)*$FS$1</f>
        <v>#VALUE!</v>
      </c>
      <c r="EQ195" s="38" t="e">
        <f>VLOOKUP(EQ194*1, $FT$2:$FV$12, 3, TRUE)*$FV$1</f>
        <v>#VALUE!</v>
      </c>
      <c r="ER195" s="38" t="e">
        <f>VLOOKUP(ER194*1, $FW$2:$FY$12, 3, TRUE)*$FY$1</f>
        <v>#VALUE!</v>
      </c>
      <c r="ES195" s="39" t="e">
        <f>VLOOKUP(ES194*1, $FK$14:$FM$25, 3, TRUE)*$FM$14</f>
        <v>#VALUE!</v>
      </c>
      <c r="ET195" s="39" t="e">
        <f>VLOOKUP(ET194*1, $FN$14:$FP$25, 3, TRUE)*$FP$14</f>
        <v>#VALUE!</v>
      </c>
      <c r="EU195" s="38" t="e">
        <f>VLOOKUP(EU194*1, $FQ$14:$FS$25, 3, TRUE)*$FS$14</f>
        <v>#VALUE!</v>
      </c>
      <c r="EX195" s="41" t="e">
        <f>VLOOKUP(EX194*1, $FK$27:$FM$38, 3, TRUE)*$FM$27</f>
        <v>#VALUE!</v>
      </c>
      <c r="FA195" s="41" t="e">
        <f>VLOOKUP(FA194*1, $FN$27:$FP$38, 3, TRUE)*$FP$27</f>
        <v>#VALUE!</v>
      </c>
      <c r="FD195" s="41" t="e">
        <f>VLOOKUP(FD194*1, $FQ$27:$FS$38, 3, TRUE)*$FS$27</f>
        <v>#VALUE!</v>
      </c>
      <c r="FG195" s="41" t="e">
        <f>VLOOKUP(FG194*1, $FT$27:$FV$38, 3, TRUE)*$FV$27</f>
        <v>#VALUE!</v>
      </c>
      <c r="FH195" s="41" t="e">
        <f>VLOOKUP(FH194*1, $FW$27:$FY$38, 3, TRUE)*$FY$27</f>
        <v>#VALUE!</v>
      </c>
      <c r="FI195" s="41" t="e">
        <f>VLOOKUP(FI194*1, $FK$40:$FM$51, 3, TRUE)*$FM$40</f>
        <v>#VALUE!</v>
      </c>
    </row>
    <row r="196" spans="110:165">
      <c r="DF196" s="37" t="str">
        <f>先發名單!L$8</f>
        <v>M. Ballesteros</v>
      </c>
      <c r="DG196" s="4" t="str">
        <f t="array" ref="DG196">IFERROR(INDEX(球員狀態!$C$2:$C$5000, MATCH(1, (球員狀態!$A$2:$A$5000=$DF$181)*(ISNUMBER(SEARCH($DF196, 球員狀態!$B$2:$B$5000))), 0)), "")</f>
        <v/>
      </c>
      <c r="DJ196" s="4" t="str">
        <f t="array" ref="DJ196">IFERROR(INDEX(球員狀態!$F$2:$F$5000,MATCH(1,(球員狀態!$A$2:$A$5000=$DF$181)*(ISNUMBER(SEARCH($DF196,球員狀態!$B$2:$B$5000))),0)),"")</f>
        <v/>
      </c>
      <c r="DK196" s="4" t="str">
        <f t="array" ref="DK196">IFERROR(INDEX(球員狀態!G$2:G$5000, MATCH(1, (球員狀態!$A$2:$A$5000=$DF$1)*(ISNUMBER(SEARCH($DF196, 球員狀態!$B$2:$B$5000))), 0)), "")</f>
        <v/>
      </c>
      <c r="DL196" s="4" t="str">
        <f t="array" ref="DL196">IFERROR(INDEX(球員狀態!H$2:H$5000, MATCH(1, (球員狀態!$A$2:$A$5000=$DF$181)*(ISNUMBER(SEARCH($DF196, 球員狀態!$B$2:$B$5000))), 0)), "")</f>
        <v/>
      </c>
      <c r="DM196" s="4" t="str">
        <f t="array" ref="DM196">IFERROR(INDEX(球員狀態!I$2:I$5000,MATCH(1,(球員狀態!$A$2:$A$5000=$DF$181)*(ISNUMBER(SEARCH($DF196,球員狀態!$B$2:$B$5000))),0)),"")</f>
        <v/>
      </c>
      <c r="DN196" s="4" t="str">
        <f t="array" ref="DN196">IFERROR(INDEX(球員狀態!J$2:J$5000,MATCH(1,(球員狀態!$A$2:$A$5000=$DF$181)*(ISNUMBER(SEARCH($DF196,球員狀態!$B$2:$B$5000))),0)),"")</f>
        <v/>
      </c>
      <c r="DO196" s="4" t="str">
        <f t="array" ref="DO196">IFERROR(INDEX(球員狀態!K$2:K$5000,MATCH(1,(球員狀態!$A$2:$A$5000=$DF$181)*(ISNUMBER(SEARCH($DF196,球員狀態!$B$2:$B$5000))),0)),"")</f>
        <v/>
      </c>
      <c r="DP196" s="4" t="str">
        <f t="array" ref="DP196">IFERROR(INDEX(球員狀態!L$2:L$5000,MATCH(1,(球員狀態!$A$2:$A$5000=$DF$181)*(ISNUMBER(SEARCH($DF196,球員狀態!$B$2:$B$5000))),0)),"")</f>
        <v/>
      </c>
      <c r="DQ196" s="4" t="str">
        <f t="array" ref="DQ196">IFERROR(INDEX(球員狀態!M$2:M$5000,MATCH(1,(球員狀態!$A$2:$A$5000=$DF$181)*(ISNUMBER(SEARCH($DF196,球員狀態!$B$2:$B$5000))),0)),"")</f>
        <v/>
      </c>
      <c r="DR196" s="4" t="str">
        <f t="array" ref="DR196">IFERROR(INDEX(球員狀態!N$2:N$5000,MATCH(1,(球員狀態!$A$2:$A$5000=$DF$181)*(ISNUMBER(SEARCH($DF196,球員狀態!$B$2:$B$5000))),0)),"")</f>
        <v/>
      </c>
      <c r="DS196" s="4" t="str">
        <f t="array" ref="DS196">IFERROR(INDEX(球員狀態!O$2:O$5000, MATCH(1, (球員狀態!$A$2:$A$5000=$DF$1)*(ISNUMBER(SEARCH($DF196, 球員狀態!$B$2:$B$5000))), 0)), "")</f>
        <v/>
      </c>
      <c r="DT196" s="4" t="str">
        <f t="array" ref="DT196">IFERROR(INDEX(球員狀態!P$2:P$5000, MATCH(1, (球員狀態!$A$2:$A$5000=$DF$1)*(ISNUMBER(SEARCH($DF196, 球員狀態!$B$2:$B$5000))), 0)), "")</f>
        <v/>
      </c>
      <c r="DU196" s="4" t="str">
        <f t="array" ref="DU196">IFERROR(INDEX(球員狀態!Q$2:Q$5000,MATCH(1,(球員狀態!$A$2:$A$5000=$DF$181)*(ISNUMBER(SEARCH($DF196,球員狀態!$B$2:$B$5000))),0)),"")</f>
        <v/>
      </c>
      <c r="DV196" s="4" t="str">
        <f t="array" ref="DV196">IFERROR(INDEX(球員狀態!R$2:R$5000, MATCH(1, (球員狀態!$A$2:$A$5000=$DF$1)*(ISNUMBER(SEARCH($DF196, 球員狀態!$B$2:$B$5000))), 0)), "")</f>
        <v/>
      </c>
      <c r="DW196" s="4" t="str">
        <f t="array" ref="DW196">IFERROR(INDEX(球員狀態!S$2:S$5000, MATCH(1, (球員狀態!$A$2:$A$5000=$DF$1)*(ISNUMBER(SEARCH($DF196, 球員狀態!$B$2:$B$5000))), 0)), "")</f>
        <v/>
      </c>
      <c r="DX196" s="4" t="str">
        <f t="array" ref="DX196">IFERROR(INDEX(球員狀態!T$2:T$5000,MATCH(1,(球員狀態!$A$2:$A$5000=$DF$181)*(ISNUMBER(SEARCH($DF196,球員狀態!$B$2:$B$5000))),0)),"")</f>
        <v/>
      </c>
      <c r="DY196" s="4" t="str">
        <f t="array" ref="DY196">IFERROR(INDEX(球員狀態!U$2:U$5000, MATCH(1, (球員狀態!$A$2:$A$5000=$DF$1)*(ISNUMBER(SEARCH($DF196, 球員狀態!$B$2:$B$5000))), 0)), "")</f>
        <v/>
      </c>
      <c r="DZ196" s="4" t="str">
        <f t="array" ref="DZ196">IFERROR(INDEX(球員狀態!V$2:V$5000, MATCH(1, (球員狀態!$A$2:$A$5000=$DF$1)*(ISNUMBER(SEARCH($DF196, 球員狀態!$B$2:$B$5000))), 0)), "")</f>
        <v/>
      </c>
      <c r="EA196" s="4" t="str">
        <f t="array" ref="EA196">IFERROR(INDEX(球員狀態!W$2:W$5000,MATCH(1,(球員狀態!$A$2:$A$5000=$DF$181)*(ISNUMBER(SEARCH($DF196,球員狀態!$B$2:$B$5000))),0)),"")</f>
        <v/>
      </c>
      <c r="EB196" s="4" t="str">
        <f t="array" ref="EB196">IFERROR(INDEX(球員狀態!X$2:X$5000, MATCH(1, (球員狀態!$A$2:$A$5000=$DF$1)*(ISNUMBER(SEARCH($DF196, 球員狀態!$B$2:$B$5000))), 0)), "")</f>
        <v/>
      </c>
      <c r="EC196" s="4" t="str">
        <f t="array" ref="EC196">IFERROR(INDEX(球員狀態!Y$2:Y$5000, MATCH(1, (球員狀態!$A$2:$A$5000=$DF$1)*(ISNUMBER(SEARCH($DF196, 球員狀態!$B$2:$B$5000))), 0)), "")</f>
        <v/>
      </c>
      <c r="ED196" s="4" t="str">
        <f t="array" ref="ED196">IFERROR(INDEX(球員狀態!Z$2:Z$5000,MATCH(1,(球員狀態!$A$2:$A$5000=$DF$181)*(ISNUMBER(SEARCH($DF196,球員狀態!$B$2:$B$5000))),0)),"")</f>
        <v/>
      </c>
      <c r="EE196" s="4" t="str">
        <f t="array" ref="EE196">IFERROR(INDEX(球員狀態!AA$2:AA$5000,MATCH(1,(球員狀態!$A$2:$A$5000=$DF$181)*(ISNUMBER(SEARCH($DF196,球員狀態!$B$2:$B$5000))),0)),"")</f>
        <v/>
      </c>
      <c r="EF196" s="4" t="str">
        <f t="array" ref="EF196">IFERROR(INDEX(球員狀態!AB$2:AB$5000,MATCH(1,(球員狀態!$A$2:$A$5000=$DF$181)*(ISNUMBER(SEARCH($DF196,球員狀態!$B$2:$B$5000))),0)),"")</f>
        <v/>
      </c>
      <c r="EG196" s="56"/>
      <c r="EI196" s="37" t="str">
        <f>先發名單!V$8</f>
        <v>N. Castellanos</v>
      </c>
      <c r="EJ196" s="4" t="str">
        <f t="array" ref="EJ196">IFERROR(INDEX(球員狀態!C$2:C$5000, MATCH(1, (球員狀態!$A$2:$A$5000=$EI$181)*(ISNUMBER(SEARCH($EI196, 球員狀態!$B$2:$B$5000))), 0)), "")</f>
        <v/>
      </c>
      <c r="EM196" s="4" t="str">
        <f t="array" ref="EM196">IFERROR(INDEX(球員狀態!F$2:F$5000, MATCH(1, (球員狀態!$A$2:$A$5000=$EI$181)*(ISNUMBER(SEARCH($EI196, 球員狀態!$B$2:$B$5000))), 0)), "")</f>
        <v/>
      </c>
      <c r="EN196" s="4" t="str">
        <f t="array" ref="EN196">IFERROR(INDEX(球員狀態!G$2:G$5000, MATCH(1, (球員狀態!$A$2:$A$5000=$EI$1)*(ISNUMBER(SEARCH($EI196, 球員狀態!$B$2:$B$5000))), 0)), "")</f>
        <v/>
      </c>
      <c r="EO196" s="4" t="str">
        <f t="array" ref="EO196">IFERROR(INDEX(球員狀態!H$2:H$5000, MATCH(1, (球員狀態!$A$2:$A$5000=$EI$181)*(ISNUMBER(SEARCH($EI196, 球員狀態!$B$2:$B$5000))), 0)), "")</f>
        <v/>
      </c>
      <c r="EP196" s="4" t="str">
        <f t="array" ref="EP196">IFERROR(INDEX(球員狀態!I$2:I$5000, MATCH(1, (球員狀態!$A$2:$A$5000=$EI$181)*(ISNUMBER(SEARCH($EI196, 球員狀態!$B$2:$B$5000))), 0)), "")</f>
        <v/>
      </c>
      <c r="EQ196" s="4" t="str">
        <f t="array" ref="EQ196">IFERROR(INDEX(球員狀態!J$2:J$5000, MATCH(1, (球員狀態!$A$2:$A$5000=$EI$181)*(ISNUMBER(SEARCH($EI196, 球員狀態!$B$2:$B$5000))), 0)), "")</f>
        <v/>
      </c>
      <c r="ER196" s="4" t="str">
        <f t="array" ref="ER196">IFERROR(INDEX(球員狀態!K$2:K$5000, MATCH(1, (球員狀態!$A$2:$A$5000=$EI$181)*(ISNUMBER(SEARCH($EI196, 球員狀態!$B$2:$B$5000))), 0)), "")</f>
        <v/>
      </c>
      <c r="ES196" s="4" t="str">
        <f t="array" ref="ES196">IFERROR(INDEX(球員狀態!L$2:L$5000, MATCH(1, (球員狀態!$A$2:$A$5000=$EI$181)*(ISNUMBER(SEARCH($EI196, 球員狀態!$B$2:$B$5000))), 0)), "")</f>
        <v/>
      </c>
      <c r="ET196" s="4" t="str">
        <f t="array" ref="ET196">IFERROR(INDEX(球員狀態!M$2:M$5000, MATCH(1, (球員狀態!$A$2:$A$5000=$EI$181)*(ISNUMBER(SEARCH($EI196, 球員狀態!$B$2:$B$5000))), 0)), "")</f>
        <v/>
      </c>
      <c r="EU196" s="4" t="str">
        <f t="array" ref="EU196">IFERROR(INDEX(球員狀態!N$2:N$5000, MATCH(1, (球員狀態!$A$2:$A$5000=$EI$181)*(ISNUMBER(SEARCH($EI196, 球員狀態!$B$2:$B$5000))), 0)), "")</f>
        <v/>
      </c>
      <c r="EV196" s="4" t="str">
        <f t="array" ref="EV196">IFERROR(INDEX(球員狀態!O$2:O$5000, MATCH(1, (球員狀態!$A$2:$A$5000=$EI$1)*(ISNUMBER(SEARCH($EI196, 球員狀態!$B$2:$B$5000))), 0)), "")</f>
        <v/>
      </c>
      <c r="EW196" s="4" t="str">
        <f t="array" ref="EW196">IFERROR(INDEX(球員狀態!P$2:P$5000, MATCH(1, (球員狀態!$A$2:$A$5000=$EI$1)*(ISNUMBER(SEARCH($EI196, 球員狀態!$B$2:$B$5000))), 0)), "")</f>
        <v/>
      </c>
      <c r="EX196" s="4" t="str">
        <f t="array" ref="EX196">IFERROR(INDEX(球員狀態!Q$2:Q$5000, MATCH(1, (球員狀態!$A$2:$A$5000=$EI$181)*(ISNUMBER(SEARCH($EI196, 球員狀態!$B$2:$B$5000))), 0)), "")</f>
        <v/>
      </c>
      <c r="EY196" s="4" t="str">
        <f t="array" ref="EY196">IFERROR(INDEX(球員狀態!R$2:R$5000, MATCH(1, (球員狀態!$A$2:$A$5000=$EI$1)*(ISNUMBER(SEARCH($EI196, 球員狀態!$B$2:$B$5000))), 0)), "")</f>
        <v/>
      </c>
      <c r="EZ196" s="4" t="str">
        <f t="array" ref="EZ196">IFERROR(INDEX(球員狀態!S$2:S$5000, MATCH(1, (球員狀態!$A$2:$A$5000=$EI$1)*(ISNUMBER(SEARCH($EI196, 球員狀態!$B$2:$B$5000))), 0)), "")</f>
        <v/>
      </c>
      <c r="FA196" s="4" t="str">
        <f t="array" ref="FA196">IFERROR(INDEX(球員狀態!T$2:T$5000, MATCH(1, (球員狀態!$A$2:$A$5000=$EI$181)*(ISNUMBER(SEARCH($EI196, 球員狀態!$B$2:$B$5000))), 0)), "")</f>
        <v/>
      </c>
      <c r="FB196" s="4" t="str">
        <f t="array" ref="FB196">IFERROR(INDEX(球員狀態!U$2:U$5000, MATCH(1, (球員狀態!$A$2:$A$5000=$EI$1)*(ISNUMBER(SEARCH($EI196, 球員狀態!$B$2:$B$5000))), 0)), "")</f>
        <v/>
      </c>
      <c r="FC196" s="4" t="str">
        <f t="array" ref="FC196">IFERROR(INDEX(球員狀態!V$2:V$5000, MATCH(1, (球員狀態!$A$2:$A$5000=$EI$1)*(ISNUMBER(SEARCH($EI196, 球員狀態!$B$2:$B$5000))), 0)), "")</f>
        <v/>
      </c>
      <c r="FD196" s="4" t="str">
        <f t="array" ref="FD196">IFERROR(INDEX(球員狀態!W$2:W$5000, MATCH(1, (球員狀態!$A$2:$A$5000=$EI$181)*(ISNUMBER(SEARCH($EI196, 球員狀態!$B$2:$B$5000))), 0)), "")</f>
        <v/>
      </c>
      <c r="FE196" s="4" t="str">
        <f t="array" ref="FE196">IFERROR(INDEX(球員狀態!X$2:X$5000, MATCH(1, (球員狀態!$A$2:$A$5000=$EI$1)*(ISNUMBER(SEARCH($EI196, 球員狀態!$B$2:$B$5000))), 0)), "")</f>
        <v/>
      </c>
      <c r="FF196" s="4" t="str">
        <f t="array" ref="FF196">IFERROR(INDEX(球員狀態!Y$2:Y$5000, MATCH(1, (球員狀態!$A$2:$A$5000=$EI$1)*(ISNUMBER(SEARCH($EI196, 球員狀態!$B$2:$B$5000))), 0)), "")</f>
        <v/>
      </c>
      <c r="FG196" s="4" t="str">
        <f t="array" ref="FG196">IFERROR(INDEX(球員狀態!Z$2:Z$5000, MATCH(1, (球員狀態!$A$2:$A$5000=$EI$181)*(ISNUMBER(SEARCH($EI196, 球員狀態!$B$2:$B$5000))), 0)), "")</f>
        <v/>
      </c>
      <c r="FH196" s="4" t="str">
        <f t="array" ref="FH196">IFERROR(INDEX(球員狀態!AA$2:AA$5000, MATCH(1, (球員狀態!$A$2:$A$5000=$EI$181)*(ISNUMBER(SEARCH($EI196, 球員狀態!$B$2:$B$5000))), 0)), "")</f>
        <v/>
      </c>
      <c r="FI196" s="4" t="str">
        <f t="array" ref="FI196">IFERROR(INDEX(球員狀態!AB$2:AB$5000, MATCH(1, (球員狀態!$A$2:$A$5000=$EI$181)*(ISNUMBER(SEARCH($EI196, 球員狀態!$B$2:$B$5000))), 0)), "")</f>
        <v/>
      </c>
    </row>
    <row r="197" spans="110:165">
      <c r="DH197" s="40" t="e">
        <f>DJ197+DL197+DM197+DN197+DO197-DP197-DQ197+DR197</f>
        <v>#VALUE!</v>
      </c>
      <c r="DI197" s="42" t="e">
        <f>DU197+DX197+EA197+ED197+EE197+EF197</f>
        <v>#VALUE!</v>
      </c>
      <c r="DJ197" s="38" t="e">
        <f>VLOOKUP(DJ196*1, FK$2:FM$12, 3, TRUE)*FM$1</f>
        <v>#VALUE!</v>
      </c>
      <c r="DL197" s="38" t="e">
        <f>VLOOKUP(DL196*1, FN$2:FP$12, 3, TRUE)*FP$1</f>
        <v>#VALUE!</v>
      </c>
      <c r="DM197" s="38" t="e">
        <f>VLOOKUP(DM196*1, FQ$2:FS$12, 3, TRUE)*FS$1</f>
        <v>#VALUE!</v>
      </c>
      <c r="DN197" s="38" t="e">
        <f>VLOOKUP(DN196*1, FT$2:FV$12, 3, TRUE)*FV$1</f>
        <v>#VALUE!</v>
      </c>
      <c r="DO197" s="38" t="e">
        <f>VLOOKUP(DO196*1, FW$2:FY$12, 3, TRUE)*FY$1</f>
        <v>#VALUE!</v>
      </c>
      <c r="DP197" s="39" t="e">
        <f>VLOOKUP(DP196*1, FK$14:FM$25, 3, TRUE)*FM$14</f>
        <v>#VALUE!</v>
      </c>
      <c r="DQ197" s="39" t="e">
        <f>VLOOKUP(DQ196*1, FN$14:FP$25, 3, TRUE)*FP$14</f>
        <v>#VALUE!</v>
      </c>
      <c r="DR197" s="38" t="e">
        <f>VLOOKUP(DR196*1, FQ$14:FS$25, 3, TRUE)*FS$14</f>
        <v>#VALUE!</v>
      </c>
      <c r="DU197" s="41" t="e">
        <f>VLOOKUP(DU196*1, FK$27:FM$38, 3, TRUE)*FM$27</f>
        <v>#VALUE!</v>
      </c>
      <c r="DX197" s="41" t="e">
        <f>VLOOKUP(DX196*1, FN$27:FP$38, 3, TRUE)*FP$27</f>
        <v>#VALUE!</v>
      </c>
      <c r="EA197" s="41" t="e">
        <f>VLOOKUP(EA196*1, FQ$27:FS$38, 3, TRUE)*FS$27</f>
        <v>#VALUE!</v>
      </c>
      <c r="ED197" s="41" t="e">
        <f>VLOOKUP(ED196*1, FT$27:FV$38, 3, TRUE)*FV$27</f>
        <v>#VALUE!</v>
      </c>
      <c r="EE197" s="41" t="e">
        <f>VLOOKUP(EE196*1, FW$27:FY$38, 3, TRUE)*FY$27</f>
        <v>#VALUE!</v>
      </c>
      <c r="EF197" s="41" t="e">
        <f>VLOOKUP(EF196*1, FK$40:FM$51, 3, TRUE)*FM$40</f>
        <v>#VALUE!</v>
      </c>
      <c r="EG197" s="57"/>
      <c r="EK197" s="40" t="e">
        <f>EM197+EO197+EP197+EQ197+ER197-ES197-ET197+EU197</f>
        <v>#VALUE!</v>
      </c>
      <c r="EL197" s="42" t="e">
        <f>EX197+FA197+FD197+FG197+FH197+FI197</f>
        <v>#VALUE!</v>
      </c>
      <c r="EM197" s="38" t="e">
        <f>VLOOKUP(EM196*1, $FK$2:$FM$12, 3, TRUE)*$FM$1</f>
        <v>#VALUE!</v>
      </c>
      <c r="EO197" s="38" t="e">
        <f>VLOOKUP(EO196*1, $FN$2:$FP$12, 3, TRUE)*$FP$1</f>
        <v>#VALUE!</v>
      </c>
      <c r="EP197" s="38" t="e">
        <f>VLOOKUP(EP196*1, $FQ$2:$FS$12, 3, TRUE)*$FS$1</f>
        <v>#VALUE!</v>
      </c>
      <c r="EQ197" s="38" t="e">
        <f>VLOOKUP(EQ196*1, $FT$2:$FV$12, 3, TRUE)*$FV$1</f>
        <v>#VALUE!</v>
      </c>
      <c r="ER197" s="38" t="e">
        <f>VLOOKUP(ER196*1, $FW$2:$FY$12, 3, TRUE)*$FY$1</f>
        <v>#VALUE!</v>
      </c>
      <c r="ES197" s="39" t="e">
        <f>VLOOKUP(ES196*1, $FK$14:$FM$25, 3, TRUE)*$FM$14</f>
        <v>#VALUE!</v>
      </c>
      <c r="ET197" s="39" t="e">
        <f>VLOOKUP(ET196*1, $FN$14:$FP$25, 3, TRUE)*$FP$14</f>
        <v>#VALUE!</v>
      </c>
      <c r="EU197" s="38" t="e">
        <f>VLOOKUP(EU196*1, $FQ$14:$FS$25, 3, TRUE)*$FS$14</f>
        <v>#VALUE!</v>
      </c>
      <c r="EX197" s="41" t="e">
        <f>VLOOKUP(EX196*1, $FK$27:$FM$38, 3, TRUE)*$FM$27</f>
        <v>#VALUE!</v>
      </c>
      <c r="FA197" s="41" t="e">
        <f>VLOOKUP(FA196*1, $FN$27:$FP$38, 3, TRUE)*$FP$27</f>
        <v>#VALUE!</v>
      </c>
      <c r="FD197" s="41" t="e">
        <f>VLOOKUP(FD196*1, $FQ$27:$FS$38, 3, TRUE)*$FS$27</f>
        <v>#VALUE!</v>
      </c>
      <c r="FG197" s="41" t="e">
        <f>VLOOKUP(FG196*1, $FT$27:$FV$38, 3, TRUE)*$FV$27</f>
        <v>#VALUE!</v>
      </c>
      <c r="FH197" s="41" t="e">
        <f>VLOOKUP(FH196*1, $FW$27:$FY$38, 3, TRUE)*$FY$27</f>
        <v>#VALUE!</v>
      </c>
      <c r="FI197" s="41" t="e">
        <f>VLOOKUP(FI196*1, $FK$40:$FM$51, 3, TRUE)*$FM$40</f>
        <v>#VALUE!</v>
      </c>
    </row>
    <row r="198" spans="110:165">
      <c r="DF198" s="37" t="str">
        <f>先發名單!M$8</f>
        <v>Carson Kelly</v>
      </c>
      <c r="DG198" s="4" t="str">
        <f t="array" ref="DG198">IFERROR(INDEX(球員狀態!$C$2:$C$5000, MATCH(1, (球員狀態!$A$2:$A$5000=$DF$181)*(ISNUMBER(SEARCH($DF198, 球員狀態!$B$2:$B$5000))), 0)), "")</f>
        <v>C</v>
      </c>
      <c r="DJ198" s="4" t="str">
        <f t="array" ref="DJ198">IFERROR(INDEX(球員狀態!$F$2:$F$5000,MATCH(1,(球員狀態!$A$2:$A$5000=$DF$181)*(ISNUMBER(SEARCH($DF198,球員狀態!$B$2:$B$5000))),0)),"")</f>
        <v>11</v>
      </c>
      <c r="DK198" s="4" t="str">
        <f t="array" ref="DK198">IFERROR(INDEX(球員狀態!G$2:G$5000, MATCH(1, (球員狀態!$A$2:$A$5000=$DF$1)*(ISNUMBER(SEARCH($DF198, 球員狀態!$B$2:$B$5000))), 0)), "")</f>
        <v/>
      </c>
      <c r="DL198" s="4" t="str">
        <f t="array" ref="DL198">IFERROR(INDEX(球員狀態!H$2:H$5000, MATCH(1, (球員狀態!$A$2:$A$5000=$DF$181)*(ISNUMBER(SEARCH($DF198, 球員狀態!$B$2:$B$5000))), 0)), "")</f>
        <v>4</v>
      </c>
      <c r="DM198" s="4" t="str">
        <f t="array" ref="DM198">IFERROR(INDEX(球員狀態!I$2:I$5000,MATCH(1,(球員狀態!$A$2:$A$5000=$DF$181)*(ISNUMBER(SEARCH($DF198,球員狀態!$B$2:$B$5000))),0)),"")</f>
        <v>0</v>
      </c>
      <c r="DN198" s="4" t="str">
        <f t="array" ref="DN198">IFERROR(INDEX(球員狀態!J$2:J$5000,MATCH(1,(球員狀態!$A$2:$A$5000=$DF$181)*(ISNUMBER(SEARCH($DF198,球員狀態!$B$2:$B$5000))),0)),"")</f>
        <v>2</v>
      </c>
      <c r="DO198" s="4" t="str">
        <f t="array" ref="DO198">IFERROR(INDEX(球員狀態!K$2:K$5000,MATCH(1,(球員狀態!$A$2:$A$5000=$DF$181)*(ISNUMBER(SEARCH($DF198,球員狀態!$B$2:$B$5000))),0)),"")</f>
        <v>10</v>
      </c>
      <c r="DP198" s="4" t="str">
        <f t="array" ref="DP198">IFERROR(INDEX(球員狀態!L$2:L$5000,MATCH(1,(球員狀態!$A$2:$A$5000=$DF$181)*(ISNUMBER(SEARCH($DF198,球員狀態!$B$2:$B$5000))),0)),"")</f>
        <v>32</v>
      </c>
      <c r="DQ198" s="4" t="str">
        <f t="array" ref="DQ198">IFERROR(INDEX(球員狀態!M$2:M$5000,MATCH(1,(球員狀態!$A$2:$A$5000=$DF$181)*(ISNUMBER(SEARCH($DF198,球員狀態!$B$2:$B$5000))),0)),"")</f>
        <v>12</v>
      </c>
      <c r="DR198" s="4" t="str">
        <f t="array" ref="DR198">IFERROR(INDEX(球員狀態!N$2:N$5000,MATCH(1,(球員狀態!$A$2:$A$5000=$DF$181)*(ISNUMBER(SEARCH($DF198,球員狀態!$B$2:$B$5000))),0)),"")</f>
        <v>14</v>
      </c>
      <c r="DS198" s="4" t="str">
        <f t="array" ref="DS198">IFERROR(INDEX(球員狀態!O$2:O$5000, MATCH(1, (球員狀態!$A$2:$A$5000=$DF$1)*(ISNUMBER(SEARCH($DF198, 球員狀態!$B$2:$B$5000))), 0)), "")</f>
        <v/>
      </c>
      <c r="DT198" s="4" t="str">
        <f t="array" ref="DT198">IFERROR(INDEX(球員狀態!P$2:P$5000, MATCH(1, (球員狀態!$A$2:$A$5000=$DF$1)*(ISNUMBER(SEARCH($DF198, 球員狀態!$B$2:$B$5000))), 0)), "")</f>
        <v/>
      </c>
      <c r="DU198" s="4" t="str">
        <f t="array" ref="DU198">IFERROR(INDEX(球員狀態!Q$2:Q$5000,MATCH(1,(球員狀態!$A$2:$A$5000=$DF$181)*(ISNUMBER(SEARCH($DF198,球員狀態!$B$2:$B$5000))),0)),"")</f>
        <v>.422</v>
      </c>
      <c r="DV198" s="4" t="str">
        <f t="array" ref="DV198">IFERROR(INDEX(球員狀態!R$2:R$5000, MATCH(1, (球員狀態!$A$2:$A$5000=$DF$1)*(ISNUMBER(SEARCH($DF198, 球員狀態!$B$2:$B$5000))), 0)), "")</f>
        <v/>
      </c>
      <c r="DW198" s="4" t="str">
        <f t="array" ref="DW198">IFERROR(INDEX(球員狀態!S$2:S$5000, MATCH(1, (球員狀態!$A$2:$A$5000=$DF$1)*(ISNUMBER(SEARCH($DF198, 球員狀態!$B$2:$B$5000))), 0)), "")</f>
        <v/>
      </c>
      <c r="DX198" s="4" t="str">
        <f t="array" ref="DX198">IFERROR(INDEX(球員狀態!T$2:T$5000,MATCH(1,(球員狀態!$A$2:$A$5000=$DF$181)*(ISNUMBER(SEARCH($DF198,球員狀態!$B$2:$B$5000))),0)),"")</f>
        <v>0.9</v>
      </c>
      <c r="DY198" s="4" t="str">
        <f t="array" ref="DY198">IFERROR(INDEX(球員狀態!U$2:U$5000, MATCH(1, (球員狀態!$A$2:$A$5000=$DF$1)*(ISNUMBER(SEARCH($DF198, 球員狀態!$B$2:$B$5000))), 0)), "")</f>
        <v/>
      </c>
      <c r="DZ198" s="4" t="str">
        <f t="array" ref="DZ198">IFERROR(INDEX(球員狀態!V$2:V$5000, MATCH(1, (球員狀態!$A$2:$A$5000=$DF$1)*(ISNUMBER(SEARCH($DF198, 球員狀態!$B$2:$B$5000))), 0)), "")</f>
        <v/>
      </c>
      <c r="EA198" s="4" t="str">
        <f t="array" ref="EA198">IFERROR(INDEX(球員狀態!W$2:W$5000,MATCH(1,(球員狀態!$A$2:$A$5000=$DF$181)*(ISNUMBER(SEARCH($DF198,球員狀態!$B$2:$B$5000))),0)),"")</f>
        <v>.145</v>
      </c>
      <c r="EB198" s="4" t="str">
        <f t="array" ref="EB198">IFERROR(INDEX(球員狀態!X$2:X$5000, MATCH(1, (球員狀態!$A$2:$A$5000=$DF$1)*(ISNUMBER(SEARCH($DF198, 球員狀態!$B$2:$B$5000))), 0)), "")</f>
        <v/>
      </c>
      <c r="EC198" s="4" t="str">
        <f t="array" ref="EC198">IFERROR(INDEX(球員狀態!Y$2:Y$5000, MATCH(1, (球員狀態!$A$2:$A$5000=$DF$1)*(ISNUMBER(SEARCH($DF198, 球員狀態!$B$2:$B$5000))), 0)), "")</f>
        <v/>
      </c>
      <c r="ED198" s="4" t="str">
        <f t="array" ref="ED198">IFERROR(INDEX(球員狀態!Z$2:Z$5000,MATCH(1,(球員狀態!$A$2:$A$5000=$DF$181)*(ISNUMBER(SEARCH($DF198,球員狀態!$B$2:$B$5000))),0)),"")</f>
        <v>.314</v>
      </c>
      <c r="EE198" s="4" t="str">
        <f t="array" ref="EE198">IFERROR(INDEX(球員狀態!AA$2:AA$5000,MATCH(1,(球員狀態!$A$2:$A$5000=$DF$181)*(ISNUMBER(SEARCH($DF198,球員狀態!$B$2:$B$5000))),0)),"")</f>
        <v>3.80</v>
      </c>
      <c r="EF198" s="4" t="str">
        <f t="array" ref="EF198">IFERROR(INDEX(球員狀態!AB$2:AB$5000,MATCH(1,(球員狀態!$A$2:$A$5000=$DF$181)*(ISNUMBER(SEARCH($DF198,球員狀態!$B$2:$B$5000))),0)),"")</f>
        <v>6</v>
      </c>
      <c r="EG198" s="56"/>
      <c r="EI198" s="37" t="str">
        <f>先發名單!W$8</f>
        <v>Ty France</v>
      </c>
      <c r="EJ198" s="4" t="str">
        <f t="array" ref="EJ198">IFERROR(INDEX(球員狀態!C$2:C$5000, MATCH(1, (球員狀態!$A$2:$A$5000=$EI$181)*(ISNUMBER(SEARCH($EI198, 球員狀態!$B$2:$B$5000))), 0)), "")</f>
        <v>1B</v>
      </c>
      <c r="EM198" s="4" t="str">
        <f t="array" ref="EM198">IFERROR(INDEX(球員狀態!F$2:F$5000, MATCH(1, (球員狀態!$A$2:$A$5000=$EI$181)*(ISNUMBER(SEARCH($EI198, 球員狀態!$B$2:$B$5000))), 0)), "")</f>
        <v>6</v>
      </c>
      <c r="EN198" s="4" t="str">
        <f t="array" ref="EN198">IFERROR(INDEX(球員狀態!G$2:G$5000, MATCH(1, (球員狀態!$A$2:$A$5000=$EI$1)*(ISNUMBER(SEARCH($EI198, 球員狀態!$B$2:$B$5000))), 0)), "")</f>
        <v/>
      </c>
      <c r="EO198" s="4" t="str">
        <f t="array" ref="EO198">IFERROR(INDEX(球員狀態!H$2:H$5000, MATCH(1, (球員狀態!$A$2:$A$5000=$EI$181)*(ISNUMBER(SEARCH($EI198, 球員狀態!$B$2:$B$5000))), 0)), "")</f>
        <v>1</v>
      </c>
      <c r="EP198" s="4" t="str">
        <f t="array" ref="EP198">IFERROR(INDEX(球員狀態!I$2:I$5000, MATCH(1, (球員狀態!$A$2:$A$5000=$EI$181)*(ISNUMBER(SEARCH($EI198, 球員狀態!$B$2:$B$5000))), 0)), "")</f>
        <v>0</v>
      </c>
      <c r="EQ198" s="4" t="str">
        <f t="array" ref="EQ198">IFERROR(INDEX(球員狀態!J$2:J$5000, MATCH(1, (球員狀態!$A$2:$A$5000=$EI$181)*(ISNUMBER(SEARCH($EI198, 球員狀態!$B$2:$B$5000))), 0)), "")</f>
        <v>3</v>
      </c>
      <c r="ER198" s="4" t="str">
        <f t="array" ref="ER198">IFERROR(INDEX(球員狀態!K$2:K$5000, MATCH(1, (球員狀態!$A$2:$A$5000=$EI$181)*(ISNUMBER(SEARCH($EI198, 球員狀態!$B$2:$B$5000))), 0)), "")</f>
        <v>3</v>
      </c>
      <c r="ES198" s="4" t="str">
        <f t="array" ref="ES198">IFERROR(INDEX(球員狀態!L$2:L$5000, MATCH(1, (球員狀態!$A$2:$A$5000=$EI$181)*(ISNUMBER(SEARCH($EI198, 球員狀態!$B$2:$B$5000))), 0)), "")</f>
        <v>19</v>
      </c>
      <c r="ET198" s="4" t="str">
        <f t="array" ref="ET198">IFERROR(INDEX(球員狀態!M$2:M$5000, MATCH(1, (球員狀態!$A$2:$A$5000=$EI$181)*(ISNUMBER(SEARCH($EI198, 球員狀態!$B$2:$B$5000))), 0)), "")</f>
        <v>1</v>
      </c>
      <c r="EU198" s="4" t="str">
        <f t="array" ref="EU198">IFERROR(INDEX(球員狀態!N$2:N$5000, MATCH(1, (球員狀態!$A$2:$A$5000=$EI$181)*(ISNUMBER(SEARCH($EI198, 球員狀態!$B$2:$B$5000))), 0)), "")</f>
        <v>4</v>
      </c>
      <c r="EV198" s="4" t="str">
        <f t="array" ref="EV198">IFERROR(INDEX(球員狀態!O$2:O$5000, MATCH(1, (球員狀態!$A$2:$A$5000=$EI$1)*(ISNUMBER(SEARCH($EI198, 球員狀態!$B$2:$B$5000))), 0)), "")</f>
        <v/>
      </c>
      <c r="EW198" s="4" t="str">
        <f t="array" ref="EW198">IFERROR(INDEX(球員狀態!P$2:P$5000, MATCH(1, (球員狀態!$A$2:$A$5000=$EI$1)*(ISNUMBER(SEARCH($EI198, 球員狀態!$B$2:$B$5000))), 0)), "")</f>
        <v/>
      </c>
      <c r="EX198" s="4" t="str">
        <f t="array" ref="EX198">IFERROR(INDEX(球員狀態!Q$2:Q$5000, MATCH(1, (球員狀態!$A$2:$A$5000=$EI$181)*(ISNUMBER(SEARCH($EI198, 球員狀態!$B$2:$B$5000))), 0)), "")</f>
        <v>.306</v>
      </c>
      <c r="EY198" s="4" t="str">
        <f t="array" ref="EY198">IFERROR(INDEX(球員狀態!R$2:R$5000, MATCH(1, (球員狀態!$A$2:$A$5000=$EI$1)*(ISNUMBER(SEARCH($EI198, 球員狀態!$B$2:$B$5000))), 0)), "")</f>
        <v/>
      </c>
      <c r="EZ198" s="4" t="str">
        <f t="array" ref="EZ198">IFERROR(INDEX(球員狀態!S$2:S$5000, MATCH(1, (球員狀態!$A$2:$A$5000=$EI$1)*(ISNUMBER(SEARCH($EI198, 球員狀態!$B$2:$B$5000))), 0)), "")</f>
        <v/>
      </c>
      <c r="FA198" s="4" t="str">
        <f t="array" ref="FA198">IFERROR(INDEX(球員狀態!T$2:T$5000, MATCH(1, (球員狀態!$A$2:$A$5000=$EI$181)*(ISNUMBER(SEARCH($EI198, 球員狀態!$B$2:$B$5000))), 0)), "")</f>
        <v>0.4</v>
      </c>
      <c r="FB198" s="4" t="str">
        <f t="array" ref="FB198">IFERROR(INDEX(球員狀態!U$2:U$5000, MATCH(1, (球員狀態!$A$2:$A$5000=$EI$1)*(ISNUMBER(SEARCH($EI198, 球員狀態!$B$2:$B$5000))), 0)), "")</f>
        <v/>
      </c>
      <c r="FC198" s="4" t="str">
        <f t="array" ref="FC198">IFERROR(INDEX(球員狀態!V$2:V$5000, MATCH(1, (球員狀態!$A$2:$A$5000=$EI$1)*(ISNUMBER(SEARCH($EI198, 球員狀態!$B$2:$B$5000))), 0)), "")</f>
        <v/>
      </c>
      <c r="FD198" s="4" t="str">
        <f t="array" ref="FD198">IFERROR(INDEX(球員狀態!W$2:W$5000, MATCH(1, (球員狀態!$A$2:$A$5000=$EI$181)*(ISNUMBER(SEARCH($EI198, 球員狀態!$B$2:$B$5000))), 0)), "")</f>
        <v>.028</v>
      </c>
      <c r="FE198" s="4" t="str">
        <f t="array" ref="FE198">IFERROR(INDEX(球員狀態!X$2:X$5000, MATCH(1, (球員狀態!$A$2:$A$5000=$EI$1)*(ISNUMBER(SEARCH($EI198, 球員狀態!$B$2:$B$5000))), 0)), "")</f>
        <v/>
      </c>
      <c r="FF198" s="4" t="str">
        <f t="array" ref="FF198">IFERROR(INDEX(球員狀態!Y$2:Y$5000, MATCH(1, (球員狀態!$A$2:$A$5000=$EI$1)*(ISNUMBER(SEARCH($EI198, 球員狀態!$B$2:$B$5000))), 0)), "")</f>
        <v/>
      </c>
      <c r="FG198" s="4" t="str">
        <f t="array" ref="FG198">IFERROR(INDEX(球員狀態!Z$2:Z$5000, MATCH(1, (球員狀態!$A$2:$A$5000=$EI$181)*(ISNUMBER(SEARCH($EI198, 球員狀態!$B$2:$B$5000))), 0)), "")</f>
        <v>.324</v>
      </c>
      <c r="FH198" s="4" t="str">
        <f t="array" ref="FH198">IFERROR(INDEX(球員狀態!AA$2:AA$5000, MATCH(1, (球員狀態!$A$2:$A$5000=$EI$181)*(ISNUMBER(SEARCH($EI198, 球員狀態!$B$2:$B$5000))), 0)), "")</f>
        <v>3.19</v>
      </c>
      <c r="FI198" s="4" t="str">
        <f t="array" ref="FI198">IFERROR(INDEX(球員狀態!AB$2:AB$5000, MATCH(1, (球員狀態!$A$2:$A$5000=$EI$181)*(ISNUMBER(SEARCH($EI198, 球員狀態!$B$2:$B$5000))), 0)), "")</f>
        <v>4</v>
      </c>
    </row>
    <row r="199" spans="110:165">
      <c r="DH199" s="40">
        <f>DJ199+DL199+DM199+DN199+DO199-DP199-DQ199+DR199</f>
        <v>2.25</v>
      </c>
      <c r="DI199" s="42">
        <f>DU199+DX199+EA199+ED199+EE199+EF199</f>
        <v>5</v>
      </c>
      <c r="DJ199" s="38">
        <f>VLOOKUP(DJ198*1, FK$2:FM$12, 3, TRUE)*FM$1</f>
        <v>1</v>
      </c>
      <c r="DL199" s="38">
        <f>VLOOKUP(DL198*1, FN$2:FP$12, 3, TRUE)*FP$1</f>
        <v>0.44999999999999996</v>
      </c>
      <c r="DM199" s="38">
        <f>VLOOKUP(DM198*1, FQ$2:FS$12, 3, TRUE)*FS$1</f>
        <v>0</v>
      </c>
      <c r="DN199" s="38">
        <f>VLOOKUP(DN198*1, FT$2:FV$12, 3, TRUE)*FV$1</f>
        <v>0.8</v>
      </c>
      <c r="DO199" s="38">
        <f>VLOOKUP(DO198*1, FW$2:FY$12, 3, TRUE)*FY$1</f>
        <v>0.5</v>
      </c>
      <c r="DP199" s="39">
        <f>VLOOKUP(DP198*1, FK$14:FM$25, 3, TRUE)*FM$14</f>
        <v>1</v>
      </c>
      <c r="DQ199" s="39">
        <f>VLOOKUP(DQ198*1, FN$14:FP$25, 3, TRUE)*FP$14</f>
        <v>1</v>
      </c>
      <c r="DR199" s="38">
        <f>VLOOKUP(DR198*1, FQ$14:FS$25, 3, TRUE)*FS$14</f>
        <v>1.5</v>
      </c>
      <c r="DU199" s="41">
        <f>VLOOKUP(DU198*1, FK$27:FM$38, 3, TRUE)*FM$27</f>
        <v>0</v>
      </c>
      <c r="DX199" s="41">
        <f>VLOOKUP(DX198*1, FN$27:FP$38, 3, TRUE)*FP$27</f>
        <v>0</v>
      </c>
      <c r="EA199" s="41">
        <f>VLOOKUP(EA198*1, FQ$27:FS$38, 3, TRUE)*FS$27</f>
        <v>0</v>
      </c>
      <c r="ED199" s="41">
        <f>VLOOKUP(ED198*1, FT$27:FV$38, 3, TRUE)*FV$27</f>
        <v>0</v>
      </c>
      <c r="EE199" s="41">
        <f>VLOOKUP(EE198*1, FW$27:FY$38, 3, TRUE)*FY$27</f>
        <v>1.5</v>
      </c>
      <c r="EF199" s="41">
        <f>VLOOKUP(EF198*1, FK$40:FM$51, 3, TRUE)*FM$40</f>
        <v>3.5</v>
      </c>
      <c r="EG199" s="57"/>
      <c r="EK199" s="40">
        <f>EM199+EO199+EP199+EQ199+ER199-ES199-ET199+EU199</f>
        <v>2.3499999999999996</v>
      </c>
      <c r="EL199" s="42">
        <f>EX199+FA199+FD199+FG199+FH199+FI199</f>
        <v>5</v>
      </c>
      <c r="EM199" s="38">
        <f>VLOOKUP(EM198*1, $FK$2:$FM$12, 3, TRUE)*$FM$1</f>
        <v>0.5</v>
      </c>
      <c r="EO199" s="38">
        <f>VLOOKUP(EO198*1, $FN$2:$FP$12, 3, TRUE)*$FP$1</f>
        <v>0</v>
      </c>
      <c r="EP199" s="38">
        <f>VLOOKUP(EP198*1, $FQ$2:$FS$12, 3, TRUE)*$FS$1</f>
        <v>0</v>
      </c>
      <c r="EQ199" s="38">
        <f>VLOOKUP(EQ198*1, $FT$2:$FV$12, 3, TRUE)*$FV$1</f>
        <v>1</v>
      </c>
      <c r="ER199" s="38">
        <f>VLOOKUP(ER198*1, $FW$2:$FY$12, 3, TRUE)*$FY$1</f>
        <v>0.5</v>
      </c>
      <c r="ES199" s="39">
        <f>VLOOKUP(ES198*1, $FK$14:$FM$25, 3, TRUE)*$FM$14</f>
        <v>1</v>
      </c>
      <c r="ET199" s="39">
        <f>VLOOKUP(ET198*1, $FN$14:$FP$25, 3, TRUE)*$FP$14</f>
        <v>0</v>
      </c>
      <c r="EU199" s="38">
        <f>VLOOKUP(EU198*1, $FQ$14:$FS$25, 3, TRUE)*$FS$14</f>
        <v>1.3499999999999999</v>
      </c>
      <c r="EX199" s="41">
        <f>VLOOKUP(EX198*1, $FK$27:$FM$38, 3, TRUE)*$FM$27</f>
        <v>0</v>
      </c>
      <c r="FA199" s="41">
        <f>VLOOKUP(FA198*1, $FN$27:$FP$38, 3, TRUE)*$FP$27</f>
        <v>0</v>
      </c>
      <c r="FD199" s="41">
        <f>VLOOKUP(FD198*1, $FQ$27:$FS$38, 3, TRUE)*$FS$27</f>
        <v>0</v>
      </c>
      <c r="FG199" s="41">
        <f>VLOOKUP(FG198*1, $FT$27:$FV$38, 3, TRUE)*$FV$27</f>
        <v>0</v>
      </c>
      <c r="FH199" s="41">
        <f>VLOOKUP(FH198*1, $FW$27:$FY$38, 3, TRUE)*$FY$27</f>
        <v>1.5</v>
      </c>
      <c r="FI199" s="41">
        <f>VLOOKUP(FI198*1, $FK$40:$FM$51, 3, TRUE)*$FM$40</f>
        <v>3.5</v>
      </c>
    </row>
    <row r="200" spans="110:165">
      <c r="DF200" s="37" t="e">
        <f>先發名單!#REF!</f>
        <v>#REF!</v>
      </c>
      <c r="DG200" s="4" t="str">
        <f t="array" ref="DG200">IFERROR(INDEX(球員狀態!$C$2:$C$5000, MATCH(1, (球員狀態!$A$2:$A$5000=$DF$181)*(ISNUMBER(SEARCH($DF200, 球員狀態!$B$2:$B$5000))), 0)), "")</f>
        <v/>
      </c>
      <c r="DJ200" s="4" t="str">
        <f t="array" ref="DJ200">IFERROR(INDEX(球員狀態!$F$2:$F$5000,MATCH(1,(球員狀態!$A$2:$A$5000=$DF$181)*(ISNUMBER(SEARCH($DF200,球員狀態!$B$2:$B$5000))),0)),"")</f>
        <v/>
      </c>
      <c r="DK200" s="4" t="str">
        <f t="array" ref="DK200">IFERROR(INDEX(球員狀態!G$2:G$5000, MATCH(1, (球員狀態!$A$2:$A$5000=$DF$1)*(ISNUMBER(SEARCH($DF200, 球員狀態!$B$2:$B$5000))), 0)), "")</f>
        <v/>
      </c>
      <c r="DL200" s="4" t="str">
        <f t="array" ref="DL200">IFERROR(INDEX(球員狀態!H$2:H$5000, MATCH(1, (球員狀態!$A$2:$A$5000=$DF$181)*(ISNUMBER(SEARCH($DF200, 球員狀態!$B$2:$B$5000))), 0)), "")</f>
        <v/>
      </c>
      <c r="DM200" s="4" t="str">
        <f t="array" ref="DM200">IFERROR(INDEX(球員狀態!I$2:I$5000,MATCH(1,(球員狀態!$A$2:$A$5000=$DF$181)*(ISNUMBER(SEARCH($DF200,球員狀態!$B$2:$B$5000))),0)),"")</f>
        <v/>
      </c>
      <c r="DN200" s="4" t="str">
        <f t="array" ref="DN200">IFERROR(INDEX(球員狀態!J$2:J$5000,MATCH(1,(球員狀態!$A$2:$A$5000=$DF$181)*(ISNUMBER(SEARCH($DF200,球員狀態!$B$2:$B$5000))),0)),"")</f>
        <v/>
      </c>
      <c r="DO200" s="4" t="str">
        <f t="array" ref="DO200">IFERROR(INDEX(球員狀態!K$2:K$5000,MATCH(1,(球員狀態!$A$2:$A$5000=$DF$181)*(ISNUMBER(SEARCH($DF200,球員狀態!$B$2:$B$5000))),0)),"")</f>
        <v/>
      </c>
      <c r="DP200" s="4" t="str">
        <f t="array" ref="DP200">IFERROR(INDEX(球員狀態!L$2:L$5000,MATCH(1,(球員狀態!$A$2:$A$5000=$DF$181)*(ISNUMBER(SEARCH($DF200,球員狀態!$B$2:$B$5000))),0)),"")</f>
        <v/>
      </c>
      <c r="DQ200" s="4" t="str">
        <f t="array" ref="DQ200">IFERROR(INDEX(球員狀態!M$2:M$5000,MATCH(1,(球員狀態!$A$2:$A$5000=$DF$181)*(ISNUMBER(SEARCH($DF200,球員狀態!$B$2:$B$5000))),0)),"")</f>
        <v/>
      </c>
      <c r="DR200" s="4" t="str">
        <f t="array" ref="DR200">IFERROR(INDEX(球員狀態!N$2:N$5000,MATCH(1,(球員狀態!$A$2:$A$5000=$DF$181)*(ISNUMBER(SEARCH($DF200,球員狀態!$B$2:$B$5000))),0)),"")</f>
        <v/>
      </c>
      <c r="DS200" s="4" t="str">
        <f t="array" ref="DS200">IFERROR(INDEX(球員狀態!O$2:O$5000, MATCH(1, (球員狀態!$A$2:$A$5000=$DF$1)*(ISNUMBER(SEARCH($DF200, 球員狀態!$B$2:$B$5000))), 0)), "")</f>
        <v/>
      </c>
      <c r="DT200" s="4" t="str">
        <f t="array" ref="DT200">IFERROR(INDEX(球員狀態!P$2:P$5000, MATCH(1, (球員狀態!$A$2:$A$5000=$DF$1)*(ISNUMBER(SEARCH($DF200, 球員狀態!$B$2:$B$5000))), 0)), "")</f>
        <v/>
      </c>
      <c r="DU200" s="4" t="str">
        <f t="array" ref="DU200">IFERROR(INDEX(球員狀態!Q$2:Q$5000,MATCH(1,(球員狀態!$A$2:$A$5000=$DF$181)*(ISNUMBER(SEARCH($DF200,球員狀態!$B$2:$B$5000))),0)),"")</f>
        <v/>
      </c>
      <c r="DV200" s="4" t="str">
        <f t="array" ref="DV200">IFERROR(INDEX(球員狀態!R$2:R$5000, MATCH(1, (球員狀態!$A$2:$A$5000=$DF$1)*(ISNUMBER(SEARCH($DF200, 球員狀態!$B$2:$B$5000))), 0)), "")</f>
        <v/>
      </c>
      <c r="DW200" s="4" t="str">
        <f t="array" ref="DW200">IFERROR(INDEX(球員狀態!S$2:S$5000, MATCH(1, (球員狀態!$A$2:$A$5000=$DF$1)*(ISNUMBER(SEARCH($DF200, 球員狀態!$B$2:$B$5000))), 0)), "")</f>
        <v/>
      </c>
      <c r="DX200" s="4" t="str">
        <f t="array" ref="DX200">IFERROR(INDEX(球員狀態!T$2:T$5000,MATCH(1,(球員狀態!$A$2:$A$5000=$DF$181)*(ISNUMBER(SEARCH($DF200,球員狀態!$B$2:$B$5000))),0)),"")</f>
        <v/>
      </c>
      <c r="DY200" s="4" t="str">
        <f t="array" ref="DY200">IFERROR(INDEX(球員狀態!U$2:U$5000, MATCH(1, (球員狀態!$A$2:$A$5000=$DF$1)*(ISNUMBER(SEARCH($DF200, 球員狀態!$B$2:$B$5000))), 0)), "")</f>
        <v/>
      </c>
      <c r="DZ200" s="4" t="str">
        <f t="array" ref="DZ200">IFERROR(INDEX(球員狀態!V$2:V$5000, MATCH(1, (球員狀態!$A$2:$A$5000=$DF$1)*(ISNUMBER(SEARCH($DF200, 球員狀態!$B$2:$B$5000))), 0)), "")</f>
        <v/>
      </c>
      <c r="EA200" s="4" t="str">
        <f t="array" ref="EA200">IFERROR(INDEX(球員狀態!W$2:W$5000,MATCH(1,(球員狀態!$A$2:$A$5000=$DF$181)*(ISNUMBER(SEARCH($DF200,球員狀態!$B$2:$B$5000))),0)),"")</f>
        <v/>
      </c>
      <c r="EB200" s="4" t="str">
        <f t="array" ref="EB200">IFERROR(INDEX(球員狀態!X$2:X$5000, MATCH(1, (球員狀態!$A$2:$A$5000=$DF$1)*(ISNUMBER(SEARCH($DF200, 球員狀態!$B$2:$B$5000))), 0)), "")</f>
        <v/>
      </c>
      <c r="EC200" s="4" t="str">
        <f t="array" ref="EC200">IFERROR(INDEX(球員狀態!Y$2:Y$5000, MATCH(1, (球員狀態!$A$2:$A$5000=$DF$1)*(ISNUMBER(SEARCH($DF200, 球員狀態!$B$2:$B$5000))), 0)), "")</f>
        <v/>
      </c>
      <c r="ED200" s="4" t="str">
        <f t="array" ref="ED200">IFERROR(INDEX(球員狀態!Z$2:Z$5000,MATCH(1,(球員狀態!$A$2:$A$5000=$DF$181)*(ISNUMBER(SEARCH($DF200,球員狀態!$B$2:$B$5000))),0)),"")</f>
        <v/>
      </c>
      <c r="EE200" s="4" t="str">
        <f t="array" ref="EE200">IFERROR(INDEX(球員狀態!AA$2:AA$5000,MATCH(1,(球員狀態!$A$2:$A$5000=$DF$181)*(ISNUMBER(SEARCH($DF200,球員狀態!$B$2:$B$5000))),0)),"")</f>
        <v/>
      </c>
      <c r="EF200" s="4" t="str">
        <f t="array" ref="EF200">IFERROR(INDEX(球員狀態!AB$2:AB$5000,MATCH(1,(球員狀態!$A$2:$A$5000=$DF$181)*(ISNUMBER(SEARCH($DF200,球員狀態!$B$2:$B$5000))),0)),"")</f>
        <v/>
      </c>
      <c r="EG200" s="56"/>
      <c r="EI200" s="37" t="str">
        <f>先發名單!X$8</f>
        <v>L. Campusano</v>
      </c>
      <c r="EJ200" s="4" t="str">
        <f t="array" ref="EJ200">IFERROR(INDEX(球員狀態!C$2:C$5000, MATCH(1, (球員狀態!$A$2:$A$5000=$EI$181)*(ISNUMBER(SEARCH($EI200, 球員狀態!$B$2:$B$5000))), 0)), "")</f>
        <v/>
      </c>
      <c r="EM200" s="4" t="str">
        <f t="array" ref="EM200">IFERROR(INDEX(球員狀態!F$2:F$5000, MATCH(1, (球員狀態!$A$2:$A$5000=$EI$181)*(ISNUMBER(SEARCH($EI200, 球員狀態!$B$2:$B$5000))), 0)), "")</f>
        <v/>
      </c>
      <c r="EN200" s="4" t="str">
        <f t="array" ref="EN200">IFERROR(INDEX(球員狀態!G$2:G$5000, MATCH(1, (球員狀態!$A$2:$A$5000=$EI$1)*(ISNUMBER(SEARCH($EI200, 球員狀態!$B$2:$B$5000))), 0)), "")</f>
        <v/>
      </c>
      <c r="EO200" s="4" t="str">
        <f t="array" ref="EO200">IFERROR(INDEX(球員狀態!H$2:H$5000, MATCH(1, (球員狀態!$A$2:$A$5000=$EI$181)*(ISNUMBER(SEARCH($EI200, 球員狀態!$B$2:$B$5000))), 0)), "")</f>
        <v/>
      </c>
      <c r="EP200" s="4" t="str">
        <f t="array" ref="EP200">IFERROR(INDEX(球員狀態!I$2:I$5000, MATCH(1, (球員狀態!$A$2:$A$5000=$EI$181)*(ISNUMBER(SEARCH($EI200, 球員狀態!$B$2:$B$5000))), 0)), "")</f>
        <v/>
      </c>
      <c r="EQ200" s="4" t="str">
        <f t="array" ref="EQ200">IFERROR(INDEX(球員狀態!J$2:J$5000, MATCH(1, (球員狀態!$A$2:$A$5000=$EI$181)*(ISNUMBER(SEARCH($EI200, 球員狀態!$B$2:$B$5000))), 0)), "")</f>
        <v/>
      </c>
      <c r="ER200" s="4" t="str">
        <f t="array" ref="ER200">IFERROR(INDEX(球員狀態!K$2:K$5000, MATCH(1, (球員狀態!$A$2:$A$5000=$EI$181)*(ISNUMBER(SEARCH($EI200, 球員狀態!$B$2:$B$5000))), 0)), "")</f>
        <v/>
      </c>
      <c r="ES200" s="4" t="str">
        <f t="array" ref="ES200">IFERROR(INDEX(球員狀態!L$2:L$5000, MATCH(1, (球員狀態!$A$2:$A$5000=$EI$181)*(ISNUMBER(SEARCH($EI200, 球員狀態!$B$2:$B$5000))), 0)), "")</f>
        <v/>
      </c>
      <c r="ET200" s="4" t="str">
        <f t="array" ref="ET200">IFERROR(INDEX(球員狀態!M$2:M$5000, MATCH(1, (球員狀態!$A$2:$A$5000=$EI$181)*(ISNUMBER(SEARCH($EI200, 球員狀態!$B$2:$B$5000))), 0)), "")</f>
        <v/>
      </c>
      <c r="EU200" s="4" t="str">
        <f t="array" ref="EU200">IFERROR(INDEX(球員狀態!N$2:N$5000, MATCH(1, (球員狀態!$A$2:$A$5000=$EI$181)*(ISNUMBER(SEARCH($EI200, 球員狀態!$B$2:$B$5000))), 0)), "")</f>
        <v/>
      </c>
      <c r="EV200" s="4" t="str">
        <f t="array" ref="EV200">IFERROR(INDEX(球員狀態!O$2:O$5000, MATCH(1, (球員狀態!$A$2:$A$5000=$EI$1)*(ISNUMBER(SEARCH($EI200, 球員狀態!$B$2:$B$5000))), 0)), "")</f>
        <v/>
      </c>
      <c r="EW200" s="4" t="str">
        <f t="array" ref="EW200">IFERROR(INDEX(球員狀態!P$2:P$5000, MATCH(1, (球員狀態!$A$2:$A$5000=$EI$1)*(ISNUMBER(SEARCH($EI200, 球員狀態!$B$2:$B$5000))), 0)), "")</f>
        <v/>
      </c>
      <c r="EX200" s="4" t="str">
        <f t="array" ref="EX200">IFERROR(INDEX(球員狀態!Q$2:Q$5000, MATCH(1, (球員狀態!$A$2:$A$5000=$EI$181)*(ISNUMBER(SEARCH($EI200, 球員狀態!$B$2:$B$5000))), 0)), "")</f>
        <v/>
      </c>
      <c r="EY200" s="4" t="str">
        <f t="array" ref="EY200">IFERROR(INDEX(球員狀態!R$2:R$5000, MATCH(1, (球員狀態!$A$2:$A$5000=$EI$1)*(ISNUMBER(SEARCH($EI200, 球員狀態!$B$2:$B$5000))), 0)), "")</f>
        <v/>
      </c>
      <c r="EZ200" s="4" t="str">
        <f t="array" ref="EZ200">IFERROR(INDEX(球員狀態!S$2:S$5000, MATCH(1, (球員狀態!$A$2:$A$5000=$EI$1)*(ISNUMBER(SEARCH($EI200, 球員狀態!$B$2:$B$5000))), 0)), "")</f>
        <v/>
      </c>
      <c r="FA200" s="4" t="str">
        <f t="array" ref="FA200">IFERROR(INDEX(球員狀態!T$2:T$5000, MATCH(1, (球員狀態!$A$2:$A$5000=$EI$181)*(ISNUMBER(SEARCH($EI200, 球員狀態!$B$2:$B$5000))), 0)), "")</f>
        <v/>
      </c>
      <c r="FB200" s="4" t="str">
        <f t="array" ref="FB200">IFERROR(INDEX(球員狀態!U$2:U$5000, MATCH(1, (球員狀態!$A$2:$A$5000=$EI$1)*(ISNUMBER(SEARCH($EI200, 球員狀態!$B$2:$B$5000))), 0)), "")</f>
        <v/>
      </c>
      <c r="FC200" s="4" t="str">
        <f t="array" ref="FC200">IFERROR(INDEX(球員狀態!V$2:V$5000, MATCH(1, (球員狀態!$A$2:$A$5000=$EI$1)*(ISNUMBER(SEARCH($EI200, 球員狀態!$B$2:$B$5000))), 0)), "")</f>
        <v/>
      </c>
      <c r="FD200" s="4" t="str">
        <f t="array" ref="FD200">IFERROR(INDEX(球員狀態!W$2:W$5000, MATCH(1, (球員狀態!$A$2:$A$5000=$EI$181)*(ISNUMBER(SEARCH($EI200, 球員狀態!$B$2:$B$5000))), 0)), "")</f>
        <v/>
      </c>
      <c r="FE200" s="4" t="str">
        <f t="array" ref="FE200">IFERROR(INDEX(球員狀態!X$2:X$5000, MATCH(1, (球員狀態!$A$2:$A$5000=$EI$1)*(ISNUMBER(SEARCH($EI200, 球員狀態!$B$2:$B$5000))), 0)), "")</f>
        <v/>
      </c>
      <c r="FF200" s="4" t="str">
        <f t="array" ref="FF200">IFERROR(INDEX(球員狀態!Y$2:Y$5000, MATCH(1, (球員狀態!$A$2:$A$5000=$EI$1)*(ISNUMBER(SEARCH($EI200, 球員狀態!$B$2:$B$5000))), 0)), "")</f>
        <v/>
      </c>
      <c r="FG200" s="4" t="str">
        <f t="array" ref="FG200">IFERROR(INDEX(球員狀態!Z$2:Z$5000, MATCH(1, (球員狀態!$A$2:$A$5000=$EI$181)*(ISNUMBER(SEARCH($EI200, 球員狀態!$B$2:$B$5000))), 0)), "")</f>
        <v/>
      </c>
      <c r="FH200" s="4" t="str">
        <f t="array" ref="FH200">IFERROR(INDEX(球員狀態!AA$2:AA$5000, MATCH(1, (球員狀態!$A$2:$A$5000=$EI$181)*(ISNUMBER(SEARCH($EI200, 球員狀態!$B$2:$B$5000))), 0)), "")</f>
        <v/>
      </c>
      <c r="FI200" s="4" t="str">
        <f t="array" ref="FI200">IFERROR(INDEX(球員狀態!AB$2:AB$5000, MATCH(1, (球員狀態!$A$2:$A$5000=$EI$181)*(ISNUMBER(SEARCH($EI200, 球員狀態!$B$2:$B$5000))), 0)), "")</f>
        <v/>
      </c>
    </row>
    <row r="201" spans="110:165">
      <c r="DH201" s="40" t="e">
        <f>DJ201+DL201+DM201+DN201+DO201-DP201-DQ201+DR201</f>
        <v>#VALUE!</v>
      </c>
      <c r="DI201" s="42" t="e">
        <f>DU201+DX201+EA201+ED201+EE201+EF201</f>
        <v>#VALUE!</v>
      </c>
      <c r="DJ201" s="38" t="e">
        <f>VLOOKUP(DJ200*1, FK$2:FM$12, 3, TRUE)*FM$1</f>
        <v>#VALUE!</v>
      </c>
      <c r="DL201" s="38" t="e">
        <f>VLOOKUP(DL200*1, FN$2:FP$12, 3, TRUE)*FP$1</f>
        <v>#VALUE!</v>
      </c>
      <c r="DM201" s="38" t="e">
        <f>VLOOKUP(DM200*1, FQ$2:FS$12, 3, TRUE)*FS$1</f>
        <v>#VALUE!</v>
      </c>
      <c r="DN201" s="38" t="e">
        <f>VLOOKUP(DN200*1, FT$2:FV$12, 3, TRUE)*FV$1</f>
        <v>#VALUE!</v>
      </c>
      <c r="DO201" s="38" t="e">
        <f>VLOOKUP(DO200*1, FW$2:FY$12, 3, TRUE)*FY$1</f>
        <v>#VALUE!</v>
      </c>
      <c r="DP201" s="39" t="e">
        <f>VLOOKUP(DP200*1, FK$14:FM$25, 3, TRUE)*FM$14</f>
        <v>#VALUE!</v>
      </c>
      <c r="DQ201" s="39" t="e">
        <f>VLOOKUP(DQ200*1, FN$14:FP$25, 3, TRUE)*FP$14</f>
        <v>#VALUE!</v>
      </c>
      <c r="DR201" s="38" t="e">
        <f>VLOOKUP(DR200*1, FQ$14:FS$25, 3, TRUE)*FS$14</f>
        <v>#VALUE!</v>
      </c>
      <c r="DU201" s="41" t="e">
        <f>VLOOKUP(DU200*1, FK$27:FM$38, 3, TRUE)*FM$27</f>
        <v>#VALUE!</v>
      </c>
      <c r="DX201" s="41" t="e">
        <f>VLOOKUP(DX200*1, FN$27:FP$38, 3, TRUE)*FP$27</f>
        <v>#VALUE!</v>
      </c>
      <c r="EA201" s="41" t="e">
        <f>VLOOKUP(EA200*1, FQ$27:FS$38, 3, TRUE)*FS$27</f>
        <v>#VALUE!</v>
      </c>
      <c r="ED201" s="41" t="e">
        <f>VLOOKUP(ED200*1, FT$27:FV$38, 3, TRUE)*FV$27</f>
        <v>#VALUE!</v>
      </c>
      <c r="EE201" s="41" t="e">
        <f>VLOOKUP(EE200*1, FW$27:FY$38, 3, TRUE)*FY$27</f>
        <v>#VALUE!</v>
      </c>
      <c r="EF201" s="41" t="e">
        <f>VLOOKUP(EF200*1, FK$40:FM$51, 3, TRUE)*FM$40</f>
        <v>#VALUE!</v>
      </c>
      <c r="EG201" s="57"/>
      <c r="EK201" s="40" t="e">
        <f>EM201+EO201+EP201+EQ201+ER201-ES201-ET201+EU201</f>
        <v>#VALUE!</v>
      </c>
      <c r="EL201" s="42" t="e">
        <f>EX201+FA201+FD201+FG201+FH201+FI201</f>
        <v>#VALUE!</v>
      </c>
      <c r="EM201" s="38" t="e">
        <f>VLOOKUP(EM200*1, $FK$2:$FM$12, 3, TRUE)*$FM$1</f>
        <v>#VALUE!</v>
      </c>
      <c r="EO201" s="38" t="e">
        <f>VLOOKUP(EO200*1, $FN$2:$FP$12, 3, TRUE)*$FP$1</f>
        <v>#VALUE!</v>
      </c>
      <c r="EP201" s="38" t="e">
        <f>VLOOKUP(EP200*1, $FQ$2:$FS$12, 3, TRUE)*$FS$1</f>
        <v>#VALUE!</v>
      </c>
      <c r="EQ201" s="38" t="e">
        <f>VLOOKUP(EQ200*1, $FT$2:$FV$12, 3, TRUE)*$FV$1</f>
        <v>#VALUE!</v>
      </c>
      <c r="ER201" s="38" t="e">
        <f>VLOOKUP(ER200*1, $FW$2:$FY$12, 3, TRUE)*$FY$1</f>
        <v>#VALUE!</v>
      </c>
      <c r="ES201" s="39" t="e">
        <f>VLOOKUP(ES200*1, $FK$14:$FM$25, 3, TRUE)*$FM$14</f>
        <v>#VALUE!</v>
      </c>
      <c r="ET201" s="39" t="e">
        <f>VLOOKUP(ET200*1, $FN$14:$FP$25, 3, TRUE)*$FP$14</f>
        <v>#VALUE!</v>
      </c>
      <c r="EU201" s="38" t="e">
        <f>VLOOKUP(EU200*1, $FQ$14:$FS$25, 3, TRUE)*$FS$14</f>
        <v>#VALUE!</v>
      </c>
      <c r="EX201" s="41" t="e">
        <f>VLOOKUP(EX200*1, $FK$27:$FM$38, 3, TRUE)*$FM$27</f>
        <v>#VALUE!</v>
      </c>
      <c r="FA201" s="41" t="e">
        <f>VLOOKUP(FA200*1, $FN$27:$FP$38, 3, TRUE)*$FP$27</f>
        <v>#VALUE!</v>
      </c>
      <c r="FD201" s="41" t="e">
        <f>VLOOKUP(FD200*1, $FQ$27:$FS$38, 3, TRUE)*$FS$27</f>
        <v>#VALUE!</v>
      </c>
      <c r="FG201" s="41" t="e">
        <f>VLOOKUP(FG200*1, $FT$27:$FV$38, 3, TRUE)*$FV$27</f>
        <v>#VALUE!</v>
      </c>
      <c r="FH201" s="41" t="e">
        <f>VLOOKUP(FH200*1, $FW$27:$FY$38, 3, TRUE)*$FY$27</f>
        <v>#VALUE!</v>
      </c>
      <c r="FI201" s="41" t="e">
        <f>VLOOKUP(FI200*1, $FK$40:$FM$51, 3, TRUE)*$FM$40</f>
        <v>#VALUE!</v>
      </c>
    </row>
    <row r="202" spans="110:165">
      <c r="DF202" s="37" t="e">
        <f>先發名單!#REF!</f>
        <v>#REF!</v>
      </c>
      <c r="DG202" s="4" t="str">
        <f t="array" ref="DG202">IFERROR(INDEX(球員狀態!$C$2:$C$5000, MATCH(1, (球員狀態!$A$2:$A$5000=$DF$181)*(ISNUMBER(SEARCH($DF202, 球員狀態!$B$2:$B$5000))), 0)), "")</f>
        <v/>
      </c>
      <c r="DJ202" s="4" t="str">
        <f t="array" ref="DJ202">IFERROR(INDEX(球員狀態!$F$2:$F$5000,MATCH(1,(球員狀態!$A$2:$A$5000=$DF$181)*(ISNUMBER(SEARCH($DF202,球員狀態!$B$2:$B$5000))),0)),"")</f>
        <v/>
      </c>
      <c r="DK202" s="4" t="str">
        <f t="array" ref="DK202">IFERROR(INDEX(球員狀態!G$2:G$5000, MATCH(1, (球員狀態!$A$2:$A$5000=$DF$1)*(ISNUMBER(SEARCH($DF202, 球員狀態!$B$2:$B$5000))), 0)), "")</f>
        <v/>
      </c>
      <c r="DL202" s="4" t="str">
        <f t="array" ref="DL202">IFERROR(INDEX(球員狀態!H$2:H$5000, MATCH(1, (球員狀態!$A$2:$A$5000=$DF$181)*(ISNUMBER(SEARCH($DF202, 球員狀態!$B$2:$B$5000))), 0)), "")</f>
        <v/>
      </c>
      <c r="DM202" s="4" t="str">
        <f t="array" ref="DM202">IFERROR(INDEX(球員狀態!I$2:I$5000,MATCH(1,(球員狀態!$A$2:$A$5000=$DF$181)*(ISNUMBER(SEARCH($DF202,球員狀態!$B$2:$B$5000))),0)),"")</f>
        <v/>
      </c>
      <c r="DN202" s="4" t="str">
        <f t="array" ref="DN202">IFERROR(INDEX(球員狀態!J$2:J$5000,MATCH(1,(球員狀態!$A$2:$A$5000=$DF$181)*(ISNUMBER(SEARCH($DF202,球員狀態!$B$2:$B$5000))),0)),"")</f>
        <v/>
      </c>
      <c r="DO202" s="4" t="str">
        <f t="array" ref="DO202">IFERROR(INDEX(球員狀態!K$2:K$5000,MATCH(1,(球員狀態!$A$2:$A$5000=$DF$181)*(ISNUMBER(SEARCH($DF202,球員狀態!$B$2:$B$5000))),0)),"")</f>
        <v/>
      </c>
      <c r="DP202" s="4" t="str">
        <f t="array" ref="DP202">IFERROR(INDEX(球員狀態!L$2:L$5000,MATCH(1,(球員狀態!$A$2:$A$5000=$DF$181)*(ISNUMBER(SEARCH($DF202,球員狀態!$B$2:$B$5000))),0)),"")</f>
        <v/>
      </c>
      <c r="DQ202" s="4" t="str">
        <f t="array" ref="DQ202">IFERROR(INDEX(球員狀態!M$2:M$5000,MATCH(1,(球員狀態!$A$2:$A$5000=$DF$181)*(ISNUMBER(SEARCH($DF202,球員狀態!$B$2:$B$5000))),0)),"")</f>
        <v/>
      </c>
      <c r="DR202" s="4" t="str">
        <f t="array" ref="DR202">IFERROR(INDEX(球員狀態!N$2:N$5000,MATCH(1,(球員狀態!$A$2:$A$5000=$DF$181)*(ISNUMBER(SEARCH($DF202,球員狀態!$B$2:$B$5000))),0)),"")</f>
        <v/>
      </c>
      <c r="DS202" s="4" t="str">
        <f t="array" ref="DS202">IFERROR(INDEX(球員狀態!O$2:O$5000, MATCH(1, (球員狀態!$A$2:$A$5000=$DF$1)*(ISNUMBER(SEARCH($DF202, 球員狀態!$B$2:$B$5000))), 0)), "")</f>
        <v/>
      </c>
      <c r="DT202" s="4" t="str">
        <f t="array" ref="DT202">IFERROR(INDEX(球員狀態!P$2:P$5000, MATCH(1, (球員狀態!$A$2:$A$5000=$DF$1)*(ISNUMBER(SEARCH($DF202, 球員狀態!$B$2:$B$5000))), 0)), "")</f>
        <v/>
      </c>
      <c r="DU202" s="4" t="str">
        <f t="array" ref="DU202">IFERROR(INDEX(球員狀態!Q$2:Q$5000,MATCH(1,(球員狀態!$A$2:$A$5000=$DF$181)*(ISNUMBER(SEARCH($DF202,球員狀態!$B$2:$B$5000))),0)),"")</f>
        <v/>
      </c>
      <c r="DV202" s="4" t="str">
        <f t="array" ref="DV202">IFERROR(INDEX(球員狀態!R$2:R$5000, MATCH(1, (球員狀態!$A$2:$A$5000=$DF$1)*(ISNUMBER(SEARCH($DF202, 球員狀態!$B$2:$B$5000))), 0)), "")</f>
        <v/>
      </c>
      <c r="DW202" s="4" t="str">
        <f t="array" ref="DW202">IFERROR(INDEX(球員狀態!S$2:S$5000, MATCH(1, (球員狀態!$A$2:$A$5000=$DF$1)*(ISNUMBER(SEARCH($DF202, 球員狀態!$B$2:$B$5000))), 0)), "")</f>
        <v/>
      </c>
      <c r="DX202" s="4" t="str">
        <f t="array" ref="DX202">IFERROR(INDEX(球員狀態!T$2:T$5000,MATCH(1,(球員狀態!$A$2:$A$5000=$DF$181)*(ISNUMBER(SEARCH($DF202,球員狀態!$B$2:$B$5000))),0)),"")</f>
        <v/>
      </c>
      <c r="DY202" s="4" t="str">
        <f t="array" ref="DY202">IFERROR(INDEX(球員狀態!U$2:U$5000, MATCH(1, (球員狀態!$A$2:$A$5000=$DF$1)*(ISNUMBER(SEARCH($DF202, 球員狀態!$B$2:$B$5000))), 0)), "")</f>
        <v/>
      </c>
      <c r="DZ202" s="4" t="str">
        <f t="array" ref="DZ202">IFERROR(INDEX(球員狀態!V$2:V$5000, MATCH(1, (球員狀態!$A$2:$A$5000=$DF$1)*(ISNUMBER(SEARCH($DF202, 球員狀態!$B$2:$B$5000))), 0)), "")</f>
        <v/>
      </c>
      <c r="EA202" s="4" t="str">
        <f t="array" ref="EA202">IFERROR(INDEX(球員狀態!W$2:W$5000,MATCH(1,(球員狀態!$A$2:$A$5000=$DF$181)*(ISNUMBER(SEARCH($DF202,球員狀態!$B$2:$B$5000))),0)),"")</f>
        <v/>
      </c>
      <c r="EB202" s="4" t="str">
        <f t="array" ref="EB202">IFERROR(INDEX(球員狀態!X$2:X$5000, MATCH(1, (球員狀態!$A$2:$A$5000=$DF$1)*(ISNUMBER(SEARCH($DF202, 球員狀態!$B$2:$B$5000))), 0)), "")</f>
        <v/>
      </c>
      <c r="EC202" s="4" t="str">
        <f t="array" ref="EC202">IFERROR(INDEX(球員狀態!Y$2:Y$5000, MATCH(1, (球員狀態!$A$2:$A$5000=$DF$1)*(ISNUMBER(SEARCH($DF202, 球員狀態!$B$2:$B$5000))), 0)), "")</f>
        <v/>
      </c>
      <c r="ED202" s="4" t="str">
        <f t="array" ref="ED202">IFERROR(INDEX(球員狀態!Z$2:Z$5000,MATCH(1,(球員狀態!$A$2:$A$5000=$DF$181)*(ISNUMBER(SEARCH($DF202,球員狀態!$B$2:$B$5000))),0)),"")</f>
        <v/>
      </c>
      <c r="EE202" s="4" t="str">
        <f t="array" ref="EE202">IFERROR(INDEX(球員狀態!AA$2:AA$5000,MATCH(1,(球員狀態!$A$2:$A$5000=$DF$181)*(ISNUMBER(SEARCH($DF202,球員狀態!$B$2:$B$5000))),0)),"")</f>
        <v/>
      </c>
      <c r="EF202" s="4" t="str">
        <f t="array" ref="EF202">IFERROR(INDEX(球員狀態!AB$2:AB$5000,MATCH(1,(球員狀態!$A$2:$A$5000=$DF$181)*(ISNUMBER(SEARCH($DF202,球員狀態!$B$2:$B$5000))),0)),"")</f>
        <v/>
      </c>
      <c r="EG202" s="56"/>
      <c r="EI202" s="37">
        <f>先發名單!Y$8</f>
        <v>0</v>
      </c>
      <c r="EJ202" s="4" t="str">
        <f t="array" ref="EJ202">IFERROR(INDEX(球員狀態!C$2:C$5000, MATCH(1, (球員狀態!$A$2:$A$5000=$EI$181)*(ISNUMBER(SEARCH($EI202, 球員狀態!$B$2:$B$5000))), 0)), "")</f>
        <v/>
      </c>
      <c r="EM202" s="4" t="str">
        <f t="array" ref="EM202">IFERROR(INDEX(球員狀態!F$2:F$5000, MATCH(1, (球員狀態!$A$2:$A$5000=$EI$181)*(ISNUMBER(SEARCH($EI202, 球員狀態!$B$2:$B$5000))), 0)), "")</f>
        <v/>
      </c>
      <c r="EN202" s="4" t="str">
        <f t="array" ref="EN202">IFERROR(INDEX(球員狀態!G$2:G$5000, MATCH(1, (球員狀態!$A$2:$A$5000=$EI$1)*(ISNUMBER(SEARCH($EI202, 球員狀態!$B$2:$B$5000))), 0)), "")</f>
        <v/>
      </c>
      <c r="EO202" s="4" t="str">
        <f t="array" ref="EO202">IFERROR(INDEX(球員狀態!H$2:H$5000, MATCH(1, (球員狀態!$A$2:$A$5000=$EI$181)*(ISNUMBER(SEARCH($EI202, 球員狀態!$B$2:$B$5000))), 0)), "")</f>
        <v/>
      </c>
      <c r="EP202" s="4" t="str">
        <f t="array" ref="EP202">IFERROR(INDEX(球員狀態!I$2:I$5000, MATCH(1, (球員狀態!$A$2:$A$5000=$EI$181)*(ISNUMBER(SEARCH($EI202, 球員狀態!$B$2:$B$5000))), 0)), "")</f>
        <v/>
      </c>
      <c r="EQ202" s="4" t="str">
        <f t="array" ref="EQ202">IFERROR(INDEX(球員狀態!J$2:J$5000, MATCH(1, (球員狀態!$A$2:$A$5000=$EI$181)*(ISNUMBER(SEARCH($EI202, 球員狀態!$B$2:$B$5000))), 0)), "")</f>
        <v/>
      </c>
      <c r="ER202" s="4" t="str">
        <f t="array" ref="ER202">IFERROR(INDEX(球員狀態!K$2:K$5000, MATCH(1, (球員狀態!$A$2:$A$5000=$EI$181)*(ISNUMBER(SEARCH($EI202, 球員狀態!$B$2:$B$5000))), 0)), "")</f>
        <v/>
      </c>
      <c r="ES202" s="4" t="str">
        <f t="array" ref="ES202">IFERROR(INDEX(球員狀態!L$2:L$5000, MATCH(1, (球員狀態!$A$2:$A$5000=$EI$181)*(ISNUMBER(SEARCH($EI202, 球員狀態!$B$2:$B$5000))), 0)), "")</f>
        <v/>
      </c>
      <c r="ET202" s="4" t="str">
        <f t="array" ref="ET202">IFERROR(INDEX(球員狀態!M$2:M$5000, MATCH(1, (球員狀態!$A$2:$A$5000=$EI$181)*(ISNUMBER(SEARCH($EI202, 球員狀態!$B$2:$B$5000))), 0)), "")</f>
        <v/>
      </c>
      <c r="EU202" s="4" t="str">
        <f t="array" ref="EU202">IFERROR(INDEX(球員狀態!N$2:N$5000, MATCH(1, (球員狀態!$A$2:$A$5000=$EI$181)*(ISNUMBER(SEARCH($EI202, 球員狀態!$B$2:$B$5000))), 0)), "")</f>
        <v/>
      </c>
      <c r="EV202" s="4" t="str">
        <f t="array" ref="EV202">IFERROR(INDEX(球員狀態!O$2:O$5000, MATCH(1, (球員狀態!$A$2:$A$5000=$EI$1)*(ISNUMBER(SEARCH($EI202, 球員狀態!$B$2:$B$5000))), 0)), "")</f>
        <v/>
      </c>
      <c r="EW202" s="4" t="str">
        <f t="array" ref="EW202">IFERROR(INDEX(球員狀態!P$2:P$5000, MATCH(1, (球員狀態!$A$2:$A$5000=$EI$1)*(ISNUMBER(SEARCH($EI202, 球員狀態!$B$2:$B$5000))), 0)), "")</f>
        <v/>
      </c>
      <c r="EX202" s="4" t="str">
        <f t="array" ref="EX202">IFERROR(INDEX(球員狀態!Q$2:Q$5000, MATCH(1, (球員狀態!$A$2:$A$5000=$EI$181)*(ISNUMBER(SEARCH($EI202, 球員狀態!$B$2:$B$5000))), 0)), "")</f>
        <v/>
      </c>
      <c r="EY202" s="4" t="str">
        <f t="array" ref="EY202">IFERROR(INDEX(球員狀態!R$2:R$5000, MATCH(1, (球員狀態!$A$2:$A$5000=$EI$1)*(ISNUMBER(SEARCH($EI202, 球員狀態!$B$2:$B$5000))), 0)), "")</f>
        <v/>
      </c>
      <c r="EZ202" s="4" t="str">
        <f t="array" ref="EZ202">IFERROR(INDEX(球員狀態!S$2:S$5000, MATCH(1, (球員狀態!$A$2:$A$5000=$EI$1)*(ISNUMBER(SEARCH($EI202, 球員狀態!$B$2:$B$5000))), 0)), "")</f>
        <v/>
      </c>
      <c r="FA202" s="4" t="str">
        <f t="array" ref="FA202">IFERROR(INDEX(球員狀態!T$2:T$5000, MATCH(1, (球員狀態!$A$2:$A$5000=$EI$181)*(ISNUMBER(SEARCH($EI202, 球員狀態!$B$2:$B$5000))), 0)), "")</f>
        <v/>
      </c>
      <c r="FB202" s="4" t="str">
        <f t="array" ref="FB202">IFERROR(INDEX(球員狀態!U$2:U$5000, MATCH(1, (球員狀態!$A$2:$A$5000=$EI$1)*(ISNUMBER(SEARCH($EI202, 球員狀態!$B$2:$B$5000))), 0)), "")</f>
        <v/>
      </c>
      <c r="FC202" s="4" t="str">
        <f t="array" ref="FC202">IFERROR(INDEX(球員狀態!V$2:V$5000, MATCH(1, (球員狀態!$A$2:$A$5000=$EI$1)*(ISNUMBER(SEARCH($EI202, 球員狀態!$B$2:$B$5000))), 0)), "")</f>
        <v/>
      </c>
      <c r="FD202" s="4" t="str">
        <f t="array" ref="FD202">IFERROR(INDEX(球員狀態!W$2:W$5000, MATCH(1, (球員狀態!$A$2:$A$5000=$EI$181)*(ISNUMBER(SEARCH($EI202, 球員狀態!$B$2:$B$5000))), 0)), "")</f>
        <v/>
      </c>
      <c r="FE202" s="4" t="str">
        <f t="array" ref="FE202">IFERROR(INDEX(球員狀態!X$2:X$5000, MATCH(1, (球員狀態!$A$2:$A$5000=$EI$1)*(ISNUMBER(SEARCH($EI202, 球員狀態!$B$2:$B$5000))), 0)), "")</f>
        <v/>
      </c>
      <c r="FF202" s="4" t="str">
        <f t="array" ref="FF202">IFERROR(INDEX(球員狀態!Y$2:Y$5000, MATCH(1, (球員狀態!$A$2:$A$5000=$EI$1)*(ISNUMBER(SEARCH($EI202, 球員狀態!$B$2:$B$5000))), 0)), "")</f>
        <v/>
      </c>
      <c r="FG202" s="4" t="str">
        <f t="array" ref="FG202">IFERROR(INDEX(球員狀態!Z$2:Z$5000, MATCH(1, (球員狀態!$A$2:$A$5000=$EI$181)*(ISNUMBER(SEARCH($EI202, 球員狀態!$B$2:$B$5000))), 0)), "")</f>
        <v/>
      </c>
      <c r="FH202" s="4" t="str">
        <f t="array" ref="FH202">IFERROR(INDEX(球員狀態!AA$2:AA$5000, MATCH(1, (球員狀態!$A$2:$A$5000=$EI$181)*(ISNUMBER(SEARCH($EI202, 球員狀態!$B$2:$B$5000))), 0)), "")</f>
        <v/>
      </c>
      <c r="FI202" s="4" t="str">
        <f t="array" ref="FI202">IFERROR(INDEX(球員狀態!AB$2:AB$5000, MATCH(1, (球員狀態!$A$2:$A$5000=$EI$181)*(ISNUMBER(SEARCH($EI202, 球員狀態!$B$2:$B$5000))), 0)), "")</f>
        <v/>
      </c>
    </row>
    <row r="203" spans="110:165">
      <c r="DH203" s="40" t="e">
        <f>DJ203+DL203+DM203+DN203+DO203-DP203-DQ203+DR203</f>
        <v>#VALUE!</v>
      </c>
      <c r="DI203" s="42" t="e">
        <f>DU203+DX203+EA203+ED203+EE203+EF203</f>
        <v>#VALUE!</v>
      </c>
      <c r="DJ203" s="38" t="e">
        <f>VLOOKUP(DJ202*1, FK$2:FM$12, 3, TRUE)*FM$1</f>
        <v>#VALUE!</v>
      </c>
      <c r="DL203" s="38" t="e">
        <f>VLOOKUP(DL202*1, FN$2:FP$12, 3, TRUE)*FP$1</f>
        <v>#VALUE!</v>
      </c>
      <c r="DM203" s="38" t="e">
        <f>VLOOKUP(DM202*1, FQ$2:FS$12, 3, TRUE)*FS$1</f>
        <v>#VALUE!</v>
      </c>
      <c r="DN203" s="38" t="e">
        <f>VLOOKUP(DN202*1, FT$2:FV$12, 3, TRUE)*FV$1</f>
        <v>#VALUE!</v>
      </c>
      <c r="DO203" s="38" t="e">
        <f>VLOOKUP(DO202*1, FW$2:FY$12, 3, TRUE)*FY$1</f>
        <v>#VALUE!</v>
      </c>
      <c r="DP203" s="39" t="e">
        <f>VLOOKUP(DP202*1, FK$14:FM$25, 3, TRUE)*FM$14</f>
        <v>#VALUE!</v>
      </c>
      <c r="DQ203" s="39" t="e">
        <f>VLOOKUP(DQ202*1, FN$14:FP$25, 3, TRUE)*FP$14</f>
        <v>#VALUE!</v>
      </c>
      <c r="DR203" s="38" t="e">
        <f>VLOOKUP(DR202*1, FQ$14:FS$25, 3, TRUE)*FS$14</f>
        <v>#VALUE!</v>
      </c>
      <c r="DU203" s="41" t="e">
        <f>VLOOKUP(DU202*1, FK$27:FM$38, 3, TRUE)*FM$27</f>
        <v>#VALUE!</v>
      </c>
      <c r="DX203" s="41" t="e">
        <f>VLOOKUP(DX202*1, FN$27:FP$38, 3, TRUE)*FP$27</f>
        <v>#VALUE!</v>
      </c>
      <c r="EA203" s="41" t="e">
        <f>VLOOKUP(EA202*1, FQ$27:FS$38, 3, TRUE)*FS$27</f>
        <v>#VALUE!</v>
      </c>
      <c r="ED203" s="41" t="e">
        <f>VLOOKUP(ED202*1, FT$27:FV$38, 3, TRUE)*FV$27</f>
        <v>#VALUE!</v>
      </c>
      <c r="EE203" s="41" t="e">
        <f>VLOOKUP(EE202*1, FW$27:FY$38, 3, TRUE)*FY$27</f>
        <v>#VALUE!</v>
      </c>
      <c r="EF203" s="41" t="e">
        <f>VLOOKUP(EF202*1, FK$40:FM$51, 3, TRUE)*FM$40</f>
        <v>#VALUE!</v>
      </c>
      <c r="EG203" s="57"/>
      <c r="EK203" s="40" t="e">
        <f>EM203+EO203+EP203+EQ203+ER203-ES203-ET203+EU203</f>
        <v>#VALUE!</v>
      </c>
      <c r="EL203" s="42" t="e">
        <f>EX203+FA203+FD203+FG203+FH203+FI203</f>
        <v>#VALUE!</v>
      </c>
      <c r="EM203" s="38" t="e">
        <f>VLOOKUP(EM202*1, $FK$2:$FM$12, 3, TRUE)*$FM$1</f>
        <v>#VALUE!</v>
      </c>
      <c r="EO203" s="38" t="e">
        <f>VLOOKUP(EO202*1, $FN$2:$FP$12, 3, TRUE)*$FP$1</f>
        <v>#VALUE!</v>
      </c>
      <c r="EP203" s="38" t="e">
        <f>VLOOKUP(EP202*1, $FQ$2:$FS$12, 3, TRUE)*$FS$1</f>
        <v>#VALUE!</v>
      </c>
      <c r="EQ203" s="38" t="e">
        <f>VLOOKUP(EQ202*1, $FT$2:$FV$12, 3, TRUE)*$FV$1</f>
        <v>#VALUE!</v>
      </c>
      <c r="ER203" s="38" t="e">
        <f>VLOOKUP(ER202*1, $FW$2:$FY$12, 3, TRUE)*$FY$1</f>
        <v>#VALUE!</v>
      </c>
      <c r="ES203" s="39" t="e">
        <f>VLOOKUP(ES202*1, $FK$14:$FM$25, 3, TRUE)*$FM$14</f>
        <v>#VALUE!</v>
      </c>
      <c r="ET203" s="39" t="e">
        <f>VLOOKUP(ET202*1, $FN$14:$FP$25, 3, TRUE)*$FP$14</f>
        <v>#VALUE!</v>
      </c>
      <c r="EU203" s="38" t="e">
        <f>VLOOKUP(EU202*1, $FQ$14:$FS$25, 3, TRUE)*$FS$14</f>
        <v>#VALUE!</v>
      </c>
      <c r="EX203" s="41" t="e">
        <f>VLOOKUP(EX202*1, $FK$27:$FM$38, 3, TRUE)*$FM$27</f>
        <v>#VALUE!</v>
      </c>
      <c r="FA203" s="41" t="e">
        <f>VLOOKUP(FA202*1, $FN$27:$FP$38, 3, TRUE)*$FP$27</f>
        <v>#VALUE!</v>
      </c>
      <c r="FD203" s="41" t="e">
        <f>VLOOKUP(FD202*1, $FQ$27:$FS$38, 3, TRUE)*$FS$27</f>
        <v>#VALUE!</v>
      </c>
      <c r="FG203" s="41" t="e">
        <f>VLOOKUP(FG202*1, $FT$27:$FV$38, 3, TRUE)*$FV$27</f>
        <v>#VALUE!</v>
      </c>
      <c r="FH203" s="41" t="e">
        <f>VLOOKUP(FH202*1, $FW$27:$FY$38, 3, TRUE)*$FY$27</f>
        <v>#VALUE!</v>
      </c>
      <c r="FI203" s="41" t="e">
        <f>VLOOKUP(FI202*1, $FK$40:$FM$51, 3, TRUE)*$FM$40</f>
        <v>#VALUE!</v>
      </c>
    </row>
    <row r="204" spans="110:165">
      <c r="DF204" s="37" t="e">
        <f>先發名單!#REF!</f>
        <v>#REF!</v>
      </c>
      <c r="DG204" s="4" t="str">
        <f t="array" ref="DG204">IFERROR(INDEX(球員狀態!$C$2:$C$5000, MATCH(1, (球員狀態!$A$2:$A$5000=$DF$181)*(ISNUMBER(SEARCH($DF204, 球員狀態!$B$2:$B$5000))), 0)), "")</f>
        <v/>
      </c>
      <c r="DJ204" s="4" t="str">
        <f t="array" ref="DJ204">IFERROR(INDEX(球員狀態!$F$2:$F$5000,MATCH(1,(球員狀態!$A$2:$A$5000=$DF$181)*(ISNUMBER(SEARCH($DF204,球員狀態!$B$2:$B$5000))),0)),"")</f>
        <v/>
      </c>
      <c r="DK204" s="4" t="str">
        <f t="array" ref="DK204">IFERROR(INDEX(球員狀態!G$2:G$5000, MATCH(1, (球員狀態!$A$2:$A$5000=$DF$1)*(ISNUMBER(SEARCH($DF204, 球員狀態!$B$2:$B$5000))), 0)), "")</f>
        <v/>
      </c>
      <c r="DL204" s="4" t="str">
        <f t="array" ref="DL204">IFERROR(INDEX(球員狀態!H$2:H$5000, MATCH(1, (球員狀態!$A$2:$A$5000=$DF$181)*(ISNUMBER(SEARCH($DF204, 球員狀態!$B$2:$B$5000))), 0)), "")</f>
        <v/>
      </c>
      <c r="DM204" s="4" t="str">
        <f t="array" ref="DM204">IFERROR(INDEX(球員狀態!I$2:I$5000,MATCH(1,(球員狀態!$A$2:$A$5000=$DF$181)*(ISNUMBER(SEARCH($DF204,球員狀態!$B$2:$B$5000))),0)),"")</f>
        <v/>
      </c>
      <c r="DN204" s="4" t="str">
        <f t="array" ref="DN204">IFERROR(INDEX(球員狀態!J$2:J$5000,MATCH(1,(球員狀態!$A$2:$A$5000=$DF$181)*(ISNUMBER(SEARCH($DF204,球員狀態!$B$2:$B$5000))),0)),"")</f>
        <v/>
      </c>
      <c r="DO204" s="4" t="str">
        <f t="array" ref="DO204">IFERROR(INDEX(球員狀態!K$2:K$5000,MATCH(1,(球員狀態!$A$2:$A$5000=$DF$181)*(ISNUMBER(SEARCH($DF204,球員狀態!$B$2:$B$5000))),0)),"")</f>
        <v/>
      </c>
      <c r="DP204" s="4" t="str">
        <f t="array" ref="DP204">IFERROR(INDEX(球員狀態!L$2:L$5000,MATCH(1,(球員狀態!$A$2:$A$5000=$DF$181)*(ISNUMBER(SEARCH($DF204,球員狀態!$B$2:$B$5000))),0)),"")</f>
        <v/>
      </c>
      <c r="DQ204" s="4" t="str">
        <f t="array" ref="DQ204">IFERROR(INDEX(球員狀態!M$2:M$5000,MATCH(1,(球員狀態!$A$2:$A$5000=$DF$181)*(ISNUMBER(SEARCH($DF204,球員狀態!$B$2:$B$5000))),0)),"")</f>
        <v/>
      </c>
      <c r="DR204" s="4" t="str">
        <f t="array" ref="DR204">IFERROR(INDEX(球員狀態!N$2:N$5000,MATCH(1,(球員狀態!$A$2:$A$5000=$DF$181)*(ISNUMBER(SEARCH($DF204,球員狀態!$B$2:$B$5000))),0)),"")</f>
        <v/>
      </c>
      <c r="DS204" s="4" t="str">
        <f t="array" ref="DS204">IFERROR(INDEX(球員狀態!O$2:O$5000, MATCH(1, (球員狀態!$A$2:$A$5000=$DF$1)*(ISNUMBER(SEARCH($DF204, 球員狀態!$B$2:$B$5000))), 0)), "")</f>
        <v/>
      </c>
      <c r="DT204" s="4" t="str">
        <f t="array" ref="DT204">IFERROR(INDEX(球員狀態!P$2:P$5000, MATCH(1, (球員狀態!$A$2:$A$5000=$DF$1)*(ISNUMBER(SEARCH($DF204, 球員狀態!$B$2:$B$5000))), 0)), "")</f>
        <v/>
      </c>
      <c r="DU204" s="4" t="str">
        <f t="array" ref="DU204">IFERROR(INDEX(球員狀態!Q$2:Q$5000,MATCH(1,(球員狀態!$A$2:$A$5000=$DF$181)*(ISNUMBER(SEARCH($DF204,球員狀態!$B$2:$B$5000))),0)),"")</f>
        <v/>
      </c>
      <c r="DV204" s="4" t="str">
        <f t="array" ref="DV204">IFERROR(INDEX(球員狀態!R$2:R$5000, MATCH(1, (球員狀態!$A$2:$A$5000=$DF$1)*(ISNUMBER(SEARCH($DF204, 球員狀態!$B$2:$B$5000))), 0)), "")</f>
        <v/>
      </c>
      <c r="DW204" s="4" t="str">
        <f t="array" ref="DW204">IFERROR(INDEX(球員狀態!S$2:S$5000, MATCH(1, (球員狀態!$A$2:$A$5000=$DF$1)*(ISNUMBER(SEARCH($DF204, 球員狀態!$B$2:$B$5000))), 0)), "")</f>
        <v/>
      </c>
      <c r="DX204" s="4" t="str">
        <f t="array" ref="DX204">IFERROR(INDEX(球員狀態!T$2:T$5000,MATCH(1,(球員狀態!$A$2:$A$5000=$DF$181)*(ISNUMBER(SEARCH($DF204,球員狀態!$B$2:$B$5000))),0)),"")</f>
        <v/>
      </c>
      <c r="DY204" s="4" t="str">
        <f t="array" ref="DY204">IFERROR(INDEX(球員狀態!U$2:U$5000, MATCH(1, (球員狀態!$A$2:$A$5000=$DF$1)*(ISNUMBER(SEARCH($DF204, 球員狀態!$B$2:$B$5000))), 0)), "")</f>
        <v/>
      </c>
      <c r="DZ204" s="4" t="str">
        <f t="array" ref="DZ204">IFERROR(INDEX(球員狀態!V$2:V$5000, MATCH(1, (球員狀態!$A$2:$A$5000=$DF$1)*(ISNUMBER(SEARCH($DF204, 球員狀態!$B$2:$B$5000))), 0)), "")</f>
        <v/>
      </c>
      <c r="EA204" s="4" t="str">
        <f t="array" ref="EA204">IFERROR(INDEX(球員狀態!W$2:W$5000,MATCH(1,(球員狀態!$A$2:$A$5000=$DF$181)*(ISNUMBER(SEARCH($DF204,球員狀態!$B$2:$B$5000))),0)),"")</f>
        <v/>
      </c>
      <c r="EB204" s="4" t="str">
        <f t="array" ref="EB204">IFERROR(INDEX(球員狀態!X$2:X$5000, MATCH(1, (球員狀態!$A$2:$A$5000=$DF$1)*(ISNUMBER(SEARCH($DF204, 球員狀態!$B$2:$B$5000))), 0)), "")</f>
        <v/>
      </c>
      <c r="EC204" s="4" t="str">
        <f t="array" ref="EC204">IFERROR(INDEX(球員狀態!Y$2:Y$5000, MATCH(1, (球員狀態!$A$2:$A$5000=$DF$1)*(ISNUMBER(SEARCH($DF204, 球員狀態!$B$2:$B$5000))), 0)), "")</f>
        <v/>
      </c>
      <c r="ED204" s="4" t="str">
        <f t="array" ref="ED204">IFERROR(INDEX(球員狀態!Z$2:Z$5000,MATCH(1,(球員狀態!$A$2:$A$5000=$DF$181)*(ISNUMBER(SEARCH($DF204,球員狀態!$B$2:$B$5000))),0)),"")</f>
        <v/>
      </c>
      <c r="EE204" s="4" t="str">
        <f t="array" ref="EE204">IFERROR(INDEX(球員狀態!AA$2:AA$5000,MATCH(1,(球員狀態!$A$2:$A$5000=$DF$181)*(ISNUMBER(SEARCH($DF204,球員狀態!$B$2:$B$5000))),0)),"")</f>
        <v/>
      </c>
      <c r="EF204" s="4" t="str">
        <f t="array" ref="EF204">IFERROR(INDEX(球員狀態!AB$2:AB$5000,MATCH(1,(球員狀態!$A$2:$A$5000=$DF$181)*(ISNUMBER(SEARCH($DF204,球員狀態!$B$2:$B$5000))),0)),"")</f>
        <v/>
      </c>
      <c r="EG204" s="56"/>
      <c r="EI204" s="37">
        <f>先發名單!Z$8</f>
        <v>0</v>
      </c>
      <c r="EJ204" s="4" t="str">
        <f t="array" ref="EJ204">IFERROR(INDEX(球員狀態!C$2:C$5000, MATCH(1, (球員狀態!$A$2:$A$5000=$EI$181)*(ISNUMBER(SEARCH($EI204, 球員狀態!$B$2:$B$5000))), 0)), "")</f>
        <v/>
      </c>
      <c r="EM204" s="4" t="str">
        <f t="array" ref="EM204">IFERROR(INDEX(球員狀態!F$2:F$5000, MATCH(1, (球員狀態!$A$2:$A$5000=$EI$181)*(ISNUMBER(SEARCH($EI204, 球員狀態!$B$2:$B$5000))), 0)), "")</f>
        <v/>
      </c>
      <c r="EN204" s="4" t="str">
        <f t="array" ref="EN204">IFERROR(INDEX(球員狀態!G$2:G$5000, MATCH(1, (球員狀態!$A$2:$A$5000=$EI$1)*(ISNUMBER(SEARCH($EI204, 球員狀態!$B$2:$B$5000))), 0)), "")</f>
        <v/>
      </c>
      <c r="EO204" s="4" t="str">
        <f t="array" ref="EO204">IFERROR(INDEX(球員狀態!H$2:H$5000, MATCH(1, (球員狀態!$A$2:$A$5000=$EI$181)*(ISNUMBER(SEARCH($EI204, 球員狀態!$B$2:$B$5000))), 0)), "")</f>
        <v/>
      </c>
      <c r="EP204" s="4" t="str">
        <f t="array" ref="EP204">IFERROR(INDEX(球員狀態!I$2:I$5000, MATCH(1, (球員狀態!$A$2:$A$5000=$EI$181)*(ISNUMBER(SEARCH($EI204, 球員狀態!$B$2:$B$5000))), 0)), "")</f>
        <v/>
      </c>
      <c r="EQ204" s="4" t="str">
        <f t="array" ref="EQ204">IFERROR(INDEX(球員狀態!J$2:J$5000, MATCH(1, (球員狀態!$A$2:$A$5000=$EI$181)*(ISNUMBER(SEARCH($EI204, 球員狀態!$B$2:$B$5000))), 0)), "")</f>
        <v/>
      </c>
      <c r="ER204" s="4" t="str">
        <f t="array" ref="ER204">IFERROR(INDEX(球員狀態!K$2:K$5000, MATCH(1, (球員狀態!$A$2:$A$5000=$EI$181)*(ISNUMBER(SEARCH($EI204, 球員狀態!$B$2:$B$5000))), 0)), "")</f>
        <v/>
      </c>
      <c r="ES204" s="4" t="str">
        <f t="array" ref="ES204">IFERROR(INDEX(球員狀態!L$2:L$5000, MATCH(1, (球員狀態!$A$2:$A$5000=$EI$181)*(ISNUMBER(SEARCH($EI204, 球員狀態!$B$2:$B$5000))), 0)), "")</f>
        <v/>
      </c>
      <c r="ET204" s="4" t="str">
        <f t="array" ref="ET204">IFERROR(INDEX(球員狀態!M$2:M$5000, MATCH(1, (球員狀態!$A$2:$A$5000=$EI$181)*(ISNUMBER(SEARCH($EI204, 球員狀態!$B$2:$B$5000))), 0)), "")</f>
        <v/>
      </c>
      <c r="EU204" s="4" t="str">
        <f t="array" ref="EU204">IFERROR(INDEX(球員狀態!N$2:N$5000, MATCH(1, (球員狀態!$A$2:$A$5000=$EI$181)*(ISNUMBER(SEARCH($EI204, 球員狀態!$B$2:$B$5000))), 0)), "")</f>
        <v/>
      </c>
      <c r="EV204" s="4" t="str">
        <f t="array" ref="EV204">IFERROR(INDEX(球員狀態!O$2:O$5000, MATCH(1, (球員狀態!$A$2:$A$5000=$EI$1)*(ISNUMBER(SEARCH($EI204, 球員狀態!$B$2:$B$5000))), 0)), "")</f>
        <v/>
      </c>
      <c r="EW204" s="4" t="str">
        <f t="array" ref="EW204">IFERROR(INDEX(球員狀態!P$2:P$5000, MATCH(1, (球員狀態!$A$2:$A$5000=$EI$1)*(ISNUMBER(SEARCH($EI204, 球員狀態!$B$2:$B$5000))), 0)), "")</f>
        <v/>
      </c>
      <c r="EX204" s="4" t="str">
        <f t="array" ref="EX204">IFERROR(INDEX(球員狀態!Q$2:Q$5000, MATCH(1, (球員狀態!$A$2:$A$5000=$EI$181)*(ISNUMBER(SEARCH($EI204, 球員狀態!$B$2:$B$5000))), 0)), "")</f>
        <v/>
      </c>
      <c r="EY204" s="4" t="str">
        <f t="array" ref="EY204">IFERROR(INDEX(球員狀態!R$2:R$5000, MATCH(1, (球員狀態!$A$2:$A$5000=$EI$1)*(ISNUMBER(SEARCH($EI204, 球員狀態!$B$2:$B$5000))), 0)), "")</f>
        <v/>
      </c>
      <c r="EZ204" s="4" t="str">
        <f t="array" ref="EZ204">IFERROR(INDEX(球員狀態!S$2:S$5000, MATCH(1, (球員狀態!$A$2:$A$5000=$EI$1)*(ISNUMBER(SEARCH($EI204, 球員狀態!$B$2:$B$5000))), 0)), "")</f>
        <v/>
      </c>
      <c r="FA204" s="4" t="str">
        <f t="array" ref="FA204">IFERROR(INDEX(球員狀態!T$2:T$5000, MATCH(1, (球員狀態!$A$2:$A$5000=$EI$181)*(ISNUMBER(SEARCH($EI204, 球員狀態!$B$2:$B$5000))), 0)), "")</f>
        <v/>
      </c>
      <c r="FB204" s="4" t="str">
        <f t="array" ref="FB204">IFERROR(INDEX(球員狀態!U$2:U$5000, MATCH(1, (球員狀態!$A$2:$A$5000=$EI$1)*(ISNUMBER(SEARCH($EI204, 球員狀態!$B$2:$B$5000))), 0)), "")</f>
        <v/>
      </c>
      <c r="FC204" s="4" t="str">
        <f t="array" ref="FC204">IFERROR(INDEX(球員狀態!V$2:V$5000, MATCH(1, (球員狀態!$A$2:$A$5000=$EI$1)*(ISNUMBER(SEARCH($EI204, 球員狀態!$B$2:$B$5000))), 0)), "")</f>
        <v/>
      </c>
      <c r="FD204" s="4" t="str">
        <f t="array" ref="FD204">IFERROR(INDEX(球員狀態!W$2:W$5000, MATCH(1, (球員狀態!$A$2:$A$5000=$EI$181)*(ISNUMBER(SEARCH($EI204, 球員狀態!$B$2:$B$5000))), 0)), "")</f>
        <v/>
      </c>
      <c r="FE204" s="4" t="str">
        <f t="array" ref="FE204">IFERROR(INDEX(球員狀態!X$2:X$5000, MATCH(1, (球員狀態!$A$2:$A$5000=$EI$1)*(ISNUMBER(SEARCH($EI204, 球員狀態!$B$2:$B$5000))), 0)), "")</f>
        <v/>
      </c>
      <c r="FF204" s="4" t="str">
        <f t="array" ref="FF204">IFERROR(INDEX(球員狀態!Y$2:Y$5000, MATCH(1, (球員狀態!$A$2:$A$5000=$EI$1)*(ISNUMBER(SEARCH($EI204, 球員狀態!$B$2:$B$5000))), 0)), "")</f>
        <v/>
      </c>
      <c r="FG204" s="4" t="str">
        <f t="array" ref="FG204">IFERROR(INDEX(球員狀態!Z$2:Z$5000, MATCH(1, (球員狀態!$A$2:$A$5000=$EI$181)*(ISNUMBER(SEARCH($EI204, 球員狀態!$B$2:$B$5000))), 0)), "")</f>
        <v/>
      </c>
      <c r="FH204" s="4" t="str">
        <f t="array" ref="FH204">IFERROR(INDEX(球員狀態!AA$2:AA$5000, MATCH(1, (球員狀態!$A$2:$A$5000=$EI$181)*(ISNUMBER(SEARCH($EI204, 球員狀態!$B$2:$B$5000))), 0)), "")</f>
        <v/>
      </c>
      <c r="FI204" s="4" t="str">
        <f t="array" ref="FI204">IFERROR(INDEX(球員狀態!AB$2:AB$5000, MATCH(1, (球員狀態!$A$2:$A$5000=$EI$181)*(ISNUMBER(SEARCH($EI204, 球員狀態!$B$2:$B$5000))), 0)), "")</f>
        <v/>
      </c>
    </row>
    <row r="205" spans="110:165">
      <c r="DH205" s="40" t="e">
        <f>DJ205+DL205+DM205+DN205+DO205-DP205-DQ205+DR205</f>
        <v>#VALUE!</v>
      </c>
      <c r="DI205" s="42" t="e">
        <f>DU205+DX205+EA205+ED205+EE205+EF205</f>
        <v>#VALUE!</v>
      </c>
      <c r="DJ205" s="38" t="e">
        <f>VLOOKUP(DJ204*1, FK$2:FM$12, 3, TRUE)*FM$1</f>
        <v>#VALUE!</v>
      </c>
      <c r="DL205" s="38" t="e">
        <f>VLOOKUP(DL204*1, FN$2:FP$12, 3, TRUE)*FP$1</f>
        <v>#VALUE!</v>
      </c>
      <c r="DM205" s="38" t="e">
        <f>VLOOKUP(DM204*1, FQ$2:FS$12, 3, TRUE)*FS$1</f>
        <v>#VALUE!</v>
      </c>
      <c r="DN205" s="38" t="e">
        <f>VLOOKUP(DN204*1, FT$2:FV$12, 3, TRUE)*FV$1</f>
        <v>#VALUE!</v>
      </c>
      <c r="DO205" s="38" t="e">
        <f>VLOOKUP(DO204*1, FW$2:FY$12, 3, TRUE)*FY$1</f>
        <v>#VALUE!</v>
      </c>
      <c r="DP205" s="39" t="e">
        <f>VLOOKUP(DP204*1, FK$14:FM$25, 3, TRUE)*FM$14</f>
        <v>#VALUE!</v>
      </c>
      <c r="DQ205" s="39" t="e">
        <f>VLOOKUP(DQ204*1, FN$14:FP$25, 3, TRUE)*FP$14</f>
        <v>#VALUE!</v>
      </c>
      <c r="DR205" s="38" t="e">
        <f>VLOOKUP(DR204*1, FQ$14:FS$25, 3, TRUE)*FS$14</f>
        <v>#VALUE!</v>
      </c>
      <c r="DU205" s="41" t="e">
        <f>VLOOKUP(DU204*1, FK$27:FM$38, 3, TRUE)*FM$27</f>
        <v>#VALUE!</v>
      </c>
      <c r="DX205" s="41" t="e">
        <f>VLOOKUP(DX204*1, FN$27:FP$38, 3, TRUE)*FP$27</f>
        <v>#VALUE!</v>
      </c>
      <c r="EA205" s="41" t="e">
        <f>VLOOKUP(EA204*1, FQ$27:FS$38, 3, TRUE)*FS$27</f>
        <v>#VALUE!</v>
      </c>
      <c r="ED205" s="41" t="e">
        <f>VLOOKUP(ED204*1, FT$27:FV$38, 3, TRUE)*FV$27</f>
        <v>#VALUE!</v>
      </c>
      <c r="EE205" s="41" t="e">
        <f>VLOOKUP(EE204*1, FW$27:FY$38, 3, TRUE)*FY$27</f>
        <v>#VALUE!</v>
      </c>
      <c r="EF205" s="41" t="e">
        <f>VLOOKUP(EF204*1, FK$40:FM$51, 3, TRUE)*FM$40</f>
        <v>#VALUE!</v>
      </c>
      <c r="EG205" s="57"/>
      <c r="EK205" s="40" t="e">
        <f>EM205+EO205+EP205+EQ205+ER205-ES205-ET205+EU205</f>
        <v>#VALUE!</v>
      </c>
      <c r="EL205" s="42" t="e">
        <f>EX205+FA205+FD205+FG205+FH205+FI205</f>
        <v>#VALUE!</v>
      </c>
      <c r="EM205" s="38" t="e">
        <f>VLOOKUP(EM204*1, $FK$2:$FM$12, 3, TRUE)*$FM$1</f>
        <v>#VALUE!</v>
      </c>
      <c r="EO205" s="38" t="e">
        <f>VLOOKUP(EO204*1, $FN$2:$FP$12, 3, TRUE)*$FP$1</f>
        <v>#VALUE!</v>
      </c>
      <c r="EP205" s="38" t="e">
        <f>VLOOKUP(EP204*1, $FQ$2:$FS$12, 3, TRUE)*$FS$1</f>
        <v>#VALUE!</v>
      </c>
      <c r="EQ205" s="38" t="e">
        <f>VLOOKUP(EQ204*1, $FT$2:$FV$12, 3, TRUE)*$FV$1</f>
        <v>#VALUE!</v>
      </c>
      <c r="ER205" s="38" t="e">
        <f>VLOOKUP(ER204*1, $FW$2:$FY$12, 3, TRUE)*$FY$1</f>
        <v>#VALUE!</v>
      </c>
      <c r="ES205" s="39" t="e">
        <f>VLOOKUP(ES204*1, $FK$14:$FM$25, 3, TRUE)*$FM$14</f>
        <v>#VALUE!</v>
      </c>
      <c r="ET205" s="39" t="e">
        <f>VLOOKUP(ET204*1, $FN$14:$FP$25, 3, TRUE)*$FP$14</f>
        <v>#VALUE!</v>
      </c>
      <c r="EU205" s="38" t="e">
        <f>VLOOKUP(EU204*1, $FQ$14:$FS$25, 3, TRUE)*$FS$14</f>
        <v>#VALUE!</v>
      </c>
      <c r="EX205" s="41" t="e">
        <f>VLOOKUP(EX204*1, $FK$27:$FM$38, 3, TRUE)*$FM$27</f>
        <v>#VALUE!</v>
      </c>
      <c r="FA205" s="41" t="e">
        <f>VLOOKUP(FA204*1, $FN$27:$FP$38, 3, TRUE)*$FP$27</f>
        <v>#VALUE!</v>
      </c>
      <c r="FD205" s="41" t="e">
        <f>VLOOKUP(FD204*1, $FQ$27:$FS$38, 3, TRUE)*$FS$27</f>
        <v>#VALUE!</v>
      </c>
      <c r="FG205" s="41" t="e">
        <f>VLOOKUP(FG204*1, $FT$27:$FV$38, 3, TRUE)*$FV$27</f>
        <v>#VALUE!</v>
      </c>
      <c r="FH205" s="41" t="e">
        <f>VLOOKUP(FH204*1, $FW$27:$FY$38, 3, TRUE)*$FY$27</f>
        <v>#VALUE!</v>
      </c>
      <c r="FI205" s="41" t="e">
        <f>VLOOKUP(FI204*1, $FK$40:$FM$51, 3, TRUE)*$FM$40</f>
        <v>#VALUE!</v>
      </c>
    </row>
    <row r="206" spans="110:165">
      <c r="DF206" s="37" t="e">
        <f>先發名單!#REF!</f>
        <v>#REF!</v>
      </c>
      <c r="DG206" s="4" t="str">
        <f t="array" ref="DG206">IFERROR(INDEX(球員狀態!$C$2:$C$5000, MATCH(1, (球員狀態!$A$2:$A$5000=$DF$181)*(ISNUMBER(SEARCH($DF206, 球員狀態!$B$2:$B$5000))), 0)), "")</f>
        <v/>
      </c>
      <c r="DJ206" s="4" t="str">
        <f t="array" ref="DJ206">IFERROR(INDEX(球員狀態!$F$2:$F$5000,MATCH(1,(球員狀態!$A$2:$A$5000=$DF$181)*(ISNUMBER(SEARCH($DF206,球員狀態!$B$2:$B$5000))),0)),"")</f>
        <v/>
      </c>
      <c r="DK206" s="4" t="str">
        <f t="array" ref="DK206">IFERROR(INDEX(球員狀態!G$2:G$5000, MATCH(1, (球員狀態!$A$2:$A$5000=$DF$1)*(ISNUMBER(SEARCH($DF206, 球員狀態!$B$2:$B$5000))), 0)), "")</f>
        <v/>
      </c>
      <c r="DL206" s="4" t="str">
        <f t="array" ref="DL206">IFERROR(INDEX(球員狀態!H$2:H$5000, MATCH(1, (球員狀態!$A$2:$A$5000=$DF$181)*(ISNUMBER(SEARCH($DF206, 球員狀態!$B$2:$B$5000))), 0)), "")</f>
        <v/>
      </c>
      <c r="DM206" s="4" t="str">
        <f t="array" ref="DM206">IFERROR(INDEX(球員狀態!I$2:I$5000,MATCH(1,(球員狀態!$A$2:$A$5000=$DF$181)*(ISNUMBER(SEARCH($DF206,球員狀態!$B$2:$B$5000))),0)),"")</f>
        <v/>
      </c>
      <c r="DN206" s="4" t="str">
        <f t="array" ref="DN206">IFERROR(INDEX(球員狀態!J$2:J$5000,MATCH(1,(球員狀態!$A$2:$A$5000=$DF$181)*(ISNUMBER(SEARCH($DF206,球員狀態!$B$2:$B$5000))),0)),"")</f>
        <v/>
      </c>
      <c r="DO206" s="4" t="str">
        <f t="array" ref="DO206">IFERROR(INDEX(球員狀態!K$2:K$5000,MATCH(1,(球員狀態!$A$2:$A$5000=$DF$181)*(ISNUMBER(SEARCH($DF206,球員狀態!$B$2:$B$5000))),0)),"")</f>
        <v/>
      </c>
      <c r="DP206" s="4" t="str">
        <f t="array" ref="DP206">IFERROR(INDEX(球員狀態!L$2:L$5000,MATCH(1,(球員狀態!$A$2:$A$5000=$DF$181)*(ISNUMBER(SEARCH($DF206,球員狀態!$B$2:$B$5000))),0)),"")</f>
        <v/>
      </c>
      <c r="DQ206" s="4" t="str">
        <f t="array" ref="DQ206">IFERROR(INDEX(球員狀態!M$2:M$5000,MATCH(1,(球員狀態!$A$2:$A$5000=$DF$181)*(ISNUMBER(SEARCH($DF206,球員狀態!$B$2:$B$5000))),0)),"")</f>
        <v/>
      </c>
      <c r="DR206" s="4" t="str">
        <f t="array" ref="DR206">IFERROR(INDEX(球員狀態!N$2:N$5000,MATCH(1,(球員狀態!$A$2:$A$5000=$DF$181)*(ISNUMBER(SEARCH($DF206,球員狀態!$B$2:$B$5000))),0)),"")</f>
        <v/>
      </c>
      <c r="DS206" s="4" t="str">
        <f t="array" ref="DS206">IFERROR(INDEX(球員狀態!O$2:O$5000, MATCH(1, (球員狀態!$A$2:$A$5000=$DF$1)*(ISNUMBER(SEARCH($DF206, 球員狀態!$B$2:$B$5000))), 0)), "")</f>
        <v/>
      </c>
      <c r="DT206" s="4" t="str">
        <f t="array" ref="DT206">IFERROR(INDEX(球員狀態!P$2:P$5000, MATCH(1, (球員狀態!$A$2:$A$5000=$DF$1)*(ISNUMBER(SEARCH($DF206, 球員狀態!$B$2:$B$5000))), 0)), "")</f>
        <v/>
      </c>
      <c r="DU206" s="4" t="str">
        <f t="array" ref="DU206">IFERROR(INDEX(球員狀態!Q$2:Q$5000,MATCH(1,(球員狀態!$A$2:$A$5000=$DF$181)*(ISNUMBER(SEARCH($DF206,球員狀態!$B$2:$B$5000))),0)),"")</f>
        <v/>
      </c>
      <c r="DV206" s="4" t="str">
        <f t="array" ref="DV206">IFERROR(INDEX(球員狀態!R$2:R$5000, MATCH(1, (球員狀態!$A$2:$A$5000=$DF$1)*(ISNUMBER(SEARCH($DF206, 球員狀態!$B$2:$B$5000))), 0)), "")</f>
        <v/>
      </c>
      <c r="DW206" s="4" t="str">
        <f t="array" ref="DW206">IFERROR(INDEX(球員狀態!S$2:S$5000, MATCH(1, (球員狀態!$A$2:$A$5000=$DF$1)*(ISNUMBER(SEARCH($DF206, 球員狀態!$B$2:$B$5000))), 0)), "")</f>
        <v/>
      </c>
      <c r="DX206" s="4" t="str">
        <f t="array" ref="DX206">IFERROR(INDEX(球員狀態!T$2:T$5000,MATCH(1,(球員狀態!$A$2:$A$5000=$DF$181)*(ISNUMBER(SEARCH($DF206,球員狀態!$B$2:$B$5000))),0)),"")</f>
        <v/>
      </c>
      <c r="DY206" s="4" t="str">
        <f t="array" ref="DY206">IFERROR(INDEX(球員狀態!U$2:U$5000, MATCH(1, (球員狀態!$A$2:$A$5000=$DF$1)*(ISNUMBER(SEARCH($DF206, 球員狀態!$B$2:$B$5000))), 0)), "")</f>
        <v/>
      </c>
      <c r="DZ206" s="4" t="str">
        <f t="array" ref="DZ206">IFERROR(INDEX(球員狀態!V$2:V$5000, MATCH(1, (球員狀態!$A$2:$A$5000=$DF$1)*(ISNUMBER(SEARCH($DF206, 球員狀態!$B$2:$B$5000))), 0)), "")</f>
        <v/>
      </c>
      <c r="EA206" s="4" t="str">
        <f t="array" ref="EA206">IFERROR(INDEX(球員狀態!W$2:W$5000,MATCH(1,(球員狀態!$A$2:$A$5000=$DF$181)*(ISNUMBER(SEARCH($DF206,球員狀態!$B$2:$B$5000))),0)),"")</f>
        <v/>
      </c>
      <c r="EB206" s="4" t="str">
        <f t="array" ref="EB206">IFERROR(INDEX(球員狀態!X$2:X$5000, MATCH(1, (球員狀態!$A$2:$A$5000=$DF$1)*(ISNUMBER(SEARCH($DF206, 球員狀態!$B$2:$B$5000))), 0)), "")</f>
        <v/>
      </c>
      <c r="EC206" s="4" t="str">
        <f t="array" ref="EC206">IFERROR(INDEX(球員狀態!Y$2:Y$5000, MATCH(1, (球員狀態!$A$2:$A$5000=$DF$1)*(ISNUMBER(SEARCH($DF206, 球員狀態!$B$2:$B$5000))), 0)), "")</f>
        <v/>
      </c>
      <c r="ED206" s="4" t="str">
        <f t="array" ref="ED206">IFERROR(INDEX(球員狀態!Z$2:Z$5000,MATCH(1,(球員狀態!$A$2:$A$5000=$DF$181)*(ISNUMBER(SEARCH($DF206,球員狀態!$B$2:$B$5000))),0)),"")</f>
        <v/>
      </c>
      <c r="EE206" s="4" t="str">
        <f t="array" ref="EE206">IFERROR(INDEX(球員狀態!AA$2:AA$5000,MATCH(1,(球員狀態!$A$2:$A$5000=$DF$181)*(ISNUMBER(SEARCH($DF206,球員狀態!$B$2:$B$5000))),0)),"")</f>
        <v/>
      </c>
      <c r="EF206" s="4" t="str">
        <f t="array" ref="EF206">IFERROR(INDEX(球員狀態!AB$2:AB$5000,MATCH(1,(球員狀態!$A$2:$A$5000=$DF$181)*(ISNUMBER(SEARCH($DF206,球員狀態!$B$2:$B$5000))),0)),"")</f>
        <v/>
      </c>
      <c r="EG206" s="56"/>
      <c r="EI206" s="37">
        <f>先發名單!AA$8</f>
        <v>0</v>
      </c>
      <c r="EJ206" s="4" t="str">
        <f t="array" ref="EJ206">IFERROR(INDEX(球員狀態!C$2:C$5000, MATCH(1, (球員狀態!$A$2:$A$5000=$EI$181)*(ISNUMBER(SEARCH($EI206, 球員狀態!$B$2:$B$5000))), 0)), "")</f>
        <v/>
      </c>
      <c r="EM206" s="4" t="str">
        <f t="array" ref="EM206">IFERROR(INDEX(球員狀態!F$2:F$5000, MATCH(1, (球員狀態!$A$2:$A$5000=$EI$181)*(ISNUMBER(SEARCH($EI206, 球員狀態!$B$2:$B$5000))), 0)), "")</f>
        <v/>
      </c>
      <c r="EN206" s="4" t="str">
        <f t="array" ref="EN206">IFERROR(INDEX(球員狀態!G$2:G$5000, MATCH(1, (球員狀態!$A$2:$A$5000=$EI$1)*(ISNUMBER(SEARCH($EI206, 球員狀態!$B$2:$B$5000))), 0)), "")</f>
        <v/>
      </c>
      <c r="EO206" s="4" t="str">
        <f t="array" ref="EO206">IFERROR(INDEX(球員狀態!H$2:H$5000, MATCH(1, (球員狀態!$A$2:$A$5000=$EI$181)*(ISNUMBER(SEARCH($EI206, 球員狀態!$B$2:$B$5000))), 0)), "")</f>
        <v/>
      </c>
      <c r="EP206" s="4" t="str">
        <f t="array" ref="EP206">IFERROR(INDEX(球員狀態!I$2:I$5000, MATCH(1, (球員狀態!$A$2:$A$5000=$EI$181)*(ISNUMBER(SEARCH($EI206, 球員狀態!$B$2:$B$5000))), 0)), "")</f>
        <v/>
      </c>
      <c r="EQ206" s="4" t="str">
        <f t="array" ref="EQ206">IFERROR(INDEX(球員狀態!J$2:J$5000, MATCH(1, (球員狀態!$A$2:$A$5000=$EI$181)*(ISNUMBER(SEARCH($EI206, 球員狀態!$B$2:$B$5000))), 0)), "")</f>
        <v/>
      </c>
      <c r="ER206" s="4" t="str">
        <f t="array" ref="ER206">IFERROR(INDEX(球員狀態!K$2:K$5000, MATCH(1, (球員狀態!$A$2:$A$5000=$EI$181)*(ISNUMBER(SEARCH($EI206, 球員狀態!$B$2:$B$5000))), 0)), "")</f>
        <v/>
      </c>
      <c r="ES206" s="4" t="str">
        <f t="array" ref="ES206">IFERROR(INDEX(球員狀態!L$2:L$5000, MATCH(1, (球員狀態!$A$2:$A$5000=$EI$181)*(ISNUMBER(SEARCH($EI206, 球員狀態!$B$2:$B$5000))), 0)), "")</f>
        <v/>
      </c>
      <c r="ET206" s="4" t="str">
        <f t="array" ref="ET206">IFERROR(INDEX(球員狀態!M$2:M$5000, MATCH(1, (球員狀態!$A$2:$A$5000=$EI$181)*(ISNUMBER(SEARCH($EI206, 球員狀態!$B$2:$B$5000))), 0)), "")</f>
        <v/>
      </c>
      <c r="EU206" s="4" t="str">
        <f t="array" ref="EU206">IFERROR(INDEX(球員狀態!N$2:N$5000, MATCH(1, (球員狀態!$A$2:$A$5000=$EI$181)*(ISNUMBER(SEARCH($EI206, 球員狀態!$B$2:$B$5000))), 0)), "")</f>
        <v/>
      </c>
      <c r="EV206" s="4" t="str">
        <f t="array" ref="EV206">IFERROR(INDEX(球員狀態!O$2:O$5000, MATCH(1, (球員狀態!$A$2:$A$5000=$EI$1)*(ISNUMBER(SEARCH($EI206, 球員狀態!$B$2:$B$5000))), 0)), "")</f>
        <v/>
      </c>
      <c r="EW206" s="4" t="str">
        <f t="array" ref="EW206">IFERROR(INDEX(球員狀態!P$2:P$5000, MATCH(1, (球員狀態!$A$2:$A$5000=$EI$1)*(ISNUMBER(SEARCH($EI206, 球員狀態!$B$2:$B$5000))), 0)), "")</f>
        <v/>
      </c>
      <c r="EX206" s="4" t="str">
        <f t="array" ref="EX206">IFERROR(INDEX(球員狀態!Q$2:Q$5000, MATCH(1, (球員狀態!$A$2:$A$5000=$EI$181)*(ISNUMBER(SEARCH($EI206, 球員狀態!$B$2:$B$5000))), 0)), "")</f>
        <v/>
      </c>
      <c r="EY206" s="4" t="str">
        <f t="array" ref="EY206">IFERROR(INDEX(球員狀態!R$2:R$5000, MATCH(1, (球員狀態!$A$2:$A$5000=$EI$1)*(ISNUMBER(SEARCH($EI206, 球員狀態!$B$2:$B$5000))), 0)), "")</f>
        <v/>
      </c>
      <c r="EZ206" s="4" t="str">
        <f t="array" ref="EZ206">IFERROR(INDEX(球員狀態!S$2:S$5000, MATCH(1, (球員狀態!$A$2:$A$5000=$EI$1)*(ISNUMBER(SEARCH($EI206, 球員狀態!$B$2:$B$5000))), 0)), "")</f>
        <v/>
      </c>
      <c r="FA206" s="4" t="str">
        <f t="array" ref="FA206">IFERROR(INDEX(球員狀態!T$2:T$5000, MATCH(1, (球員狀態!$A$2:$A$5000=$EI$181)*(ISNUMBER(SEARCH($EI206, 球員狀態!$B$2:$B$5000))), 0)), "")</f>
        <v/>
      </c>
      <c r="FB206" s="4" t="str">
        <f t="array" ref="FB206">IFERROR(INDEX(球員狀態!U$2:U$5000, MATCH(1, (球員狀態!$A$2:$A$5000=$EI$1)*(ISNUMBER(SEARCH($EI206, 球員狀態!$B$2:$B$5000))), 0)), "")</f>
        <v/>
      </c>
      <c r="FC206" s="4" t="str">
        <f t="array" ref="FC206">IFERROR(INDEX(球員狀態!V$2:V$5000, MATCH(1, (球員狀態!$A$2:$A$5000=$EI$1)*(ISNUMBER(SEARCH($EI206, 球員狀態!$B$2:$B$5000))), 0)), "")</f>
        <v/>
      </c>
      <c r="FD206" s="4" t="str">
        <f t="array" ref="FD206">IFERROR(INDEX(球員狀態!W$2:W$5000, MATCH(1, (球員狀態!$A$2:$A$5000=$EI$181)*(ISNUMBER(SEARCH($EI206, 球員狀態!$B$2:$B$5000))), 0)), "")</f>
        <v/>
      </c>
      <c r="FE206" s="4" t="str">
        <f t="array" ref="FE206">IFERROR(INDEX(球員狀態!X$2:X$5000, MATCH(1, (球員狀態!$A$2:$A$5000=$EI$1)*(ISNUMBER(SEARCH($EI206, 球員狀態!$B$2:$B$5000))), 0)), "")</f>
        <v/>
      </c>
      <c r="FF206" s="4" t="str">
        <f t="array" ref="FF206">IFERROR(INDEX(球員狀態!Y$2:Y$5000, MATCH(1, (球員狀態!$A$2:$A$5000=$EI$1)*(ISNUMBER(SEARCH($EI206, 球員狀態!$B$2:$B$5000))), 0)), "")</f>
        <v/>
      </c>
      <c r="FG206" s="4" t="str">
        <f t="array" ref="FG206">IFERROR(INDEX(球員狀態!Z$2:Z$5000, MATCH(1, (球員狀態!$A$2:$A$5000=$EI$181)*(ISNUMBER(SEARCH($EI206, 球員狀態!$B$2:$B$5000))), 0)), "")</f>
        <v/>
      </c>
      <c r="FH206" s="4" t="str">
        <f t="array" ref="FH206">IFERROR(INDEX(球員狀態!AA$2:AA$5000, MATCH(1, (球員狀態!$A$2:$A$5000=$EI$181)*(ISNUMBER(SEARCH($EI206, 球員狀態!$B$2:$B$5000))), 0)), "")</f>
        <v/>
      </c>
      <c r="FI206" s="4" t="str">
        <f t="array" ref="FI206">IFERROR(INDEX(球員狀態!AB$2:AB$5000, MATCH(1, (球員狀態!$A$2:$A$5000=$EI$181)*(ISNUMBER(SEARCH($EI206, 球員狀態!$B$2:$B$5000))), 0)), "")</f>
        <v/>
      </c>
    </row>
    <row r="207" spans="110:165">
      <c r="DH207" s="40" t="e">
        <f>DJ207+DL207+DM207+DN207+DO207-DP207-DQ207+DR207</f>
        <v>#VALUE!</v>
      </c>
      <c r="DI207" s="42" t="e">
        <f>DU207+DX207+EA207+ED207+EE207+EF207</f>
        <v>#VALUE!</v>
      </c>
      <c r="DJ207" s="38" t="e">
        <f>VLOOKUP(DJ206*1, FK$2:FM$12, 3, TRUE)*FM$1</f>
        <v>#VALUE!</v>
      </c>
      <c r="DL207" s="38" t="e">
        <f>VLOOKUP(DL206*1, FN$2:FP$12, 3, TRUE)*FP$1</f>
        <v>#VALUE!</v>
      </c>
      <c r="DM207" s="38" t="e">
        <f>VLOOKUP(DM206*1, FQ$2:FS$12, 3, TRUE)*FS$1</f>
        <v>#VALUE!</v>
      </c>
      <c r="DN207" s="38" t="e">
        <f>VLOOKUP(DN206*1, FT$2:FV$12, 3, TRUE)*FV$1</f>
        <v>#VALUE!</v>
      </c>
      <c r="DO207" s="38" t="e">
        <f>VLOOKUP(DO206*1, FW$2:FY$12, 3, TRUE)*FY$1</f>
        <v>#VALUE!</v>
      </c>
      <c r="DP207" s="39" t="e">
        <f>VLOOKUP(DP206*1, FK$14:FM$25, 3, TRUE)*FM$14</f>
        <v>#VALUE!</v>
      </c>
      <c r="DQ207" s="39" t="e">
        <f>VLOOKUP(DQ206*1, FN$14:FP$25, 3, TRUE)*FP$14</f>
        <v>#VALUE!</v>
      </c>
      <c r="DR207" s="38" t="e">
        <f>VLOOKUP(DR206*1, FQ$14:FS$25, 3, TRUE)*FS$14</f>
        <v>#VALUE!</v>
      </c>
      <c r="DU207" s="41" t="e">
        <f>VLOOKUP(DU206*1, FK$27:FM$38, 3, TRUE)*FM$27</f>
        <v>#VALUE!</v>
      </c>
      <c r="DX207" s="41" t="e">
        <f>VLOOKUP(DX206*1, FN$27:FP$38, 3, TRUE)*FP$27</f>
        <v>#VALUE!</v>
      </c>
      <c r="EA207" s="41" t="e">
        <f>VLOOKUP(EA206*1, FQ$27:FS$38, 3, TRUE)*FS$27</f>
        <v>#VALUE!</v>
      </c>
      <c r="ED207" s="41" t="e">
        <f>VLOOKUP(ED206*1, FT$27:FV$38, 3, TRUE)*FV$27</f>
        <v>#VALUE!</v>
      </c>
      <c r="EE207" s="41" t="e">
        <f>VLOOKUP(EE206*1, FW$27:FY$38, 3, TRUE)*FY$27</f>
        <v>#VALUE!</v>
      </c>
      <c r="EF207" s="41" t="e">
        <f>VLOOKUP(EF206*1, FK$40:FM$51, 3, TRUE)*FM$40</f>
        <v>#VALUE!</v>
      </c>
      <c r="EG207" s="57"/>
      <c r="EK207" s="40" t="e">
        <f>EM207+EO207+EP207+EQ207+ER207-ES207-ET207+EU207</f>
        <v>#VALUE!</v>
      </c>
      <c r="EL207" s="42" t="e">
        <f>EX207+FA207+FD207+FG207+FH207+FI207</f>
        <v>#VALUE!</v>
      </c>
      <c r="EM207" s="38" t="e">
        <f>VLOOKUP(EM206*1, $FK$2:$FM$12, 3, TRUE)*$FM$1</f>
        <v>#VALUE!</v>
      </c>
      <c r="EO207" s="38" t="e">
        <f>VLOOKUP(EO206*1, $FN$2:$FP$12, 3, TRUE)*$FP$1</f>
        <v>#VALUE!</v>
      </c>
      <c r="EP207" s="38" t="e">
        <f>VLOOKUP(EP206*1, $FQ$2:$FS$12, 3, TRUE)*$FS$1</f>
        <v>#VALUE!</v>
      </c>
      <c r="EQ207" s="38" t="e">
        <f>VLOOKUP(EQ206*1, $FT$2:$FV$12, 3, TRUE)*$FV$1</f>
        <v>#VALUE!</v>
      </c>
      <c r="ER207" s="38" t="e">
        <f>VLOOKUP(ER206*1, $FW$2:$FY$12, 3, TRUE)*$FY$1</f>
        <v>#VALUE!</v>
      </c>
      <c r="ES207" s="39" t="e">
        <f>VLOOKUP(ES206*1, $FK$14:$FM$25, 3, TRUE)*$FM$14</f>
        <v>#VALUE!</v>
      </c>
      <c r="ET207" s="39" t="e">
        <f>VLOOKUP(ET206*1, $FN$14:$FP$25, 3, TRUE)*$FP$14</f>
        <v>#VALUE!</v>
      </c>
      <c r="EU207" s="38" t="e">
        <f>VLOOKUP(EU206*1, $FQ$14:$FS$25, 3, TRUE)*$FS$14</f>
        <v>#VALUE!</v>
      </c>
      <c r="EX207" s="41" t="e">
        <f>VLOOKUP(EX206*1, $FK$27:$FM$38, 3, TRUE)*$FM$27</f>
        <v>#VALUE!</v>
      </c>
      <c r="FA207" s="41" t="e">
        <f>VLOOKUP(FA206*1, $FN$27:$FP$38, 3, TRUE)*$FP$27</f>
        <v>#VALUE!</v>
      </c>
      <c r="FD207" s="41" t="e">
        <f>VLOOKUP(FD206*1, $FQ$27:$FS$38, 3, TRUE)*$FS$27</f>
        <v>#VALUE!</v>
      </c>
      <c r="FG207" s="41" t="e">
        <f>VLOOKUP(FG206*1, $FT$27:$FV$38, 3, TRUE)*$FV$27</f>
        <v>#VALUE!</v>
      </c>
      <c r="FH207" s="41" t="e">
        <f>VLOOKUP(FH206*1, $FW$27:$FY$38, 3, TRUE)*$FY$27</f>
        <v>#VALUE!</v>
      </c>
      <c r="FI207" s="41" t="e">
        <f>VLOOKUP(FI206*1, $FK$40:$FM$51, 3, TRUE)*$FM$40</f>
        <v>#VALUE!</v>
      </c>
    </row>
    <row r="208" spans="110:165">
      <c r="DF208" s="82" t="str">
        <f>$DF181&amp;"整體"</f>
        <v>小熊整體</v>
      </c>
      <c r="DG208" t="s">
        <v>487</v>
      </c>
      <c r="DH208" t="s">
        <v>488</v>
      </c>
      <c r="DJ208" s="82" t="str">
        <f>$DF181&amp;"先發"</f>
        <v>小熊先發</v>
      </c>
      <c r="DK208" s="78"/>
      <c r="DL208" t="s">
        <v>487</v>
      </c>
      <c r="DM208" t="s">
        <v>488</v>
      </c>
      <c r="DO208" s="82" t="str">
        <f>$DF181&amp;"板凳"</f>
        <v>小熊板凳</v>
      </c>
      <c r="DP208" s="78"/>
      <c r="DQ208" t="s">
        <v>487</v>
      </c>
      <c r="DR208" t="s">
        <v>488</v>
      </c>
      <c r="EI208" s="82" t="str">
        <f>$EI181&amp;"整體"</f>
        <v>教士整體</v>
      </c>
      <c r="EJ208" t="s">
        <v>487</v>
      </c>
      <c r="EK208" t="s">
        <v>488</v>
      </c>
      <c r="EM208" s="82" t="str">
        <f>$EI181&amp;"先發"</f>
        <v>教士先發</v>
      </c>
      <c r="EN208" s="78"/>
      <c r="EO208" t="s">
        <v>487</v>
      </c>
      <c r="EP208" t="s">
        <v>488</v>
      </c>
      <c r="ER208" s="82" t="str">
        <f>$EI181&amp;"板凳"</f>
        <v>教士板凳</v>
      </c>
      <c r="ES208" s="78"/>
      <c r="ET208" t="s">
        <v>487</v>
      </c>
      <c r="EU208" t="s">
        <v>488</v>
      </c>
    </row>
    <row r="209" spans="110:165">
      <c r="DF209" s="78"/>
      <c r="DG209" s="43" t="e">
        <f>(DH183+DH185+DH187+DH189+DH191+DH193+DH195+DH197+DH199+DH201+DH203+DH205+DH207)/13</f>
        <v>#VALUE!</v>
      </c>
      <c r="DH209" s="43" t="e">
        <f>(DI183+DI185+DI187+DI189+DI191+DI193+DI195+DI197+DI199+DI201+DI203+DI205+DI207)/13</f>
        <v>#VALUE!</v>
      </c>
      <c r="DJ209" s="78"/>
      <c r="DK209" s="78"/>
      <c r="DL209" s="4" t="e">
        <f>(DH183+DH185+DH187+DH189+DH191)/5</f>
        <v>#VALUE!</v>
      </c>
      <c r="DM209" s="4" t="e">
        <f>(DI183+DI185+DI187+DI189+DI191)/5</f>
        <v>#VALUE!</v>
      </c>
      <c r="DO209" s="78"/>
      <c r="DP209" s="78"/>
      <c r="DQ209" s="43" t="e">
        <f>(DH193+DH195+DH197+DH199+DH201+DH203+DH205+DH205+DH207)/8</f>
        <v>#VALUE!</v>
      </c>
      <c r="DR209" s="43" t="e">
        <f>(DI193+DI195+DI197+DI199+DI201+DI203+DI205+DI207)/8</f>
        <v>#VALUE!</v>
      </c>
      <c r="EI209" s="78"/>
      <c r="EJ209" s="43" t="e">
        <f>(EK183+EK185+EK187+EK189+EK191+EK193+EK195+EK197+EK199+EK201+EK203+EK205+EK207)/13</f>
        <v>#VALUE!</v>
      </c>
      <c r="EK209" s="43" t="e">
        <f>(EL183+EL185+EL187+EL189+EL191+EL193+EL195+EL197+EL199+EL201+EL203+EL205+EL207)/13</f>
        <v>#VALUE!</v>
      </c>
      <c r="EM209" s="78"/>
      <c r="EN209" s="78"/>
      <c r="EO209" s="4" t="e">
        <f>(EK183+EK185+EK187+EK189+EK191)/5</f>
        <v>#VALUE!</v>
      </c>
      <c r="EP209" s="4" t="e">
        <f>(EL183+EL185+EL187+EL189+EL191)/5</f>
        <v>#VALUE!</v>
      </c>
      <c r="ER209" s="78"/>
      <c r="ES209" s="78"/>
      <c r="ET209" s="43" t="e">
        <f>(EK193+EK195+EK197+EK199+EK201+EK203+EK205+EK205+EK207)/8</f>
        <v>#VALUE!</v>
      </c>
      <c r="EU209" s="43" t="e">
        <f>(EL193+EL195+EL197+EL199+EL201+EL203+EL205+EL207)/8</f>
        <v>#VALUE!</v>
      </c>
    </row>
    <row r="211" spans="110:165">
      <c r="DF211" s="34" t="str">
        <f>CB30</f>
        <v>馬林魚</v>
      </c>
      <c r="DG211" t="s">
        <v>486</v>
      </c>
      <c r="DH211" s="1" t="s">
        <v>487</v>
      </c>
      <c r="DI211" s="1" t="s">
        <v>488</v>
      </c>
      <c r="DJ211" t="s">
        <v>517</v>
      </c>
      <c r="DK211" t="s">
        <v>554</v>
      </c>
      <c r="DL211" t="s">
        <v>518</v>
      </c>
      <c r="DM211" t="s">
        <v>519</v>
      </c>
      <c r="DN211" t="s">
        <v>520</v>
      </c>
      <c r="DO211" t="s">
        <v>521</v>
      </c>
      <c r="DP211" t="s">
        <v>532</v>
      </c>
      <c r="DQ211" t="s">
        <v>533</v>
      </c>
      <c r="DR211" t="s">
        <v>534</v>
      </c>
      <c r="DS211" t="s">
        <v>555</v>
      </c>
      <c r="DT211" t="s">
        <v>556</v>
      </c>
      <c r="DU211" t="s">
        <v>549</v>
      </c>
      <c r="DV211" t="s">
        <v>557</v>
      </c>
      <c r="DW211" t="s">
        <v>558</v>
      </c>
      <c r="DX211" t="s">
        <v>550</v>
      </c>
      <c r="DY211" t="s">
        <v>559</v>
      </c>
      <c r="DZ211" t="s">
        <v>560</v>
      </c>
      <c r="EA211" t="s">
        <v>551</v>
      </c>
      <c r="EB211" t="s">
        <v>561</v>
      </c>
      <c r="EC211" t="s">
        <v>562</v>
      </c>
      <c r="ED211" t="s">
        <v>552</v>
      </c>
      <c r="EE211" t="s">
        <v>553</v>
      </c>
      <c r="EF211" t="s">
        <v>563</v>
      </c>
      <c r="EH211" s="14"/>
      <c r="EI211" s="34" t="str">
        <f>CB32</f>
        <v>道奇</v>
      </c>
      <c r="EJ211" t="s">
        <v>486</v>
      </c>
      <c r="EK211" s="1" t="s">
        <v>487</v>
      </c>
      <c r="EL211" s="1" t="s">
        <v>488</v>
      </c>
      <c r="EM211" t="s">
        <v>517</v>
      </c>
      <c r="EN211" t="s">
        <v>554</v>
      </c>
      <c r="EO211" t="s">
        <v>518</v>
      </c>
      <c r="EP211" t="s">
        <v>519</v>
      </c>
      <c r="EQ211" t="s">
        <v>520</v>
      </c>
      <c r="ER211" t="s">
        <v>521</v>
      </c>
      <c r="ES211" t="s">
        <v>532</v>
      </c>
      <c r="ET211" t="s">
        <v>533</v>
      </c>
      <c r="EU211" t="s">
        <v>534</v>
      </c>
      <c r="EV211" t="s">
        <v>555</v>
      </c>
      <c r="EW211" t="s">
        <v>556</v>
      </c>
      <c r="EX211" t="s">
        <v>549</v>
      </c>
      <c r="EY211" t="s">
        <v>557</v>
      </c>
      <c r="EZ211" t="s">
        <v>558</v>
      </c>
      <c r="FA211" t="s">
        <v>550</v>
      </c>
      <c r="FB211" t="s">
        <v>559</v>
      </c>
      <c r="FC211" t="s">
        <v>560</v>
      </c>
      <c r="FD211" t="s">
        <v>551</v>
      </c>
      <c r="FE211" t="s">
        <v>561</v>
      </c>
      <c r="FF211" t="s">
        <v>562</v>
      </c>
      <c r="FG211" t="s">
        <v>552</v>
      </c>
      <c r="FH211" t="s">
        <v>553</v>
      </c>
      <c r="FI211" t="s">
        <v>563</v>
      </c>
    </row>
    <row r="212" spans="110:165">
      <c r="DF212" s="35" t="str">
        <f>先發名單!E$9</f>
        <v>Chris Paddack</v>
      </c>
      <c r="DG212" s="4" t="str">
        <f t="array" ref="DG212">IFERROR(INDEX(球員狀態!$C$2:$C$5000, MATCH(1, (球員狀態!$A$2:$A$5000=$DF$211)*(ISNUMBER(SEARCH($DF212, 球員狀態!$B$2:$B$5000))), 0)), "")</f>
        <v/>
      </c>
      <c r="DJ212" s="4" t="str">
        <f t="array" ref="DJ212">IFERROR(INDEX(球員狀態!$F$2:$F$5000,MATCH(1,(球員狀態!$A$2:$A$5000=$DF$211)*(ISNUMBER(SEARCH($DF212,球員狀態!$B$2:$B$5000))),0)),"")</f>
        <v/>
      </c>
      <c r="DK212" s="4" t="str">
        <f t="array" ref="DK212">IFERROR(INDEX(球員狀態!G$2:G$5000, MATCH(1, (球員狀態!$A$2:$A$5000=$DF$1)*(ISNUMBER(SEARCH($DF212, 球員狀態!$B$2:$B$5000))), 0)), "")</f>
        <v/>
      </c>
      <c r="DL212" s="4" t="str">
        <f t="array" ref="DL212">IFERROR(INDEX(球員狀態!H$2:H$5000, MATCH(1, (球員狀態!$A$2:$A$5000=$DF$211)*(ISNUMBER(SEARCH($DF212, 球員狀態!$B$2:$B$5000))), 0)), "")</f>
        <v/>
      </c>
      <c r="DM212" s="4" t="str">
        <f t="array" ref="DM212">IFERROR(INDEX(球員狀態!I$2:I$5000,MATCH(1,(球員狀態!$A$2:$A$5000=$DF$211)*(ISNUMBER(SEARCH($DF212,球員狀態!$B$2:$B$5000))),0)),"")</f>
        <v/>
      </c>
      <c r="DN212" s="4" t="str">
        <f t="array" ref="DN212">IFERROR(INDEX(球員狀態!J$2:J$5000,MATCH(1,(球員狀態!$A$2:$A$5000=$DF$211)*(ISNUMBER(SEARCH($DF212,球員狀態!$B$2:$B$5000))),0)),"")</f>
        <v/>
      </c>
      <c r="DO212" s="4" t="str">
        <f t="array" ref="DO212">IFERROR(INDEX(球員狀態!K$2:K$5000,MATCH(1,(球員狀態!$A$2:$A$5000=$DF$211)*(ISNUMBER(SEARCH($DF212,球員狀態!$B$2:$B$5000))),0)),"")</f>
        <v/>
      </c>
      <c r="DP212" s="4" t="str">
        <f t="array" ref="DP212">IFERROR(INDEX(球員狀態!L$2:L$5000,MATCH(1,(球員狀態!$A$2:$A$5000=$DF$211)*(ISNUMBER(SEARCH($DF212,球員狀態!$B$2:$B$5000))),0)),"")</f>
        <v/>
      </c>
      <c r="DQ212" s="4" t="str">
        <f t="array" ref="DQ212">IFERROR(INDEX(球員狀態!M$2:M$5000,MATCH(1,(球員狀態!$A$2:$A$5000=$DF$211)*(ISNUMBER(SEARCH($DF212,球員狀態!$B$2:$B$5000))),0)),"")</f>
        <v/>
      </c>
      <c r="DR212" s="4" t="str">
        <f t="array" ref="DR212">IFERROR(INDEX(球員狀態!N$2:N$5000,MATCH(1,(球員狀態!$A$2:$A$5000=$DF$211)*(ISNUMBER(SEARCH($DF212,球員狀態!$B$2:$B$5000))),0)),"")</f>
        <v/>
      </c>
      <c r="DS212" s="4" t="str">
        <f t="array" ref="DS212">IFERROR(INDEX(球員狀態!O$2:O$5000, MATCH(1, (球員狀態!$A$2:$A$5000=$DF$1)*(ISNUMBER(SEARCH($DF212, 球員狀態!$B$2:$B$5000))), 0)), "")</f>
        <v/>
      </c>
      <c r="DT212" s="4" t="str">
        <f t="array" ref="DT212">IFERROR(INDEX(球員狀態!P$2:P$5000, MATCH(1, (球員狀態!$A$2:$A$5000=$DF$1)*(ISNUMBER(SEARCH($DF212, 球員狀態!$B$2:$B$5000))), 0)), "")</f>
        <v/>
      </c>
      <c r="DU212" s="4" t="str">
        <f t="array" ref="DU212">IFERROR(INDEX(球員狀態!Q$2:Q$5000,MATCH(1,(球員狀態!$A$2:$A$5000=$DF$211)*(ISNUMBER(SEARCH($DF212,球員狀態!$B$2:$B$5000))),0)),"")</f>
        <v/>
      </c>
      <c r="DV212" s="4" t="str">
        <f t="array" ref="DV212">IFERROR(INDEX(球員狀態!R$2:R$5000, MATCH(1, (球員狀態!$A$2:$A$5000=$DF$1)*(ISNUMBER(SEARCH($DF212, 球員狀態!$B$2:$B$5000))), 0)), "")</f>
        <v/>
      </c>
      <c r="DW212" s="4" t="str">
        <f t="array" ref="DW212">IFERROR(INDEX(球員狀態!S$2:S$5000, MATCH(1, (球員狀態!$A$2:$A$5000=$DF$1)*(ISNUMBER(SEARCH($DF212, 球員狀態!$B$2:$B$5000))), 0)), "")</f>
        <v/>
      </c>
      <c r="DX212" s="4" t="str">
        <f t="array" ref="DX212">IFERROR(INDEX(球員狀態!T$2:T$5000,MATCH(1,(球員狀態!$A$2:$A$5000=$DF$211)*(ISNUMBER(SEARCH($DF212,球員狀態!$B$2:$B$5000))),0)),"")</f>
        <v/>
      </c>
      <c r="DY212" s="4" t="str">
        <f t="array" ref="DY212">IFERROR(INDEX(球員狀態!U$2:U$5000, MATCH(1, (球員狀態!$A$2:$A$5000=$DF$1)*(ISNUMBER(SEARCH($DF212, 球員狀態!$B$2:$B$5000))), 0)), "")</f>
        <v/>
      </c>
      <c r="DZ212" s="4" t="str">
        <f t="array" ref="DZ212">IFERROR(INDEX(球員狀態!V$2:V$5000, MATCH(1, (球員狀態!$A$2:$A$5000=$DF$1)*(ISNUMBER(SEARCH($DF212, 球員狀態!$B$2:$B$5000))), 0)), "")</f>
        <v/>
      </c>
      <c r="EA212" s="4" t="str">
        <f t="array" ref="EA212">IFERROR(INDEX(球員狀態!W$2:W$5000,MATCH(1,(球員狀態!$A$2:$A$5000=$DF$211)*(ISNUMBER(SEARCH($DF212,球員狀態!$B$2:$B$5000))),0)),"")</f>
        <v/>
      </c>
      <c r="EB212" s="4" t="str">
        <f t="array" ref="EB212">IFERROR(INDEX(球員狀態!X$2:X$5000, MATCH(1, (球員狀態!$A$2:$A$5000=$DF$1)*(ISNUMBER(SEARCH($DF212, 球員狀態!$B$2:$B$5000))), 0)), "")</f>
        <v/>
      </c>
      <c r="EC212" s="4" t="str">
        <f t="array" ref="EC212">IFERROR(INDEX(球員狀態!Y$2:Y$5000, MATCH(1, (球員狀態!$A$2:$A$5000=$DF$1)*(ISNUMBER(SEARCH($DF212, 球員狀態!$B$2:$B$5000))), 0)), "")</f>
        <v/>
      </c>
      <c r="ED212" s="4" t="str">
        <f t="array" ref="ED212">IFERROR(INDEX(球員狀態!Z$2:Z$5000,MATCH(1,(球員狀態!$A$2:$A$5000=$DF$211)*(ISNUMBER(SEARCH($DF212,球員狀態!$B$2:$B$5000))),0)),"")</f>
        <v/>
      </c>
      <c r="EE212" s="4" t="str">
        <f t="array" ref="EE212">IFERROR(INDEX(球員狀態!AA$2:AA$5000,MATCH(1,(球員狀態!$A$2:$A$5000=$DF$211)*(ISNUMBER(SEARCH($DF212,球員狀態!$B$2:$B$5000))),0)),"")</f>
        <v/>
      </c>
      <c r="EF212" s="4" t="str">
        <f t="array" ref="EF212">IFERROR(INDEX(球員狀態!AB$2:AB$5000,MATCH(1,(球員狀態!$A$2:$A$5000=$DF$211)*(ISNUMBER(SEARCH($DF212,球員狀態!$B$2:$B$5000))),0)),"")</f>
        <v/>
      </c>
      <c r="EG212" s="56"/>
      <c r="EI212" s="35" t="str">
        <f>先發名單!O$9</f>
        <v>Connor Norby</v>
      </c>
      <c r="EJ212" s="4" t="str">
        <f t="array" ref="EJ212">IFERROR(INDEX(球員狀態!C$2:C$5000, MATCH(1, (球員狀態!$A$2:$A$5000=$EI$211)*(ISNUMBER(SEARCH($EI212, 球員狀態!$B$2:$B$5000))), 0)), "")</f>
        <v/>
      </c>
      <c r="EM212" s="4" t="str">
        <f t="array" ref="EM212">IFERROR(INDEX(球員狀態!F$2:F$5000, MATCH(1, (球員狀態!$A$2:$A$5000=$EI$211)*(ISNUMBER(SEARCH($EI212, 球員狀態!$B$2:$B$5000))), 0)), "")</f>
        <v/>
      </c>
      <c r="EN212" s="4" t="str">
        <f t="array" ref="EN212">IFERROR(INDEX(球員狀態!G$2:G$5000, MATCH(1, (球員狀態!$A$2:$A$5000=$EI$1)*(ISNUMBER(SEARCH($EI212, 球員狀態!$B$2:$B$5000))), 0)), "")</f>
        <v/>
      </c>
      <c r="EO212" s="4" t="str">
        <f t="array" ref="EO212">IFERROR(INDEX(球員狀態!H$2:H$5000, MATCH(1, (球員狀態!$A$2:$A$5000=$EI$211)*(ISNUMBER(SEARCH($EI212, 球員狀態!$B$2:$B$5000))), 0)), "")</f>
        <v/>
      </c>
      <c r="EP212" s="4" t="str">
        <f t="array" ref="EP212">IFERROR(INDEX(球員狀態!I$2:I$5000, MATCH(1, (球員狀態!$A$2:$A$5000=$EI$211)*(ISNUMBER(SEARCH($EI212, 球員狀態!$B$2:$B$5000))), 0)), "")</f>
        <v/>
      </c>
      <c r="EQ212" s="4" t="str">
        <f t="array" ref="EQ212">IFERROR(INDEX(球員狀態!J$2:J$5000, MATCH(1, (球員狀態!$A$2:$A$5000=$EI$211)*(ISNUMBER(SEARCH($EI212, 球員狀態!$B$2:$B$5000))), 0)), "")</f>
        <v/>
      </c>
      <c r="ER212" s="4" t="str">
        <f t="array" ref="ER212">IFERROR(INDEX(球員狀態!K$2:K$5000, MATCH(1, (球員狀態!$A$2:$A$5000=$EI$211)*(ISNUMBER(SEARCH($EI212, 球員狀態!$B$2:$B$5000))), 0)), "")</f>
        <v/>
      </c>
      <c r="ES212" s="4" t="str">
        <f t="array" ref="ES212">IFERROR(INDEX(球員狀態!L$2:L$5000, MATCH(1, (球員狀態!$A$2:$A$5000=$EI$211)*(ISNUMBER(SEARCH($EI212, 球員狀態!$B$2:$B$5000))), 0)), "")</f>
        <v/>
      </c>
      <c r="ET212" s="4" t="str">
        <f t="array" ref="ET212">IFERROR(INDEX(球員狀態!M$2:M$5000, MATCH(1, (球員狀態!$A$2:$A$5000=$EI$211)*(ISNUMBER(SEARCH($EI212, 球員狀態!$B$2:$B$5000))), 0)), "")</f>
        <v/>
      </c>
      <c r="EU212" s="4" t="str">
        <f t="array" ref="EU212">IFERROR(INDEX(球員狀態!N$2:N$5000, MATCH(1, (球員狀態!$A$2:$A$5000=$EI$211)*(ISNUMBER(SEARCH($EI212, 球員狀態!$B$2:$B$5000))), 0)), "")</f>
        <v/>
      </c>
      <c r="EV212" s="4" t="str">
        <f t="array" ref="EV212">IFERROR(INDEX(球員狀態!O$2:O$5000, MATCH(1, (球員狀態!$A$2:$A$5000=$EI$1)*(ISNUMBER(SEARCH($EI212, 球員狀態!$B$2:$B$5000))), 0)), "")</f>
        <v/>
      </c>
      <c r="EW212" s="4" t="str">
        <f t="array" ref="EW212">IFERROR(INDEX(球員狀態!P$2:P$5000, MATCH(1, (球員狀態!$A$2:$A$5000=$EI$1)*(ISNUMBER(SEARCH($EI212, 球員狀態!$B$2:$B$5000))), 0)), "")</f>
        <v/>
      </c>
      <c r="EX212" s="4" t="str">
        <f t="array" ref="EX212">IFERROR(INDEX(球員狀態!Q$2:Q$5000, MATCH(1, (球員狀態!$A$2:$A$5000=$EI$211)*(ISNUMBER(SEARCH($EI212, 球員狀態!$B$2:$B$5000))), 0)), "")</f>
        <v/>
      </c>
      <c r="EY212" s="4" t="str">
        <f t="array" ref="EY212">IFERROR(INDEX(球員狀態!R$2:R$5000, MATCH(1, (球員狀態!$A$2:$A$5000=$EI$1)*(ISNUMBER(SEARCH($EI212, 球員狀態!$B$2:$B$5000))), 0)), "")</f>
        <v/>
      </c>
      <c r="EZ212" s="4" t="str">
        <f t="array" ref="EZ212">IFERROR(INDEX(球員狀態!S$2:S$5000, MATCH(1, (球員狀態!$A$2:$A$5000=$EI$1)*(ISNUMBER(SEARCH($EI212, 球員狀態!$B$2:$B$5000))), 0)), "")</f>
        <v/>
      </c>
      <c r="FA212" s="4" t="str">
        <f t="array" ref="FA212">IFERROR(INDEX(球員狀態!T$2:T$5000, MATCH(1, (球員狀態!$A$2:$A$5000=$EI$211)*(ISNUMBER(SEARCH($EI212, 球員狀態!$B$2:$B$5000))), 0)), "")</f>
        <v/>
      </c>
      <c r="FB212" s="4" t="str">
        <f t="array" ref="FB212">IFERROR(INDEX(球員狀態!U$2:U$5000, MATCH(1, (球員狀態!$A$2:$A$5000=$EI$1)*(ISNUMBER(SEARCH($EI212, 球員狀態!$B$2:$B$5000))), 0)), "")</f>
        <v/>
      </c>
      <c r="FC212" s="4" t="str">
        <f t="array" ref="FC212">IFERROR(INDEX(球員狀態!V$2:V$5000, MATCH(1, (球員狀態!$A$2:$A$5000=$EI$1)*(ISNUMBER(SEARCH($EI212, 球員狀態!$B$2:$B$5000))), 0)), "")</f>
        <v/>
      </c>
      <c r="FD212" s="4" t="str">
        <f t="array" ref="FD212">IFERROR(INDEX(球員狀態!W$2:W$5000, MATCH(1, (球員狀態!$A$2:$A$5000=$EI$211)*(ISNUMBER(SEARCH($EI212, 球員狀態!$B$2:$B$5000))), 0)), "")</f>
        <v/>
      </c>
      <c r="FE212" s="4" t="str">
        <f t="array" ref="FE212">IFERROR(INDEX(球員狀態!X$2:X$5000, MATCH(1, (球員狀態!$A$2:$A$5000=$EI$1)*(ISNUMBER(SEARCH($EI212, 球員狀態!$B$2:$B$5000))), 0)), "")</f>
        <v/>
      </c>
      <c r="FF212" s="4" t="str">
        <f t="array" ref="FF212">IFERROR(INDEX(球員狀態!Y$2:Y$5000, MATCH(1, (球員狀態!$A$2:$A$5000=$EI$1)*(ISNUMBER(SEARCH($EI212, 球員狀態!$B$2:$B$5000))), 0)), "")</f>
        <v/>
      </c>
      <c r="FG212" s="4" t="str">
        <f t="array" ref="FG212">IFERROR(INDEX(球員狀態!Z$2:Z$5000, MATCH(1, (球員狀態!$A$2:$A$5000=$EI$211)*(ISNUMBER(SEARCH($EI212, 球員狀態!$B$2:$B$5000))), 0)), "")</f>
        <v/>
      </c>
      <c r="FH212" s="4" t="str">
        <f t="array" ref="FH212">IFERROR(INDEX(球員狀態!AA$2:AA$5000, MATCH(1, (球員狀態!$A$2:$A$5000=$EI$211)*(ISNUMBER(SEARCH($EI212, 球員狀態!$B$2:$B$5000))), 0)), "")</f>
        <v/>
      </c>
      <c r="FI212" s="4" t="str">
        <f t="array" ref="FI212">IFERROR(INDEX(球員狀態!AB$2:AB$5000, MATCH(1, (球員狀態!$A$2:$A$5000=$EI$211)*(ISNUMBER(SEARCH($EI212, 球員狀態!$B$2:$B$5000))), 0)), "")</f>
        <v/>
      </c>
    </row>
    <row r="213" spans="110:165">
      <c r="DF213" s="36"/>
      <c r="DG213" s="4"/>
      <c r="DH213" s="40" t="e">
        <f>DJ213+DL213+DM213+DN213+DO213-DP213-DQ213+DR213</f>
        <v>#VALUE!</v>
      </c>
      <c r="DI213" s="42" t="e">
        <f>DU213+DX213+EA213+ED213+EE213+EF213</f>
        <v>#VALUE!</v>
      </c>
      <c r="DJ213" s="38" t="e">
        <f>VLOOKUP(DJ212*1, $FK$2:$FM$12, 3, TRUE)*$FM$1</f>
        <v>#VALUE!</v>
      </c>
      <c r="DL213" s="38" t="e">
        <f>VLOOKUP(DL212*1, $FN$2:$FP$12, 3, TRUE)*$FP$1</f>
        <v>#VALUE!</v>
      </c>
      <c r="DM213" s="38" t="e">
        <f>VLOOKUP(DM212*1, $FQ$2:$FS$12, 3, TRUE)*$FS$1</f>
        <v>#VALUE!</v>
      </c>
      <c r="DN213" s="38" t="e">
        <f>VLOOKUP(DN212*1, $FT$2:$FV$12, 3, TRUE)*$FV$1</f>
        <v>#VALUE!</v>
      </c>
      <c r="DO213" s="38" t="e">
        <f>VLOOKUP(DO212*1, $FW$2:$FY$12, 3, TRUE)*$FY$1</f>
        <v>#VALUE!</v>
      </c>
      <c r="DP213" s="39" t="e">
        <f>VLOOKUP(DP212*1, $FK$14:$FM$25, 3, TRUE)*$FM$14</f>
        <v>#VALUE!</v>
      </c>
      <c r="DQ213" s="39" t="e">
        <f>VLOOKUP(DQ212*1, $FN$14:$FP$25, 3, TRUE)*$FP$14</f>
        <v>#VALUE!</v>
      </c>
      <c r="DR213" s="38" t="e">
        <f>VLOOKUP(DR212*1, $FQ$14:$FS$25, 3, TRUE)*$FS$14</f>
        <v>#VALUE!</v>
      </c>
      <c r="DU213" s="41" t="e">
        <f>VLOOKUP(DU212*1, $FK$27:$FM$38, 3, TRUE)*$FM$27</f>
        <v>#VALUE!</v>
      </c>
      <c r="DX213" s="41" t="e">
        <f>VLOOKUP(DX212*1, $FN$27:$FP$38, 3, TRUE)*$FP$27</f>
        <v>#VALUE!</v>
      </c>
      <c r="EA213" s="41" t="e">
        <f>VLOOKUP(EA212*1, $FQ$27:$FS$38, 3, TRUE)*$FS$27</f>
        <v>#VALUE!</v>
      </c>
      <c r="ED213" s="41" t="e">
        <f>VLOOKUP(ED212*1, $FT$27:$FV$38, 3, TRUE)*$FV$27</f>
        <v>#VALUE!</v>
      </c>
      <c r="EE213" s="41" t="e">
        <f>VLOOKUP(EE212*1, $FW$27:$FY$38, 3, TRUE)*$FY$27</f>
        <v>#VALUE!</v>
      </c>
      <c r="EF213" s="41" t="e">
        <f>VLOOKUP(EF212*1, $FK$40:$FM$51, 3, TRUE)*$FM$40</f>
        <v>#VALUE!</v>
      </c>
      <c r="EG213" s="57"/>
      <c r="EI213" s="36"/>
      <c r="EJ213" s="4"/>
      <c r="EK213" s="40" t="e">
        <f>EM213+EO213+EP213+EQ213+ER213-ES213-ET213+EU213</f>
        <v>#VALUE!</v>
      </c>
      <c r="EL213" s="42" t="e">
        <f>EX213+FA213+FD213+FG213+FH213+FI213</f>
        <v>#VALUE!</v>
      </c>
      <c r="EM213" s="38" t="e">
        <f>VLOOKUP(EM212*1, $FK$2:$FM$12, 3, TRUE)*$FM$1</f>
        <v>#VALUE!</v>
      </c>
      <c r="EO213" s="38" t="e">
        <f>VLOOKUP(EO212*1, $FN$2:$FP$12, 3, TRUE)*$FP$1</f>
        <v>#VALUE!</v>
      </c>
      <c r="EP213" s="38" t="e">
        <f>VLOOKUP(EP212*1, $FQ$2:$FS$12, 3, TRUE)*$FS$1</f>
        <v>#VALUE!</v>
      </c>
      <c r="EQ213" s="38" t="e">
        <f>VLOOKUP(EQ212*1, $FT$2:$FV$12, 3, TRUE)*$FV$1</f>
        <v>#VALUE!</v>
      </c>
      <c r="ER213" s="38" t="e">
        <f>VLOOKUP(ER212*1, $FW$2:$FY$12, 3, TRUE)*$FY$1</f>
        <v>#VALUE!</v>
      </c>
      <c r="ES213" s="39" t="e">
        <f>VLOOKUP(ES212*1, $FK$14:$FM$25, 3, TRUE)*$FM$14</f>
        <v>#VALUE!</v>
      </c>
      <c r="ET213" s="39" t="e">
        <f>VLOOKUP(ET212*1, $FN$14:$FP$25, 3, TRUE)*$FP$14</f>
        <v>#VALUE!</v>
      </c>
      <c r="EU213" s="38" t="e">
        <f>VLOOKUP(EU212*1, $FQ$14:$FS$25, 3, TRUE)*$FS$14</f>
        <v>#VALUE!</v>
      </c>
      <c r="EX213" s="41" t="e">
        <f>VLOOKUP(EX212*1, $FK$27:$FM$38, 3, TRUE)*$FM$27</f>
        <v>#VALUE!</v>
      </c>
      <c r="FA213" s="41" t="e">
        <f>VLOOKUP(FA212*1, $FN$27:$FP$38, 3, TRUE)*$FP$27</f>
        <v>#VALUE!</v>
      </c>
      <c r="FD213" s="41" t="e">
        <f>VLOOKUP(FD212*1, $FQ$27:$FS$38, 3, TRUE)*$FS$27</f>
        <v>#VALUE!</v>
      </c>
      <c r="FG213" s="41" t="e">
        <f>VLOOKUP(FG212*1, $FT$27:$FV$38, 3, TRUE)*$FV$27</f>
        <v>#VALUE!</v>
      </c>
      <c r="FH213" s="41" t="e">
        <f>VLOOKUP(FH212*1, $FW$27:$FY$38, 3, TRUE)*$FY$27</f>
        <v>#VALUE!</v>
      </c>
      <c r="FI213" s="41" t="e">
        <f>VLOOKUP(FI212*1, $FK$40:$FM$51, 3, TRUE)*$FM$40</f>
        <v>#VALUE!</v>
      </c>
    </row>
    <row r="214" spans="110:165">
      <c r="DF214" s="35" t="str">
        <f>先發名單!F9</f>
        <v>Y. Yamamoto</v>
      </c>
      <c r="DG214" s="4" t="str">
        <f t="array" ref="DG214">IFERROR(INDEX(球員狀態!$C$2:$C$5000, MATCH(1, (球員狀態!$A$2:$A$5000=$DF$211)*(ISNUMBER(SEARCH($DF214, 球員狀態!$B$2:$B$5000))), 0)), "")</f>
        <v/>
      </c>
      <c r="DJ214" s="4" t="str">
        <f t="array" ref="DJ214">IFERROR(INDEX(球員狀態!$F$2:$F$5000,MATCH(1,(球員狀態!$A$2:$A$5000=$DF$211)*(ISNUMBER(SEARCH($DF214,球員狀態!$B$2:$B$5000))),0)),"")</f>
        <v/>
      </c>
      <c r="DK214" s="4" t="str">
        <f t="array" ref="DK214">IFERROR(INDEX(球員狀態!G$2:G$5000, MATCH(1, (球員狀態!$A$2:$A$5000=$DF$1)*(ISNUMBER(SEARCH($DF214, 球員狀態!$B$2:$B$5000))), 0)), "")</f>
        <v/>
      </c>
      <c r="DL214" s="4" t="str">
        <f t="array" ref="DL214">IFERROR(INDEX(球員狀態!H$2:H$5000, MATCH(1, (球員狀態!$A$2:$A$5000=$DF$211)*(ISNUMBER(SEARCH($DF214, 球員狀態!$B$2:$B$5000))), 0)), "")</f>
        <v/>
      </c>
      <c r="DM214" s="4" t="str">
        <f t="array" ref="DM214">IFERROR(INDEX(球員狀態!I$2:I$5000,MATCH(1,(球員狀態!$A$2:$A$5000=$DF$211)*(ISNUMBER(SEARCH($DF214,球員狀態!$B$2:$B$5000))),0)),"")</f>
        <v/>
      </c>
      <c r="DN214" s="4" t="str">
        <f t="array" ref="DN214">IFERROR(INDEX(球員狀態!J$2:J$5000,MATCH(1,(球員狀態!$A$2:$A$5000=$DF$211)*(ISNUMBER(SEARCH($DF214,球員狀態!$B$2:$B$5000))),0)),"")</f>
        <v/>
      </c>
      <c r="DO214" s="4" t="str">
        <f t="array" ref="DO214">IFERROR(INDEX(球員狀態!K$2:K$5000,MATCH(1,(球員狀態!$A$2:$A$5000=$DF$211)*(ISNUMBER(SEARCH($DF214,球員狀態!$B$2:$B$5000))),0)),"")</f>
        <v/>
      </c>
      <c r="DP214" s="4" t="str">
        <f t="array" ref="DP214">IFERROR(INDEX(球員狀態!L$2:L$5000,MATCH(1,(球員狀態!$A$2:$A$5000=$DF$211)*(ISNUMBER(SEARCH($DF214,球員狀態!$B$2:$B$5000))),0)),"")</f>
        <v/>
      </c>
      <c r="DQ214" s="4" t="str">
        <f t="array" ref="DQ214">IFERROR(INDEX(球員狀態!M$2:M$5000,MATCH(1,(球員狀態!$A$2:$A$5000=$DF$211)*(ISNUMBER(SEARCH($DF214,球員狀態!$B$2:$B$5000))),0)),"")</f>
        <v/>
      </c>
      <c r="DR214" s="4" t="str">
        <f t="array" ref="DR214">IFERROR(INDEX(球員狀態!N$2:N$5000,MATCH(1,(球員狀態!$A$2:$A$5000=$DF$211)*(ISNUMBER(SEARCH($DF214,球員狀態!$B$2:$B$5000))),0)),"")</f>
        <v/>
      </c>
      <c r="DS214" s="4" t="str">
        <f t="array" ref="DS214">IFERROR(INDEX(球員狀態!O$2:O$5000, MATCH(1, (球員狀態!$A$2:$A$5000=$DF$1)*(ISNUMBER(SEARCH($DF214, 球員狀態!$B$2:$B$5000))), 0)), "")</f>
        <v/>
      </c>
      <c r="DT214" s="4" t="str">
        <f t="array" ref="DT214">IFERROR(INDEX(球員狀態!P$2:P$5000, MATCH(1, (球員狀態!$A$2:$A$5000=$DF$1)*(ISNUMBER(SEARCH($DF214, 球員狀態!$B$2:$B$5000))), 0)), "")</f>
        <v/>
      </c>
      <c r="DU214" s="4" t="str">
        <f t="array" ref="DU214">IFERROR(INDEX(球員狀態!Q$2:Q$5000,MATCH(1,(球員狀態!$A$2:$A$5000=$DF$211)*(ISNUMBER(SEARCH($DF214,球員狀態!$B$2:$B$5000))),0)),"")</f>
        <v/>
      </c>
      <c r="DV214" s="4" t="str">
        <f t="array" ref="DV214">IFERROR(INDEX(球員狀態!R$2:R$5000, MATCH(1, (球員狀態!$A$2:$A$5000=$DF$1)*(ISNUMBER(SEARCH($DF214, 球員狀態!$B$2:$B$5000))), 0)), "")</f>
        <v/>
      </c>
      <c r="DW214" s="4" t="str">
        <f t="array" ref="DW214">IFERROR(INDEX(球員狀態!S$2:S$5000, MATCH(1, (球員狀態!$A$2:$A$5000=$DF$1)*(ISNUMBER(SEARCH($DF214, 球員狀態!$B$2:$B$5000))), 0)), "")</f>
        <v/>
      </c>
      <c r="DX214" s="4" t="str">
        <f t="array" ref="DX214">IFERROR(INDEX(球員狀態!T$2:T$5000,MATCH(1,(球員狀態!$A$2:$A$5000=$DF$211)*(ISNUMBER(SEARCH($DF214,球員狀態!$B$2:$B$5000))),0)),"")</f>
        <v/>
      </c>
      <c r="DY214" s="4" t="str">
        <f t="array" ref="DY214">IFERROR(INDEX(球員狀態!U$2:U$5000, MATCH(1, (球員狀態!$A$2:$A$5000=$DF$1)*(ISNUMBER(SEARCH($DF214, 球員狀態!$B$2:$B$5000))), 0)), "")</f>
        <v/>
      </c>
      <c r="DZ214" s="4" t="str">
        <f t="array" ref="DZ214">IFERROR(INDEX(球員狀態!V$2:V$5000, MATCH(1, (球員狀態!$A$2:$A$5000=$DF$1)*(ISNUMBER(SEARCH($DF214, 球員狀態!$B$2:$B$5000))), 0)), "")</f>
        <v/>
      </c>
      <c r="EA214" s="4" t="str">
        <f t="array" ref="EA214">IFERROR(INDEX(球員狀態!W$2:W$5000,MATCH(1,(球員狀態!$A$2:$A$5000=$DF$211)*(ISNUMBER(SEARCH($DF214,球員狀態!$B$2:$B$5000))),0)),"")</f>
        <v/>
      </c>
      <c r="EB214" s="4" t="str">
        <f t="array" ref="EB214">IFERROR(INDEX(球員狀態!X$2:X$5000, MATCH(1, (球員狀態!$A$2:$A$5000=$DF$1)*(ISNUMBER(SEARCH($DF214, 球員狀態!$B$2:$B$5000))), 0)), "")</f>
        <v/>
      </c>
      <c r="EC214" s="4" t="str">
        <f t="array" ref="EC214">IFERROR(INDEX(球員狀態!Y$2:Y$5000, MATCH(1, (球員狀態!$A$2:$A$5000=$DF$1)*(ISNUMBER(SEARCH($DF214, 球員狀態!$B$2:$B$5000))), 0)), "")</f>
        <v/>
      </c>
      <c r="ED214" s="4" t="str">
        <f t="array" ref="ED214">IFERROR(INDEX(球員狀態!Z$2:Z$5000,MATCH(1,(球員狀態!$A$2:$A$5000=$DF$211)*(ISNUMBER(SEARCH($DF214,球員狀態!$B$2:$B$5000))),0)),"")</f>
        <v/>
      </c>
      <c r="EE214" s="4" t="str">
        <f t="array" ref="EE214">IFERROR(INDEX(球員狀態!AA$2:AA$5000,MATCH(1,(球員狀態!$A$2:$A$5000=$DF$211)*(ISNUMBER(SEARCH($DF214,球員狀態!$B$2:$B$5000))),0)),"")</f>
        <v/>
      </c>
      <c r="EF214" s="4" t="str">
        <f t="array" ref="EF214">IFERROR(INDEX(球員狀態!AB$2:AB$5000,MATCH(1,(球員狀態!$A$2:$A$5000=$DF$211)*(ISNUMBER(SEARCH($DF214,球員狀態!$B$2:$B$5000))),0)),"")</f>
        <v/>
      </c>
      <c r="EG214" s="56"/>
      <c r="EI214" s="35" t="str">
        <f>先發名單!P$9</f>
        <v>S. Ohtani</v>
      </c>
      <c r="EJ214" s="4" t="str">
        <f t="array" ref="EJ214">IFERROR(INDEX(球員狀態!C$2:C$5000, MATCH(1, (球員狀態!$A$2:$A$5000=$EI$211)*(ISNUMBER(SEARCH($EI214, 球員狀態!$B$2:$B$5000))), 0)), "")</f>
        <v/>
      </c>
      <c r="EM214" s="4" t="str">
        <f t="array" ref="EM214">IFERROR(INDEX(球員狀態!F$2:F$5000, MATCH(1, (球員狀態!$A$2:$A$5000=$EI$211)*(ISNUMBER(SEARCH($EI214, 球員狀態!$B$2:$B$5000))), 0)), "")</f>
        <v/>
      </c>
      <c r="EN214" s="4" t="str">
        <f t="array" ref="EN214">IFERROR(INDEX(球員狀態!G$2:G$5000, MATCH(1, (球員狀態!$A$2:$A$5000=$EI$1)*(ISNUMBER(SEARCH($EI214, 球員狀態!$B$2:$B$5000))), 0)), "")</f>
        <v/>
      </c>
      <c r="EO214" s="4" t="str">
        <f t="array" ref="EO214">IFERROR(INDEX(球員狀態!H$2:H$5000, MATCH(1, (球員狀態!$A$2:$A$5000=$EI$211)*(ISNUMBER(SEARCH($EI214, 球員狀態!$B$2:$B$5000))), 0)), "")</f>
        <v/>
      </c>
      <c r="EP214" s="4" t="str">
        <f t="array" ref="EP214">IFERROR(INDEX(球員狀態!I$2:I$5000, MATCH(1, (球員狀態!$A$2:$A$5000=$EI$211)*(ISNUMBER(SEARCH($EI214, 球員狀態!$B$2:$B$5000))), 0)), "")</f>
        <v/>
      </c>
      <c r="EQ214" s="4" t="str">
        <f t="array" ref="EQ214">IFERROR(INDEX(球員狀態!J$2:J$5000, MATCH(1, (球員狀態!$A$2:$A$5000=$EI$211)*(ISNUMBER(SEARCH($EI214, 球員狀態!$B$2:$B$5000))), 0)), "")</f>
        <v/>
      </c>
      <c r="ER214" s="4" t="str">
        <f t="array" ref="ER214">IFERROR(INDEX(球員狀態!K$2:K$5000, MATCH(1, (球員狀態!$A$2:$A$5000=$EI$211)*(ISNUMBER(SEARCH($EI214, 球員狀態!$B$2:$B$5000))), 0)), "")</f>
        <v/>
      </c>
      <c r="ES214" s="4" t="str">
        <f t="array" ref="ES214">IFERROR(INDEX(球員狀態!L$2:L$5000, MATCH(1, (球員狀態!$A$2:$A$5000=$EI$211)*(ISNUMBER(SEARCH($EI214, 球員狀態!$B$2:$B$5000))), 0)), "")</f>
        <v/>
      </c>
      <c r="ET214" s="4" t="str">
        <f t="array" ref="ET214">IFERROR(INDEX(球員狀態!M$2:M$5000, MATCH(1, (球員狀態!$A$2:$A$5000=$EI$211)*(ISNUMBER(SEARCH($EI214, 球員狀態!$B$2:$B$5000))), 0)), "")</f>
        <v/>
      </c>
      <c r="EU214" s="4" t="str">
        <f t="array" ref="EU214">IFERROR(INDEX(球員狀態!N$2:N$5000, MATCH(1, (球員狀態!$A$2:$A$5000=$EI$211)*(ISNUMBER(SEARCH($EI214, 球員狀態!$B$2:$B$5000))), 0)), "")</f>
        <v/>
      </c>
      <c r="EV214" s="4" t="str">
        <f t="array" ref="EV214">IFERROR(INDEX(球員狀態!O$2:O$5000, MATCH(1, (球員狀態!$A$2:$A$5000=$EI$1)*(ISNUMBER(SEARCH($EI214, 球員狀態!$B$2:$B$5000))), 0)), "")</f>
        <v/>
      </c>
      <c r="EW214" s="4" t="str">
        <f t="array" ref="EW214">IFERROR(INDEX(球員狀態!P$2:P$5000, MATCH(1, (球員狀態!$A$2:$A$5000=$EI$1)*(ISNUMBER(SEARCH($EI214, 球員狀態!$B$2:$B$5000))), 0)), "")</f>
        <v/>
      </c>
      <c r="EX214" s="4" t="str">
        <f t="array" ref="EX214">IFERROR(INDEX(球員狀態!Q$2:Q$5000, MATCH(1, (球員狀態!$A$2:$A$5000=$EI$211)*(ISNUMBER(SEARCH($EI214, 球員狀態!$B$2:$B$5000))), 0)), "")</f>
        <v/>
      </c>
      <c r="EY214" s="4" t="str">
        <f t="array" ref="EY214">IFERROR(INDEX(球員狀態!R$2:R$5000, MATCH(1, (球員狀態!$A$2:$A$5000=$EI$1)*(ISNUMBER(SEARCH($EI214, 球員狀態!$B$2:$B$5000))), 0)), "")</f>
        <v/>
      </c>
      <c r="EZ214" s="4" t="str">
        <f t="array" ref="EZ214">IFERROR(INDEX(球員狀態!S$2:S$5000, MATCH(1, (球員狀態!$A$2:$A$5000=$EI$1)*(ISNUMBER(SEARCH($EI214, 球員狀態!$B$2:$B$5000))), 0)), "")</f>
        <v/>
      </c>
      <c r="FA214" s="4" t="str">
        <f t="array" ref="FA214">IFERROR(INDEX(球員狀態!T$2:T$5000, MATCH(1, (球員狀態!$A$2:$A$5000=$EI$211)*(ISNUMBER(SEARCH($EI214, 球員狀態!$B$2:$B$5000))), 0)), "")</f>
        <v/>
      </c>
      <c r="FB214" s="4" t="str">
        <f t="array" ref="FB214">IFERROR(INDEX(球員狀態!U$2:U$5000, MATCH(1, (球員狀態!$A$2:$A$5000=$EI$1)*(ISNUMBER(SEARCH($EI214, 球員狀態!$B$2:$B$5000))), 0)), "")</f>
        <v/>
      </c>
      <c r="FC214" s="4" t="str">
        <f t="array" ref="FC214">IFERROR(INDEX(球員狀態!V$2:V$5000, MATCH(1, (球員狀態!$A$2:$A$5000=$EI$1)*(ISNUMBER(SEARCH($EI214, 球員狀態!$B$2:$B$5000))), 0)), "")</f>
        <v/>
      </c>
      <c r="FD214" s="4" t="str">
        <f t="array" ref="FD214">IFERROR(INDEX(球員狀態!W$2:W$5000, MATCH(1, (球員狀態!$A$2:$A$5000=$EI$211)*(ISNUMBER(SEARCH($EI214, 球員狀態!$B$2:$B$5000))), 0)), "")</f>
        <v/>
      </c>
      <c r="FE214" s="4" t="str">
        <f t="array" ref="FE214">IFERROR(INDEX(球員狀態!X$2:X$5000, MATCH(1, (球員狀態!$A$2:$A$5000=$EI$1)*(ISNUMBER(SEARCH($EI214, 球員狀態!$B$2:$B$5000))), 0)), "")</f>
        <v/>
      </c>
      <c r="FF214" s="4" t="str">
        <f t="array" ref="FF214">IFERROR(INDEX(球員狀態!Y$2:Y$5000, MATCH(1, (球員狀態!$A$2:$A$5000=$EI$1)*(ISNUMBER(SEARCH($EI214, 球員狀態!$B$2:$B$5000))), 0)), "")</f>
        <v/>
      </c>
      <c r="FG214" s="4" t="str">
        <f t="array" ref="FG214">IFERROR(INDEX(球員狀態!Z$2:Z$5000, MATCH(1, (球員狀態!$A$2:$A$5000=$EI$211)*(ISNUMBER(SEARCH($EI214, 球員狀態!$B$2:$B$5000))), 0)), "")</f>
        <v/>
      </c>
      <c r="FH214" s="4" t="str">
        <f t="array" ref="FH214">IFERROR(INDEX(球員狀態!AA$2:AA$5000, MATCH(1, (球員狀態!$A$2:$A$5000=$EI$211)*(ISNUMBER(SEARCH($EI214, 球員狀態!$B$2:$B$5000))), 0)), "")</f>
        <v/>
      </c>
      <c r="FI214" s="4" t="str">
        <f t="array" ref="FI214">IFERROR(INDEX(球員狀態!AB$2:AB$5000, MATCH(1, (球員狀態!$A$2:$A$5000=$EI$211)*(ISNUMBER(SEARCH($EI214, 球員狀態!$B$2:$B$5000))), 0)), "")</f>
        <v/>
      </c>
    </row>
    <row r="215" spans="110:165">
      <c r="DF215" s="36"/>
      <c r="DG215" s="4"/>
      <c r="DH215" s="40" t="e">
        <f>DJ215+DL215+DM215+DN215+DO215-DP215-DQ215+DR215</f>
        <v>#VALUE!</v>
      </c>
      <c r="DI215" s="42" t="e">
        <f>DU215+DX215+EA215+ED215+EE215+EF215</f>
        <v>#VALUE!</v>
      </c>
      <c r="DJ215" s="38" t="e">
        <f>VLOOKUP(DJ214*1, FK$2:FM$12, 3, TRUE)*FM$1</f>
        <v>#VALUE!</v>
      </c>
      <c r="DL215" s="38" t="e">
        <f>VLOOKUP(DL214*1, FN$2:FP$12, 3, TRUE)*FP$1</f>
        <v>#VALUE!</v>
      </c>
      <c r="DM215" s="38" t="e">
        <f>VLOOKUP(DM214*1, FQ$2:FS$12, 3, TRUE)*FS$1</f>
        <v>#VALUE!</v>
      </c>
      <c r="DN215" s="38" t="e">
        <f>VLOOKUP(DN214*1, FT$2:FV$12, 3, TRUE)*FV$1</f>
        <v>#VALUE!</v>
      </c>
      <c r="DO215" s="38" t="e">
        <f>VLOOKUP(DO214*1, FW$2:FY$12, 3, TRUE)*FY$1</f>
        <v>#VALUE!</v>
      </c>
      <c r="DP215" s="39" t="e">
        <f>VLOOKUP(DP214*1, FK$14:FM$25, 3, TRUE)*FM$14</f>
        <v>#VALUE!</v>
      </c>
      <c r="DQ215" s="39" t="e">
        <f>VLOOKUP(DQ214*1, FN$14:FP$25, 3, TRUE)*FP$14</f>
        <v>#VALUE!</v>
      </c>
      <c r="DR215" s="38" t="e">
        <f>VLOOKUP(DR214*1, FQ$14:FS$25, 3, TRUE)*FS$14</f>
        <v>#VALUE!</v>
      </c>
      <c r="DU215" s="41" t="e">
        <f>VLOOKUP(DU214*1, FK$27:FM$38, 3, TRUE)*FM$27</f>
        <v>#VALUE!</v>
      </c>
      <c r="DX215" s="41" t="e">
        <f>VLOOKUP(DX214*1, FN$27:FP$38, 3, TRUE)*FP$27</f>
        <v>#VALUE!</v>
      </c>
      <c r="EA215" s="41" t="e">
        <f>VLOOKUP(EA214*1, FQ$27:FS$38, 3, TRUE)*FS$27</f>
        <v>#VALUE!</v>
      </c>
      <c r="ED215" s="41" t="e">
        <f>VLOOKUP(ED214*1, FT$27:FV$38, 3, TRUE)*FV$27</f>
        <v>#VALUE!</v>
      </c>
      <c r="EE215" s="41" t="e">
        <f>VLOOKUP(EE214*1, FW$27:FY$38, 3, TRUE)*FY$27</f>
        <v>#VALUE!</v>
      </c>
      <c r="EF215" s="41" t="e">
        <f>VLOOKUP(EF214*1, FK$40:FM$51, 3, TRUE)*FM$40</f>
        <v>#VALUE!</v>
      </c>
      <c r="EG215" s="57"/>
      <c r="EI215" s="36"/>
      <c r="EJ215" s="4"/>
      <c r="EK215" s="40" t="e">
        <f>EM215+EO215+EP215+EQ215+ER215-ES215-ET215+EU215</f>
        <v>#VALUE!</v>
      </c>
      <c r="EL215" s="42" t="e">
        <f>EX215+FA215+FD215+FG215+FH215+FI215</f>
        <v>#VALUE!</v>
      </c>
      <c r="EM215" s="38" t="e">
        <f>VLOOKUP(EM214*1, $FK$2:$FM$12, 3, TRUE)*$FM$1</f>
        <v>#VALUE!</v>
      </c>
      <c r="EO215" s="38" t="e">
        <f>VLOOKUP(EO214*1, $FN$2:$FP$12, 3, TRUE)*$FP$1</f>
        <v>#VALUE!</v>
      </c>
      <c r="EP215" s="38" t="e">
        <f>VLOOKUP(EP214*1, $FQ$2:$FS$12, 3, TRUE)*$FS$1</f>
        <v>#VALUE!</v>
      </c>
      <c r="EQ215" s="38" t="e">
        <f>VLOOKUP(EQ214*1, $FT$2:$FV$12, 3, TRUE)*$FV$1</f>
        <v>#VALUE!</v>
      </c>
      <c r="ER215" s="38" t="e">
        <f>VLOOKUP(ER214*1, $FW$2:$FY$12, 3, TRUE)*$FY$1</f>
        <v>#VALUE!</v>
      </c>
      <c r="ES215" s="39" t="e">
        <f>VLOOKUP(ES214*1, $FK$14:$FM$25, 3, TRUE)*$FM$14</f>
        <v>#VALUE!</v>
      </c>
      <c r="ET215" s="39" t="e">
        <f>VLOOKUP(ET214*1, $FN$14:$FP$25, 3, TRUE)*$FP$14</f>
        <v>#VALUE!</v>
      </c>
      <c r="EU215" s="38" t="e">
        <f>VLOOKUP(EU214*1, $FQ$14:$FS$25, 3, TRUE)*$FS$14</f>
        <v>#VALUE!</v>
      </c>
      <c r="EX215" s="41" t="e">
        <f>VLOOKUP(EX214*1, $FK$27:$FM$38, 3, TRUE)*$FM$27</f>
        <v>#VALUE!</v>
      </c>
      <c r="FA215" s="41" t="e">
        <f>VLOOKUP(FA214*1, $FN$27:$FP$38, 3, TRUE)*$FP$27</f>
        <v>#VALUE!</v>
      </c>
      <c r="FD215" s="41" t="e">
        <f>VLOOKUP(FD214*1, $FQ$27:$FS$38, 3, TRUE)*$FS$27</f>
        <v>#VALUE!</v>
      </c>
      <c r="FG215" s="41" t="e">
        <f>VLOOKUP(FG214*1, $FT$27:$FV$38, 3, TRUE)*$FV$27</f>
        <v>#VALUE!</v>
      </c>
      <c r="FH215" s="41" t="e">
        <f>VLOOKUP(FH214*1, $FW$27:$FY$38, 3, TRUE)*$FY$27</f>
        <v>#VALUE!</v>
      </c>
      <c r="FI215" s="41" t="e">
        <f>VLOOKUP(FI214*1, $FK$40:$FM$51, 3, TRUE)*$FM$40</f>
        <v>#VALUE!</v>
      </c>
    </row>
    <row r="216" spans="110:165">
      <c r="DF216" s="35" t="str">
        <f>先發名單!G$9</f>
        <v>Jakob Marsee</v>
      </c>
      <c r="DG216" s="4" t="str">
        <f t="array" ref="DG216">IFERROR(INDEX(球員狀態!$C$2:$C$5000, MATCH(1, (球員狀態!$A$2:$A$5000=$DF$211)*(ISNUMBER(SEARCH($DF216, 球員狀態!$B$2:$B$5000))), 0)), "")</f>
        <v>CF</v>
      </c>
      <c r="DJ216" s="4" t="str">
        <f t="array" ref="DJ216">IFERROR(INDEX(球員狀態!$F$2:$F$5000,MATCH(1,(球員狀態!$A$2:$A$5000=$DF$211)*(ISNUMBER(SEARCH($DF216,球員狀態!$B$2:$B$5000))),0)),"")</f>
        <v>17</v>
      </c>
      <c r="DK216" s="4" t="str">
        <f t="array" ref="DK216">IFERROR(INDEX(球員狀態!G$2:G$5000, MATCH(1, (球員狀態!$A$2:$A$5000=$DF$1)*(ISNUMBER(SEARCH($DF216, 球員狀態!$B$2:$B$5000))), 0)), "")</f>
        <v/>
      </c>
      <c r="DL216" s="4" t="str">
        <f t="array" ref="DL216">IFERROR(INDEX(球員狀態!H$2:H$5000, MATCH(1, (球員狀態!$A$2:$A$5000=$DF$211)*(ISNUMBER(SEARCH($DF216, 球員狀態!$B$2:$B$5000))), 0)), "")</f>
        <v>2</v>
      </c>
      <c r="DM216" s="4" t="str">
        <f t="array" ref="DM216">IFERROR(INDEX(球員狀態!I$2:I$5000,MATCH(1,(球員狀態!$A$2:$A$5000=$DF$211)*(ISNUMBER(SEARCH($DF216,球員狀態!$B$2:$B$5000))),0)),"")</f>
        <v>2</v>
      </c>
      <c r="DN216" s="4" t="str">
        <f t="array" ref="DN216">IFERROR(INDEX(球員狀態!J$2:J$5000,MATCH(1,(球員狀態!$A$2:$A$5000=$DF$211)*(ISNUMBER(SEARCH($DF216,球員狀態!$B$2:$B$5000))),0)),"")</f>
        <v>1</v>
      </c>
      <c r="DO216" s="4" t="str">
        <f t="array" ref="DO216">IFERROR(INDEX(球員狀態!K$2:K$5000,MATCH(1,(球員狀態!$A$2:$A$5000=$DF$211)*(ISNUMBER(SEARCH($DF216,球員狀態!$B$2:$B$5000))),0)),"")</f>
        <v>8</v>
      </c>
      <c r="DP216" s="4" t="str">
        <f t="array" ref="DP216">IFERROR(INDEX(球員狀態!L$2:L$5000,MATCH(1,(球員狀態!$A$2:$A$5000=$DF$211)*(ISNUMBER(SEARCH($DF216,球員狀態!$B$2:$B$5000))),0)),"")</f>
        <v>28</v>
      </c>
      <c r="DQ216" s="4" t="str">
        <f t="array" ref="DQ216">IFERROR(INDEX(球員狀態!M$2:M$5000,MATCH(1,(球員狀態!$A$2:$A$5000=$DF$211)*(ISNUMBER(SEARCH($DF216,球員狀態!$B$2:$B$5000))),0)),"")</f>
        <v>16</v>
      </c>
      <c r="DR216" s="4" t="str">
        <f t="array" ref="DR216">IFERROR(INDEX(球員狀態!N$2:N$5000,MATCH(1,(球員狀態!$A$2:$A$5000=$DF$211)*(ISNUMBER(SEARCH($DF216,球員狀態!$B$2:$B$5000))),0)),"")</f>
        <v>26</v>
      </c>
      <c r="DS216" s="4" t="str">
        <f t="array" ref="DS216">IFERROR(INDEX(球員狀態!O$2:O$5000, MATCH(1, (球員狀態!$A$2:$A$5000=$DF$1)*(ISNUMBER(SEARCH($DF216, 球員狀態!$B$2:$B$5000))), 0)), "")</f>
        <v/>
      </c>
      <c r="DT216" s="4" t="str">
        <f t="array" ref="DT216">IFERROR(INDEX(球員狀態!P$2:P$5000, MATCH(1, (球員狀態!$A$2:$A$5000=$DF$1)*(ISNUMBER(SEARCH($DF216, 球員狀態!$B$2:$B$5000))), 0)), "")</f>
        <v/>
      </c>
      <c r="DU216" s="4" t="str">
        <f t="array" ref="DU216">IFERROR(INDEX(球員狀態!Q$2:Q$5000,MATCH(1,(球員狀態!$A$2:$A$5000=$DF$211)*(ISNUMBER(SEARCH($DF216,球員狀態!$B$2:$B$5000))),0)),"")</f>
        <v>.294</v>
      </c>
      <c r="DV216" s="4" t="str">
        <f t="array" ref="DV216">IFERROR(INDEX(球員狀態!R$2:R$5000, MATCH(1, (球員狀態!$A$2:$A$5000=$DF$1)*(ISNUMBER(SEARCH($DF216, 球員狀態!$B$2:$B$5000))), 0)), "")</f>
        <v/>
      </c>
      <c r="DW216" s="4" t="str">
        <f t="array" ref="DW216">IFERROR(INDEX(球員狀態!S$2:S$5000, MATCH(1, (球員狀態!$A$2:$A$5000=$DF$1)*(ISNUMBER(SEARCH($DF216, 球員狀態!$B$2:$B$5000))), 0)), "")</f>
        <v/>
      </c>
      <c r="DX216" s="4" t="str">
        <f t="array" ref="DX216">IFERROR(INDEX(球員狀態!T$2:T$5000,MATCH(1,(球員狀態!$A$2:$A$5000=$DF$211)*(ISNUMBER(SEARCH($DF216,球員狀態!$B$2:$B$5000))),0)),"")</f>
        <v>-0.2</v>
      </c>
      <c r="DY216" s="4" t="str">
        <f t="array" ref="DY216">IFERROR(INDEX(球員狀態!U$2:U$5000, MATCH(1, (球員狀態!$A$2:$A$5000=$DF$1)*(ISNUMBER(SEARCH($DF216, 球員狀態!$B$2:$B$5000))), 0)), "")</f>
        <v/>
      </c>
      <c r="DZ216" s="4" t="str">
        <f t="array" ref="DZ216">IFERROR(INDEX(球員狀態!V$2:V$5000, MATCH(1, (球員狀態!$A$2:$A$5000=$DF$1)*(ISNUMBER(SEARCH($DF216, 球員狀態!$B$2:$B$5000))), 0)), "")</f>
        <v/>
      </c>
      <c r="EA216" s="4" t="str">
        <f t="array" ref="EA216">IFERROR(INDEX(球員狀態!W$2:W$5000,MATCH(1,(球員狀態!$A$2:$A$5000=$DF$211)*(ISNUMBER(SEARCH($DF216,球員狀態!$B$2:$B$5000))),0)),"")</f>
        <v>.127</v>
      </c>
      <c r="EB216" s="4" t="str">
        <f t="array" ref="EB216">IFERROR(INDEX(球員狀態!X$2:X$5000, MATCH(1, (球員狀態!$A$2:$A$5000=$DF$1)*(ISNUMBER(SEARCH($DF216, 球員狀態!$B$2:$B$5000))), 0)), "")</f>
        <v/>
      </c>
      <c r="EC216" s="4" t="str">
        <f t="array" ref="EC216">IFERROR(INDEX(球員狀態!Y$2:Y$5000, MATCH(1, (球員狀態!$A$2:$A$5000=$DF$1)*(ISNUMBER(SEARCH($DF216, 球員狀態!$B$2:$B$5000))), 0)), "")</f>
        <v/>
      </c>
      <c r="ED216" s="4" t="str">
        <f t="array" ref="ED216">IFERROR(INDEX(球員狀態!Z$2:Z$5000,MATCH(1,(球員狀態!$A$2:$A$5000=$DF$211)*(ISNUMBER(SEARCH($DF216,球員狀態!$B$2:$B$5000))),0)),"")</f>
        <v>.318</v>
      </c>
      <c r="EE216" s="4" t="str">
        <f t="array" ref="EE216">IFERROR(INDEX(球員狀態!AA$2:AA$5000,MATCH(1,(球員狀態!$A$2:$A$5000=$DF$211)*(ISNUMBER(SEARCH($DF216,球員狀態!$B$2:$B$5000))),0)),"")</f>
        <v>4.13</v>
      </c>
      <c r="EF216" s="4" t="str">
        <f t="array" ref="EF216">IFERROR(INDEX(球員狀態!AB$2:AB$5000,MATCH(1,(球員狀態!$A$2:$A$5000=$DF$211)*(ISNUMBER(SEARCH($DF216,球員狀態!$B$2:$B$5000))),0)),"")</f>
        <v>5</v>
      </c>
      <c r="EG216" s="56"/>
      <c r="EI216" s="35" t="str">
        <f>先發名單!Q$9</f>
        <v>F. Freeman</v>
      </c>
      <c r="EJ216" s="4" t="str">
        <f t="array" ref="EJ216">IFERROR(INDEX(球員狀態!C$2:C$5000, MATCH(1, (球員狀態!$A$2:$A$5000=$EI$211)*(ISNUMBER(SEARCH($EI216, 球員狀態!$B$2:$B$5000))), 0)), "")</f>
        <v/>
      </c>
      <c r="EM216" s="4" t="str">
        <f t="array" ref="EM216">IFERROR(INDEX(球員狀態!F$2:F$5000, MATCH(1, (球員狀態!$A$2:$A$5000=$EI$211)*(ISNUMBER(SEARCH($EI216, 球員狀態!$B$2:$B$5000))), 0)), "")</f>
        <v/>
      </c>
      <c r="EN216" s="4" t="str">
        <f t="array" ref="EN216">IFERROR(INDEX(球員狀態!G$2:G$5000, MATCH(1, (球員狀態!$A$2:$A$5000=$EI$1)*(ISNUMBER(SEARCH($EI216, 球員狀態!$B$2:$B$5000))), 0)), "")</f>
        <v/>
      </c>
      <c r="EO216" s="4" t="str">
        <f t="array" ref="EO216">IFERROR(INDEX(球員狀態!H$2:H$5000, MATCH(1, (球員狀態!$A$2:$A$5000=$EI$211)*(ISNUMBER(SEARCH($EI216, 球員狀態!$B$2:$B$5000))), 0)), "")</f>
        <v/>
      </c>
      <c r="EP216" s="4" t="str">
        <f t="array" ref="EP216">IFERROR(INDEX(球員狀態!I$2:I$5000, MATCH(1, (球員狀態!$A$2:$A$5000=$EI$211)*(ISNUMBER(SEARCH($EI216, 球員狀態!$B$2:$B$5000))), 0)), "")</f>
        <v/>
      </c>
      <c r="EQ216" s="4" t="str">
        <f t="array" ref="EQ216">IFERROR(INDEX(球員狀態!J$2:J$5000, MATCH(1, (球員狀態!$A$2:$A$5000=$EI$211)*(ISNUMBER(SEARCH($EI216, 球員狀態!$B$2:$B$5000))), 0)), "")</f>
        <v/>
      </c>
      <c r="ER216" s="4" t="str">
        <f t="array" ref="ER216">IFERROR(INDEX(球員狀態!K$2:K$5000, MATCH(1, (球員狀態!$A$2:$A$5000=$EI$211)*(ISNUMBER(SEARCH($EI216, 球員狀態!$B$2:$B$5000))), 0)), "")</f>
        <v/>
      </c>
      <c r="ES216" s="4" t="str">
        <f t="array" ref="ES216">IFERROR(INDEX(球員狀態!L$2:L$5000, MATCH(1, (球員狀態!$A$2:$A$5000=$EI$211)*(ISNUMBER(SEARCH($EI216, 球員狀態!$B$2:$B$5000))), 0)), "")</f>
        <v/>
      </c>
      <c r="ET216" s="4" t="str">
        <f t="array" ref="ET216">IFERROR(INDEX(球員狀態!M$2:M$5000, MATCH(1, (球員狀態!$A$2:$A$5000=$EI$211)*(ISNUMBER(SEARCH($EI216, 球員狀態!$B$2:$B$5000))), 0)), "")</f>
        <v/>
      </c>
      <c r="EU216" s="4" t="str">
        <f t="array" ref="EU216">IFERROR(INDEX(球員狀態!N$2:N$5000, MATCH(1, (球員狀態!$A$2:$A$5000=$EI$211)*(ISNUMBER(SEARCH($EI216, 球員狀態!$B$2:$B$5000))), 0)), "")</f>
        <v/>
      </c>
      <c r="EV216" s="4" t="str">
        <f t="array" ref="EV216">IFERROR(INDEX(球員狀態!O$2:O$5000, MATCH(1, (球員狀態!$A$2:$A$5000=$EI$1)*(ISNUMBER(SEARCH($EI216, 球員狀態!$B$2:$B$5000))), 0)), "")</f>
        <v/>
      </c>
      <c r="EW216" s="4" t="str">
        <f t="array" ref="EW216">IFERROR(INDEX(球員狀態!P$2:P$5000, MATCH(1, (球員狀態!$A$2:$A$5000=$EI$1)*(ISNUMBER(SEARCH($EI216, 球員狀態!$B$2:$B$5000))), 0)), "")</f>
        <v/>
      </c>
      <c r="EX216" s="4" t="str">
        <f t="array" ref="EX216">IFERROR(INDEX(球員狀態!Q$2:Q$5000, MATCH(1, (球員狀態!$A$2:$A$5000=$EI$211)*(ISNUMBER(SEARCH($EI216, 球員狀態!$B$2:$B$5000))), 0)), "")</f>
        <v/>
      </c>
      <c r="EY216" s="4" t="str">
        <f t="array" ref="EY216">IFERROR(INDEX(球員狀態!R$2:R$5000, MATCH(1, (球員狀態!$A$2:$A$5000=$EI$1)*(ISNUMBER(SEARCH($EI216, 球員狀態!$B$2:$B$5000))), 0)), "")</f>
        <v/>
      </c>
      <c r="EZ216" s="4" t="str">
        <f t="array" ref="EZ216">IFERROR(INDEX(球員狀態!S$2:S$5000, MATCH(1, (球員狀態!$A$2:$A$5000=$EI$1)*(ISNUMBER(SEARCH($EI216, 球員狀態!$B$2:$B$5000))), 0)), "")</f>
        <v/>
      </c>
      <c r="FA216" s="4" t="str">
        <f t="array" ref="FA216">IFERROR(INDEX(球員狀態!T$2:T$5000, MATCH(1, (球員狀態!$A$2:$A$5000=$EI$211)*(ISNUMBER(SEARCH($EI216, 球員狀態!$B$2:$B$5000))), 0)), "")</f>
        <v/>
      </c>
      <c r="FB216" s="4" t="str">
        <f t="array" ref="FB216">IFERROR(INDEX(球員狀態!U$2:U$5000, MATCH(1, (球員狀態!$A$2:$A$5000=$EI$1)*(ISNUMBER(SEARCH($EI216, 球員狀態!$B$2:$B$5000))), 0)), "")</f>
        <v/>
      </c>
      <c r="FC216" s="4" t="str">
        <f t="array" ref="FC216">IFERROR(INDEX(球員狀態!V$2:V$5000, MATCH(1, (球員狀態!$A$2:$A$5000=$EI$1)*(ISNUMBER(SEARCH($EI216, 球員狀態!$B$2:$B$5000))), 0)), "")</f>
        <v/>
      </c>
      <c r="FD216" s="4" t="str">
        <f t="array" ref="FD216">IFERROR(INDEX(球員狀態!W$2:W$5000, MATCH(1, (球員狀態!$A$2:$A$5000=$EI$211)*(ISNUMBER(SEARCH($EI216, 球員狀態!$B$2:$B$5000))), 0)), "")</f>
        <v/>
      </c>
      <c r="FE216" s="4" t="str">
        <f t="array" ref="FE216">IFERROR(INDEX(球員狀態!X$2:X$5000, MATCH(1, (球員狀態!$A$2:$A$5000=$EI$1)*(ISNUMBER(SEARCH($EI216, 球員狀態!$B$2:$B$5000))), 0)), "")</f>
        <v/>
      </c>
      <c r="FF216" s="4" t="str">
        <f t="array" ref="FF216">IFERROR(INDEX(球員狀態!Y$2:Y$5000, MATCH(1, (球員狀態!$A$2:$A$5000=$EI$1)*(ISNUMBER(SEARCH($EI216, 球員狀態!$B$2:$B$5000))), 0)), "")</f>
        <v/>
      </c>
      <c r="FG216" s="4" t="str">
        <f t="array" ref="FG216">IFERROR(INDEX(球員狀態!Z$2:Z$5000, MATCH(1, (球員狀態!$A$2:$A$5000=$EI$211)*(ISNUMBER(SEARCH($EI216, 球員狀態!$B$2:$B$5000))), 0)), "")</f>
        <v/>
      </c>
      <c r="FH216" s="4" t="str">
        <f t="array" ref="FH216">IFERROR(INDEX(球員狀態!AA$2:AA$5000, MATCH(1, (球員狀態!$A$2:$A$5000=$EI$211)*(ISNUMBER(SEARCH($EI216, 球員狀態!$B$2:$B$5000))), 0)), "")</f>
        <v/>
      </c>
      <c r="FI216" s="4" t="str">
        <f t="array" ref="FI216">IFERROR(INDEX(球員狀態!AB$2:AB$5000, MATCH(1, (球員狀態!$A$2:$A$5000=$EI$211)*(ISNUMBER(SEARCH($EI216, 球員狀態!$B$2:$B$5000))), 0)), "")</f>
        <v/>
      </c>
    </row>
    <row r="217" spans="110:165">
      <c r="DF217" s="33"/>
      <c r="DG217" s="4"/>
      <c r="DH217" s="40">
        <f>DJ217+DL217+DM217+DN217+DO217-DP217-DQ217+DR217</f>
        <v>2.15</v>
      </c>
      <c r="DI217" s="42" t="e">
        <f>DU217+DX217+EA217+ED217+EE217+EF217</f>
        <v>#N/A</v>
      </c>
      <c r="DJ217" s="38">
        <f>VLOOKUP(DJ216*1, FK$2:FM$12, 3, TRUE)*FM$1</f>
        <v>1.5</v>
      </c>
      <c r="DL217" s="38">
        <f>VLOOKUP(DL216*1, FN$2:FP$12, 3, TRUE)*FP$1</f>
        <v>0.15</v>
      </c>
      <c r="DM217" s="38">
        <f>VLOOKUP(DM216*1, FQ$2:FS$12, 3, TRUE)*FS$1</f>
        <v>0.1</v>
      </c>
      <c r="DN217" s="38">
        <f>VLOOKUP(DN216*1, FT$2:FV$12, 3, TRUE)*FV$1</f>
        <v>0.4</v>
      </c>
      <c r="DO217" s="38">
        <f>VLOOKUP(DO216*1, FW$2:FY$12, 3, TRUE)*FY$1</f>
        <v>0.5</v>
      </c>
      <c r="DP217" s="39">
        <f>VLOOKUP(DP216*1, FK$14:FM$25, 3, TRUE)*FM$14</f>
        <v>1</v>
      </c>
      <c r="DQ217" s="39">
        <f>VLOOKUP(DQ216*1, FN$14:FP$25, 3, TRUE)*FP$14</f>
        <v>1</v>
      </c>
      <c r="DR217" s="38">
        <f>VLOOKUP(DR216*1, FQ$14:FS$25, 3, TRUE)*FS$14</f>
        <v>1.5</v>
      </c>
      <c r="DU217" s="41">
        <f>VLOOKUP(DU216*1, FK$27:FM$38, 3, TRUE)*FM$27</f>
        <v>0</v>
      </c>
      <c r="DX217" s="41" t="e">
        <f>VLOOKUP(DX216*1, FN$27:FP$38, 3, TRUE)*FP$27</f>
        <v>#N/A</v>
      </c>
      <c r="EA217" s="41">
        <f>VLOOKUP(EA216*1, FQ$27:FS$38, 3, TRUE)*FS$27</f>
        <v>0</v>
      </c>
      <c r="ED217" s="41">
        <f>VLOOKUP(ED216*1, FT$27:FV$38, 3, TRUE)*FV$27</f>
        <v>0</v>
      </c>
      <c r="EE217" s="41">
        <f>VLOOKUP(EE216*1, FW$27:FY$38, 3, TRUE)*FY$27</f>
        <v>1.5</v>
      </c>
      <c r="EF217" s="41">
        <f>VLOOKUP(EF216*1, FK$40:FM$51, 3, TRUE)*FM$40</f>
        <v>3.5</v>
      </c>
      <c r="EG217" s="57"/>
      <c r="EI217" s="33"/>
      <c r="EJ217" s="4"/>
      <c r="EK217" s="40" t="e">
        <f>EM217+EO217+EP217+EQ217+ER217-ES217-ET217+EU217</f>
        <v>#VALUE!</v>
      </c>
      <c r="EL217" s="42" t="e">
        <f>EX217+FA217+FD217+FG217+FH217+FI217</f>
        <v>#VALUE!</v>
      </c>
      <c r="EM217" s="38" t="e">
        <f>VLOOKUP(EM216*1, $FK$2:$FM$12, 3, TRUE)*$FM$1</f>
        <v>#VALUE!</v>
      </c>
      <c r="EO217" s="38" t="e">
        <f>VLOOKUP(EO216*1, $FN$2:$FP$12, 3, TRUE)*$FP$1</f>
        <v>#VALUE!</v>
      </c>
      <c r="EP217" s="38" t="e">
        <f>VLOOKUP(EP216*1, $FQ$2:$FS$12, 3, TRUE)*$FS$1</f>
        <v>#VALUE!</v>
      </c>
      <c r="EQ217" s="38" t="e">
        <f>VLOOKUP(EQ216*1, $FT$2:$FV$12, 3, TRUE)*$FV$1</f>
        <v>#VALUE!</v>
      </c>
      <c r="ER217" s="38" t="e">
        <f>VLOOKUP(ER216*1, $FW$2:$FY$12, 3, TRUE)*$FY$1</f>
        <v>#VALUE!</v>
      </c>
      <c r="ES217" s="39" t="e">
        <f>VLOOKUP(ES216*1, $FK$14:$FM$25, 3, TRUE)*$FM$14</f>
        <v>#VALUE!</v>
      </c>
      <c r="ET217" s="39" t="e">
        <f>VLOOKUP(ET216*1, $FN$14:$FP$25, 3, TRUE)*$FP$14</f>
        <v>#VALUE!</v>
      </c>
      <c r="EU217" s="38" t="e">
        <f>VLOOKUP(EU216*1, $FQ$14:$FS$25, 3, TRUE)*$FS$14</f>
        <v>#VALUE!</v>
      </c>
      <c r="EX217" s="41" t="e">
        <f>VLOOKUP(EX216*1, $FK$27:$FM$38, 3, TRUE)*$FM$27</f>
        <v>#VALUE!</v>
      </c>
      <c r="FA217" s="41" t="e">
        <f>VLOOKUP(FA216*1, $FN$27:$FP$38, 3, TRUE)*$FP$27</f>
        <v>#VALUE!</v>
      </c>
      <c r="FD217" s="41" t="e">
        <f>VLOOKUP(FD216*1, $FQ$27:$FS$38, 3, TRUE)*$FS$27</f>
        <v>#VALUE!</v>
      </c>
      <c r="FG217" s="41" t="e">
        <f>VLOOKUP(FG216*1, $FT$27:$FV$38, 3, TRUE)*$FV$27</f>
        <v>#VALUE!</v>
      </c>
      <c r="FH217" s="41" t="e">
        <f>VLOOKUP(FH216*1, $FW$27:$FY$38, 3, TRUE)*$FY$27</f>
        <v>#VALUE!</v>
      </c>
      <c r="FI217" s="41" t="e">
        <f>VLOOKUP(FI216*1, $FK$40:$FM$51, 3, TRUE)*$FM$40</f>
        <v>#VALUE!</v>
      </c>
    </row>
    <row r="218" spans="110:165">
      <c r="DF218" s="35" t="str">
        <f>先發名單!H$9</f>
        <v>Kyle Stowers</v>
      </c>
      <c r="DG218" s="4" t="str">
        <f t="array" ref="DG218">IFERROR(INDEX(球員狀態!$C$2:$C$5000, MATCH(1, (球員狀態!$A$2:$A$5000=$DF$211)*(ISNUMBER(SEARCH($DF218, 球員狀態!$B$2:$B$5000))), 0)), "")</f>
        <v>LF</v>
      </c>
      <c r="DJ218" s="4" t="str">
        <f t="array" ref="DJ218">IFERROR(INDEX(球員狀態!$F$2:$F$5000,MATCH(1,(球員狀態!$A$2:$A$5000=$DF$211)*(ISNUMBER(SEARCH($DF218,球員狀態!$B$2:$B$5000))),0)),"")</f>
        <v>4</v>
      </c>
      <c r="DK218" s="4" t="str">
        <f t="array" ref="DK218">IFERROR(INDEX(球員狀態!G$2:G$5000, MATCH(1, (球員狀態!$A$2:$A$5000=$DF$1)*(ISNUMBER(SEARCH($DF218, 球員狀態!$B$2:$B$5000))), 0)), "")</f>
        <v/>
      </c>
      <c r="DL218" s="4" t="str">
        <f t="array" ref="DL218">IFERROR(INDEX(球員狀態!H$2:H$5000, MATCH(1, (球員狀態!$A$2:$A$5000=$DF$211)*(ISNUMBER(SEARCH($DF218, 球員狀態!$B$2:$B$5000))), 0)), "")</f>
        <v>3</v>
      </c>
      <c r="DM218" s="4" t="str">
        <f t="array" ref="DM218">IFERROR(INDEX(球員狀態!I$2:I$5000,MATCH(1,(球員狀態!$A$2:$A$5000=$DF$211)*(ISNUMBER(SEARCH($DF218,球員狀態!$B$2:$B$5000))),0)),"")</f>
        <v>0</v>
      </c>
      <c r="DN218" s="4" t="str">
        <f t="array" ref="DN218">IFERROR(INDEX(球員狀態!J$2:J$5000,MATCH(1,(球員狀態!$A$2:$A$5000=$DF$211)*(ISNUMBER(SEARCH($DF218,球員狀態!$B$2:$B$5000))),0)),"")</f>
        <v>0</v>
      </c>
      <c r="DO218" s="4" t="str">
        <f t="array" ref="DO218">IFERROR(INDEX(球員狀態!K$2:K$5000,MATCH(1,(球員狀態!$A$2:$A$5000=$DF$211)*(ISNUMBER(SEARCH($DF218,球員狀態!$B$2:$B$5000))),0)),"")</f>
        <v>0</v>
      </c>
      <c r="DP218" s="4" t="str">
        <f t="array" ref="DP218">IFERROR(INDEX(球員狀態!L$2:L$5000,MATCH(1,(球員狀態!$A$2:$A$5000=$DF$211)*(ISNUMBER(SEARCH($DF218,球員狀態!$B$2:$B$5000))),0)),"")</f>
        <v>9</v>
      </c>
      <c r="DQ218" s="4" t="str">
        <f t="array" ref="DQ218">IFERROR(INDEX(球員狀態!M$2:M$5000,MATCH(1,(球員狀態!$A$2:$A$5000=$DF$211)*(ISNUMBER(SEARCH($DF218,球員狀態!$B$2:$B$5000))),0)),"")</f>
        <v>3</v>
      </c>
      <c r="DR218" s="4" t="str">
        <f t="array" ref="DR218">IFERROR(INDEX(球員狀態!N$2:N$5000,MATCH(1,(球員狀態!$A$2:$A$5000=$DF$211)*(ISNUMBER(SEARCH($DF218,球員狀態!$B$2:$B$5000))),0)),"")</f>
        <v>3</v>
      </c>
      <c r="DS218" s="4" t="str">
        <f t="array" ref="DS218">IFERROR(INDEX(球員狀態!O$2:O$5000, MATCH(1, (球員狀態!$A$2:$A$5000=$DF$1)*(ISNUMBER(SEARCH($DF218, 球員狀態!$B$2:$B$5000))), 0)), "")</f>
        <v/>
      </c>
      <c r="DT218" s="4" t="str">
        <f t="array" ref="DT218">IFERROR(INDEX(球員狀態!P$2:P$5000, MATCH(1, (球員狀態!$A$2:$A$5000=$DF$1)*(ISNUMBER(SEARCH($DF218, 球員狀態!$B$2:$B$5000))), 0)), "")</f>
        <v/>
      </c>
      <c r="DU218" s="4" t="str">
        <f t="array" ref="DU218">IFERROR(INDEX(球員狀態!Q$2:Q$5000,MATCH(1,(球員狀態!$A$2:$A$5000=$DF$211)*(ISNUMBER(SEARCH($DF218,球員狀態!$B$2:$B$5000))),0)),"")</f>
        <v>.385</v>
      </c>
      <c r="DV218" s="4" t="str">
        <f t="array" ref="DV218">IFERROR(INDEX(球員狀態!R$2:R$5000, MATCH(1, (球員狀態!$A$2:$A$5000=$DF$1)*(ISNUMBER(SEARCH($DF218, 球員狀態!$B$2:$B$5000))), 0)), "")</f>
        <v/>
      </c>
      <c r="DW218" s="4" t="str">
        <f t="array" ref="DW218">IFERROR(INDEX(球員狀態!S$2:S$5000, MATCH(1, (球員狀態!$A$2:$A$5000=$DF$1)*(ISNUMBER(SEARCH($DF218, 球員狀態!$B$2:$B$5000))), 0)), "")</f>
        <v/>
      </c>
      <c r="DX218" s="4" t="str">
        <f t="array" ref="DX218">IFERROR(INDEX(球員狀態!T$2:T$5000,MATCH(1,(球員狀態!$A$2:$A$5000=$DF$211)*(ISNUMBER(SEARCH($DF218,球員狀態!$B$2:$B$5000))),0)),"")</f>
        <v>0.0</v>
      </c>
      <c r="DY218" s="4" t="str">
        <f t="array" ref="DY218">IFERROR(INDEX(球員狀態!U$2:U$5000, MATCH(1, (球員狀態!$A$2:$A$5000=$DF$1)*(ISNUMBER(SEARCH($DF218, 球員狀態!$B$2:$B$5000))), 0)), "")</f>
        <v/>
      </c>
      <c r="DZ218" s="4" t="str">
        <f t="array" ref="DZ218">IFERROR(INDEX(球員狀態!V$2:V$5000, MATCH(1, (球員狀態!$A$2:$A$5000=$DF$1)*(ISNUMBER(SEARCH($DF218, 球員狀態!$B$2:$B$5000))), 0)), "")</f>
        <v/>
      </c>
      <c r="EA218" s="4" t="str">
        <f t="array" ref="EA218">IFERROR(INDEX(球員狀態!W$2:W$5000,MATCH(1,(球員狀態!$A$2:$A$5000=$DF$211)*(ISNUMBER(SEARCH($DF218,球員狀態!$B$2:$B$5000))),0)),"")</f>
        <v>.115</v>
      </c>
      <c r="EB218" s="4" t="str">
        <f t="array" ref="EB218">IFERROR(INDEX(球員狀態!X$2:X$5000, MATCH(1, (球員狀態!$A$2:$A$5000=$DF$1)*(ISNUMBER(SEARCH($DF218, 球員狀態!$B$2:$B$5000))), 0)), "")</f>
        <v/>
      </c>
      <c r="EC218" s="4" t="str">
        <f t="array" ref="EC218">IFERROR(INDEX(球員狀態!Y$2:Y$5000, MATCH(1, (球員狀態!$A$2:$A$5000=$DF$1)*(ISNUMBER(SEARCH($DF218, 球員狀態!$B$2:$B$5000))), 0)), "")</f>
        <v/>
      </c>
      <c r="ED218" s="4" t="str">
        <f t="array" ref="ED218">IFERROR(INDEX(球員狀態!Z$2:Z$5000,MATCH(1,(球員狀態!$A$2:$A$5000=$DF$211)*(ISNUMBER(SEARCH($DF218,球員狀態!$B$2:$B$5000))),0)),"")</f>
        <v>.227</v>
      </c>
      <c r="EE218" s="4" t="str">
        <f t="array" ref="EE218">IFERROR(INDEX(球員狀態!AA$2:AA$5000,MATCH(1,(球員狀態!$A$2:$A$5000=$DF$211)*(ISNUMBER(SEARCH($DF218,球員狀態!$B$2:$B$5000))),0)),"")</f>
        <v>3.85</v>
      </c>
      <c r="EF218" s="4" t="str">
        <f t="array" ref="EF218">IFERROR(INDEX(球員狀態!AB$2:AB$5000,MATCH(1,(球員狀態!$A$2:$A$5000=$DF$211)*(ISNUMBER(SEARCH($DF218,球員狀態!$B$2:$B$5000))),0)),"")</f>
        <v>3</v>
      </c>
      <c r="EG218" s="56"/>
      <c r="EI218" s="35" t="str">
        <f>先發名單!R$9</f>
        <v>Will Smith</v>
      </c>
      <c r="EJ218" s="4" t="str">
        <f t="array" ref="EJ218">IFERROR(INDEX(球員狀態!C$2:C$5000, MATCH(1, (球員狀態!$A$2:$A$5000=$EI$211)*(ISNUMBER(SEARCH($EI218, 球員狀態!$B$2:$B$5000))), 0)), "")</f>
        <v>C</v>
      </c>
      <c r="EM218" s="4" t="str">
        <f t="array" ref="EM218">IFERROR(INDEX(球員狀態!F$2:F$5000, MATCH(1, (球員狀態!$A$2:$A$5000=$EI$211)*(ISNUMBER(SEARCH($EI218, 球員狀態!$B$2:$B$5000))), 0)), "")</f>
        <v>11</v>
      </c>
      <c r="EN218" s="4" t="str">
        <f t="array" ref="EN218">IFERROR(INDEX(球員狀態!G$2:G$5000, MATCH(1, (球員狀態!$A$2:$A$5000=$EI$1)*(ISNUMBER(SEARCH($EI218, 球員狀態!$B$2:$B$5000))), 0)), "")</f>
        <v/>
      </c>
      <c r="EO218" s="4" t="str">
        <f t="array" ref="EO218">IFERROR(INDEX(球員狀態!H$2:H$5000, MATCH(1, (球員狀態!$A$2:$A$5000=$EI$211)*(ISNUMBER(SEARCH($EI218, 球員狀態!$B$2:$B$5000))), 0)), "")</f>
        <v>1</v>
      </c>
      <c r="EP218" s="4" t="str">
        <f t="array" ref="EP218">IFERROR(INDEX(球員狀態!I$2:I$5000, MATCH(1, (球員狀態!$A$2:$A$5000=$EI$211)*(ISNUMBER(SEARCH($EI218, 球員狀態!$B$2:$B$5000))), 0)), "")</f>
        <v>0</v>
      </c>
      <c r="EQ218" s="4" t="str">
        <f t="array" ref="EQ218">IFERROR(INDEX(球員狀態!J$2:J$5000, MATCH(1, (球員狀態!$A$2:$A$5000=$EI$211)*(ISNUMBER(SEARCH($EI218, 球員狀態!$B$2:$B$5000))), 0)), "")</f>
        <v>3</v>
      </c>
      <c r="ER218" s="4" t="str">
        <f t="array" ref="ER218">IFERROR(INDEX(球員狀態!K$2:K$5000, MATCH(1, (球員狀態!$A$2:$A$5000=$EI$211)*(ISNUMBER(SEARCH($EI218, 球員狀態!$B$2:$B$5000))), 0)), "")</f>
        <v>14</v>
      </c>
      <c r="ES218" s="4" t="str">
        <f t="array" ref="ES218">IFERROR(INDEX(球員狀態!L$2:L$5000, MATCH(1, (球員狀態!$A$2:$A$5000=$EI$211)*(ISNUMBER(SEARCH($EI218, 球員狀態!$B$2:$B$5000))), 0)), "")</f>
        <v>31</v>
      </c>
      <c r="ET218" s="4" t="str">
        <f t="array" ref="ET218">IFERROR(INDEX(球員狀態!M$2:M$5000, MATCH(1, (球員狀態!$A$2:$A$5000=$EI$211)*(ISNUMBER(SEARCH($EI218, 球員狀態!$B$2:$B$5000))), 0)), "")</f>
        <v>9</v>
      </c>
      <c r="EU218" s="4" t="str">
        <f t="array" ref="EU218">IFERROR(INDEX(球員狀態!N$2:N$5000, MATCH(1, (球員狀態!$A$2:$A$5000=$EI$211)*(ISNUMBER(SEARCH($EI218, 球員狀態!$B$2:$B$5000))), 0)), "")</f>
        <v>15</v>
      </c>
      <c r="EV218" s="4" t="str">
        <f t="array" ref="EV218">IFERROR(INDEX(球員狀態!O$2:O$5000, MATCH(1, (球員狀態!$A$2:$A$5000=$EI$1)*(ISNUMBER(SEARCH($EI218, 球員狀態!$B$2:$B$5000))), 0)), "")</f>
        <v/>
      </c>
      <c r="EW218" s="4" t="str">
        <f t="array" ref="EW218">IFERROR(INDEX(球員狀態!P$2:P$5000, MATCH(1, (球員狀態!$A$2:$A$5000=$EI$1)*(ISNUMBER(SEARCH($EI218, 球員狀態!$B$2:$B$5000))), 0)), "")</f>
        <v/>
      </c>
      <c r="EX218" s="4" t="str">
        <f t="array" ref="EX218">IFERROR(INDEX(球員狀態!Q$2:Q$5000, MATCH(1, (球員狀態!$A$2:$A$5000=$EI$211)*(ISNUMBER(SEARCH($EI218, 球員狀態!$B$2:$B$5000))), 0)), "")</f>
        <v>.337</v>
      </c>
      <c r="EY218" s="4" t="str">
        <f t="array" ref="EY218">IFERROR(INDEX(球員狀態!R$2:R$5000, MATCH(1, (球員狀態!$A$2:$A$5000=$EI$1)*(ISNUMBER(SEARCH($EI218, 球員狀態!$B$2:$B$5000))), 0)), "")</f>
        <v/>
      </c>
      <c r="EZ218" s="4" t="str">
        <f t="array" ref="EZ218">IFERROR(INDEX(球員狀態!S$2:S$5000, MATCH(1, (球員狀態!$A$2:$A$5000=$EI$1)*(ISNUMBER(SEARCH($EI218, 球員狀態!$B$2:$B$5000))), 0)), "")</f>
        <v/>
      </c>
      <c r="FA218" s="4" t="str">
        <f t="array" ref="FA218">IFERROR(INDEX(球員狀態!T$2:T$5000, MATCH(1, (球員狀態!$A$2:$A$5000=$EI$211)*(ISNUMBER(SEARCH($EI218, 球員狀態!$B$2:$B$5000))), 0)), "")</f>
        <v>0.3</v>
      </c>
      <c r="FB218" s="4" t="str">
        <f t="array" ref="FB218">IFERROR(INDEX(球員狀態!U$2:U$5000, MATCH(1, (球員狀態!$A$2:$A$5000=$EI$1)*(ISNUMBER(SEARCH($EI218, 球員狀態!$B$2:$B$5000))), 0)), "")</f>
        <v/>
      </c>
      <c r="FC218" s="4" t="str">
        <f t="array" ref="FC218">IFERROR(INDEX(球員狀態!V$2:V$5000, MATCH(1, (球員狀態!$A$2:$A$5000=$EI$1)*(ISNUMBER(SEARCH($EI218, 球員狀態!$B$2:$B$5000))), 0)), "")</f>
        <v/>
      </c>
      <c r="FD218" s="4" t="str">
        <f t="array" ref="FD218">IFERROR(INDEX(球員狀態!W$2:W$5000, MATCH(1, (球員狀態!$A$2:$A$5000=$EI$211)*(ISNUMBER(SEARCH($EI218, 球員狀態!$B$2:$B$5000))), 0)), "")</f>
        <v>.101</v>
      </c>
      <c r="FE218" s="4" t="str">
        <f t="array" ref="FE218">IFERROR(INDEX(球員狀態!X$2:X$5000, MATCH(1, (球員狀態!$A$2:$A$5000=$EI$1)*(ISNUMBER(SEARCH($EI218, 球員狀態!$B$2:$B$5000))), 0)), "")</f>
        <v/>
      </c>
      <c r="FF218" s="4" t="str">
        <f t="array" ref="FF218">IFERROR(INDEX(球員狀態!Y$2:Y$5000, MATCH(1, (球員狀態!$A$2:$A$5000=$EI$1)*(ISNUMBER(SEARCH($EI218, 球員狀態!$B$2:$B$5000))), 0)), "")</f>
        <v/>
      </c>
      <c r="FG218" s="4" t="str">
        <f t="array" ref="FG218">IFERROR(INDEX(球員狀態!Z$2:Z$5000, MATCH(1, (球員狀態!$A$2:$A$5000=$EI$211)*(ISNUMBER(SEARCH($EI218, 球員狀態!$B$2:$B$5000))), 0)), "")</f>
        <v>.241</v>
      </c>
      <c r="FH218" s="4" t="str">
        <f t="array" ref="FH218">IFERROR(INDEX(球員狀態!AA$2:AA$5000, MATCH(1, (球員狀態!$A$2:$A$5000=$EI$211)*(ISNUMBER(SEARCH($EI218, 球員狀態!$B$2:$B$5000))), 0)), "")</f>
        <v>4.48</v>
      </c>
      <c r="FI218" s="4" t="str">
        <f t="array" ref="FI218">IFERROR(INDEX(球員狀態!AB$2:AB$5000, MATCH(1, (球員狀態!$A$2:$A$5000=$EI$211)*(ISNUMBER(SEARCH($EI218, 球員狀態!$B$2:$B$5000))), 0)), "")</f>
        <v>4</v>
      </c>
    </row>
    <row r="219" spans="110:165">
      <c r="DF219" s="33"/>
      <c r="DG219" s="4"/>
      <c r="DH219" s="40">
        <f>DJ219+DL219+DM219+DN219+DO219-DP219-DQ219+DR219</f>
        <v>0</v>
      </c>
      <c r="DI219" s="42">
        <f>DU219+DX219+EA219+ED219+EE219+EF219</f>
        <v>5</v>
      </c>
      <c r="DJ219" s="38">
        <f>VLOOKUP(DJ218*1, FK$2:FM$12, 3, TRUE)*FM$1</f>
        <v>0.25</v>
      </c>
      <c r="DL219" s="38">
        <f>VLOOKUP(DL218*1, FN$2:FP$12, 3, TRUE)*FP$1</f>
        <v>0.3</v>
      </c>
      <c r="DM219" s="38">
        <f>VLOOKUP(DM218*1, FQ$2:FS$12, 3, TRUE)*FS$1</f>
        <v>0</v>
      </c>
      <c r="DN219" s="38">
        <f>VLOOKUP(DN218*1, FT$2:FV$12, 3, TRUE)*FV$1</f>
        <v>0</v>
      </c>
      <c r="DO219" s="38">
        <f>VLOOKUP(DO218*1, FW$2:FY$12, 3, TRUE)*FY$1</f>
        <v>0</v>
      </c>
      <c r="DP219" s="39">
        <f>VLOOKUP(DP218*1, FK$14:FM$25, 3, TRUE)*FM$14</f>
        <v>1</v>
      </c>
      <c r="DQ219" s="39">
        <f>VLOOKUP(DQ218*1, FN$14:FP$25, 3, TRUE)*FP$14</f>
        <v>0.60000000000000009</v>
      </c>
      <c r="DR219" s="38">
        <f>VLOOKUP(DR218*1, FQ$14:FS$25, 3, TRUE)*FS$14</f>
        <v>1.05</v>
      </c>
      <c r="DU219" s="41">
        <f>VLOOKUP(DU218*1, FK$27:FM$38, 3, TRUE)*FM$27</f>
        <v>0</v>
      </c>
      <c r="DX219" s="41">
        <f>VLOOKUP(DX218*1, FN$27:FP$38, 3, TRUE)*FP$27</f>
        <v>0</v>
      </c>
      <c r="EA219" s="41">
        <f>VLOOKUP(EA218*1, FQ$27:FS$38, 3, TRUE)*FS$27</f>
        <v>0</v>
      </c>
      <c r="ED219" s="41">
        <f>VLOOKUP(ED218*1, FT$27:FV$38, 3, TRUE)*FV$27</f>
        <v>0</v>
      </c>
      <c r="EE219" s="41">
        <f>VLOOKUP(EE218*1, FW$27:FY$38, 3, TRUE)*FY$27</f>
        <v>1.5</v>
      </c>
      <c r="EF219" s="41">
        <f>VLOOKUP(EF218*1, FK$40:FM$51, 3, TRUE)*FM$40</f>
        <v>3.5</v>
      </c>
      <c r="EG219" s="57"/>
      <c r="EI219" s="33"/>
      <c r="EJ219" s="4"/>
      <c r="EK219" s="40">
        <f>EM219+EO219+EP219+EQ219+ER219-ES219-ET219+EU219</f>
        <v>2</v>
      </c>
      <c r="EL219" s="42">
        <f>EX219+FA219+FD219+FG219+FH219+FI219</f>
        <v>5</v>
      </c>
      <c r="EM219" s="38">
        <f>VLOOKUP(EM218*1, $FK$2:$FM$12, 3, TRUE)*$FM$1</f>
        <v>1</v>
      </c>
      <c r="EO219" s="38">
        <f>VLOOKUP(EO218*1, $FN$2:$FP$12, 3, TRUE)*$FP$1</f>
        <v>0</v>
      </c>
      <c r="EP219" s="38">
        <f>VLOOKUP(EP218*1, $FQ$2:$FS$12, 3, TRUE)*$FS$1</f>
        <v>0</v>
      </c>
      <c r="EQ219" s="38">
        <f>VLOOKUP(EQ218*1, $FT$2:$FV$12, 3, TRUE)*$FV$1</f>
        <v>1</v>
      </c>
      <c r="ER219" s="38">
        <f>VLOOKUP(ER218*1, $FW$2:$FY$12, 3, TRUE)*$FY$1</f>
        <v>0.5</v>
      </c>
      <c r="ES219" s="39">
        <f>VLOOKUP(ES218*1, $FK$14:$FM$25, 3, TRUE)*$FM$14</f>
        <v>1</v>
      </c>
      <c r="ET219" s="39">
        <f>VLOOKUP(ET218*1, $FN$14:$FP$25, 3, TRUE)*$FP$14</f>
        <v>1</v>
      </c>
      <c r="EU219" s="38">
        <f>VLOOKUP(EU218*1, $FQ$14:$FS$25, 3, TRUE)*$FS$14</f>
        <v>1.5</v>
      </c>
      <c r="EX219" s="41">
        <f>VLOOKUP(EX218*1, $FK$27:$FM$38, 3, TRUE)*$FM$27</f>
        <v>0</v>
      </c>
      <c r="FA219" s="41">
        <f>VLOOKUP(FA218*1, $FN$27:$FP$38, 3, TRUE)*$FP$27</f>
        <v>0</v>
      </c>
      <c r="FD219" s="41">
        <f>VLOOKUP(FD218*1, $FQ$27:$FS$38, 3, TRUE)*$FS$27</f>
        <v>0</v>
      </c>
      <c r="FG219" s="41">
        <f>VLOOKUP(FG218*1, $FT$27:$FV$38, 3, TRUE)*$FV$27</f>
        <v>0</v>
      </c>
      <c r="FH219" s="41">
        <f>VLOOKUP(FH218*1, $FW$27:$FY$38, 3, TRUE)*$FY$27</f>
        <v>1.5</v>
      </c>
      <c r="FI219" s="41">
        <f>VLOOKUP(FI218*1, $FK$40:$FM$51, 3, TRUE)*$FM$40</f>
        <v>3.5</v>
      </c>
    </row>
    <row r="220" spans="110:165">
      <c r="DF220" s="35" t="str">
        <f>先發名單!I$9</f>
        <v>Otto Lopez</v>
      </c>
      <c r="DG220" s="4" t="str">
        <f t="array" ref="DG220">IFERROR(INDEX(球員狀態!$C$2:$C$5000, MATCH(1, (球員狀態!$A$2:$A$5000=$DF$211)*(ISNUMBER(SEARCH($DF220, 球員狀態!$B$2:$B$5000))), 0)), "")</f>
        <v>2B</v>
      </c>
      <c r="DJ220" s="4" t="str">
        <f t="array" ref="DJ220">IFERROR(INDEX(球員狀態!$F$2:$F$5000,MATCH(1,(球員狀態!$A$2:$A$5000=$DF$211)*(ISNUMBER(SEARCH($DF220,球員狀態!$B$2:$B$5000))),0)),"")</f>
        <v>19</v>
      </c>
      <c r="DK220" s="4" t="str">
        <f t="array" ref="DK220">IFERROR(INDEX(球員狀態!G$2:G$5000, MATCH(1, (球員狀態!$A$2:$A$5000=$DF$1)*(ISNUMBER(SEARCH($DF220, 球員狀態!$B$2:$B$5000))), 0)), "")</f>
        <v/>
      </c>
      <c r="DL220" s="4" t="str">
        <f t="array" ref="DL220">IFERROR(INDEX(球員狀態!H$2:H$5000, MATCH(1, (球員狀態!$A$2:$A$5000=$DF$211)*(ISNUMBER(SEARCH($DF220, 球員狀態!$B$2:$B$5000))), 0)), "")</f>
        <v>5</v>
      </c>
      <c r="DM220" s="4" t="str">
        <f t="array" ref="DM220">IFERROR(INDEX(球員狀態!I$2:I$5000,MATCH(1,(球員狀態!$A$2:$A$5000=$DF$211)*(ISNUMBER(SEARCH($DF220,球員狀態!$B$2:$B$5000))),0)),"")</f>
        <v>2</v>
      </c>
      <c r="DN220" s="4" t="str">
        <f t="array" ref="DN220">IFERROR(INDEX(球員狀態!J$2:J$5000,MATCH(1,(球員狀態!$A$2:$A$5000=$DF$211)*(ISNUMBER(SEARCH($DF220,球員狀態!$B$2:$B$5000))),0)),"")</f>
        <v>3</v>
      </c>
      <c r="DO220" s="4" t="str">
        <f t="array" ref="DO220">IFERROR(INDEX(球員狀態!K$2:K$5000,MATCH(1,(球員狀態!$A$2:$A$5000=$DF$211)*(ISNUMBER(SEARCH($DF220,球員狀態!$B$2:$B$5000))),0)),"")</f>
        <v>12</v>
      </c>
      <c r="DP220" s="4" t="str">
        <f t="array" ref="DP220">IFERROR(INDEX(球員狀態!L$2:L$5000,MATCH(1,(球員狀態!$A$2:$A$5000=$DF$211)*(ISNUMBER(SEARCH($DF220,球員狀態!$B$2:$B$5000))),0)),"")</f>
        <v>51</v>
      </c>
      <c r="DQ220" s="4" t="str">
        <f t="array" ref="DQ220">IFERROR(INDEX(球員狀態!M$2:M$5000,MATCH(1,(球員狀態!$A$2:$A$5000=$DF$211)*(ISNUMBER(SEARCH($DF220,球員狀態!$B$2:$B$5000))),0)),"")</f>
        <v>6</v>
      </c>
      <c r="DR220" s="4" t="str">
        <f t="array" ref="DR220">IFERROR(INDEX(球員狀態!N$2:N$5000,MATCH(1,(球員狀態!$A$2:$A$5000=$DF$211)*(ISNUMBER(SEARCH($DF220,球員狀態!$B$2:$B$5000))),0)),"")</f>
        <v>20</v>
      </c>
      <c r="DS220" s="4" t="str">
        <f t="array" ref="DS220">IFERROR(INDEX(球員狀態!O$2:O$5000, MATCH(1, (球員狀態!$A$2:$A$5000=$DF$1)*(ISNUMBER(SEARCH($DF220, 球員狀態!$B$2:$B$5000))), 0)), "")</f>
        <v/>
      </c>
      <c r="DT220" s="4" t="str">
        <f t="array" ref="DT220">IFERROR(INDEX(球員狀態!P$2:P$5000, MATCH(1, (球員狀態!$A$2:$A$5000=$DF$1)*(ISNUMBER(SEARCH($DF220, 球員狀態!$B$2:$B$5000))), 0)), "")</f>
        <v/>
      </c>
      <c r="DU220" s="4" t="str">
        <f t="array" ref="DU220">IFERROR(INDEX(球員狀態!Q$2:Q$5000,MATCH(1,(球員狀態!$A$2:$A$5000=$DF$211)*(ISNUMBER(SEARCH($DF220,球員狀態!$B$2:$B$5000))),0)),"")</f>
        <v>.360</v>
      </c>
      <c r="DV220" s="4" t="str">
        <f t="array" ref="DV220">IFERROR(INDEX(球員狀態!R$2:R$5000, MATCH(1, (球員狀態!$A$2:$A$5000=$DF$1)*(ISNUMBER(SEARCH($DF220, 球員狀態!$B$2:$B$5000))), 0)), "")</f>
        <v/>
      </c>
      <c r="DW220" s="4" t="str">
        <f t="array" ref="DW220">IFERROR(INDEX(球員狀態!S$2:S$5000, MATCH(1, (球員狀態!$A$2:$A$5000=$DF$1)*(ISNUMBER(SEARCH($DF220, 球員狀態!$B$2:$B$5000))), 0)), "")</f>
        <v/>
      </c>
      <c r="DX220" s="4" t="str">
        <f t="array" ref="DX220">IFERROR(INDEX(球員狀態!T$2:T$5000,MATCH(1,(球員狀態!$A$2:$A$5000=$DF$211)*(ISNUMBER(SEARCH($DF220,球員狀態!$B$2:$B$5000))),0)),"")</f>
        <v>1.4</v>
      </c>
      <c r="DY220" s="4" t="str">
        <f t="array" ref="DY220">IFERROR(INDEX(球員狀態!U$2:U$5000, MATCH(1, (球員狀態!$A$2:$A$5000=$DF$1)*(ISNUMBER(SEARCH($DF220, 球員狀態!$B$2:$B$5000))), 0)), "")</f>
        <v/>
      </c>
      <c r="DZ220" s="4" t="str">
        <f t="array" ref="DZ220">IFERROR(INDEX(球員狀態!V$2:V$5000, MATCH(1, (球員狀態!$A$2:$A$5000=$DF$1)*(ISNUMBER(SEARCH($DF220, 球員狀態!$B$2:$B$5000))), 0)), "")</f>
        <v/>
      </c>
      <c r="EA220" s="4" t="str">
        <f t="array" ref="EA220">IFERROR(INDEX(球員狀態!W$2:W$5000,MATCH(1,(球員狀態!$A$2:$A$5000=$DF$211)*(ISNUMBER(SEARCH($DF220,球員狀態!$B$2:$B$5000))),0)),"")</f>
        <v>.053</v>
      </c>
      <c r="EB220" s="4" t="str">
        <f t="array" ref="EB220">IFERROR(INDEX(球員狀態!X$2:X$5000, MATCH(1, (球員狀態!$A$2:$A$5000=$DF$1)*(ISNUMBER(SEARCH($DF220, 球員狀態!$B$2:$B$5000))), 0)), "")</f>
        <v/>
      </c>
      <c r="EC220" s="4" t="str">
        <f t="array" ref="EC220">IFERROR(INDEX(球員狀態!Y$2:Y$5000, MATCH(1, (球員狀態!$A$2:$A$5000=$DF$1)*(ISNUMBER(SEARCH($DF220, 球員狀態!$B$2:$B$5000))), 0)), "")</f>
        <v/>
      </c>
      <c r="ED220" s="4" t="str">
        <f t="array" ref="ED220">IFERROR(INDEX(球員狀態!Z$2:Z$5000,MATCH(1,(球員狀態!$A$2:$A$5000=$DF$211)*(ISNUMBER(SEARCH($DF220,球員狀態!$B$2:$B$5000))),0)),"")</f>
        <v>.257</v>
      </c>
      <c r="EE220" s="4" t="str">
        <f t="array" ref="EE220">IFERROR(INDEX(球員狀態!AA$2:AA$5000,MATCH(1,(球員狀態!$A$2:$A$5000=$DF$211)*(ISNUMBER(SEARCH($DF220,球員狀態!$B$2:$B$5000))),0)),"")</f>
        <v>3.61</v>
      </c>
      <c r="EF220" s="4" t="str">
        <f t="array" ref="EF220">IFERROR(INDEX(球員狀態!AB$2:AB$5000,MATCH(1,(球員狀態!$A$2:$A$5000=$DF$211)*(ISNUMBER(SEARCH($DF220,球員狀態!$B$2:$B$5000))),0)),"")</f>
        <v>10</v>
      </c>
      <c r="EG220" s="56"/>
      <c r="EI220" s="35" t="str">
        <f>先發名單!S$9</f>
        <v>Kyle Tucker</v>
      </c>
      <c r="EJ220" s="4" t="str">
        <f t="array" ref="EJ220">IFERROR(INDEX(球員狀態!C$2:C$5000, MATCH(1, (球員狀態!$A$2:$A$5000=$EI$211)*(ISNUMBER(SEARCH($EI220, 球員狀態!$B$2:$B$5000))), 0)), "")</f>
        <v>RF</v>
      </c>
      <c r="EM220" s="4" t="str">
        <f t="array" ref="EM220">IFERROR(INDEX(球員狀態!F$2:F$5000, MATCH(1, (球員狀態!$A$2:$A$5000=$EI$211)*(ISNUMBER(SEARCH($EI220, 球員狀態!$B$2:$B$5000))), 0)), "")</f>
        <v>20</v>
      </c>
      <c r="EN220" s="4" t="str">
        <f t="array" ref="EN220">IFERROR(INDEX(球員狀態!G$2:G$5000, MATCH(1, (球員狀態!$A$2:$A$5000=$EI$1)*(ISNUMBER(SEARCH($EI220, 球員狀態!$B$2:$B$5000))), 0)), "")</f>
        <v/>
      </c>
      <c r="EO220" s="4" t="str">
        <f t="array" ref="EO220">IFERROR(INDEX(球員狀態!H$2:H$5000, MATCH(1, (球員狀態!$A$2:$A$5000=$EI$211)*(ISNUMBER(SEARCH($EI220, 球員狀態!$B$2:$B$5000))), 0)), "")</f>
        <v>5</v>
      </c>
      <c r="EP220" s="4" t="str">
        <f t="array" ref="EP220">IFERROR(INDEX(球員狀態!I$2:I$5000, MATCH(1, (球員狀態!$A$2:$A$5000=$EI$211)*(ISNUMBER(SEARCH($EI220, 球員狀態!$B$2:$B$5000))), 0)), "")</f>
        <v>0</v>
      </c>
      <c r="EQ220" s="4" t="str">
        <f t="array" ref="EQ220">IFERROR(INDEX(球員狀態!J$2:J$5000, MATCH(1, (球員狀態!$A$2:$A$5000=$EI$211)*(ISNUMBER(SEARCH($EI220, 球員狀態!$B$2:$B$5000))), 0)), "")</f>
        <v>3</v>
      </c>
      <c r="ER220" s="4" t="str">
        <f t="array" ref="ER220">IFERROR(INDEX(球員狀態!K$2:K$5000, MATCH(1, (球員狀態!$A$2:$A$5000=$EI$211)*(ISNUMBER(SEARCH($EI220, 球員狀態!$B$2:$B$5000))), 0)), "")</f>
        <v>13</v>
      </c>
      <c r="ES220" s="4" t="str">
        <f t="array" ref="ES220">IFERROR(INDEX(球員狀態!L$2:L$5000, MATCH(1, (球員狀態!$A$2:$A$5000=$EI$211)*(ISNUMBER(SEARCH($EI220, 球員狀態!$B$2:$B$5000))), 0)), "")</f>
        <v>39</v>
      </c>
      <c r="ET220" s="4" t="str">
        <f t="array" ref="ET220">IFERROR(INDEX(球員狀態!M$2:M$5000, MATCH(1, (球員狀態!$A$2:$A$5000=$EI$211)*(ISNUMBER(SEARCH($EI220, 球員狀態!$B$2:$B$5000))), 0)), "")</f>
        <v>14</v>
      </c>
      <c r="EU220" s="4" t="str">
        <f t="array" ref="EU220">IFERROR(INDEX(球員狀態!N$2:N$5000, MATCH(1, (球員狀態!$A$2:$A$5000=$EI$211)*(ISNUMBER(SEARCH($EI220, 球員狀態!$B$2:$B$5000))), 0)), "")</f>
        <v>26</v>
      </c>
      <c r="EV220" s="4" t="str">
        <f t="array" ref="EV220">IFERROR(INDEX(球員狀態!O$2:O$5000, MATCH(1, (球員狀態!$A$2:$A$5000=$EI$1)*(ISNUMBER(SEARCH($EI220, 球員狀態!$B$2:$B$5000))), 0)), "")</f>
        <v/>
      </c>
      <c r="EW220" s="4" t="str">
        <f t="array" ref="EW220">IFERROR(INDEX(球員狀態!P$2:P$5000, MATCH(1, (球員狀態!$A$2:$A$5000=$EI$1)*(ISNUMBER(SEARCH($EI220, 球員狀態!$B$2:$B$5000))), 0)), "")</f>
        <v/>
      </c>
      <c r="EX220" s="4" t="str">
        <f t="array" ref="EX220">IFERROR(INDEX(球員狀態!Q$2:Q$5000, MATCH(1, (球員狀態!$A$2:$A$5000=$EI$211)*(ISNUMBER(SEARCH($EI220, 球員狀態!$B$2:$B$5000))), 0)), "")</f>
        <v>.325</v>
      </c>
      <c r="EY220" s="4" t="str">
        <f t="array" ref="EY220">IFERROR(INDEX(球員狀態!R$2:R$5000, MATCH(1, (球員狀態!$A$2:$A$5000=$EI$1)*(ISNUMBER(SEARCH($EI220, 球員狀態!$B$2:$B$5000))), 0)), "")</f>
        <v/>
      </c>
      <c r="EZ220" s="4" t="str">
        <f t="array" ref="EZ220">IFERROR(INDEX(球員狀態!S$2:S$5000, MATCH(1, (球員狀態!$A$2:$A$5000=$EI$1)*(ISNUMBER(SEARCH($EI220, 球員狀態!$B$2:$B$5000))), 0)), "")</f>
        <v/>
      </c>
      <c r="FA220" s="4" t="str">
        <f t="array" ref="FA220">IFERROR(INDEX(球員狀態!T$2:T$5000, MATCH(1, (球員狀態!$A$2:$A$5000=$EI$211)*(ISNUMBER(SEARCH($EI220, 球員狀態!$B$2:$B$5000))), 0)), "")</f>
        <v>0.0</v>
      </c>
      <c r="FB220" s="4" t="str">
        <f t="array" ref="FB220">IFERROR(INDEX(球員狀態!U$2:U$5000, MATCH(1, (球員狀態!$A$2:$A$5000=$EI$1)*(ISNUMBER(SEARCH($EI220, 球員狀態!$B$2:$B$5000))), 0)), "")</f>
        <v/>
      </c>
      <c r="FC220" s="4" t="str">
        <f t="array" ref="FC220">IFERROR(INDEX(球員狀態!V$2:V$5000, MATCH(1, (球員狀態!$A$2:$A$5000=$EI$1)*(ISNUMBER(SEARCH($EI220, 球員狀態!$B$2:$B$5000))), 0)), "")</f>
        <v/>
      </c>
      <c r="FD220" s="4" t="str">
        <f t="array" ref="FD220">IFERROR(INDEX(球員狀態!W$2:W$5000, MATCH(1, (球員狀態!$A$2:$A$5000=$EI$211)*(ISNUMBER(SEARCH($EI220, 球員狀態!$B$2:$B$5000))), 0)), "")</f>
        <v>.117</v>
      </c>
      <c r="FE220" s="4" t="str">
        <f t="array" ref="FE220">IFERROR(INDEX(球員狀態!X$2:X$5000, MATCH(1, (球員狀態!$A$2:$A$5000=$EI$1)*(ISNUMBER(SEARCH($EI220, 球員狀態!$B$2:$B$5000))), 0)), "")</f>
        <v/>
      </c>
      <c r="FF220" s="4" t="str">
        <f t="array" ref="FF220">IFERROR(INDEX(球員狀態!Y$2:Y$5000, MATCH(1, (球員狀態!$A$2:$A$5000=$EI$1)*(ISNUMBER(SEARCH($EI220, 球員狀態!$B$2:$B$5000))), 0)), "")</f>
        <v/>
      </c>
      <c r="FG220" s="4" t="str">
        <f t="array" ref="FG220">IFERROR(INDEX(球員狀態!Z$2:Z$5000, MATCH(1, (球員狀態!$A$2:$A$5000=$EI$211)*(ISNUMBER(SEARCH($EI220, 球員狀態!$B$2:$B$5000))), 0)), "")</f>
        <v>.295</v>
      </c>
      <c r="FH220" s="4" t="str">
        <f t="array" ref="FH220">IFERROR(INDEX(球員狀態!AA$2:AA$5000, MATCH(1, (球員狀態!$A$2:$A$5000=$EI$211)*(ISNUMBER(SEARCH($EI220, 球員狀態!$B$2:$B$5000))), 0)), "")</f>
        <v>3.78</v>
      </c>
      <c r="FI220" s="4" t="str">
        <f t="array" ref="FI220">IFERROR(INDEX(球員狀態!AB$2:AB$5000, MATCH(1, (球員狀態!$A$2:$A$5000=$EI$211)*(ISNUMBER(SEARCH($EI220, 球員狀態!$B$2:$B$5000))), 0)), "")</f>
        <v>8</v>
      </c>
    </row>
    <row r="221" spans="110:165">
      <c r="DF221" s="33"/>
      <c r="DH221" s="40">
        <f>DJ221+DL221+DM221+DN221+DO221-DP221-DQ221+DR221</f>
        <v>3.45</v>
      </c>
      <c r="DI221" s="42">
        <f>DU221+DX221+EA221+ED221+EE221+EF221</f>
        <v>5</v>
      </c>
      <c r="DJ221" s="38">
        <f>VLOOKUP(DJ220*1, FK$2:FM$12, 3, TRUE)*FM$1</f>
        <v>1.75</v>
      </c>
      <c r="DL221" s="38">
        <f>VLOOKUP(DL220*1, FN$2:FP$12, 3, TRUE)*FP$1</f>
        <v>0.6</v>
      </c>
      <c r="DM221" s="38">
        <f>VLOOKUP(DM220*1, FQ$2:FS$12, 3, TRUE)*FS$1</f>
        <v>0.1</v>
      </c>
      <c r="DN221" s="38">
        <f>VLOOKUP(DN220*1, FT$2:FV$12, 3, TRUE)*FV$1</f>
        <v>1</v>
      </c>
      <c r="DO221" s="38">
        <f>VLOOKUP(DO220*1, FW$2:FY$12, 3, TRUE)*FY$1</f>
        <v>0.5</v>
      </c>
      <c r="DP221" s="39">
        <f>VLOOKUP(DP220*1, FK$14:FM$25, 3, TRUE)*FM$14</f>
        <v>1</v>
      </c>
      <c r="DQ221" s="39">
        <f>VLOOKUP(DQ220*1, FN$14:FP$25, 3, TRUE)*FP$14</f>
        <v>1</v>
      </c>
      <c r="DR221" s="38">
        <f>VLOOKUP(DR220*1, FQ$14:FS$25, 3, TRUE)*FS$14</f>
        <v>1.5</v>
      </c>
      <c r="DU221" s="41">
        <f>VLOOKUP(DU220*1, FK$27:FM$38, 3, TRUE)*FM$27</f>
        <v>0</v>
      </c>
      <c r="DX221" s="41">
        <f>VLOOKUP(DX220*1, FN$27:FP$38, 3, TRUE)*FP$27</f>
        <v>0</v>
      </c>
      <c r="EA221" s="41">
        <f>VLOOKUP(EA220*1, FQ$27:FS$38, 3, TRUE)*FS$27</f>
        <v>0</v>
      </c>
      <c r="ED221" s="41">
        <f>VLOOKUP(ED220*1, FT$27:FV$38, 3, TRUE)*FV$27</f>
        <v>0</v>
      </c>
      <c r="EE221" s="41">
        <f>VLOOKUP(EE220*1, FW$27:FY$38, 3, TRUE)*FY$27</f>
        <v>1.5</v>
      </c>
      <c r="EF221" s="41">
        <f>VLOOKUP(EF220*1, FK$40:FM$51, 3, TRUE)*FM$40</f>
        <v>3.5</v>
      </c>
      <c r="EG221" s="57"/>
      <c r="EI221" s="33"/>
      <c r="EK221" s="40">
        <f>EM221+EO221+EP221+EQ221+ER221-ES221-ET221+EU221</f>
        <v>3.35</v>
      </c>
      <c r="EL221" s="42">
        <f>EX221+FA221+FD221+FG221+FH221+FI221</f>
        <v>5</v>
      </c>
      <c r="EM221" s="38">
        <f>VLOOKUP(EM220*1, $FK$2:$FM$12, 3, TRUE)*$FM$1</f>
        <v>1.75</v>
      </c>
      <c r="EO221" s="38">
        <f>VLOOKUP(EO220*1, $FN$2:$FP$12, 3, TRUE)*$FP$1</f>
        <v>0.6</v>
      </c>
      <c r="EP221" s="38">
        <f>VLOOKUP(EP220*1, $FQ$2:$FS$12, 3, TRUE)*$FS$1</f>
        <v>0</v>
      </c>
      <c r="EQ221" s="38">
        <f>VLOOKUP(EQ220*1, $FT$2:$FV$12, 3, TRUE)*$FV$1</f>
        <v>1</v>
      </c>
      <c r="ER221" s="38">
        <f>VLOOKUP(ER220*1, $FW$2:$FY$12, 3, TRUE)*$FY$1</f>
        <v>0.5</v>
      </c>
      <c r="ES221" s="39">
        <f>VLOOKUP(ES220*1, $FK$14:$FM$25, 3, TRUE)*$FM$14</f>
        <v>1</v>
      </c>
      <c r="ET221" s="39">
        <f>VLOOKUP(ET220*1, $FN$14:$FP$25, 3, TRUE)*$FP$14</f>
        <v>1</v>
      </c>
      <c r="EU221" s="38">
        <f>VLOOKUP(EU220*1, $FQ$14:$FS$25, 3, TRUE)*$FS$14</f>
        <v>1.5</v>
      </c>
      <c r="EX221" s="41">
        <f>VLOOKUP(EX220*1, $FK$27:$FM$38, 3, TRUE)*$FM$27</f>
        <v>0</v>
      </c>
      <c r="FA221" s="41">
        <f>VLOOKUP(FA220*1, $FN$27:$FP$38, 3, TRUE)*$FP$27</f>
        <v>0</v>
      </c>
      <c r="FD221" s="41">
        <f>VLOOKUP(FD220*1, $FQ$27:$FS$38, 3, TRUE)*$FS$27</f>
        <v>0</v>
      </c>
      <c r="FG221" s="41">
        <f>VLOOKUP(FG220*1, $FT$27:$FV$38, 3, TRUE)*$FV$27</f>
        <v>0</v>
      </c>
      <c r="FH221" s="41">
        <f>VLOOKUP(FH220*1, $FW$27:$FY$38, 3, TRUE)*$FY$27</f>
        <v>1.5</v>
      </c>
      <c r="FI221" s="41">
        <f>VLOOKUP(FI220*1, $FK$40:$FM$51, 3, TRUE)*$FM$40</f>
        <v>3.5</v>
      </c>
    </row>
    <row r="222" spans="110:165">
      <c r="DF222" s="37" t="str">
        <f>先發名單!J$9</f>
        <v>X. Edwards</v>
      </c>
      <c r="DG222" s="4" t="str">
        <f t="array" ref="DG222">IFERROR(INDEX(球員狀態!$C$2:$C$5000, MATCH(1, (球員狀態!$A$2:$A$5000=$DF$211)*(ISNUMBER(SEARCH($DF222, 球員狀態!$B$2:$B$5000))), 0)), "")</f>
        <v/>
      </c>
      <c r="DJ222" s="4" t="str">
        <f t="array" ref="DJ222">IFERROR(INDEX(球員狀態!$F$2:$F$5000,MATCH(1,(球員狀態!$A$2:$A$5000=$DF$211)*(ISNUMBER(SEARCH($DF222,球員狀態!$B$2:$B$5000))),0)),"")</f>
        <v/>
      </c>
      <c r="DK222" s="4" t="str">
        <f t="array" ref="DK222">IFERROR(INDEX(球員狀態!G$2:G$5000, MATCH(1, (球員狀態!$A$2:$A$5000=$DF$1)*(ISNUMBER(SEARCH($DF222, 球員狀態!$B$2:$B$5000))), 0)), "")</f>
        <v/>
      </c>
      <c r="DL222" s="4" t="str">
        <f t="array" ref="DL222">IFERROR(INDEX(球員狀態!H$2:H$5000, MATCH(1, (球員狀態!$A$2:$A$5000=$DF$211)*(ISNUMBER(SEARCH($DF222, 球員狀態!$B$2:$B$5000))), 0)), "")</f>
        <v/>
      </c>
      <c r="DM222" s="4" t="str">
        <f t="array" ref="DM222">IFERROR(INDEX(球員狀態!I$2:I$5000,MATCH(1,(球員狀態!$A$2:$A$5000=$DF$211)*(ISNUMBER(SEARCH($DF222,球員狀態!$B$2:$B$5000))),0)),"")</f>
        <v/>
      </c>
      <c r="DN222" s="4" t="str">
        <f t="array" ref="DN222">IFERROR(INDEX(球員狀態!J$2:J$5000,MATCH(1,(球員狀態!$A$2:$A$5000=$DF$211)*(ISNUMBER(SEARCH($DF222,球員狀態!$B$2:$B$5000))),0)),"")</f>
        <v/>
      </c>
      <c r="DO222" s="4" t="str">
        <f t="array" ref="DO222">IFERROR(INDEX(球員狀態!K$2:K$5000,MATCH(1,(球員狀態!$A$2:$A$5000=$DF$211)*(ISNUMBER(SEARCH($DF222,球員狀態!$B$2:$B$5000))),0)),"")</f>
        <v/>
      </c>
      <c r="DP222" s="4" t="str">
        <f t="array" ref="DP222">IFERROR(INDEX(球員狀態!L$2:L$5000,MATCH(1,(球員狀態!$A$2:$A$5000=$DF$211)*(ISNUMBER(SEARCH($DF222,球員狀態!$B$2:$B$5000))),0)),"")</f>
        <v/>
      </c>
      <c r="DQ222" s="4" t="str">
        <f t="array" ref="DQ222">IFERROR(INDEX(球員狀態!M$2:M$5000,MATCH(1,(球員狀態!$A$2:$A$5000=$DF$211)*(ISNUMBER(SEARCH($DF222,球員狀態!$B$2:$B$5000))),0)),"")</f>
        <v/>
      </c>
      <c r="DR222" s="4" t="str">
        <f t="array" ref="DR222">IFERROR(INDEX(球員狀態!N$2:N$5000,MATCH(1,(球員狀態!$A$2:$A$5000=$DF$211)*(ISNUMBER(SEARCH($DF222,球員狀態!$B$2:$B$5000))),0)),"")</f>
        <v/>
      </c>
      <c r="DS222" s="4" t="str">
        <f t="array" ref="DS222">IFERROR(INDEX(球員狀態!O$2:O$5000, MATCH(1, (球員狀態!$A$2:$A$5000=$DF$1)*(ISNUMBER(SEARCH($DF222, 球員狀態!$B$2:$B$5000))), 0)), "")</f>
        <v/>
      </c>
      <c r="DT222" s="4" t="str">
        <f t="array" ref="DT222">IFERROR(INDEX(球員狀態!P$2:P$5000, MATCH(1, (球員狀態!$A$2:$A$5000=$DF$1)*(ISNUMBER(SEARCH($DF222, 球員狀態!$B$2:$B$5000))), 0)), "")</f>
        <v/>
      </c>
      <c r="DU222" s="4" t="str">
        <f t="array" ref="DU222">IFERROR(INDEX(球員狀態!Q$2:Q$5000,MATCH(1,(球員狀態!$A$2:$A$5000=$DF$211)*(ISNUMBER(SEARCH($DF222,球員狀態!$B$2:$B$5000))),0)),"")</f>
        <v/>
      </c>
      <c r="DV222" s="4" t="str">
        <f t="array" ref="DV222">IFERROR(INDEX(球員狀態!R$2:R$5000, MATCH(1, (球員狀態!$A$2:$A$5000=$DF$1)*(ISNUMBER(SEARCH($DF222, 球員狀態!$B$2:$B$5000))), 0)), "")</f>
        <v/>
      </c>
      <c r="DW222" s="4" t="str">
        <f t="array" ref="DW222">IFERROR(INDEX(球員狀態!S$2:S$5000, MATCH(1, (球員狀態!$A$2:$A$5000=$DF$1)*(ISNUMBER(SEARCH($DF222, 球員狀態!$B$2:$B$5000))), 0)), "")</f>
        <v/>
      </c>
      <c r="DX222" s="4" t="str">
        <f t="array" ref="DX222">IFERROR(INDEX(球員狀態!T$2:T$5000,MATCH(1,(球員狀態!$A$2:$A$5000=$DF$211)*(ISNUMBER(SEARCH($DF222,球員狀態!$B$2:$B$5000))),0)),"")</f>
        <v/>
      </c>
      <c r="DY222" s="4" t="str">
        <f t="array" ref="DY222">IFERROR(INDEX(球員狀態!U$2:U$5000, MATCH(1, (球員狀態!$A$2:$A$5000=$DF$1)*(ISNUMBER(SEARCH($DF222, 球員狀態!$B$2:$B$5000))), 0)), "")</f>
        <v/>
      </c>
      <c r="DZ222" s="4" t="str">
        <f t="array" ref="DZ222">IFERROR(INDEX(球員狀態!V$2:V$5000, MATCH(1, (球員狀態!$A$2:$A$5000=$DF$1)*(ISNUMBER(SEARCH($DF222, 球員狀態!$B$2:$B$5000))), 0)), "")</f>
        <v/>
      </c>
      <c r="EA222" s="4" t="str">
        <f t="array" ref="EA222">IFERROR(INDEX(球員狀態!W$2:W$5000,MATCH(1,(球員狀態!$A$2:$A$5000=$DF$211)*(ISNUMBER(SEARCH($DF222,球員狀態!$B$2:$B$5000))),0)),"")</f>
        <v/>
      </c>
      <c r="EB222" s="4" t="str">
        <f t="array" ref="EB222">IFERROR(INDEX(球員狀態!X$2:X$5000, MATCH(1, (球員狀態!$A$2:$A$5000=$DF$1)*(ISNUMBER(SEARCH($DF222, 球員狀態!$B$2:$B$5000))), 0)), "")</f>
        <v/>
      </c>
      <c r="EC222" s="4" t="str">
        <f t="array" ref="EC222">IFERROR(INDEX(球員狀態!Y$2:Y$5000, MATCH(1, (球員狀態!$A$2:$A$5000=$DF$1)*(ISNUMBER(SEARCH($DF222, 球員狀態!$B$2:$B$5000))), 0)), "")</f>
        <v/>
      </c>
      <c r="ED222" s="4" t="str">
        <f t="array" ref="ED222">IFERROR(INDEX(球員狀態!Z$2:Z$5000,MATCH(1,(球員狀態!$A$2:$A$5000=$DF$211)*(ISNUMBER(SEARCH($DF222,球員狀態!$B$2:$B$5000))),0)),"")</f>
        <v/>
      </c>
      <c r="EE222" s="4" t="str">
        <f t="array" ref="EE222">IFERROR(INDEX(球員狀態!AA$2:AA$5000,MATCH(1,(球員狀態!$A$2:$A$5000=$DF$211)*(ISNUMBER(SEARCH($DF222,球員狀態!$B$2:$B$5000))),0)),"")</f>
        <v/>
      </c>
      <c r="EF222" s="4" t="str">
        <f t="array" ref="EF222">IFERROR(INDEX(球員狀態!AB$2:AB$5000,MATCH(1,(球員狀態!$A$2:$A$5000=$DF$211)*(ISNUMBER(SEARCH($DF222,球員狀態!$B$2:$B$5000))),0)),"")</f>
        <v/>
      </c>
      <c r="EG222" s="56"/>
      <c r="EI222" s="37" t="str">
        <f>先發名單!T$9</f>
        <v>Max Muncy</v>
      </c>
      <c r="EJ222" s="4" t="str">
        <f t="array" ref="EJ222">IFERROR(INDEX(球員狀態!C$2:C$5000, MATCH(1, (球員狀態!$A$2:$A$5000=$EI$211)*(ISNUMBER(SEARCH($EI222, 球員狀態!$B$2:$B$5000))), 0)), "")</f>
        <v>3B</v>
      </c>
      <c r="EM222" s="4" t="str">
        <f t="array" ref="EM222">IFERROR(INDEX(球員狀態!F$2:F$5000, MATCH(1, (球員狀態!$A$2:$A$5000=$EI$211)*(ISNUMBER(SEARCH($EI222, 球員狀態!$B$2:$B$5000))), 0)), "")</f>
        <v>22</v>
      </c>
      <c r="EN222" s="4" t="str">
        <f t="array" ref="EN222">IFERROR(INDEX(球員狀態!G$2:G$5000, MATCH(1, (球員狀態!$A$2:$A$5000=$EI$1)*(ISNUMBER(SEARCH($EI222, 球員狀態!$B$2:$B$5000))), 0)), "")</f>
        <v/>
      </c>
      <c r="EO222" s="4" t="str">
        <f t="array" ref="EO222">IFERROR(INDEX(球員狀態!H$2:H$5000, MATCH(1, (球員狀態!$A$2:$A$5000=$EI$211)*(ISNUMBER(SEARCH($EI222, 球員狀態!$B$2:$B$5000))), 0)), "")</f>
        <v>3</v>
      </c>
      <c r="EP222" s="4" t="str">
        <f t="array" ref="EP222">IFERROR(INDEX(球員狀態!I$2:I$5000, MATCH(1, (球員狀態!$A$2:$A$5000=$EI$211)*(ISNUMBER(SEARCH($EI222, 球員狀態!$B$2:$B$5000))), 0)), "")</f>
        <v>0</v>
      </c>
      <c r="EQ222" s="4" t="str">
        <f t="array" ref="EQ222">IFERROR(INDEX(球員狀態!J$2:J$5000, MATCH(1, (球員狀態!$A$2:$A$5000=$EI$211)*(ISNUMBER(SEARCH($EI222, 球員狀態!$B$2:$B$5000))), 0)), "")</f>
        <v>9</v>
      </c>
      <c r="ER222" s="4" t="str">
        <f t="array" ref="ER222">IFERROR(INDEX(球員狀態!K$2:K$5000, MATCH(1, (球員狀態!$A$2:$A$5000=$EI$211)*(ISNUMBER(SEARCH($EI222, 球員狀態!$B$2:$B$5000))), 0)), "")</f>
        <v>11</v>
      </c>
      <c r="ES222" s="4" t="str">
        <f t="array" ref="ES222">IFERROR(INDEX(球員狀態!L$2:L$5000, MATCH(1, (球員狀態!$A$2:$A$5000=$EI$211)*(ISNUMBER(SEARCH($EI222, 球員狀態!$B$2:$B$5000))), 0)), "")</f>
        <v>57</v>
      </c>
      <c r="ET222" s="4" t="str">
        <f t="array" ref="ET222">IFERROR(INDEX(球員狀態!M$2:M$5000, MATCH(1, (球員狀態!$A$2:$A$5000=$EI$211)*(ISNUMBER(SEARCH($EI222, 球員狀態!$B$2:$B$5000))), 0)), "")</f>
        <v>14</v>
      </c>
      <c r="EU222" s="4" t="str">
        <f t="array" ref="EU222">IFERROR(INDEX(球員狀態!N$2:N$5000, MATCH(1, (球員狀態!$A$2:$A$5000=$EI$211)*(ISNUMBER(SEARCH($EI222, 球員狀態!$B$2:$B$5000))), 0)), "")</f>
        <v>27</v>
      </c>
      <c r="EV222" s="4" t="str">
        <f t="array" ref="EV222">IFERROR(INDEX(球員狀態!O$2:O$5000, MATCH(1, (球員狀態!$A$2:$A$5000=$EI$1)*(ISNUMBER(SEARCH($EI222, 球員狀態!$B$2:$B$5000))), 0)), "")</f>
        <v/>
      </c>
      <c r="EW222" s="4" t="str">
        <f t="array" ref="EW222">IFERROR(INDEX(球員狀態!P$2:P$5000, MATCH(1, (球員狀態!$A$2:$A$5000=$EI$1)*(ISNUMBER(SEARCH($EI222, 球員狀態!$B$2:$B$5000))), 0)), "")</f>
        <v/>
      </c>
      <c r="EX222" s="4" t="str">
        <f t="array" ref="EX222">IFERROR(INDEX(球員狀態!Q$2:Q$5000, MATCH(1, (球員狀態!$A$2:$A$5000=$EI$211)*(ISNUMBER(SEARCH($EI222, 球員狀態!$B$2:$B$5000))), 0)), "")</f>
        <v>.394</v>
      </c>
      <c r="EY222" s="4" t="str">
        <f t="array" ref="EY222">IFERROR(INDEX(球員狀態!R$2:R$5000, MATCH(1, (球員狀態!$A$2:$A$5000=$EI$1)*(ISNUMBER(SEARCH($EI222, 球員狀態!$B$2:$B$5000))), 0)), "")</f>
        <v/>
      </c>
      <c r="EZ222" s="4" t="str">
        <f t="array" ref="EZ222">IFERROR(INDEX(球員狀態!S$2:S$5000, MATCH(1, (球員狀態!$A$2:$A$5000=$EI$1)*(ISNUMBER(SEARCH($EI222, 球員狀態!$B$2:$B$5000))), 0)), "")</f>
        <v/>
      </c>
      <c r="FA222" s="4" t="str">
        <f t="array" ref="FA222">IFERROR(INDEX(球員狀態!T$2:T$5000, MATCH(1, (球員狀態!$A$2:$A$5000=$EI$211)*(ISNUMBER(SEARCH($EI222, 球員狀態!$B$2:$B$5000))), 0)), "")</f>
        <v>1.6</v>
      </c>
      <c r="FB222" s="4" t="str">
        <f t="array" ref="FB222">IFERROR(INDEX(球員狀態!U$2:U$5000, MATCH(1, (球員狀態!$A$2:$A$5000=$EI$1)*(ISNUMBER(SEARCH($EI222, 球員狀態!$B$2:$B$5000))), 0)), "")</f>
        <v/>
      </c>
      <c r="FC222" s="4" t="str">
        <f t="array" ref="FC222">IFERROR(INDEX(球員狀態!V$2:V$5000, MATCH(1, (球員狀態!$A$2:$A$5000=$EI$1)*(ISNUMBER(SEARCH($EI222, 球員狀態!$B$2:$B$5000))), 0)), "")</f>
        <v/>
      </c>
      <c r="FD222" s="4" t="str">
        <f t="array" ref="FD222">IFERROR(INDEX(球員狀態!W$2:W$5000, MATCH(1, (球員狀態!$A$2:$A$5000=$EI$211)*(ISNUMBER(SEARCH($EI222, 球員狀態!$B$2:$B$5000))), 0)), "")</f>
        <v>.135</v>
      </c>
      <c r="FE222" s="4" t="str">
        <f t="array" ref="FE222">IFERROR(INDEX(球員狀態!X$2:X$5000, MATCH(1, (球員狀態!$A$2:$A$5000=$EI$1)*(ISNUMBER(SEARCH($EI222, 球員狀態!$B$2:$B$5000))), 0)), "")</f>
        <v/>
      </c>
      <c r="FF222" s="4" t="str">
        <f t="array" ref="FF222">IFERROR(INDEX(球員狀態!Y$2:Y$5000, MATCH(1, (球員狀態!$A$2:$A$5000=$EI$1)*(ISNUMBER(SEARCH($EI222, 球員狀態!$B$2:$B$5000))), 0)), "")</f>
        <v/>
      </c>
      <c r="FG222" s="4" t="str">
        <f t="array" ref="FG222">IFERROR(INDEX(球員狀態!Z$2:Z$5000, MATCH(1, (球員狀態!$A$2:$A$5000=$EI$211)*(ISNUMBER(SEARCH($EI222, 球員狀態!$B$2:$B$5000))), 0)), "")</f>
        <v>.489</v>
      </c>
      <c r="FH222" s="4" t="str">
        <f t="array" ref="FH222">IFERROR(INDEX(球員狀態!AA$2:AA$5000, MATCH(1, (球員狀態!$A$2:$A$5000=$EI$211)*(ISNUMBER(SEARCH($EI222, 球員狀態!$B$2:$B$5000))), 0)), "")</f>
        <v>4.10</v>
      </c>
      <c r="FI222" s="4" t="str">
        <f t="array" ref="FI222">IFERROR(INDEX(球員狀態!AB$2:AB$5000, MATCH(1, (球員狀態!$A$2:$A$5000=$EI$211)*(ISNUMBER(SEARCH($EI222, 球員狀態!$B$2:$B$5000))), 0)), "")</f>
        <v>12</v>
      </c>
    </row>
    <row r="223" spans="110:165">
      <c r="DF223" s="33"/>
      <c r="DH223" s="40" t="e">
        <f>DJ223+DL223+DM223+DN223+DO223-DP223-DQ223+DR223</f>
        <v>#VALUE!</v>
      </c>
      <c r="DI223" s="42" t="e">
        <f>DU223+DX223+EA223+ED223+EE223+EF223</f>
        <v>#VALUE!</v>
      </c>
      <c r="DJ223" s="38" t="e">
        <f>VLOOKUP(DJ222*1, FK$2:FM$12, 3, TRUE)*FM$1</f>
        <v>#VALUE!</v>
      </c>
      <c r="DL223" s="38" t="e">
        <f>VLOOKUP(DL222*1, FN$2:FP$12, 3, TRUE)*FP$1</f>
        <v>#VALUE!</v>
      </c>
      <c r="DM223" s="38" t="e">
        <f>VLOOKUP(DM222*1, FQ$2:FS$12, 3, TRUE)*FS$1</f>
        <v>#VALUE!</v>
      </c>
      <c r="DN223" s="38" t="e">
        <f>VLOOKUP(DN222*1, FT$2:FV$12, 3, TRUE)*FV$1</f>
        <v>#VALUE!</v>
      </c>
      <c r="DO223" s="38" t="e">
        <f>VLOOKUP(DO222*1, FW$2:FY$12, 3, TRUE)*FY$1</f>
        <v>#VALUE!</v>
      </c>
      <c r="DP223" s="39" t="e">
        <f>VLOOKUP(DP222*1, FK$14:FM$25, 3, TRUE)*FM$14</f>
        <v>#VALUE!</v>
      </c>
      <c r="DQ223" s="39" t="e">
        <f>VLOOKUP(DQ222*1, FN$14:FP$25, 3, TRUE)*FP$14</f>
        <v>#VALUE!</v>
      </c>
      <c r="DR223" s="38" t="e">
        <f>VLOOKUP(DR222*1, FQ$14:FS$25, 3, TRUE)*FS$14</f>
        <v>#VALUE!</v>
      </c>
      <c r="DU223" s="41" t="e">
        <f>VLOOKUP(DU222*1, FK$27:FM$38, 3, TRUE)*FM$27</f>
        <v>#VALUE!</v>
      </c>
      <c r="DX223" s="41" t="e">
        <f>VLOOKUP(DX222*1, FN$27:FP$38, 3, TRUE)*FP$27</f>
        <v>#VALUE!</v>
      </c>
      <c r="EA223" s="41" t="e">
        <f>VLOOKUP(EA222*1, FQ$27:FS$38, 3, TRUE)*FS$27</f>
        <v>#VALUE!</v>
      </c>
      <c r="ED223" s="41" t="e">
        <f>VLOOKUP(ED222*1, FT$27:FV$38, 3, TRUE)*FV$27</f>
        <v>#VALUE!</v>
      </c>
      <c r="EE223" s="41" t="e">
        <f>VLOOKUP(EE222*1, FW$27:FY$38, 3, TRUE)*FY$27</f>
        <v>#VALUE!</v>
      </c>
      <c r="EF223" s="41" t="e">
        <f>VLOOKUP(EF222*1, FK$40:FM$51, 3, TRUE)*FM$40</f>
        <v>#VALUE!</v>
      </c>
      <c r="EG223" s="57"/>
      <c r="EI223" s="33"/>
      <c r="EK223" s="40">
        <f>EM223+EO223+EP223+EQ223+ER223-ES223-ET223+EU223</f>
        <v>3.3</v>
      </c>
      <c r="EL223" s="42">
        <f>EX223+FA223+FD223+FG223+FH223+FI223</f>
        <v>5</v>
      </c>
      <c r="EM223" s="38">
        <f>VLOOKUP(EM222*1, $FK$2:$FM$12, 3, TRUE)*$FM$1</f>
        <v>2</v>
      </c>
      <c r="EO223" s="38">
        <f>VLOOKUP(EO222*1, $FN$2:$FP$12, 3, TRUE)*$FP$1</f>
        <v>0.3</v>
      </c>
      <c r="EP223" s="38">
        <f>VLOOKUP(EP222*1, $FQ$2:$FS$12, 3, TRUE)*$FS$1</f>
        <v>0</v>
      </c>
      <c r="EQ223" s="38">
        <f>VLOOKUP(EQ222*1, $FT$2:$FV$12, 3, TRUE)*$FV$1</f>
        <v>1</v>
      </c>
      <c r="ER223" s="38">
        <f>VLOOKUP(ER222*1, $FW$2:$FY$12, 3, TRUE)*$FY$1</f>
        <v>0.5</v>
      </c>
      <c r="ES223" s="39">
        <f>VLOOKUP(ES222*1, $FK$14:$FM$25, 3, TRUE)*$FM$14</f>
        <v>1</v>
      </c>
      <c r="ET223" s="39">
        <f>VLOOKUP(ET222*1, $FN$14:$FP$25, 3, TRUE)*$FP$14</f>
        <v>1</v>
      </c>
      <c r="EU223" s="38">
        <f>VLOOKUP(EU222*1, $FQ$14:$FS$25, 3, TRUE)*$FS$14</f>
        <v>1.5</v>
      </c>
      <c r="EX223" s="41">
        <f>VLOOKUP(EX222*1, $FK$27:$FM$38, 3, TRUE)*$FM$27</f>
        <v>0</v>
      </c>
      <c r="FA223" s="41">
        <f>VLOOKUP(FA222*1, $FN$27:$FP$38, 3, TRUE)*$FP$27</f>
        <v>0</v>
      </c>
      <c r="FD223" s="41">
        <f>VLOOKUP(FD222*1, $FQ$27:$FS$38, 3, TRUE)*$FS$27</f>
        <v>0</v>
      </c>
      <c r="FG223" s="41">
        <f>VLOOKUP(FG222*1, $FT$27:$FV$38, 3, TRUE)*$FV$27</f>
        <v>0</v>
      </c>
      <c r="FH223" s="41">
        <f>VLOOKUP(FH222*1, $FW$27:$FY$38, 3, TRUE)*$FY$27</f>
        <v>1.5</v>
      </c>
      <c r="FI223" s="41">
        <f>VLOOKUP(FI222*1, $FK$40:$FM$51, 3, TRUE)*$FM$40</f>
        <v>3.5</v>
      </c>
    </row>
    <row r="224" spans="110:165">
      <c r="DF224" s="37" t="str">
        <f>先發名單!K$9</f>
        <v>Liam Hicks</v>
      </c>
      <c r="DG224" s="4" t="str">
        <f t="array" ref="DG224">IFERROR(INDEX(球員狀態!$C$2:$C$5000, MATCH(1, (球員狀態!$A$2:$A$5000=$DF$211)*(ISNUMBER(SEARCH($DF224, 球員狀態!$B$2:$B$5000))), 0)), "")</f>
        <v>C</v>
      </c>
      <c r="DJ224" s="4" t="str">
        <f t="array" ref="DJ224">IFERROR(INDEX(球員狀態!$F$2:$F$5000,MATCH(1,(球員狀態!$A$2:$A$5000=$DF$211)*(ISNUMBER(SEARCH($DF224,球員狀態!$B$2:$B$5000))),0)),"")</f>
        <v>16</v>
      </c>
      <c r="DK224" s="4" t="str">
        <f t="array" ref="DK224">IFERROR(INDEX(球員狀態!G$2:G$5000, MATCH(1, (球員狀態!$A$2:$A$5000=$DF$1)*(ISNUMBER(SEARCH($DF224, 球員狀態!$B$2:$B$5000))), 0)), "")</f>
        <v/>
      </c>
      <c r="DL224" s="4" t="str">
        <f t="array" ref="DL224">IFERROR(INDEX(球員狀態!H$2:H$5000, MATCH(1, (球員狀態!$A$2:$A$5000=$DF$211)*(ISNUMBER(SEARCH($DF224, 球員狀態!$B$2:$B$5000))), 0)), "")</f>
        <v>3</v>
      </c>
      <c r="DM224" s="4" t="str">
        <f t="array" ref="DM224">IFERROR(INDEX(球員狀態!I$2:I$5000,MATCH(1,(球員狀態!$A$2:$A$5000=$DF$211)*(ISNUMBER(SEARCH($DF224,球員狀態!$B$2:$B$5000))),0)),"")</f>
        <v>0</v>
      </c>
      <c r="DN224" s="4" t="str">
        <f t="array" ref="DN224">IFERROR(INDEX(球員狀態!J$2:J$5000,MATCH(1,(球員狀態!$A$2:$A$5000=$DF$211)*(ISNUMBER(SEARCH($DF224,球員狀態!$B$2:$B$5000))),0)),"")</f>
        <v>5</v>
      </c>
      <c r="DO224" s="4" t="str">
        <f t="array" ref="DO224">IFERROR(INDEX(球員狀態!K$2:K$5000,MATCH(1,(球員狀態!$A$2:$A$5000=$DF$211)*(ISNUMBER(SEARCH($DF224,球員狀態!$B$2:$B$5000))),0)),"")</f>
        <v>24</v>
      </c>
      <c r="DP224" s="4" t="str">
        <f t="array" ref="DP224">IFERROR(INDEX(球員狀態!L$2:L$5000,MATCH(1,(球員狀態!$A$2:$A$5000=$DF$211)*(ISNUMBER(SEARCH($DF224,球員狀態!$B$2:$B$5000))),0)),"")</f>
        <v>45</v>
      </c>
      <c r="DQ224" s="4" t="str">
        <f t="array" ref="DQ224">IFERROR(INDEX(球員狀態!M$2:M$5000,MATCH(1,(球員狀態!$A$2:$A$5000=$DF$211)*(ISNUMBER(SEARCH($DF224,球員狀態!$B$2:$B$5000))),0)),"")</f>
        <v>5</v>
      </c>
      <c r="DR224" s="4" t="str">
        <f t="array" ref="DR224">IFERROR(INDEX(球員狀態!N$2:N$5000,MATCH(1,(球員狀態!$A$2:$A$5000=$DF$211)*(ISNUMBER(SEARCH($DF224,球員狀態!$B$2:$B$5000))),0)),"")</f>
        <v>6</v>
      </c>
      <c r="DS224" s="4" t="str">
        <f t="array" ref="DS224">IFERROR(INDEX(球員狀態!O$2:O$5000, MATCH(1, (球員狀態!$A$2:$A$5000=$DF$1)*(ISNUMBER(SEARCH($DF224, 球員狀態!$B$2:$B$5000))), 0)), "")</f>
        <v/>
      </c>
      <c r="DT224" s="4" t="str">
        <f t="array" ref="DT224">IFERROR(INDEX(球員狀態!P$2:P$5000, MATCH(1, (球員狀態!$A$2:$A$5000=$DF$1)*(ISNUMBER(SEARCH($DF224, 球員狀態!$B$2:$B$5000))), 0)), "")</f>
        <v/>
      </c>
      <c r="DU224" s="4" t="str">
        <f t="array" ref="DU224">IFERROR(INDEX(球員狀態!Q$2:Q$5000,MATCH(1,(球員狀態!$A$2:$A$5000=$DF$211)*(ISNUMBER(SEARCH($DF224,球員狀態!$B$2:$B$5000))),0)),"")</f>
        <v>.354</v>
      </c>
      <c r="DV224" s="4" t="str">
        <f t="array" ref="DV224">IFERROR(INDEX(球員狀態!R$2:R$5000, MATCH(1, (球員狀態!$A$2:$A$5000=$DF$1)*(ISNUMBER(SEARCH($DF224, 球員狀態!$B$2:$B$5000))), 0)), "")</f>
        <v/>
      </c>
      <c r="DW224" s="4" t="str">
        <f t="array" ref="DW224">IFERROR(INDEX(球員狀態!S$2:S$5000, MATCH(1, (球員狀態!$A$2:$A$5000=$DF$1)*(ISNUMBER(SEARCH($DF224, 球員狀態!$B$2:$B$5000))), 0)), "")</f>
        <v/>
      </c>
      <c r="DX224" s="4" t="str">
        <f t="array" ref="DX224">IFERROR(INDEX(球員狀態!T$2:T$5000,MATCH(1,(球員狀態!$A$2:$A$5000=$DF$211)*(ISNUMBER(SEARCH($DF224,球員狀態!$B$2:$B$5000))),0)),"")</f>
        <v>0.8</v>
      </c>
      <c r="DY224" s="4" t="str">
        <f t="array" ref="DY224">IFERROR(INDEX(球員狀態!U$2:U$5000, MATCH(1, (球員狀態!$A$2:$A$5000=$DF$1)*(ISNUMBER(SEARCH($DF224, 球員狀態!$B$2:$B$5000))), 0)), "")</f>
        <v/>
      </c>
      <c r="DZ224" s="4" t="str">
        <f t="array" ref="DZ224">IFERROR(INDEX(球員狀態!V$2:V$5000, MATCH(1, (球員狀態!$A$2:$A$5000=$DF$1)*(ISNUMBER(SEARCH($DF224, 球員狀態!$B$2:$B$5000))), 0)), "")</f>
        <v/>
      </c>
      <c r="EA224" s="4" t="str">
        <f t="array" ref="EA224">IFERROR(INDEX(球員狀態!W$2:W$5000,MATCH(1,(球員狀態!$A$2:$A$5000=$DF$211)*(ISNUMBER(SEARCH($DF224,球員狀態!$B$2:$B$5000))),0)),"")</f>
        <v>.052</v>
      </c>
      <c r="EB224" s="4" t="str">
        <f t="array" ref="EB224">IFERROR(INDEX(球員狀態!X$2:X$5000, MATCH(1, (球員狀態!$A$2:$A$5000=$DF$1)*(ISNUMBER(SEARCH($DF224, 球員狀態!$B$2:$B$5000))), 0)), "")</f>
        <v/>
      </c>
      <c r="EC224" s="4" t="str">
        <f t="array" ref="EC224">IFERROR(INDEX(球員狀態!Y$2:Y$5000, MATCH(1, (球員狀態!$A$2:$A$5000=$DF$1)*(ISNUMBER(SEARCH($DF224, 球員狀態!$B$2:$B$5000))), 0)), "")</f>
        <v/>
      </c>
      <c r="ED224" s="4" t="str">
        <f t="array" ref="ED224">IFERROR(INDEX(球員狀態!Z$2:Z$5000,MATCH(1,(球員狀態!$A$2:$A$5000=$DF$211)*(ISNUMBER(SEARCH($DF224,球員狀態!$B$2:$B$5000))),0)),"")</f>
        <v>.279</v>
      </c>
      <c r="EE224" s="4" t="str">
        <f t="array" ref="EE224">IFERROR(INDEX(球員狀態!AA$2:AA$5000,MATCH(1,(球員狀態!$A$2:$A$5000=$DF$211)*(ISNUMBER(SEARCH($DF224,球員狀態!$B$2:$B$5000))),0)),"")</f>
        <v>3.70</v>
      </c>
      <c r="EF224" s="4" t="str">
        <f t="array" ref="EF224">IFERROR(INDEX(球員狀態!AB$2:AB$5000,MATCH(1,(球員狀態!$A$2:$A$5000=$DF$211)*(ISNUMBER(SEARCH($DF224,球員狀態!$B$2:$B$5000))),0)),"")</f>
        <v>8</v>
      </c>
      <c r="EG224" s="56"/>
      <c r="EI224" s="37" t="str">
        <f>先發名單!U$9</f>
        <v>T. Hernandez</v>
      </c>
      <c r="EJ224" s="4" t="str">
        <f t="array" ref="EJ224">IFERROR(INDEX(球員狀態!C$2:C$5000, MATCH(1, (球員狀態!$A$2:$A$5000=$EI$211)*(ISNUMBER(SEARCH($EI224, 球員狀態!$B$2:$B$5000))), 0)), "")</f>
        <v/>
      </c>
      <c r="EM224" s="4" t="str">
        <f t="array" ref="EM224">IFERROR(INDEX(球員狀態!F$2:F$5000, MATCH(1, (球員狀態!$A$2:$A$5000=$EI$211)*(ISNUMBER(SEARCH($EI224, 球員狀態!$B$2:$B$5000))), 0)), "")</f>
        <v/>
      </c>
      <c r="EN224" s="4" t="str">
        <f t="array" ref="EN224">IFERROR(INDEX(球員狀態!G$2:G$5000, MATCH(1, (球員狀態!$A$2:$A$5000=$EI$1)*(ISNUMBER(SEARCH($EI224, 球員狀態!$B$2:$B$5000))), 0)), "")</f>
        <v/>
      </c>
      <c r="EO224" s="4" t="str">
        <f t="array" ref="EO224">IFERROR(INDEX(球員狀態!H$2:H$5000, MATCH(1, (球員狀態!$A$2:$A$5000=$EI$211)*(ISNUMBER(SEARCH($EI224, 球員狀態!$B$2:$B$5000))), 0)), "")</f>
        <v/>
      </c>
      <c r="EP224" s="4" t="str">
        <f t="array" ref="EP224">IFERROR(INDEX(球員狀態!I$2:I$5000, MATCH(1, (球員狀態!$A$2:$A$5000=$EI$211)*(ISNUMBER(SEARCH($EI224, 球員狀態!$B$2:$B$5000))), 0)), "")</f>
        <v/>
      </c>
      <c r="EQ224" s="4" t="str">
        <f t="array" ref="EQ224">IFERROR(INDEX(球員狀態!J$2:J$5000, MATCH(1, (球員狀態!$A$2:$A$5000=$EI$211)*(ISNUMBER(SEARCH($EI224, 球員狀態!$B$2:$B$5000))), 0)), "")</f>
        <v/>
      </c>
      <c r="ER224" s="4" t="str">
        <f t="array" ref="ER224">IFERROR(INDEX(球員狀態!K$2:K$5000, MATCH(1, (球員狀態!$A$2:$A$5000=$EI$211)*(ISNUMBER(SEARCH($EI224, 球員狀態!$B$2:$B$5000))), 0)), "")</f>
        <v/>
      </c>
      <c r="ES224" s="4" t="str">
        <f t="array" ref="ES224">IFERROR(INDEX(球員狀態!L$2:L$5000, MATCH(1, (球員狀態!$A$2:$A$5000=$EI$211)*(ISNUMBER(SEARCH($EI224, 球員狀態!$B$2:$B$5000))), 0)), "")</f>
        <v/>
      </c>
      <c r="ET224" s="4" t="str">
        <f t="array" ref="ET224">IFERROR(INDEX(球員狀態!M$2:M$5000, MATCH(1, (球員狀態!$A$2:$A$5000=$EI$211)*(ISNUMBER(SEARCH($EI224, 球員狀態!$B$2:$B$5000))), 0)), "")</f>
        <v/>
      </c>
      <c r="EU224" s="4" t="str">
        <f t="array" ref="EU224">IFERROR(INDEX(球員狀態!N$2:N$5000, MATCH(1, (球員狀態!$A$2:$A$5000=$EI$211)*(ISNUMBER(SEARCH($EI224, 球員狀態!$B$2:$B$5000))), 0)), "")</f>
        <v/>
      </c>
      <c r="EV224" s="4" t="str">
        <f t="array" ref="EV224">IFERROR(INDEX(球員狀態!O$2:O$5000, MATCH(1, (球員狀態!$A$2:$A$5000=$EI$1)*(ISNUMBER(SEARCH($EI224, 球員狀態!$B$2:$B$5000))), 0)), "")</f>
        <v/>
      </c>
      <c r="EW224" s="4" t="str">
        <f t="array" ref="EW224">IFERROR(INDEX(球員狀態!P$2:P$5000, MATCH(1, (球員狀態!$A$2:$A$5000=$EI$1)*(ISNUMBER(SEARCH($EI224, 球員狀態!$B$2:$B$5000))), 0)), "")</f>
        <v/>
      </c>
      <c r="EX224" s="4" t="str">
        <f t="array" ref="EX224">IFERROR(INDEX(球員狀態!Q$2:Q$5000, MATCH(1, (球員狀態!$A$2:$A$5000=$EI$211)*(ISNUMBER(SEARCH($EI224, 球員狀態!$B$2:$B$5000))), 0)), "")</f>
        <v/>
      </c>
      <c r="EY224" s="4" t="str">
        <f t="array" ref="EY224">IFERROR(INDEX(球員狀態!R$2:R$5000, MATCH(1, (球員狀態!$A$2:$A$5000=$EI$1)*(ISNUMBER(SEARCH($EI224, 球員狀態!$B$2:$B$5000))), 0)), "")</f>
        <v/>
      </c>
      <c r="EZ224" s="4" t="str">
        <f t="array" ref="EZ224">IFERROR(INDEX(球員狀態!S$2:S$5000, MATCH(1, (球員狀態!$A$2:$A$5000=$EI$1)*(ISNUMBER(SEARCH($EI224, 球員狀態!$B$2:$B$5000))), 0)), "")</f>
        <v/>
      </c>
      <c r="FA224" s="4" t="str">
        <f t="array" ref="FA224">IFERROR(INDEX(球員狀態!T$2:T$5000, MATCH(1, (球員狀態!$A$2:$A$5000=$EI$211)*(ISNUMBER(SEARCH($EI224, 球員狀態!$B$2:$B$5000))), 0)), "")</f>
        <v/>
      </c>
      <c r="FB224" s="4" t="str">
        <f t="array" ref="FB224">IFERROR(INDEX(球員狀態!U$2:U$5000, MATCH(1, (球員狀態!$A$2:$A$5000=$EI$1)*(ISNUMBER(SEARCH($EI224, 球員狀態!$B$2:$B$5000))), 0)), "")</f>
        <v/>
      </c>
      <c r="FC224" s="4" t="str">
        <f t="array" ref="FC224">IFERROR(INDEX(球員狀態!V$2:V$5000, MATCH(1, (球員狀態!$A$2:$A$5000=$EI$1)*(ISNUMBER(SEARCH($EI224, 球員狀態!$B$2:$B$5000))), 0)), "")</f>
        <v/>
      </c>
      <c r="FD224" s="4" t="str">
        <f t="array" ref="FD224">IFERROR(INDEX(球員狀態!W$2:W$5000, MATCH(1, (球員狀態!$A$2:$A$5000=$EI$211)*(ISNUMBER(SEARCH($EI224, 球員狀態!$B$2:$B$5000))), 0)), "")</f>
        <v/>
      </c>
      <c r="FE224" s="4" t="str">
        <f t="array" ref="FE224">IFERROR(INDEX(球員狀態!X$2:X$5000, MATCH(1, (球員狀態!$A$2:$A$5000=$EI$1)*(ISNUMBER(SEARCH($EI224, 球員狀態!$B$2:$B$5000))), 0)), "")</f>
        <v/>
      </c>
      <c r="FF224" s="4" t="str">
        <f t="array" ref="FF224">IFERROR(INDEX(球員狀態!Y$2:Y$5000, MATCH(1, (球員狀態!$A$2:$A$5000=$EI$1)*(ISNUMBER(SEARCH($EI224, 球員狀態!$B$2:$B$5000))), 0)), "")</f>
        <v/>
      </c>
      <c r="FG224" s="4" t="str">
        <f t="array" ref="FG224">IFERROR(INDEX(球員狀態!Z$2:Z$5000, MATCH(1, (球員狀態!$A$2:$A$5000=$EI$211)*(ISNUMBER(SEARCH($EI224, 球員狀態!$B$2:$B$5000))), 0)), "")</f>
        <v/>
      </c>
      <c r="FH224" s="4" t="str">
        <f t="array" ref="FH224">IFERROR(INDEX(球員狀態!AA$2:AA$5000, MATCH(1, (球員狀態!$A$2:$A$5000=$EI$211)*(ISNUMBER(SEARCH($EI224, 球員狀態!$B$2:$B$5000))), 0)), "")</f>
        <v/>
      </c>
      <c r="FI224" s="4" t="str">
        <f t="array" ref="FI224">IFERROR(INDEX(球員狀態!AB$2:AB$5000, MATCH(1, (球員狀態!$A$2:$A$5000=$EI$211)*(ISNUMBER(SEARCH($EI224, 球員狀態!$B$2:$B$5000))), 0)), "")</f>
        <v/>
      </c>
    </row>
    <row r="225" spans="110:165">
      <c r="DH225" s="40">
        <f>DJ225+DL225+DM225+DN225+DO225-DP225-DQ225+DR225</f>
        <v>2.8</v>
      </c>
      <c r="DI225" s="42">
        <f>DU225+DX225+EA225+ED225+EE225+EF225</f>
        <v>5</v>
      </c>
      <c r="DJ225" s="38">
        <f>VLOOKUP(DJ224*1, FK$2:FM$12, 3, TRUE)*FM$1</f>
        <v>1.5</v>
      </c>
      <c r="DL225" s="38">
        <f>VLOOKUP(DL224*1, FN$2:FP$12, 3, TRUE)*FP$1</f>
        <v>0.3</v>
      </c>
      <c r="DM225" s="38">
        <f>VLOOKUP(DM224*1, FQ$2:FS$12, 3, TRUE)*FS$1</f>
        <v>0</v>
      </c>
      <c r="DN225" s="38">
        <f>VLOOKUP(DN224*1, FT$2:FV$12, 3, TRUE)*FV$1</f>
        <v>1</v>
      </c>
      <c r="DO225" s="38">
        <f>VLOOKUP(DO224*1, FW$2:FY$12, 3, TRUE)*FY$1</f>
        <v>0.5</v>
      </c>
      <c r="DP225" s="39">
        <f>VLOOKUP(DP224*1, FK$14:FM$25, 3, TRUE)*FM$14</f>
        <v>1</v>
      </c>
      <c r="DQ225" s="39">
        <f>VLOOKUP(DQ224*1, FN$14:FP$25, 3, TRUE)*FP$14</f>
        <v>1</v>
      </c>
      <c r="DR225" s="38">
        <f>VLOOKUP(DR224*1, FQ$14:FS$25, 3, TRUE)*FS$14</f>
        <v>1.5</v>
      </c>
      <c r="DU225" s="41">
        <f>VLOOKUP(DU224*1, FK$27:FM$38, 3, TRUE)*FM$27</f>
        <v>0</v>
      </c>
      <c r="DX225" s="41">
        <f>VLOOKUP(DX224*1, FN$27:FP$38, 3, TRUE)*FP$27</f>
        <v>0</v>
      </c>
      <c r="EA225" s="41">
        <f>VLOOKUP(EA224*1, FQ$27:FS$38, 3, TRUE)*FS$27</f>
        <v>0</v>
      </c>
      <c r="ED225" s="41">
        <f>VLOOKUP(ED224*1, FT$27:FV$38, 3, TRUE)*FV$27</f>
        <v>0</v>
      </c>
      <c r="EE225" s="41">
        <f>VLOOKUP(EE224*1, FW$27:FY$38, 3, TRUE)*FY$27</f>
        <v>1.5</v>
      </c>
      <c r="EF225" s="41">
        <f>VLOOKUP(EF224*1, FK$40:FM$51, 3, TRUE)*FM$40</f>
        <v>3.5</v>
      </c>
      <c r="EG225" s="57"/>
      <c r="EK225" s="40" t="e">
        <f>EM225+EO225+EP225+EQ225+ER225-ES225-ET225+EU225</f>
        <v>#VALUE!</v>
      </c>
      <c r="EL225" s="42" t="e">
        <f>EX225+FA225+FD225+FG225+FH225+FI225</f>
        <v>#VALUE!</v>
      </c>
      <c r="EM225" s="38" t="e">
        <f>VLOOKUP(EM224*1, $FK$2:$FM$12, 3, TRUE)*$FM$1</f>
        <v>#VALUE!</v>
      </c>
      <c r="EO225" s="38" t="e">
        <f>VLOOKUP(EO224*1, $FN$2:$FP$12, 3, TRUE)*$FP$1</f>
        <v>#VALUE!</v>
      </c>
      <c r="EP225" s="38" t="e">
        <f>VLOOKUP(EP224*1, $FQ$2:$FS$12, 3, TRUE)*$FS$1</f>
        <v>#VALUE!</v>
      </c>
      <c r="EQ225" s="38" t="e">
        <f>VLOOKUP(EQ224*1, $FT$2:$FV$12, 3, TRUE)*$FV$1</f>
        <v>#VALUE!</v>
      </c>
      <c r="ER225" s="38" t="e">
        <f>VLOOKUP(ER224*1, $FW$2:$FY$12, 3, TRUE)*$FY$1</f>
        <v>#VALUE!</v>
      </c>
      <c r="ES225" s="39" t="e">
        <f>VLOOKUP(ES224*1, $FK$14:$FM$25, 3, TRUE)*$FM$14</f>
        <v>#VALUE!</v>
      </c>
      <c r="ET225" s="39" t="e">
        <f>VLOOKUP(ET224*1, $FN$14:$FP$25, 3, TRUE)*$FP$14</f>
        <v>#VALUE!</v>
      </c>
      <c r="EU225" s="38" t="e">
        <f>VLOOKUP(EU224*1, $FQ$14:$FS$25, 3, TRUE)*$FS$14</f>
        <v>#VALUE!</v>
      </c>
      <c r="EX225" s="41" t="e">
        <f>VLOOKUP(EX224*1, $FK$27:$FM$38, 3, TRUE)*$FM$27</f>
        <v>#VALUE!</v>
      </c>
      <c r="FA225" s="41" t="e">
        <f>VLOOKUP(FA224*1, $FN$27:$FP$38, 3, TRUE)*$FP$27</f>
        <v>#VALUE!</v>
      </c>
      <c r="FD225" s="41" t="e">
        <f>VLOOKUP(FD224*1, $FQ$27:$FS$38, 3, TRUE)*$FS$27</f>
        <v>#VALUE!</v>
      </c>
      <c r="FG225" s="41" t="e">
        <f>VLOOKUP(FG224*1, $FT$27:$FV$38, 3, TRUE)*$FV$27</f>
        <v>#VALUE!</v>
      </c>
      <c r="FH225" s="41" t="e">
        <f>VLOOKUP(FH224*1, $FW$27:$FY$38, 3, TRUE)*$FY$27</f>
        <v>#VALUE!</v>
      </c>
      <c r="FI225" s="41" t="e">
        <f>VLOOKUP(FI224*1, $FK$40:$FM$51, 3, TRUE)*$FM$40</f>
        <v>#VALUE!</v>
      </c>
    </row>
    <row r="226" spans="110:165">
      <c r="DF226" s="37" t="str">
        <f>先發名單!L$9</f>
        <v>A. Ramirez</v>
      </c>
      <c r="DG226" s="4" t="str">
        <f t="array" ref="DG226">IFERROR(INDEX(球員狀態!$C$2:$C$5000, MATCH(1, (球員狀態!$A$2:$A$5000=$DF$211)*(ISNUMBER(SEARCH($DF226, 球員狀態!$B$2:$B$5000))), 0)), "")</f>
        <v/>
      </c>
      <c r="DJ226" s="4" t="str">
        <f t="array" ref="DJ226">IFERROR(INDEX(球員狀態!$F$2:$F$5000,MATCH(1,(球員狀態!$A$2:$A$5000=$DF$211)*(ISNUMBER(SEARCH($DF226,球員狀態!$B$2:$B$5000))),0)),"")</f>
        <v/>
      </c>
      <c r="DK226" s="4" t="str">
        <f t="array" ref="DK226">IFERROR(INDEX(球員狀態!G$2:G$5000, MATCH(1, (球員狀態!$A$2:$A$5000=$DF$1)*(ISNUMBER(SEARCH($DF226, 球員狀態!$B$2:$B$5000))), 0)), "")</f>
        <v/>
      </c>
      <c r="DL226" s="4" t="str">
        <f t="array" ref="DL226">IFERROR(INDEX(球員狀態!H$2:H$5000, MATCH(1, (球員狀態!$A$2:$A$5000=$DF$211)*(ISNUMBER(SEARCH($DF226, 球員狀態!$B$2:$B$5000))), 0)), "")</f>
        <v/>
      </c>
      <c r="DM226" s="4" t="str">
        <f t="array" ref="DM226">IFERROR(INDEX(球員狀態!I$2:I$5000,MATCH(1,(球員狀態!$A$2:$A$5000=$DF$211)*(ISNUMBER(SEARCH($DF226,球員狀態!$B$2:$B$5000))),0)),"")</f>
        <v/>
      </c>
      <c r="DN226" s="4" t="str">
        <f t="array" ref="DN226">IFERROR(INDEX(球員狀態!J$2:J$5000,MATCH(1,(球員狀態!$A$2:$A$5000=$DF$211)*(ISNUMBER(SEARCH($DF226,球員狀態!$B$2:$B$5000))),0)),"")</f>
        <v/>
      </c>
      <c r="DO226" s="4" t="str">
        <f t="array" ref="DO226">IFERROR(INDEX(球員狀態!K$2:K$5000,MATCH(1,(球員狀態!$A$2:$A$5000=$DF$211)*(ISNUMBER(SEARCH($DF226,球員狀態!$B$2:$B$5000))),0)),"")</f>
        <v/>
      </c>
      <c r="DP226" s="4" t="str">
        <f t="array" ref="DP226">IFERROR(INDEX(球員狀態!L$2:L$5000,MATCH(1,(球員狀態!$A$2:$A$5000=$DF$211)*(ISNUMBER(SEARCH($DF226,球員狀態!$B$2:$B$5000))),0)),"")</f>
        <v/>
      </c>
      <c r="DQ226" s="4" t="str">
        <f t="array" ref="DQ226">IFERROR(INDEX(球員狀態!M$2:M$5000,MATCH(1,(球員狀態!$A$2:$A$5000=$DF$211)*(ISNUMBER(SEARCH($DF226,球員狀態!$B$2:$B$5000))),0)),"")</f>
        <v/>
      </c>
      <c r="DR226" s="4" t="str">
        <f t="array" ref="DR226">IFERROR(INDEX(球員狀態!N$2:N$5000,MATCH(1,(球員狀態!$A$2:$A$5000=$DF$211)*(ISNUMBER(SEARCH($DF226,球員狀態!$B$2:$B$5000))),0)),"")</f>
        <v/>
      </c>
      <c r="DS226" s="4" t="str">
        <f t="array" ref="DS226">IFERROR(INDEX(球員狀態!O$2:O$5000, MATCH(1, (球員狀態!$A$2:$A$5000=$DF$1)*(ISNUMBER(SEARCH($DF226, 球員狀態!$B$2:$B$5000))), 0)), "")</f>
        <v/>
      </c>
      <c r="DT226" s="4" t="str">
        <f t="array" ref="DT226">IFERROR(INDEX(球員狀態!P$2:P$5000, MATCH(1, (球員狀態!$A$2:$A$5000=$DF$1)*(ISNUMBER(SEARCH($DF226, 球員狀態!$B$2:$B$5000))), 0)), "")</f>
        <v/>
      </c>
      <c r="DU226" s="4" t="str">
        <f t="array" ref="DU226">IFERROR(INDEX(球員狀態!Q$2:Q$5000,MATCH(1,(球員狀態!$A$2:$A$5000=$DF$211)*(ISNUMBER(SEARCH($DF226,球員狀態!$B$2:$B$5000))),0)),"")</f>
        <v/>
      </c>
      <c r="DV226" s="4" t="str">
        <f t="array" ref="DV226">IFERROR(INDEX(球員狀態!R$2:R$5000, MATCH(1, (球員狀態!$A$2:$A$5000=$DF$1)*(ISNUMBER(SEARCH($DF226, 球員狀態!$B$2:$B$5000))), 0)), "")</f>
        <v/>
      </c>
      <c r="DW226" s="4" t="str">
        <f t="array" ref="DW226">IFERROR(INDEX(球員狀態!S$2:S$5000, MATCH(1, (球員狀態!$A$2:$A$5000=$DF$1)*(ISNUMBER(SEARCH($DF226, 球員狀態!$B$2:$B$5000))), 0)), "")</f>
        <v/>
      </c>
      <c r="DX226" s="4" t="str">
        <f t="array" ref="DX226">IFERROR(INDEX(球員狀態!T$2:T$5000,MATCH(1,(球員狀態!$A$2:$A$5000=$DF$211)*(ISNUMBER(SEARCH($DF226,球員狀態!$B$2:$B$5000))),0)),"")</f>
        <v/>
      </c>
      <c r="DY226" s="4" t="str">
        <f t="array" ref="DY226">IFERROR(INDEX(球員狀態!U$2:U$5000, MATCH(1, (球員狀態!$A$2:$A$5000=$DF$1)*(ISNUMBER(SEARCH($DF226, 球員狀態!$B$2:$B$5000))), 0)), "")</f>
        <v/>
      </c>
      <c r="DZ226" s="4" t="str">
        <f t="array" ref="DZ226">IFERROR(INDEX(球員狀態!V$2:V$5000, MATCH(1, (球員狀態!$A$2:$A$5000=$DF$1)*(ISNUMBER(SEARCH($DF226, 球員狀態!$B$2:$B$5000))), 0)), "")</f>
        <v/>
      </c>
      <c r="EA226" s="4" t="str">
        <f t="array" ref="EA226">IFERROR(INDEX(球員狀態!W$2:W$5000,MATCH(1,(球員狀態!$A$2:$A$5000=$DF$211)*(ISNUMBER(SEARCH($DF226,球員狀態!$B$2:$B$5000))),0)),"")</f>
        <v/>
      </c>
      <c r="EB226" s="4" t="str">
        <f t="array" ref="EB226">IFERROR(INDEX(球員狀態!X$2:X$5000, MATCH(1, (球員狀態!$A$2:$A$5000=$DF$1)*(ISNUMBER(SEARCH($DF226, 球員狀態!$B$2:$B$5000))), 0)), "")</f>
        <v/>
      </c>
      <c r="EC226" s="4" t="str">
        <f t="array" ref="EC226">IFERROR(INDEX(球員狀態!Y$2:Y$5000, MATCH(1, (球員狀態!$A$2:$A$5000=$DF$1)*(ISNUMBER(SEARCH($DF226, 球員狀態!$B$2:$B$5000))), 0)), "")</f>
        <v/>
      </c>
      <c r="ED226" s="4" t="str">
        <f t="array" ref="ED226">IFERROR(INDEX(球員狀態!Z$2:Z$5000,MATCH(1,(球員狀態!$A$2:$A$5000=$DF$211)*(ISNUMBER(SEARCH($DF226,球員狀態!$B$2:$B$5000))),0)),"")</f>
        <v/>
      </c>
      <c r="EE226" s="4" t="str">
        <f t="array" ref="EE226">IFERROR(INDEX(球員狀態!AA$2:AA$5000,MATCH(1,(球員狀態!$A$2:$A$5000=$DF$211)*(ISNUMBER(SEARCH($DF226,球員狀態!$B$2:$B$5000))),0)),"")</f>
        <v/>
      </c>
      <c r="EF226" s="4" t="str">
        <f t="array" ref="EF226">IFERROR(INDEX(球員狀態!AB$2:AB$5000,MATCH(1,(球員狀態!$A$2:$A$5000=$DF$211)*(ISNUMBER(SEARCH($DF226,球員狀態!$B$2:$B$5000))),0)),"")</f>
        <v/>
      </c>
      <c r="EG226" s="56"/>
      <c r="EI226" s="37" t="str">
        <f>先發名單!V$9</f>
        <v>Andy Pages</v>
      </c>
      <c r="EJ226" s="4" t="str">
        <f t="array" ref="EJ226">IFERROR(INDEX(球員狀態!C$2:C$5000, MATCH(1, (球員狀態!$A$2:$A$5000=$EI$211)*(ISNUMBER(SEARCH($EI226, 球員狀態!$B$2:$B$5000))), 0)), "")</f>
        <v>CF</v>
      </c>
      <c r="EM226" s="4" t="str">
        <f t="array" ref="EM226">IFERROR(INDEX(球員狀態!F$2:F$5000, MATCH(1, (球員狀態!$A$2:$A$5000=$EI$211)*(ISNUMBER(SEARCH($EI226, 球員狀態!$B$2:$B$5000))), 0)), "")</f>
        <v>15</v>
      </c>
      <c r="EN226" s="4" t="str">
        <f t="array" ref="EN226">IFERROR(INDEX(球員狀態!G$2:G$5000, MATCH(1, (球員狀態!$A$2:$A$5000=$EI$1)*(ISNUMBER(SEARCH($EI226, 球員狀態!$B$2:$B$5000))), 0)), "")</f>
        <v/>
      </c>
      <c r="EO226" s="4" t="str">
        <f t="array" ref="EO226">IFERROR(INDEX(球員狀態!H$2:H$5000, MATCH(1, (球員狀態!$A$2:$A$5000=$EI$211)*(ISNUMBER(SEARCH($EI226, 球員狀態!$B$2:$B$5000))), 0)), "")</f>
        <v>7</v>
      </c>
      <c r="EP226" s="4" t="str">
        <f t="array" ref="EP226">IFERROR(INDEX(球員狀態!I$2:I$5000, MATCH(1, (球員狀態!$A$2:$A$5000=$EI$211)*(ISNUMBER(SEARCH($EI226, 球員狀態!$B$2:$B$5000))), 0)), "")</f>
        <v>0</v>
      </c>
      <c r="EQ226" s="4" t="str">
        <f t="array" ref="EQ226">IFERROR(INDEX(球員狀態!J$2:J$5000, MATCH(1, (球員狀態!$A$2:$A$5000=$EI$211)*(ISNUMBER(SEARCH($EI226, 球員狀態!$B$2:$B$5000))), 0)), "")</f>
        <v>5</v>
      </c>
      <c r="ER226" s="4" t="str">
        <f t="array" ref="ER226">IFERROR(INDEX(球員狀態!K$2:K$5000, MATCH(1, (球員狀態!$A$2:$A$5000=$EI$211)*(ISNUMBER(SEARCH($EI226, 球員狀態!$B$2:$B$5000))), 0)), "")</f>
        <v>25</v>
      </c>
      <c r="ES226" s="4" t="str">
        <f t="array" ref="ES226">IFERROR(INDEX(球員狀態!L$2:L$5000, MATCH(1, (球員狀態!$A$2:$A$5000=$EI$211)*(ISNUMBER(SEARCH($EI226, 球員狀態!$B$2:$B$5000))), 0)), "")</f>
        <v>56</v>
      </c>
      <c r="ET226" s="4" t="str">
        <f t="array" ref="ET226">IFERROR(INDEX(球員狀態!M$2:M$5000, MATCH(1, (球員狀態!$A$2:$A$5000=$EI$211)*(ISNUMBER(SEARCH($EI226, 球員狀態!$B$2:$B$5000))), 0)), "")</f>
        <v>7</v>
      </c>
      <c r="EU226" s="4" t="str">
        <f t="array" ref="EU226">IFERROR(INDEX(球員狀態!N$2:N$5000, MATCH(1, (球員狀態!$A$2:$A$5000=$EI$211)*(ISNUMBER(SEARCH($EI226, 球員狀態!$B$2:$B$5000))), 0)), "")</f>
        <v>25</v>
      </c>
      <c r="EV226" s="4" t="str">
        <f t="array" ref="EV226">IFERROR(INDEX(球員狀態!O$2:O$5000, MATCH(1, (球員狀態!$A$2:$A$5000=$EI$1)*(ISNUMBER(SEARCH($EI226, 球員狀態!$B$2:$B$5000))), 0)), "")</f>
        <v/>
      </c>
      <c r="EW226" s="4" t="str">
        <f t="array" ref="EW226">IFERROR(INDEX(球員狀態!P$2:P$5000, MATCH(1, (球員狀態!$A$2:$A$5000=$EI$1)*(ISNUMBER(SEARCH($EI226, 球員狀態!$B$2:$B$5000))), 0)), "")</f>
        <v/>
      </c>
      <c r="EX226" s="4" t="str">
        <f t="array" ref="EX226">IFERROR(INDEX(球員狀態!Q$2:Q$5000, MATCH(1, (球員狀態!$A$2:$A$5000=$EI$211)*(ISNUMBER(SEARCH($EI226, 球員狀態!$B$2:$B$5000))), 0)), "")</f>
        <v>.378</v>
      </c>
      <c r="EY226" s="4" t="str">
        <f t="array" ref="EY226">IFERROR(INDEX(球員狀態!R$2:R$5000, MATCH(1, (球員狀態!$A$2:$A$5000=$EI$1)*(ISNUMBER(SEARCH($EI226, 球員狀態!$B$2:$B$5000))), 0)), "")</f>
        <v/>
      </c>
      <c r="EZ226" s="4" t="str">
        <f t="array" ref="EZ226">IFERROR(INDEX(球員狀態!S$2:S$5000, MATCH(1, (球員狀態!$A$2:$A$5000=$EI$1)*(ISNUMBER(SEARCH($EI226, 球員狀態!$B$2:$B$5000))), 0)), "")</f>
        <v/>
      </c>
      <c r="FA226" s="4" t="str">
        <f t="array" ref="FA226">IFERROR(INDEX(球員狀態!T$2:T$5000, MATCH(1, (球員狀態!$A$2:$A$5000=$EI$211)*(ISNUMBER(SEARCH($EI226, 球員狀態!$B$2:$B$5000))), 0)), "")</f>
        <v>1.8</v>
      </c>
      <c r="FB226" s="4" t="str">
        <f t="array" ref="FB226">IFERROR(INDEX(球員狀態!U$2:U$5000, MATCH(1, (球員狀態!$A$2:$A$5000=$EI$1)*(ISNUMBER(SEARCH($EI226, 球員狀態!$B$2:$B$5000))), 0)), "")</f>
        <v/>
      </c>
      <c r="FC226" s="4" t="str">
        <f t="array" ref="FC226">IFERROR(INDEX(球員狀態!V$2:V$5000, MATCH(1, (球員狀態!$A$2:$A$5000=$EI$1)*(ISNUMBER(SEARCH($EI226, 球員狀態!$B$2:$B$5000))), 0)), "")</f>
        <v/>
      </c>
      <c r="FD226" s="4" t="str">
        <f t="array" ref="FD226">IFERROR(INDEX(球員狀態!W$2:W$5000, MATCH(1, (球員狀態!$A$2:$A$5000=$EI$211)*(ISNUMBER(SEARCH($EI226, 球員狀態!$B$2:$B$5000))), 0)), "")</f>
        <v>.063</v>
      </c>
      <c r="FE226" s="4" t="str">
        <f t="array" ref="FE226">IFERROR(INDEX(球員狀態!X$2:X$5000, MATCH(1, (球員狀態!$A$2:$A$5000=$EI$1)*(ISNUMBER(SEARCH($EI226, 球員狀態!$B$2:$B$5000))), 0)), "")</f>
        <v/>
      </c>
      <c r="FF226" s="4" t="str">
        <f t="array" ref="FF226">IFERROR(INDEX(球員狀態!Y$2:Y$5000, MATCH(1, (球員狀態!$A$2:$A$5000=$EI$1)*(ISNUMBER(SEARCH($EI226, 球員狀態!$B$2:$B$5000))), 0)), "")</f>
        <v/>
      </c>
      <c r="FG226" s="4" t="str">
        <f t="array" ref="FG226">IFERROR(INDEX(球員狀態!Z$2:Z$5000, MATCH(1, (球員狀態!$A$2:$A$5000=$EI$211)*(ISNUMBER(SEARCH($EI226, 球員狀態!$B$2:$B$5000))), 0)), "")</f>
        <v>.317</v>
      </c>
      <c r="FH226" s="4" t="str">
        <f t="array" ref="FH226">IFERROR(INDEX(球員狀態!AA$2:AA$5000, MATCH(1, (球員狀態!$A$2:$A$5000=$EI$211)*(ISNUMBER(SEARCH($EI226, 球員狀態!$B$2:$B$5000))), 0)), "")</f>
        <v>4.22</v>
      </c>
      <c r="FI226" s="4" t="str">
        <f t="array" ref="FI226">IFERROR(INDEX(球員狀態!AB$2:AB$5000, MATCH(1, (球員狀態!$A$2:$A$5000=$EI$211)*(ISNUMBER(SEARCH($EI226, 球員狀態!$B$2:$B$5000))), 0)), "")</f>
        <v>12</v>
      </c>
    </row>
    <row r="227" spans="110:165">
      <c r="DH227" s="40" t="e">
        <f>DJ227+DL227+DM227+DN227+DO227-DP227-DQ227+DR227</f>
        <v>#VALUE!</v>
      </c>
      <c r="DI227" s="42" t="e">
        <f>DU227+DX227+EA227+ED227+EE227+EF227</f>
        <v>#VALUE!</v>
      </c>
      <c r="DJ227" s="38" t="e">
        <f>VLOOKUP(DJ226*1, FK$2:FM$12, 3, TRUE)*FM$1</f>
        <v>#VALUE!</v>
      </c>
      <c r="DL227" s="38" t="e">
        <f>VLOOKUP(DL226*1, FN$2:FP$12, 3, TRUE)*FP$1</f>
        <v>#VALUE!</v>
      </c>
      <c r="DM227" s="38" t="e">
        <f>VLOOKUP(DM226*1, FQ$2:FS$12, 3, TRUE)*FS$1</f>
        <v>#VALUE!</v>
      </c>
      <c r="DN227" s="38" t="e">
        <f>VLOOKUP(DN226*1, FT$2:FV$12, 3, TRUE)*FV$1</f>
        <v>#VALUE!</v>
      </c>
      <c r="DO227" s="38" t="e">
        <f>VLOOKUP(DO226*1, FW$2:FY$12, 3, TRUE)*FY$1</f>
        <v>#VALUE!</v>
      </c>
      <c r="DP227" s="39" t="e">
        <f>VLOOKUP(DP226*1, FK$14:FM$25, 3, TRUE)*FM$14</f>
        <v>#VALUE!</v>
      </c>
      <c r="DQ227" s="39" t="e">
        <f>VLOOKUP(DQ226*1, FN$14:FP$25, 3, TRUE)*FP$14</f>
        <v>#VALUE!</v>
      </c>
      <c r="DR227" s="38" t="e">
        <f>VLOOKUP(DR226*1, FQ$14:FS$25, 3, TRUE)*FS$14</f>
        <v>#VALUE!</v>
      </c>
      <c r="DU227" s="41" t="e">
        <f>VLOOKUP(DU226*1, FK$27:FM$38, 3, TRUE)*FM$27</f>
        <v>#VALUE!</v>
      </c>
      <c r="DX227" s="41" t="e">
        <f>VLOOKUP(DX226*1, FN$27:FP$38, 3, TRUE)*FP$27</f>
        <v>#VALUE!</v>
      </c>
      <c r="EA227" s="41" t="e">
        <f>VLOOKUP(EA226*1, FQ$27:FS$38, 3, TRUE)*FS$27</f>
        <v>#VALUE!</v>
      </c>
      <c r="ED227" s="41" t="e">
        <f>VLOOKUP(ED226*1, FT$27:FV$38, 3, TRUE)*FV$27</f>
        <v>#VALUE!</v>
      </c>
      <c r="EE227" s="41" t="e">
        <f>VLOOKUP(EE226*1, FW$27:FY$38, 3, TRUE)*FY$27</f>
        <v>#VALUE!</v>
      </c>
      <c r="EF227" s="41" t="e">
        <f>VLOOKUP(EF226*1, FK$40:FM$51, 3, TRUE)*FM$40</f>
        <v>#VALUE!</v>
      </c>
      <c r="EG227" s="57"/>
      <c r="EK227" s="40">
        <f>EM227+EO227+EP227+EQ227+ER227-ES227-ET227+EU227</f>
        <v>3.4</v>
      </c>
      <c r="EL227" s="42">
        <f>EX227+FA227+FD227+FG227+FH227+FI227</f>
        <v>5</v>
      </c>
      <c r="EM227" s="38">
        <f>VLOOKUP(EM226*1, $FK$2:$FM$12, 3, TRUE)*$FM$1</f>
        <v>1.5</v>
      </c>
      <c r="EO227" s="38">
        <f>VLOOKUP(EO226*1, $FN$2:$FP$12, 3, TRUE)*$FP$1</f>
        <v>0.89999999999999991</v>
      </c>
      <c r="EP227" s="38">
        <f>VLOOKUP(EP226*1, $FQ$2:$FS$12, 3, TRUE)*$FS$1</f>
        <v>0</v>
      </c>
      <c r="EQ227" s="38">
        <f>VLOOKUP(EQ226*1, $FT$2:$FV$12, 3, TRUE)*$FV$1</f>
        <v>1</v>
      </c>
      <c r="ER227" s="38">
        <f>VLOOKUP(ER226*1, $FW$2:$FY$12, 3, TRUE)*$FY$1</f>
        <v>0.5</v>
      </c>
      <c r="ES227" s="39">
        <f>VLOOKUP(ES226*1, $FK$14:$FM$25, 3, TRUE)*$FM$14</f>
        <v>1</v>
      </c>
      <c r="ET227" s="39">
        <f>VLOOKUP(ET226*1, $FN$14:$FP$25, 3, TRUE)*$FP$14</f>
        <v>1</v>
      </c>
      <c r="EU227" s="38">
        <f>VLOOKUP(EU226*1, $FQ$14:$FS$25, 3, TRUE)*$FS$14</f>
        <v>1.5</v>
      </c>
      <c r="EX227" s="41">
        <f>VLOOKUP(EX226*1, $FK$27:$FM$38, 3, TRUE)*$FM$27</f>
        <v>0</v>
      </c>
      <c r="FA227" s="41">
        <f>VLOOKUP(FA226*1, $FN$27:$FP$38, 3, TRUE)*$FP$27</f>
        <v>0</v>
      </c>
      <c r="FD227" s="41">
        <f>VLOOKUP(FD226*1, $FQ$27:$FS$38, 3, TRUE)*$FS$27</f>
        <v>0</v>
      </c>
      <c r="FG227" s="41">
        <f>VLOOKUP(FG226*1, $FT$27:$FV$38, 3, TRUE)*$FV$27</f>
        <v>0</v>
      </c>
      <c r="FH227" s="41">
        <f>VLOOKUP(FH226*1, $FW$27:$FY$38, 3, TRUE)*$FY$27</f>
        <v>1.5</v>
      </c>
      <c r="FI227" s="41">
        <f>VLOOKUP(FI226*1, $FK$40:$FM$51, 3, TRUE)*$FM$40</f>
        <v>3.5</v>
      </c>
    </row>
    <row r="228" spans="110:165">
      <c r="DF228" s="37" t="str">
        <f>先發名單!M$9</f>
        <v>Owen Caissie</v>
      </c>
      <c r="DG228" s="4" t="str">
        <f t="array" ref="DG228">IFERROR(INDEX(球員狀態!$C$2:$C$5000, MATCH(1, (球員狀態!$A$2:$A$5000=$DF$211)*(ISNUMBER(SEARCH($DF228, 球員狀態!$B$2:$B$5000))), 0)), "")</f>
        <v>RF</v>
      </c>
      <c r="DJ228" s="4" t="str">
        <f t="array" ref="DJ228">IFERROR(INDEX(球員狀態!$F$2:$F$5000,MATCH(1,(球員狀態!$A$2:$A$5000=$DF$211)*(ISNUMBER(SEARCH($DF228,球員狀態!$B$2:$B$5000))),0)),"")</f>
        <v>10</v>
      </c>
      <c r="DK228" s="4" t="str">
        <f t="array" ref="DK228">IFERROR(INDEX(球員狀態!G$2:G$5000, MATCH(1, (球員狀態!$A$2:$A$5000=$DF$1)*(ISNUMBER(SEARCH($DF228, 球員狀態!$B$2:$B$5000))), 0)), "")</f>
        <v/>
      </c>
      <c r="DL228" s="4" t="str">
        <f t="array" ref="DL228">IFERROR(INDEX(球員狀態!H$2:H$5000, MATCH(1, (球員狀態!$A$2:$A$5000=$DF$211)*(ISNUMBER(SEARCH($DF228, 球員狀態!$B$2:$B$5000))), 0)), "")</f>
        <v>6</v>
      </c>
      <c r="DM228" s="4" t="str">
        <f t="array" ref="DM228">IFERROR(INDEX(球員狀態!I$2:I$5000,MATCH(1,(球員狀態!$A$2:$A$5000=$DF$211)*(ISNUMBER(SEARCH($DF228,球員狀態!$B$2:$B$5000))),0)),"")</f>
        <v>0</v>
      </c>
      <c r="DN228" s="4" t="str">
        <f t="array" ref="DN228">IFERROR(INDEX(球員狀態!J$2:J$5000,MATCH(1,(球員狀態!$A$2:$A$5000=$DF$211)*(ISNUMBER(SEARCH($DF228,球員狀態!$B$2:$B$5000))),0)),"")</f>
        <v>2</v>
      </c>
      <c r="DO228" s="4" t="str">
        <f t="array" ref="DO228">IFERROR(INDEX(球員狀態!K$2:K$5000,MATCH(1,(球員狀態!$A$2:$A$5000=$DF$211)*(ISNUMBER(SEARCH($DF228,球員狀態!$B$2:$B$5000))),0)),"")</f>
        <v>14</v>
      </c>
      <c r="DP228" s="4" t="str">
        <f t="array" ref="DP228">IFERROR(INDEX(球員狀態!L$2:L$5000,MATCH(1,(球員狀態!$A$2:$A$5000=$DF$211)*(ISNUMBER(SEARCH($DF228,球員狀態!$B$2:$B$5000))),0)),"")</f>
        <v>29</v>
      </c>
      <c r="DQ228" s="4" t="str">
        <f t="array" ref="DQ228">IFERROR(INDEX(球員狀態!M$2:M$5000,MATCH(1,(球員狀態!$A$2:$A$5000=$DF$211)*(ISNUMBER(SEARCH($DF228,球員狀態!$B$2:$B$5000))),0)),"")</f>
        <v>5</v>
      </c>
      <c r="DR228" s="4" t="str">
        <f t="array" ref="DR228">IFERROR(INDEX(球員狀態!N$2:N$5000,MATCH(1,(球員狀態!$A$2:$A$5000=$DF$211)*(ISNUMBER(SEARCH($DF228,球員狀態!$B$2:$B$5000))),0)),"")</f>
        <v>36</v>
      </c>
      <c r="DS228" s="4" t="str">
        <f t="array" ref="DS228">IFERROR(INDEX(球員狀態!O$2:O$5000, MATCH(1, (球員狀態!$A$2:$A$5000=$DF$1)*(ISNUMBER(SEARCH($DF228, 球員狀態!$B$2:$B$5000))), 0)), "")</f>
        <v/>
      </c>
      <c r="DT228" s="4" t="str">
        <f t="array" ref="DT228">IFERROR(INDEX(球員狀態!P$2:P$5000, MATCH(1, (球員狀態!$A$2:$A$5000=$DF$1)*(ISNUMBER(SEARCH($DF228, 球員狀態!$B$2:$B$5000))), 0)), "")</f>
        <v/>
      </c>
      <c r="DU228" s="4" t="str">
        <f t="array" ref="DU228">IFERROR(INDEX(球員狀態!Q$2:Q$5000,MATCH(1,(球員狀態!$A$2:$A$5000=$DF$211)*(ISNUMBER(SEARCH($DF228,球員狀態!$B$2:$B$5000))),0)),"")</f>
        <v>.267</v>
      </c>
      <c r="DV228" s="4" t="str">
        <f t="array" ref="DV228">IFERROR(INDEX(球員狀態!R$2:R$5000, MATCH(1, (球員狀態!$A$2:$A$5000=$DF$1)*(ISNUMBER(SEARCH($DF228, 球員狀態!$B$2:$B$5000))), 0)), "")</f>
        <v/>
      </c>
      <c r="DW228" s="4" t="str">
        <f t="array" ref="DW228">IFERROR(INDEX(球員狀態!S$2:S$5000, MATCH(1, (球員狀態!$A$2:$A$5000=$DF$1)*(ISNUMBER(SEARCH($DF228, 球員狀態!$B$2:$B$5000))), 0)), "")</f>
        <v/>
      </c>
      <c r="DX228" s="4" t="str">
        <f t="array" ref="DX228">IFERROR(INDEX(球員狀態!T$2:T$5000,MATCH(1,(球員狀態!$A$2:$A$5000=$DF$211)*(ISNUMBER(SEARCH($DF228,球員狀態!$B$2:$B$5000))),0)),"")</f>
        <v>-0.2</v>
      </c>
      <c r="DY228" s="4" t="str">
        <f t="array" ref="DY228">IFERROR(INDEX(球員狀態!U$2:U$5000, MATCH(1, (球員狀態!$A$2:$A$5000=$DF$1)*(ISNUMBER(SEARCH($DF228, 球員狀態!$B$2:$B$5000))), 0)), "")</f>
        <v/>
      </c>
      <c r="DZ228" s="4" t="str">
        <f t="array" ref="DZ228">IFERROR(INDEX(球員狀態!V$2:V$5000, MATCH(1, (球員狀態!$A$2:$A$5000=$DF$1)*(ISNUMBER(SEARCH($DF228, 球員狀態!$B$2:$B$5000))), 0)), "")</f>
        <v/>
      </c>
      <c r="EA228" s="4" t="str">
        <f t="array" ref="EA228">IFERROR(INDEX(球員狀態!W$2:W$5000,MATCH(1,(球員狀態!$A$2:$A$5000=$DF$211)*(ISNUMBER(SEARCH($DF228,球員狀態!$B$2:$B$5000))),0)),"")</f>
        <v>.058</v>
      </c>
      <c r="EB228" s="4" t="str">
        <f t="array" ref="EB228">IFERROR(INDEX(球員狀態!X$2:X$5000, MATCH(1, (球員狀態!$A$2:$A$5000=$DF$1)*(ISNUMBER(SEARCH($DF228, 球員狀態!$B$2:$B$5000))), 0)), "")</f>
        <v/>
      </c>
      <c r="EC228" s="4" t="str">
        <f t="array" ref="EC228">IFERROR(INDEX(球員狀態!Y$2:Y$5000, MATCH(1, (球員狀態!$A$2:$A$5000=$DF$1)*(ISNUMBER(SEARCH($DF228, 球員狀態!$B$2:$B$5000))), 0)), "")</f>
        <v/>
      </c>
      <c r="ED228" s="4" t="str">
        <f t="array" ref="ED228">IFERROR(INDEX(球員狀態!Z$2:Z$5000,MATCH(1,(球員狀態!$A$2:$A$5000=$DF$211)*(ISNUMBER(SEARCH($DF228,球員狀態!$B$2:$B$5000))),0)),"")</f>
        <v>.231</v>
      </c>
      <c r="EE228" s="4" t="str">
        <f t="array" ref="EE228">IFERROR(INDEX(球員狀態!AA$2:AA$5000,MATCH(1,(球員狀態!$A$2:$A$5000=$DF$211)*(ISNUMBER(SEARCH($DF228,球員狀態!$B$2:$B$5000))),0)),"")</f>
        <v>4.17</v>
      </c>
      <c r="EF228" s="4" t="str">
        <f t="array" ref="EF228">IFERROR(INDEX(球員狀態!AB$2:AB$5000,MATCH(1,(球員狀態!$A$2:$A$5000=$DF$211)*(ISNUMBER(SEARCH($DF228,球員狀態!$B$2:$B$5000))),0)),"")</f>
        <v>8</v>
      </c>
      <c r="EG228" s="56"/>
      <c r="EI228" s="37" t="str">
        <f>先發名單!W$9</f>
        <v>Hyeseong Kim</v>
      </c>
      <c r="EJ228" s="4" t="str">
        <f t="array" ref="EJ228">IFERROR(INDEX(球員狀態!C$2:C$5000, MATCH(1, (球員狀態!$A$2:$A$5000=$EI$211)*(ISNUMBER(SEARCH($EI228, 球員狀態!$B$2:$B$5000))), 0)), "")</f>
        <v>2B</v>
      </c>
      <c r="EM228" s="4" t="str">
        <f t="array" ref="EM228">IFERROR(INDEX(球員狀態!F$2:F$5000, MATCH(1, (球員狀態!$A$2:$A$5000=$EI$211)*(ISNUMBER(SEARCH($EI228, 球員狀態!$B$2:$B$5000))), 0)), "")</f>
        <v>7</v>
      </c>
      <c r="EN228" s="4" t="str">
        <f t="array" ref="EN228">IFERROR(INDEX(球員狀態!G$2:G$5000, MATCH(1, (球員狀態!$A$2:$A$5000=$EI$1)*(ISNUMBER(SEARCH($EI228, 球員狀態!$B$2:$B$5000))), 0)), "")</f>
        <v/>
      </c>
      <c r="EO228" s="4" t="str">
        <f t="array" ref="EO228">IFERROR(INDEX(球員狀態!H$2:H$5000, MATCH(1, (球員狀態!$A$2:$A$5000=$EI$211)*(ISNUMBER(SEARCH($EI228, 球員狀態!$B$2:$B$5000))), 0)), "")</f>
        <v>2</v>
      </c>
      <c r="EP228" s="4" t="str">
        <f t="array" ref="EP228">IFERROR(INDEX(球員狀態!I$2:I$5000, MATCH(1, (球員狀態!$A$2:$A$5000=$EI$211)*(ISNUMBER(SEARCH($EI228, 球員狀態!$B$2:$B$5000))), 0)), "")</f>
        <v>0</v>
      </c>
      <c r="EQ228" s="4" t="str">
        <f t="array" ref="EQ228">IFERROR(INDEX(球員狀態!J$2:J$5000, MATCH(1, (球員狀態!$A$2:$A$5000=$EI$211)*(ISNUMBER(SEARCH($EI228, 球員狀態!$B$2:$B$5000))), 0)), "")</f>
        <v>1</v>
      </c>
      <c r="ER228" s="4" t="str">
        <f t="array" ref="ER228">IFERROR(INDEX(球員狀態!K$2:K$5000, MATCH(1, (球員狀態!$A$2:$A$5000=$EI$211)*(ISNUMBER(SEARCH($EI228, 球員狀態!$B$2:$B$5000))), 0)), "")</f>
        <v>7</v>
      </c>
      <c r="ES228" s="4" t="str">
        <f t="array" ref="ES228">IFERROR(INDEX(球員狀態!L$2:L$5000, MATCH(1, (球員狀態!$A$2:$A$5000=$EI$211)*(ISNUMBER(SEARCH($EI228, 球員狀態!$B$2:$B$5000))), 0)), "")</f>
        <v>20</v>
      </c>
      <c r="ET228" s="4" t="str">
        <f t="array" ref="ET228">IFERROR(INDEX(球員狀態!M$2:M$5000, MATCH(1, (球員狀態!$A$2:$A$5000=$EI$211)*(ISNUMBER(SEARCH($EI228, 球員狀態!$B$2:$B$5000))), 0)), "")</f>
        <v>6</v>
      </c>
      <c r="EU228" s="4" t="str">
        <f t="array" ref="EU228">IFERROR(INDEX(球員狀態!N$2:N$5000, MATCH(1, (球員狀態!$A$2:$A$5000=$EI$211)*(ISNUMBER(SEARCH($EI228, 球員狀態!$B$2:$B$5000))), 0)), "")</f>
        <v>13</v>
      </c>
      <c r="EV228" s="4" t="str">
        <f t="array" ref="EV228">IFERROR(INDEX(球員狀態!O$2:O$5000, MATCH(1, (球員狀態!$A$2:$A$5000=$EI$1)*(ISNUMBER(SEARCH($EI228, 球員狀態!$B$2:$B$5000))), 0)), "")</f>
        <v/>
      </c>
      <c r="EW228" s="4" t="str">
        <f t="array" ref="EW228">IFERROR(INDEX(球員狀態!P$2:P$5000, MATCH(1, (球員狀態!$A$2:$A$5000=$EI$1)*(ISNUMBER(SEARCH($EI228, 球員狀態!$B$2:$B$5000))), 0)), "")</f>
        <v/>
      </c>
      <c r="EX228" s="4" t="str">
        <f t="array" ref="EX228">IFERROR(INDEX(球員狀態!Q$2:Q$5000, MATCH(1, (球員狀態!$A$2:$A$5000=$EI$211)*(ISNUMBER(SEARCH($EI228, 球員狀態!$B$2:$B$5000))), 0)), "")</f>
        <v>.404</v>
      </c>
      <c r="EY228" s="4" t="str">
        <f t="array" ref="EY228">IFERROR(INDEX(球員狀態!R$2:R$5000, MATCH(1, (球員狀態!$A$2:$A$5000=$EI$1)*(ISNUMBER(SEARCH($EI228, 球員狀態!$B$2:$B$5000))), 0)), "")</f>
        <v/>
      </c>
      <c r="EZ228" s="4" t="str">
        <f t="array" ref="EZ228">IFERROR(INDEX(球員狀態!S$2:S$5000, MATCH(1, (球員狀態!$A$2:$A$5000=$EI$1)*(ISNUMBER(SEARCH($EI228, 球員狀態!$B$2:$B$5000))), 0)), "")</f>
        <v/>
      </c>
      <c r="FA228" s="4" t="str">
        <f t="array" ref="FA228">IFERROR(INDEX(球員狀態!T$2:T$5000, MATCH(1, (球員狀態!$A$2:$A$5000=$EI$211)*(ISNUMBER(SEARCH($EI228, 球員狀態!$B$2:$B$5000))), 0)), "")</f>
        <v>0.5</v>
      </c>
      <c r="FB228" s="4" t="str">
        <f t="array" ref="FB228">IFERROR(INDEX(球員狀態!U$2:U$5000, MATCH(1, (球員狀態!$A$2:$A$5000=$EI$1)*(ISNUMBER(SEARCH($EI228, 球員狀態!$B$2:$B$5000))), 0)), "")</f>
        <v/>
      </c>
      <c r="FC228" s="4" t="str">
        <f t="array" ref="FC228">IFERROR(INDEX(球員狀態!V$2:V$5000, MATCH(1, (球員狀態!$A$2:$A$5000=$EI$1)*(ISNUMBER(SEARCH($EI228, 球員狀態!$B$2:$B$5000))), 0)), "")</f>
        <v/>
      </c>
      <c r="FD228" s="4" t="str">
        <f t="array" ref="FD228">IFERROR(INDEX(球員狀態!W$2:W$5000, MATCH(1, (球員狀態!$A$2:$A$5000=$EI$211)*(ISNUMBER(SEARCH($EI228, 球員狀態!$B$2:$B$5000))), 0)), "")</f>
        <v>.115</v>
      </c>
      <c r="FE228" s="4" t="str">
        <f t="array" ref="FE228">IFERROR(INDEX(球員狀態!X$2:X$5000, MATCH(1, (球員狀態!$A$2:$A$5000=$EI$1)*(ISNUMBER(SEARCH($EI228, 球員狀態!$B$2:$B$5000))), 0)), "")</f>
        <v/>
      </c>
      <c r="FF228" s="4" t="str">
        <f t="array" ref="FF228">IFERROR(INDEX(球員狀態!Y$2:Y$5000, MATCH(1, (球員狀態!$A$2:$A$5000=$EI$1)*(ISNUMBER(SEARCH($EI228, 球員狀態!$B$2:$B$5000))), 0)), "")</f>
        <v/>
      </c>
      <c r="FG228" s="4" t="str">
        <f t="array" ref="FG228">IFERROR(INDEX(球員狀態!Z$2:Z$5000, MATCH(1, (球員狀態!$A$2:$A$5000=$EI$211)*(ISNUMBER(SEARCH($EI228, 球員狀態!$B$2:$B$5000))), 0)), "")</f>
        <v>.333</v>
      </c>
      <c r="FH228" s="4" t="str">
        <f t="array" ref="FH228">IFERROR(INDEX(球員狀態!AA$2:AA$5000, MATCH(1, (球員狀態!$A$2:$A$5000=$EI$211)*(ISNUMBER(SEARCH($EI228, 球員狀態!$B$2:$B$5000))), 0)), "")</f>
        <v>3.98</v>
      </c>
      <c r="FI228" s="4" t="str">
        <f t="array" ref="FI228">IFERROR(INDEX(球員狀態!AB$2:AB$5000, MATCH(1, (球員狀態!$A$2:$A$5000=$EI$211)*(ISNUMBER(SEARCH($EI228, 球員狀態!$B$2:$B$5000))), 0)), "")</f>
        <v>3</v>
      </c>
    </row>
    <row r="229" spans="110:165">
      <c r="DH229" s="40">
        <f>DJ229+DL229+DM229+DN229+DO229-DP229-DQ229+DR229</f>
        <v>2.2999999999999998</v>
      </c>
      <c r="DI229" s="42" t="e">
        <f>DU229+DX229+EA229+ED229+EE229+EF229</f>
        <v>#N/A</v>
      </c>
      <c r="DJ229" s="38">
        <f>VLOOKUP(DJ228*1, FK$2:FM$12, 3, TRUE)*FM$1</f>
        <v>0.75</v>
      </c>
      <c r="DL229" s="38">
        <f>VLOOKUP(DL228*1, FN$2:FP$12, 3, TRUE)*FP$1</f>
        <v>0.75</v>
      </c>
      <c r="DM229" s="38">
        <f>VLOOKUP(DM228*1, FQ$2:FS$12, 3, TRUE)*FS$1</f>
        <v>0</v>
      </c>
      <c r="DN229" s="38">
        <f>VLOOKUP(DN228*1, FT$2:FV$12, 3, TRUE)*FV$1</f>
        <v>0.8</v>
      </c>
      <c r="DO229" s="38">
        <f>VLOOKUP(DO228*1, FW$2:FY$12, 3, TRUE)*FY$1</f>
        <v>0.5</v>
      </c>
      <c r="DP229" s="39">
        <f>VLOOKUP(DP228*1, FK$14:FM$25, 3, TRUE)*FM$14</f>
        <v>1</v>
      </c>
      <c r="DQ229" s="39">
        <f>VLOOKUP(DQ228*1, FN$14:FP$25, 3, TRUE)*FP$14</f>
        <v>1</v>
      </c>
      <c r="DR229" s="38">
        <f>VLOOKUP(DR228*1, FQ$14:FS$25, 3, TRUE)*FS$14</f>
        <v>1.5</v>
      </c>
      <c r="DU229" s="41">
        <f>VLOOKUP(DU228*1, FK$27:FM$38, 3, TRUE)*FM$27</f>
        <v>0</v>
      </c>
      <c r="DX229" s="41" t="e">
        <f>VLOOKUP(DX228*1, FN$27:FP$38, 3, TRUE)*FP$27</f>
        <v>#N/A</v>
      </c>
      <c r="EA229" s="41">
        <f>VLOOKUP(EA228*1, FQ$27:FS$38, 3, TRUE)*FS$27</f>
        <v>0</v>
      </c>
      <c r="ED229" s="41">
        <f>VLOOKUP(ED228*1, FT$27:FV$38, 3, TRUE)*FV$27</f>
        <v>0</v>
      </c>
      <c r="EE229" s="41">
        <f>VLOOKUP(EE228*1, FW$27:FY$38, 3, TRUE)*FY$27</f>
        <v>1.5</v>
      </c>
      <c r="EF229" s="41">
        <f>VLOOKUP(EF228*1, FK$40:FM$51, 3, TRUE)*FM$40</f>
        <v>3.5</v>
      </c>
      <c r="EG229" s="57"/>
      <c r="EK229" s="40">
        <f>EM229+EO229+EP229+EQ229+ER229-ES229-ET229+EU229</f>
        <v>1.05</v>
      </c>
      <c r="EL229" s="42">
        <f>EX229+FA229+FD229+FG229+FH229+FI229</f>
        <v>5</v>
      </c>
      <c r="EM229" s="38">
        <f>VLOOKUP(EM228*1, $FK$2:$FM$12, 3, TRUE)*$FM$1</f>
        <v>0.5</v>
      </c>
      <c r="EO229" s="38">
        <f>VLOOKUP(EO228*1, $FN$2:$FP$12, 3, TRUE)*$FP$1</f>
        <v>0.15</v>
      </c>
      <c r="EP229" s="38">
        <f>VLOOKUP(EP228*1, $FQ$2:$FS$12, 3, TRUE)*$FS$1</f>
        <v>0</v>
      </c>
      <c r="EQ229" s="38">
        <f>VLOOKUP(EQ228*1, $FT$2:$FV$12, 3, TRUE)*$FV$1</f>
        <v>0.4</v>
      </c>
      <c r="ER229" s="38">
        <f>VLOOKUP(ER228*1, $FW$2:$FY$12, 3, TRUE)*$FY$1</f>
        <v>0.5</v>
      </c>
      <c r="ES229" s="39">
        <f>VLOOKUP(ES228*1, $FK$14:$FM$25, 3, TRUE)*$FM$14</f>
        <v>1</v>
      </c>
      <c r="ET229" s="39">
        <f>VLOOKUP(ET228*1, $FN$14:$FP$25, 3, TRUE)*$FP$14</f>
        <v>1</v>
      </c>
      <c r="EU229" s="38">
        <f>VLOOKUP(EU228*1, $FQ$14:$FS$25, 3, TRUE)*$FS$14</f>
        <v>1.5</v>
      </c>
      <c r="EX229" s="41">
        <f>VLOOKUP(EX228*1, $FK$27:$FM$38, 3, TRUE)*$FM$27</f>
        <v>0</v>
      </c>
      <c r="FA229" s="41">
        <f>VLOOKUP(FA228*1, $FN$27:$FP$38, 3, TRUE)*$FP$27</f>
        <v>0</v>
      </c>
      <c r="FD229" s="41">
        <f>VLOOKUP(FD228*1, $FQ$27:$FS$38, 3, TRUE)*$FS$27</f>
        <v>0</v>
      </c>
      <c r="FG229" s="41">
        <f>VLOOKUP(FG228*1, $FT$27:$FV$38, 3, TRUE)*$FV$27</f>
        <v>0</v>
      </c>
      <c r="FH229" s="41">
        <f>VLOOKUP(FH228*1, $FW$27:$FY$38, 3, TRUE)*$FY$27</f>
        <v>1.5</v>
      </c>
      <c r="FI229" s="41">
        <f>VLOOKUP(FI228*1, $FK$40:$FM$51, 3, TRUE)*$FM$40</f>
        <v>3.5</v>
      </c>
    </row>
    <row r="230" spans="110:165">
      <c r="DF230" s="37" t="e">
        <f>先發名單!#REF!</f>
        <v>#REF!</v>
      </c>
      <c r="DG230" s="4" t="str">
        <f t="array" ref="DG230">IFERROR(INDEX(球員狀態!$C$2:$C$5000, MATCH(1, (球員狀態!$A$2:$A$5000=$DF$211)*(ISNUMBER(SEARCH($DF230, 球員狀態!$B$2:$B$5000))), 0)), "")</f>
        <v/>
      </c>
      <c r="DJ230" s="4" t="str">
        <f t="array" ref="DJ230">IFERROR(INDEX(球員狀態!$F$2:$F$5000,MATCH(1,(球員狀態!$A$2:$A$5000=$DF$211)*(ISNUMBER(SEARCH($DF230,球員狀態!$B$2:$B$5000))),0)),"")</f>
        <v/>
      </c>
      <c r="DK230" s="4" t="str">
        <f t="array" ref="DK230">IFERROR(INDEX(球員狀態!G$2:G$5000, MATCH(1, (球員狀態!$A$2:$A$5000=$DF$1)*(ISNUMBER(SEARCH($DF230, 球員狀態!$B$2:$B$5000))), 0)), "")</f>
        <v/>
      </c>
      <c r="DL230" s="4" t="str">
        <f t="array" ref="DL230">IFERROR(INDEX(球員狀態!H$2:H$5000, MATCH(1, (球員狀態!$A$2:$A$5000=$DF$211)*(ISNUMBER(SEARCH($DF230, 球員狀態!$B$2:$B$5000))), 0)), "")</f>
        <v/>
      </c>
      <c r="DM230" s="4" t="str">
        <f t="array" ref="DM230">IFERROR(INDEX(球員狀態!I$2:I$5000,MATCH(1,(球員狀態!$A$2:$A$5000=$DF$211)*(ISNUMBER(SEARCH($DF230,球員狀態!$B$2:$B$5000))),0)),"")</f>
        <v/>
      </c>
      <c r="DN230" s="4" t="str">
        <f t="array" ref="DN230">IFERROR(INDEX(球員狀態!J$2:J$5000,MATCH(1,(球員狀態!$A$2:$A$5000=$DF$211)*(ISNUMBER(SEARCH($DF230,球員狀態!$B$2:$B$5000))),0)),"")</f>
        <v/>
      </c>
      <c r="DO230" s="4" t="str">
        <f t="array" ref="DO230">IFERROR(INDEX(球員狀態!K$2:K$5000,MATCH(1,(球員狀態!$A$2:$A$5000=$DF$211)*(ISNUMBER(SEARCH($DF230,球員狀態!$B$2:$B$5000))),0)),"")</f>
        <v/>
      </c>
      <c r="DP230" s="4" t="str">
        <f t="array" ref="DP230">IFERROR(INDEX(球員狀態!L$2:L$5000,MATCH(1,(球員狀態!$A$2:$A$5000=$DF$211)*(ISNUMBER(SEARCH($DF230,球員狀態!$B$2:$B$5000))),0)),"")</f>
        <v/>
      </c>
      <c r="DQ230" s="4" t="str">
        <f t="array" ref="DQ230">IFERROR(INDEX(球員狀態!M$2:M$5000,MATCH(1,(球員狀態!$A$2:$A$5000=$DF$211)*(ISNUMBER(SEARCH($DF230,球員狀態!$B$2:$B$5000))),0)),"")</f>
        <v/>
      </c>
      <c r="DR230" s="4" t="str">
        <f t="array" ref="DR230">IFERROR(INDEX(球員狀態!N$2:N$5000,MATCH(1,(球員狀態!$A$2:$A$5000=$DF$211)*(ISNUMBER(SEARCH($DF230,球員狀態!$B$2:$B$5000))),0)),"")</f>
        <v/>
      </c>
      <c r="DS230" s="4" t="str">
        <f t="array" ref="DS230">IFERROR(INDEX(球員狀態!O$2:O$5000, MATCH(1, (球員狀態!$A$2:$A$5000=$DF$1)*(ISNUMBER(SEARCH($DF230, 球員狀態!$B$2:$B$5000))), 0)), "")</f>
        <v/>
      </c>
      <c r="DT230" s="4" t="str">
        <f t="array" ref="DT230">IFERROR(INDEX(球員狀態!P$2:P$5000, MATCH(1, (球員狀態!$A$2:$A$5000=$DF$1)*(ISNUMBER(SEARCH($DF230, 球員狀態!$B$2:$B$5000))), 0)), "")</f>
        <v/>
      </c>
      <c r="DU230" s="4" t="str">
        <f t="array" ref="DU230">IFERROR(INDEX(球員狀態!Q$2:Q$5000,MATCH(1,(球員狀態!$A$2:$A$5000=$DF$211)*(ISNUMBER(SEARCH($DF230,球員狀態!$B$2:$B$5000))),0)),"")</f>
        <v/>
      </c>
      <c r="DV230" s="4" t="str">
        <f t="array" ref="DV230">IFERROR(INDEX(球員狀態!R$2:R$5000, MATCH(1, (球員狀態!$A$2:$A$5000=$DF$1)*(ISNUMBER(SEARCH($DF230, 球員狀態!$B$2:$B$5000))), 0)), "")</f>
        <v/>
      </c>
      <c r="DW230" s="4" t="str">
        <f t="array" ref="DW230">IFERROR(INDEX(球員狀態!S$2:S$5000, MATCH(1, (球員狀態!$A$2:$A$5000=$DF$1)*(ISNUMBER(SEARCH($DF230, 球員狀態!$B$2:$B$5000))), 0)), "")</f>
        <v/>
      </c>
      <c r="DX230" s="4" t="str">
        <f t="array" ref="DX230">IFERROR(INDEX(球員狀態!T$2:T$5000,MATCH(1,(球員狀態!$A$2:$A$5000=$DF$211)*(ISNUMBER(SEARCH($DF230,球員狀態!$B$2:$B$5000))),0)),"")</f>
        <v/>
      </c>
      <c r="DY230" s="4" t="str">
        <f t="array" ref="DY230">IFERROR(INDEX(球員狀態!U$2:U$5000, MATCH(1, (球員狀態!$A$2:$A$5000=$DF$1)*(ISNUMBER(SEARCH($DF230, 球員狀態!$B$2:$B$5000))), 0)), "")</f>
        <v/>
      </c>
      <c r="DZ230" s="4" t="str">
        <f t="array" ref="DZ230">IFERROR(INDEX(球員狀態!V$2:V$5000, MATCH(1, (球員狀態!$A$2:$A$5000=$DF$1)*(ISNUMBER(SEARCH($DF230, 球員狀態!$B$2:$B$5000))), 0)), "")</f>
        <v/>
      </c>
      <c r="EA230" s="4" t="str">
        <f t="array" ref="EA230">IFERROR(INDEX(球員狀態!W$2:W$5000,MATCH(1,(球員狀態!$A$2:$A$5000=$DF$211)*(ISNUMBER(SEARCH($DF230,球員狀態!$B$2:$B$5000))),0)),"")</f>
        <v/>
      </c>
      <c r="EB230" s="4" t="str">
        <f t="array" ref="EB230">IFERROR(INDEX(球員狀態!X$2:X$5000, MATCH(1, (球員狀態!$A$2:$A$5000=$DF$1)*(ISNUMBER(SEARCH($DF230, 球員狀態!$B$2:$B$5000))), 0)), "")</f>
        <v/>
      </c>
      <c r="EC230" s="4" t="str">
        <f t="array" ref="EC230">IFERROR(INDEX(球員狀態!Y$2:Y$5000, MATCH(1, (球員狀態!$A$2:$A$5000=$DF$1)*(ISNUMBER(SEARCH($DF230, 球員狀態!$B$2:$B$5000))), 0)), "")</f>
        <v/>
      </c>
      <c r="ED230" s="4" t="str">
        <f t="array" ref="ED230">IFERROR(INDEX(球員狀態!Z$2:Z$5000,MATCH(1,(球員狀態!$A$2:$A$5000=$DF$211)*(ISNUMBER(SEARCH($DF230,球員狀態!$B$2:$B$5000))),0)),"")</f>
        <v/>
      </c>
      <c r="EE230" s="4" t="str">
        <f t="array" ref="EE230">IFERROR(INDEX(球員狀態!AA$2:AA$5000,MATCH(1,(球員狀態!$A$2:$A$5000=$DF$211)*(ISNUMBER(SEARCH($DF230,球員狀態!$B$2:$B$5000))),0)),"")</f>
        <v/>
      </c>
      <c r="EF230" s="4" t="str">
        <f t="array" ref="EF230">IFERROR(INDEX(球員狀態!AB$2:AB$5000,MATCH(1,(球員狀態!$A$2:$A$5000=$DF$211)*(ISNUMBER(SEARCH($DF230,球員狀態!$B$2:$B$5000))),0)),"")</f>
        <v/>
      </c>
      <c r="EG230" s="56"/>
      <c r="EI230" s="37" t="str">
        <f>先發名單!X$9</f>
        <v>A. Freeland</v>
      </c>
      <c r="EJ230" s="4" t="str">
        <f t="array" ref="EJ230">IFERROR(INDEX(球員狀態!C$2:C$5000, MATCH(1, (球員狀態!$A$2:$A$5000=$EI$211)*(ISNUMBER(SEARCH($EI230, 球員狀態!$B$2:$B$5000))), 0)), "")</f>
        <v/>
      </c>
      <c r="EM230" s="4" t="str">
        <f t="array" ref="EM230">IFERROR(INDEX(球員狀態!F$2:F$5000, MATCH(1, (球員狀態!$A$2:$A$5000=$EI$211)*(ISNUMBER(SEARCH($EI230, 球員狀態!$B$2:$B$5000))), 0)), "")</f>
        <v/>
      </c>
      <c r="EN230" s="4" t="str">
        <f t="array" ref="EN230">IFERROR(INDEX(球員狀態!G$2:G$5000, MATCH(1, (球員狀態!$A$2:$A$5000=$EI$1)*(ISNUMBER(SEARCH($EI230, 球員狀態!$B$2:$B$5000))), 0)), "")</f>
        <v/>
      </c>
      <c r="EO230" s="4" t="str">
        <f t="array" ref="EO230">IFERROR(INDEX(球員狀態!H$2:H$5000, MATCH(1, (球員狀態!$A$2:$A$5000=$EI$211)*(ISNUMBER(SEARCH($EI230, 球員狀態!$B$2:$B$5000))), 0)), "")</f>
        <v/>
      </c>
      <c r="EP230" s="4" t="str">
        <f t="array" ref="EP230">IFERROR(INDEX(球員狀態!I$2:I$5000, MATCH(1, (球員狀態!$A$2:$A$5000=$EI$211)*(ISNUMBER(SEARCH($EI230, 球員狀態!$B$2:$B$5000))), 0)), "")</f>
        <v/>
      </c>
      <c r="EQ230" s="4" t="str">
        <f t="array" ref="EQ230">IFERROR(INDEX(球員狀態!J$2:J$5000, MATCH(1, (球員狀態!$A$2:$A$5000=$EI$211)*(ISNUMBER(SEARCH($EI230, 球員狀態!$B$2:$B$5000))), 0)), "")</f>
        <v/>
      </c>
      <c r="ER230" s="4" t="str">
        <f t="array" ref="ER230">IFERROR(INDEX(球員狀態!K$2:K$5000, MATCH(1, (球員狀態!$A$2:$A$5000=$EI$211)*(ISNUMBER(SEARCH($EI230, 球員狀態!$B$2:$B$5000))), 0)), "")</f>
        <v/>
      </c>
      <c r="ES230" s="4" t="str">
        <f t="array" ref="ES230">IFERROR(INDEX(球員狀態!L$2:L$5000, MATCH(1, (球員狀態!$A$2:$A$5000=$EI$211)*(ISNUMBER(SEARCH($EI230, 球員狀態!$B$2:$B$5000))), 0)), "")</f>
        <v/>
      </c>
      <c r="ET230" s="4" t="str">
        <f t="array" ref="ET230">IFERROR(INDEX(球員狀態!M$2:M$5000, MATCH(1, (球員狀態!$A$2:$A$5000=$EI$211)*(ISNUMBER(SEARCH($EI230, 球員狀態!$B$2:$B$5000))), 0)), "")</f>
        <v/>
      </c>
      <c r="EU230" s="4" t="str">
        <f t="array" ref="EU230">IFERROR(INDEX(球員狀態!N$2:N$5000, MATCH(1, (球員狀態!$A$2:$A$5000=$EI$211)*(ISNUMBER(SEARCH($EI230, 球員狀態!$B$2:$B$5000))), 0)), "")</f>
        <v/>
      </c>
      <c r="EV230" s="4" t="str">
        <f t="array" ref="EV230">IFERROR(INDEX(球員狀態!O$2:O$5000, MATCH(1, (球員狀態!$A$2:$A$5000=$EI$1)*(ISNUMBER(SEARCH($EI230, 球員狀態!$B$2:$B$5000))), 0)), "")</f>
        <v/>
      </c>
      <c r="EW230" s="4" t="str">
        <f t="array" ref="EW230">IFERROR(INDEX(球員狀態!P$2:P$5000, MATCH(1, (球員狀態!$A$2:$A$5000=$EI$1)*(ISNUMBER(SEARCH($EI230, 球員狀態!$B$2:$B$5000))), 0)), "")</f>
        <v/>
      </c>
      <c r="EX230" s="4" t="str">
        <f t="array" ref="EX230">IFERROR(INDEX(球員狀態!Q$2:Q$5000, MATCH(1, (球員狀態!$A$2:$A$5000=$EI$211)*(ISNUMBER(SEARCH($EI230, 球員狀態!$B$2:$B$5000))), 0)), "")</f>
        <v/>
      </c>
      <c r="EY230" s="4" t="str">
        <f t="array" ref="EY230">IFERROR(INDEX(球員狀態!R$2:R$5000, MATCH(1, (球員狀態!$A$2:$A$5000=$EI$1)*(ISNUMBER(SEARCH($EI230, 球員狀態!$B$2:$B$5000))), 0)), "")</f>
        <v/>
      </c>
      <c r="EZ230" s="4" t="str">
        <f t="array" ref="EZ230">IFERROR(INDEX(球員狀態!S$2:S$5000, MATCH(1, (球員狀態!$A$2:$A$5000=$EI$1)*(ISNUMBER(SEARCH($EI230, 球員狀態!$B$2:$B$5000))), 0)), "")</f>
        <v/>
      </c>
      <c r="FA230" s="4" t="str">
        <f t="array" ref="FA230">IFERROR(INDEX(球員狀態!T$2:T$5000, MATCH(1, (球員狀態!$A$2:$A$5000=$EI$211)*(ISNUMBER(SEARCH($EI230, 球員狀態!$B$2:$B$5000))), 0)), "")</f>
        <v/>
      </c>
      <c r="FB230" s="4" t="str">
        <f t="array" ref="FB230">IFERROR(INDEX(球員狀態!U$2:U$5000, MATCH(1, (球員狀態!$A$2:$A$5000=$EI$1)*(ISNUMBER(SEARCH($EI230, 球員狀態!$B$2:$B$5000))), 0)), "")</f>
        <v/>
      </c>
      <c r="FC230" s="4" t="str">
        <f t="array" ref="FC230">IFERROR(INDEX(球員狀態!V$2:V$5000, MATCH(1, (球員狀態!$A$2:$A$5000=$EI$1)*(ISNUMBER(SEARCH($EI230, 球員狀態!$B$2:$B$5000))), 0)), "")</f>
        <v/>
      </c>
      <c r="FD230" s="4" t="str">
        <f t="array" ref="FD230">IFERROR(INDEX(球員狀態!W$2:W$5000, MATCH(1, (球員狀態!$A$2:$A$5000=$EI$211)*(ISNUMBER(SEARCH($EI230, 球員狀態!$B$2:$B$5000))), 0)), "")</f>
        <v/>
      </c>
      <c r="FE230" s="4" t="str">
        <f t="array" ref="FE230">IFERROR(INDEX(球員狀態!X$2:X$5000, MATCH(1, (球員狀態!$A$2:$A$5000=$EI$1)*(ISNUMBER(SEARCH($EI230, 球員狀態!$B$2:$B$5000))), 0)), "")</f>
        <v/>
      </c>
      <c r="FF230" s="4" t="str">
        <f t="array" ref="FF230">IFERROR(INDEX(球員狀態!Y$2:Y$5000, MATCH(1, (球員狀態!$A$2:$A$5000=$EI$1)*(ISNUMBER(SEARCH($EI230, 球員狀態!$B$2:$B$5000))), 0)), "")</f>
        <v/>
      </c>
      <c r="FG230" s="4" t="str">
        <f t="array" ref="FG230">IFERROR(INDEX(球員狀態!Z$2:Z$5000, MATCH(1, (球員狀態!$A$2:$A$5000=$EI$211)*(ISNUMBER(SEARCH($EI230, 球員狀態!$B$2:$B$5000))), 0)), "")</f>
        <v/>
      </c>
      <c r="FH230" s="4" t="str">
        <f t="array" ref="FH230">IFERROR(INDEX(球員狀態!AA$2:AA$5000, MATCH(1, (球員狀態!$A$2:$A$5000=$EI$211)*(ISNUMBER(SEARCH($EI230, 球員狀態!$B$2:$B$5000))), 0)), "")</f>
        <v/>
      </c>
      <c r="FI230" s="4" t="str">
        <f t="array" ref="FI230">IFERROR(INDEX(球員狀態!AB$2:AB$5000, MATCH(1, (球員狀態!$A$2:$A$5000=$EI$211)*(ISNUMBER(SEARCH($EI230, 球員狀態!$B$2:$B$5000))), 0)), "")</f>
        <v/>
      </c>
    </row>
    <row r="231" spans="110:165">
      <c r="DH231" s="40" t="e">
        <f>DJ231+DL231+DM231+DN231+DO231-DP231-DQ231+DR231</f>
        <v>#VALUE!</v>
      </c>
      <c r="DI231" s="42" t="e">
        <f>DU231+DX231+EA231+ED231+EE231+EF231</f>
        <v>#VALUE!</v>
      </c>
      <c r="DJ231" s="38" t="e">
        <f>VLOOKUP(DJ230*1, FK$2:FM$12, 3, TRUE)*FM$1</f>
        <v>#VALUE!</v>
      </c>
      <c r="DL231" s="38" t="e">
        <f>VLOOKUP(DL230*1, FN$2:FP$12, 3, TRUE)*FP$1</f>
        <v>#VALUE!</v>
      </c>
      <c r="DM231" s="38" t="e">
        <f>VLOOKUP(DM230*1, FQ$2:FS$12, 3, TRUE)*FS$1</f>
        <v>#VALUE!</v>
      </c>
      <c r="DN231" s="38" t="e">
        <f>VLOOKUP(DN230*1, FT$2:FV$12, 3, TRUE)*FV$1</f>
        <v>#VALUE!</v>
      </c>
      <c r="DO231" s="38" t="e">
        <f>VLOOKUP(DO230*1, FW$2:FY$12, 3, TRUE)*FY$1</f>
        <v>#VALUE!</v>
      </c>
      <c r="DP231" s="39" t="e">
        <f>VLOOKUP(DP230*1, FK$14:FM$25, 3, TRUE)*FM$14</f>
        <v>#VALUE!</v>
      </c>
      <c r="DQ231" s="39" t="e">
        <f>VLOOKUP(DQ230*1, FN$14:FP$25, 3, TRUE)*FP$14</f>
        <v>#VALUE!</v>
      </c>
      <c r="DR231" s="38" t="e">
        <f>VLOOKUP(DR230*1, FQ$14:FS$25, 3, TRUE)*FS$14</f>
        <v>#VALUE!</v>
      </c>
      <c r="DU231" s="41" t="e">
        <f>VLOOKUP(DU230*1, FK$27:FM$38, 3, TRUE)*FM$27</f>
        <v>#VALUE!</v>
      </c>
      <c r="DX231" s="41" t="e">
        <f>VLOOKUP(DX230*1, FN$27:FP$38, 3, TRUE)*FP$27</f>
        <v>#VALUE!</v>
      </c>
      <c r="EA231" s="41" t="e">
        <f>VLOOKUP(EA230*1, FQ$27:FS$38, 3, TRUE)*FS$27</f>
        <v>#VALUE!</v>
      </c>
      <c r="ED231" s="41" t="e">
        <f>VLOOKUP(ED230*1, FT$27:FV$38, 3, TRUE)*FV$27</f>
        <v>#VALUE!</v>
      </c>
      <c r="EE231" s="41" t="e">
        <f>VLOOKUP(EE230*1, FW$27:FY$38, 3, TRUE)*FY$27</f>
        <v>#VALUE!</v>
      </c>
      <c r="EF231" s="41" t="e">
        <f>VLOOKUP(EF230*1, FK$40:FM$51, 3, TRUE)*FM$40</f>
        <v>#VALUE!</v>
      </c>
      <c r="EG231" s="57"/>
      <c r="EK231" s="40" t="e">
        <f>EM231+EO231+EP231+EQ231+ER231-ES231-ET231+EU231</f>
        <v>#VALUE!</v>
      </c>
      <c r="EL231" s="42" t="e">
        <f>EX231+FA231+FD231+FG231+FH231+FI231</f>
        <v>#VALUE!</v>
      </c>
      <c r="EM231" s="38" t="e">
        <f>VLOOKUP(EM230*1, $FK$2:$FM$12, 3, TRUE)*$FM$1</f>
        <v>#VALUE!</v>
      </c>
      <c r="EO231" s="38" t="e">
        <f>VLOOKUP(EO230*1, $FN$2:$FP$12, 3, TRUE)*$FP$1</f>
        <v>#VALUE!</v>
      </c>
      <c r="EP231" s="38" t="e">
        <f>VLOOKUP(EP230*1, $FQ$2:$FS$12, 3, TRUE)*$FS$1</f>
        <v>#VALUE!</v>
      </c>
      <c r="EQ231" s="38" t="e">
        <f>VLOOKUP(EQ230*1, $FT$2:$FV$12, 3, TRUE)*$FV$1</f>
        <v>#VALUE!</v>
      </c>
      <c r="ER231" s="38" t="e">
        <f>VLOOKUP(ER230*1, $FW$2:$FY$12, 3, TRUE)*$FY$1</f>
        <v>#VALUE!</v>
      </c>
      <c r="ES231" s="39" t="e">
        <f>VLOOKUP(ES230*1, $FK$14:$FM$25, 3, TRUE)*$FM$14</f>
        <v>#VALUE!</v>
      </c>
      <c r="ET231" s="39" t="e">
        <f>VLOOKUP(ET230*1, $FN$14:$FP$25, 3, TRUE)*$FP$14</f>
        <v>#VALUE!</v>
      </c>
      <c r="EU231" s="38" t="e">
        <f>VLOOKUP(EU230*1, $FQ$14:$FS$25, 3, TRUE)*$FS$14</f>
        <v>#VALUE!</v>
      </c>
      <c r="EX231" s="41" t="e">
        <f>VLOOKUP(EX230*1, $FK$27:$FM$38, 3, TRUE)*$FM$27</f>
        <v>#VALUE!</v>
      </c>
      <c r="FA231" s="41" t="e">
        <f>VLOOKUP(FA230*1, $FN$27:$FP$38, 3, TRUE)*$FP$27</f>
        <v>#VALUE!</v>
      </c>
      <c r="FD231" s="41" t="e">
        <f>VLOOKUP(FD230*1, $FQ$27:$FS$38, 3, TRUE)*$FS$27</f>
        <v>#VALUE!</v>
      </c>
      <c r="FG231" s="41" t="e">
        <f>VLOOKUP(FG230*1, $FT$27:$FV$38, 3, TRUE)*$FV$27</f>
        <v>#VALUE!</v>
      </c>
      <c r="FH231" s="41" t="e">
        <f>VLOOKUP(FH230*1, $FW$27:$FY$38, 3, TRUE)*$FY$27</f>
        <v>#VALUE!</v>
      </c>
      <c r="FI231" s="41" t="e">
        <f>VLOOKUP(FI230*1, $FK$40:$FM$51, 3, TRUE)*$FM$40</f>
        <v>#VALUE!</v>
      </c>
    </row>
    <row r="232" spans="110:165">
      <c r="DF232" s="37" t="e">
        <f>先發名單!#REF!</f>
        <v>#REF!</v>
      </c>
      <c r="DG232" s="4" t="str">
        <f t="array" ref="DG232">IFERROR(INDEX(球員狀態!$C$2:$C$5000, MATCH(1, (球員狀態!$A$2:$A$5000=$DF$211)*(ISNUMBER(SEARCH($DF232, 球員狀態!$B$2:$B$5000))), 0)), "")</f>
        <v/>
      </c>
      <c r="DJ232" s="4" t="str">
        <f t="array" ref="DJ232">IFERROR(INDEX(球員狀態!$F$2:$F$5000,MATCH(1,(球員狀態!$A$2:$A$5000=$DF$211)*(ISNUMBER(SEARCH($DF232,球員狀態!$B$2:$B$5000))),0)),"")</f>
        <v/>
      </c>
      <c r="DK232" s="4" t="str">
        <f t="array" ref="DK232">IFERROR(INDEX(球員狀態!G$2:G$5000, MATCH(1, (球員狀態!$A$2:$A$5000=$DF$1)*(ISNUMBER(SEARCH($DF232, 球員狀態!$B$2:$B$5000))), 0)), "")</f>
        <v/>
      </c>
      <c r="DL232" s="4" t="str">
        <f t="array" ref="DL232">IFERROR(INDEX(球員狀態!H$2:H$5000, MATCH(1, (球員狀態!$A$2:$A$5000=$DF$211)*(ISNUMBER(SEARCH($DF232, 球員狀態!$B$2:$B$5000))), 0)), "")</f>
        <v/>
      </c>
      <c r="DM232" s="4" t="str">
        <f t="array" ref="DM232">IFERROR(INDEX(球員狀態!I$2:I$5000,MATCH(1,(球員狀態!$A$2:$A$5000=$DF$211)*(ISNUMBER(SEARCH($DF232,球員狀態!$B$2:$B$5000))),0)),"")</f>
        <v/>
      </c>
      <c r="DN232" s="4" t="str">
        <f t="array" ref="DN232">IFERROR(INDEX(球員狀態!J$2:J$5000,MATCH(1,(球員狀態!$A$2:$A$5000=$DF$211)*(ISNUMBER(SEARCH($DF232,球員狀態!$B$2:$B$5000))),0)),"")</f>
        <v/>
      </c>
      <c r="DO232" s="4" t="str">
        <f t="array" ref="DO232">IFERROR(INDEX(球員狀態!K$2:K$5000,MATCH(1,(球員狀態!$A$2:$A$5000=$DF$211)*(ISNUMBER(SEARCH($DF232,球員狀態!$B$2:$B$5000))),0)),"")</f>
        <v/>
      </c>
      <c r="DP232" s="4" t="str">
        <f t="array" ref="DP232">IFERROR(INDEX(球員狀態!L$2:L$5000,MATCH(1,(球員狀態!$A$2:$A$5000=$DF$211)*(ISNUMBER(SEARCH($DF232,球員狀態!$B$2:$B$5000))),0)),"")</f>
        <v/>
      </c>
      <c r="DQ232" s="4" t="str">
        <f t="array" ref="DQ232">IFERROR(INDEX(球員狀態!M$2:M$5000,MATCH(1,(球員狀態!$A$2:$A$5000=$DF$211)*(ISNUMBER(SEARCH($DF232,球員狀態!$B$2:$B$5000))),0)),"")</f>
        <v/>
      </c>
      <c r="DR232" s="4" t="str">
        <f t="array" ref="DR232">IFERROR(INDEX(球員狀態!N$2:N$5000,MATCH(1,(球員狀態!$A$2:$A$5000=$DF$211)*(ISNUMBER(SEARCH($DF232,球員狀態!$B$2:$B$5000))),0)),"")</f>
        <v/>
      </c>
      <c r="DS232" s="4" t="str">
        <f t="array" ref="DS232">IFERROR(INDEX(球員狀態!O$2:O$5000, MATCH(1, (球員狀態!$A$2:$A$5000=$DF$1)*(ISNUMBER(SEARCH($DF232, 球員狀態!$B$2:$B$5000))), 0)), "")</f>
        <v/>
      </c>
      <c r="DT232" s="4" t="str">
        <f t="array" ref="DT232">IFERROR(INDEX(球員狀態!P$2:P$5000, MATCH(1, (球員狀態!$A$2:$A$5000=$DF$1)*(ISNUMBER(SEARCH($DF232, 球員狀態!$B$2:$B$5000))), 0)), "")</f>
        <v/>
      </c>
      <c r="DU232" s="4" t="str">
        <f t="array" ref="DU232">IFERROR(INDEX(球員狀態!Q$2:Q$5000,MATCH(1,(球員狀態!$A$2:$A$5000=$DF$211)*(ISNUMBER(SEARCH($DF232,球員狀態!$B$2:$B$5000))),0)),"")</f>
        <v/>
      </c>
      <c r="DV232" s="4" t="str">
        <f t="array" ref="DV232">IFERROR(INDEX(球員狀態!R$2:R$5000, MATCH(1, (球員狀態!$A$2:$A$5000=$DF$1)*(ISNUMBER(SEARCH($DF232, 球員狀態!$B$2:$B$5000))), 0)), "")</f>
        <v/>
      </c>
      <c r="DW232" s="4" t="str">
        <f t="array" ref="DW232">IFERROR(INDEX(球員狀態!S$2:S$5000, MATCH(1, (球員狀態!$A$2:$A$5000=$DF$1)*(ISNUMBER(SEARCH($DF232, 球員狀態!$B$2:$B$5000))), 0)), "")</f>
        <v/>
      </c>
      <c r="DX232" s="4" t="str">
        <f t="array" ref="DX232">IFERROR(INDEX(球員狀態!T$2:T$5000,MATCH(1,(球員狀態!$A$2:$A$5000=$DF$211)*(ISNUMBER(SEARCH($DF232,球員狀態!$B$2:$B$5000))),0)),"")</f>
        <v/>
      </c>
      <c r="DY232" s="4" t="str">
        <f t="array" ref="DY232">IFERROR(INDEX(球員狀態!U$2:U$5000, MATCH(1, (球員狀態!$A$2:$A$5000=$DF$1)*(ISNUMBER(SEARCH($DF232, 球員狀態!$B$2:$B$5000))), 0)), "")</f>
        <v/>
      </c>
      <c r="DZ232" s="4" t="str">
        <f t="array" ref="DZ232">IFERROR(INDEX(球員狀態!V$2:V$5000, MATCH(1, (球員狀態!$A$2:$A$5000=$DF$1)*(ISNUMBER(SEARCH($DF232, 球員狀態!$B$2:$B$5000))), 0)), "")</f>
        <v/>
      </c>
      <c r="EA232" s="4" t="str">
        <f t="array" ref="EA232">IFERROR(INDEX(球員狀態!W$2:W$5000,MATCH(1,(球員狀態!$A$2:$A$5000=$DF$211)*(ISNUMBER(SEARCH($DF232,球員狀態!$B$2:$B$5000))),0)),"")</f>
        <v/>
      </c>
      <c r="EB232" s="4" t="str">
        <f t="array" ref="EB232">IFERROR(INDEX(球員狀態!X$2:X$5000, MATCH(1, (球員狀態!$A$2:$A$5000=$DF$1)*(ISNUMBER(SEARCH($DF232, 球員狀態!$B$2:$B$5000))), 0)), "")</f>
        <v/>
      </c>
      <c r="EC232" s="4" t="str">
        <f t="array" ref="EC232">IFERROR(INDEX(球員狀態!Y$2:Y$5000, MATCH(1, (球員狀態!$A$2:$A$5000=$DF$1)*(ISNUMBER(SEARCH($DF232, 球員狀態!$B$2:$B$5000))), 0)), "")</f>
        <v/>
      </c>
      <c r="ED232" s="4" t="str">
        <f t="array" ref="ED232">IFERROR(INDEX(球員狀態!Z$2:Z$5000,MATCH(1,(球員狀態!$A$2:$A$5000=$DF$211)*(ISNUMBER(SEARCH($DF232,球員狀態!$B$2:$B$5000))),0)),"")</f>
        <v/>
      </c>
      <c r="EE232" s="4" t="str">
        <f t="array" ref="EE232">IFERROR(INDEX(球員狀態!AA$2:AA$5000,MATCH(1,(球員狀態!$A$2:$A$5000=$DF$211)*(ISNUMBER(SEARCH($DF232,球員狀態!$B$2:$B$5000))),0)),"")</f>
        <v/>
      </c>
      <c r="EF232" s="4" t="str">
        <f t="array" ref="EF232">IFERROR(INDEX(球員狀態!AB$2:AB$5000,MATCH(1,(球員狀態!$A$2:$A$5000=$DF$211)*(ISNUMBER(SEARCH($DF232,球員狀態!$B$2:$B$5000))),0)),"")</f>
        <v/>
      </c>
      <c r="EG232" s="56"/>
      <c r="EI232" s="37">
        <f>先發名單!Y$9</f>
        <v>0</v>
      </c>
      <c r="EJ232" s="4" t="str">
        <f t="array" ref="EJ232">IFERROR(INDEX(球員狀態!C$2:C$5000, MATCH(1, (球員狀態!$A$2:$A$5000=$EI$211)*(ISNUMBER(SEARCH($EI232, 球員狀態!$B$2:$B$5000))), 0)), "")</f>
        <v/>
      </c>
      <c r="EM232" s="4" t="str">
        <f t="array" ref="EM232">IFERROR(INDEX(球員狀態!F$2:F$5000, MATCH(1, (球員狀態!$A$2:$A$5000=$EI$211)*(ISNUMBER(SEARCH($EI232, 球員狀態!$B$2:$B$5000))), 0)), "")</f>
        <v/>
      </c>
      <c r="EN232" s="4" t="str">
        <f t="array" ref="EN232">IFERROR(INDEX(球員狀態!G$2:G$5000, MATCH(1, (球員狀態!$A$2:$A$5000=$EI$1)*(ISNUMBER(SEARCH($EI232, 球員狀態!$B$2:$B$5000))), 0)), "")</f>
        <v/>
      </c>
      <c r="EO232" s="4" t="str">
        <f t="array" ref="EO232">IFERROR(INDEX(球員狀態!H$2:H$5000, MATCH(1, (球員狀態!$A$2:$A$5000=$EI$211)*(ISNUMBER(SEARCH($EI232, 球員狀態!$B$2:$B$5000))), 0)), "")</f>
        <v/>
      </c>
      <c r="EP232" s="4" t="str">
        <f t="array" ref="EP232">IFERROR(INDEX(球員狀態!I$2:I$5000, MATCH(1, (球員狀態!$A$2:$A$5000=$EI$211)*(ISNUMBER(SEARCH($EI232, 球員狀態!$B$2:$B$5000))), 0)), "")</f>
        <v/>
      </c>
      <c r="EQ232" s="4" t="str">
        <f t="array" ref="EQ232">IFERROR(INDEX(球員狀態!J$2:J$5000, MATCH(1, (球員狀態!$A$2:$A$5000=$EI$211)*(ISNUMBER(SEARCH($EI232, 球員狀態!$B$2:$B$5000))), 0)), "")</f>
        <v/>
      </c>
      <c r="ER232" s="4" t="str">
        <f t="array" ref="ER232">IFERROR(INDEX(球員狀態!K$2:K$5000, MATCH(1, (球員狀態!$A$2:$A$5000=$EI$211)*(ISNUMBER(SEARCH($EI232, 球員狀態!$B$2:$B$5000))), 0)), "")</f>
        <v/>
      </c>
      <c r="ES232" s="4" t="str">
        <f t="array" ref="ES232">IFERROR(INDEX(球員狀態!L$2:L$5000, MATCH(1, (球員狀態!$A$2:$A$5000=$EI$211)*(ISNUMBER(SEARCH($EI232, 球員狀態!$B$2:$B$5000))), 0)), "")</f>
        <v/>
      </c>
      <c r="ET232" s="4" t="str">
        <f t="array" ref="ET232">IFERROR(INDEX(球員狀態!M$2:M$5000, MATCH(1, (球員狀態!$A$2:$A$5000=$EI$211)*(ISNUMBER(SEARCH($EI232, 球員狀態!$B$2:$B$5000))), 0)), "")</f>
        <v/>
      </c>
      <c r="EU232" s="4" t="str">
        <f t="array" ref="EU232">IFERROR(INDEX(球員狀態!N$2:N$5000, MATCH(1, (球員狀態!$A$2:$A$5000=$EI$211)*(ISNUMBER(SEARCH($EI232, 球員狀態!$B$2:$B$5000))), 0)), "")</f>
        <v/>
      </c>
      <c r="EV232" s="4" t="str">
        <f t="array" ref="EV232">IFERROR(INDEX(球員狀態!O$2:O$5000, MATCH(1, (球員狀態!$A$2:$A$5000=$EI$1)*(ISNUMBER(SEARCH($EI232, 球員狀態!$B$2:$B$5000))), 0)), "")</f>
        <v/>
      </c>
      <c r="EW232" s="4" t="str">
        <f t="array" ref="EW232">IFERROR(INDEX(球員狀態!P$2:P$5000, MATCH(1, (球員狀態!$A$2:$A$5000=$EI$1)*(ISNUMBER(SEARCH($EI232, 球員狀態!$B$2:$B$5000))), 0)), "")</f>
        <v/>
      </c>
      <c r="EX232" s="4" t="str">
        <f t="array" ref="EX232">IFERROR(INDEX(球員狀態!Q$2:Q$5000, MATCH(1, (球員狀態!$A$2:$A$5000=$EI$211)*(ISNUMBER(SEARCH($EI232, 球員狀態!$B$2:$B$5000))), 0)), "")</f>
        <v/>
      </c>
      <c r="EY232" s="4" t="str">
        <f t="array" ref="EY232">IFERROR(INDEX(球員狀態!R$2:R$5000, MATCH(1, (球員狀態!$A$2:$A$5000=$EI$1)*(ISNUMBER(SEARCH($EI232, 球員狀態!$B$2:$B$5000))), 0)), "")</f>
        <v/>
      </c>
      <c r="EZ232" s="4" t="str">
        <f t="array" ref="EZ232">IFERROR(INDEX(球員狀態!S$2:S$5000, MATCH(1, (球員狀態!$A$2:$A$5000=$EI$1)*(ISNUMBER(SEARCH($EI232, 球員狀態!$B$2:$B$5000))), 0)), "")</f>
        <v/>
      </c>
      <c r="FA232" s="4" t="str">
        <f t="array" ref="FA232">IFERROR(INDEX(球員狀態!T$2:T$5000, MATCH(1, (球員狀態!$A$2:$A$5000=$EI$211)*(ISNUMBER(SEARCH($EI232, 球員狀態!$B$2:$B$5000))), 0)), "")</f>
        <v/>
      </c>
      <c r="FB232" s="4" t="str">
        <f t="array" ref="FB232">IFERROR(INDEX(球員狀態!U$2:U$5000, MATCH(1, (球員狀態!$A$2:$A$5000=$EI$1)*(ISNUMBER(SEARCH($EI232, 球員狀態!$B$2:$B$5000))), 0)), "")</f>
        <v/>
      </c>
      <c r="FC232" s="4" t="str">
        <f t="array" ref="FC232">IFERROR(INDEX(球員狀態!V$2:V$5000, MATCH(1, (球員狀態!$A$2:$A$5000=$EI$1)*(ISNUMBER(SEARCH($EI232, 球員狀態!$B$2:$B$5000))), 0)), "")</f>
        <v/>
      </c>
      <c r="FD232" s="4" t="str">
        <f t="array" ref="FD232">IFERROR(INDEX(球員狀態!W$2:W$5000, MATCH(1, (球員狀態!$A$2:$A$5000=$EI$211)*(ISNUMBER(SEARCH($EI232, 球員狀態!$B$2:$B$5000))), 0)), "")</f>
        <v/>
      </c>
      <c r="FE232" s="4" t="str">
        <f t="array" ref="FE232">IFERROR(INDEX(球員狀態!X$2:X$5000, MATCH(1, (球員狀態!$A$2:$A$5000=$EI$1)*(ISNUMBER(SEARCH($EI232, 球員狀態!$B$2:$B$5000))), 0)), "")</f>
        <v/>
      </c>
      <c r="FF232" s="4" t="str">
        <f t="array" ref="FF232">IFERROR(INDEX(球員狀態!Y$2:Y$5000, MATCH(1, (球員狀態!$A$2:$A$5000=$EI$1)*(ISNUMBER(SEARCH($EI232, 球員狀態!$B$2:$B$5000))), 0)), "")</f>
        <v/>
      </c>
      <c r="FG232" s="4" t="str">
        <f t="array" ref="FG232">IFERROR(INDEX(球員狀態!Z$2:Z$5000, MATCH(1, (球員狀態!$A$2:$A$5000=$EI$211)*(ISNUMBER(SEARCH($EI232, 球員狀態!$B$2:$B$5000))), 0)), "")</f>
        <v/>
      </c>
      <c r="FH232" s="4" t="str">
        <f t="array" ref="FH232">IFERROR(INDEX(球員狀態!AA$2:AA$5000, MATCH(1, (球員狀態!$A$2:$A$5000=$EI$211)*(ISNUMBER(SEARCH($EI232, 球員狀態!$B$2:$B$5000))), 0)), "")</f>
        <v/>
      </c>
      <c r="FI232" s="4" t="str">
        <f t="array" ref="FI232">IFERROR(INDEX(球員狀態!AB$2:AB$5000, MATCH(1, (球員狀態!$A$2:$A$5000=$EI$211)*(ISNUMBER(SEARCH($EI232, 球員狀態!$B$2:$B$5000))), 0)), "")</f>
        <v/>
      </c>
    </row>
    <row r="233" spans="110:165">
      <c r="DH233" s="40" t="e">
        <f>DJ233+DL233+DM233+DN233+DO233-DP233-DQ233+DR233</f>
        <v>#VALUE!</v>
      </c>
      <c r="DI233" s="42" t="e">
        <f>DU233+DX233+EA233+ED233+EE233+EF233</f>
        <v>#VALUE!</v>
      </c>
      <c r="DJ233" s="38" t="e">
        <f>VLOOKUP(DJ232*1, FK$2:FM$12, 3, TRUE)*FM$1</f>
        <v>#VALUE!</v>
      </c>
      <c r="DL233" s="38" t="e">
        <f>VLOOKUP(DL232*1, FN$2:FP$12, 3, TRUE)*FP$1</f>
        <v>#VALUE!</v>
      </c>
      <c r="DM233" s="38" t="e">
        <f>VLOOKUP(DM232*1, FQ$2:FS$12, 3, TRUE)*FS$1</f>
        <v>#VALUE!</v>
      </c>
      <c r="DN233" s="38" t="e">
        <f>VLOOKUP(DN232*1, FT$2:FV$12, 3, TRUE)*FV$1</f>
        <v>#VALUE!</v>
      </c>
      <c r="DO233" s="38" t="e">
        <f>VLOOKUP(DO232*1, FW$2:FY$12, 3, TRUE)*FY$1</f>
        <v>#VALUE!</v>
      </c>
      <c r="DP233" s="39" t="e">
        <f>VLOOKUP(DP232*1, FK$14:FM$25, 3, TRUE)*FM$14</f>
        <v>#VALUE!</v>
      </c>
      <c r="DQ233" s="39" t="e">
        <f>VLOOKUP(DQ232*1, FN$14:FP$25, 3, TRUE)*FP$14</f>
        <v>#VALUE!</v>
      </c>
      <c r="DR233" s="38" t="e">
        <f>VLOOKUP(DR232*1, FQ$14:FS$25, 3, TRUE)*FS$14</f>
        <v>#VALUE!</v>
      </c>
      <c r="DU233" s="41" t="e">
        <f>VLOOKUP(DU232*1, FK$27:FM$38, 3, TRUE)*FM$27</f>
        <v>#VALUE!</v>
      </c>
      <c r="DX233" s="41" t="e">
        <f>VLOOKUP(DX232*1, FN$27:FP$38, 3, TRUE)*FP$27</f>
        <v>#VALUE!</v>
      </c>
      <c r="EA233" s="41" t="e">
        <f>VLOOKUP(EA232*1, FQ$27:FS$38, 3, TRUE)*FS$27</f>
        <v>#VALUE!</v>
      </c>
      <c r="ED233" s="41" t="e">
        <f>VLOOKUP(ED232*1, FT$27:FV$38, 3, TRUE)*FV$27</f>
        <v>#VALUE!</v>
      </c>
      <c r="EE233" s="41" t="e">
        <f>VLOOKUP(EE232*1, FW$27:FY$38, 3, TRUE)*FY$27</f>
        <v>#VALUE!</v>
      </c>
      <c r="EF233" s="41" t="e">
        <f>VLOOKUP(EF232*1, FK$40:FM$51, 3, TRUE)*FM$40</f>
        <v>#VALUE!</v>
      </c>
      <c r="EG233" s="57"/>
      <c r="EK233" s="40" t="e">
        <f>EM233+EO233+EP233+EQ233+ER233-ES233-ET233+EU233</f>
        <v>#VALUE!</v>
      </c>
      <c r="EL233" s="42" t="e">
        <f>EX233+FA233+FD233+FG233+FH233+FI233</f>
        <v>#VALUE!</v>
      </c>
      <c r="EM233" s="38" t="e">
        <f>VLOOKUP(EM232*1, $FK$2:$FM$12, 3, TRUE)*$FM$1</f>
        <v>#VALUE!</v>
      </c>
      <c r="EO233" s="38" t="e">
        <f>VLOOKUP(EO232*1, $FN$2:$FP$12, 3, TRUE)*$FP$1</f>
        <v>#VALUE!</v>
      </c>
      <c r="EP233" s="38" t="e">
        <f>VLOOKUP(EP232*1, $FQ$2:$FS$12, 3, TRUE)*$FS$1</f>
        <v>#VALUE!</v>
      </c>
      <c r="EQ233" s="38" t="e">
        <f>VLOOKUP(EQ232*1, $FT$2:$FV$12, 3, TRUE)*$FV$1</f>
        <v>#VALUE!</v>
      </c>
      <c r="ER233" s="38" t="e">
        <f>VLOOKUP(ER232*1, $FW$2:$FY$12, 3, TRUE)*$FY$1</f>
        <v>#VALUE!</v>
      </c>
      <c r="ES233" s="39" t="e">
        <f>VLOOKUP(ES232*1, $FK$14:$FM$25, 3, TRUE)*$FM$14</f>
        <v>#VALUE!</v>
      </c>
      <c r="ET233" s="39" t="e">
        <f>VLOOKUP(ET232*1, $FN$14:$FP$25, 3, TRUE)*$FP$14</f>
        <v>#VALUE!</v>
      </c>
      <c r="EU233" s="38" t="e">
        <f>VLOOKUP(EU232*1, $FQ$14:$FS$25, 3, TRUE)*$FS$14</f>
        <v>#VALUE!</v>
      </c>
      <c r="EX233" s="41" t="e">
        <f>VLOOKUP(EX232*1, $FK$27:$FM$38, 3, TRUE)*$FM$27</f>
        <v>#VALUE!</v>
      </c>
      <c r="FA233" s="41" t="e">
        <f>VLOOKUP(FA232*1, $FN$27:$FP$38, 3, TRUE)*$FP$27</f>
        <v>#VALUE!</v>
      </c>
      <c r="FD233" s="41" t="e">
        <f>VLOOKUP(FD232*1, $FQ$27:$FS$38, 3, TRUE)*$FS$27</f>
        <v>#VALUE!</v>
      </c>
      <c r="FG233" s="41" t="e">
        <f>VLOOKUP(FG232*1, $FT$27:$FV$38, 3, TRUE)*$FV$27</f>
        <v>#VALUE!</v>
      </c>
      <c r="FH233" s="41" t="e">
        <f>VLOOKUP(FH232*1, $FW$27:$FY$38, 3, TRUE)*$FY$27</f>
        <v>#VALUE!</v>
      </c>
      <c r="FI233" s="41" t="e">
        <f>VLOOKUP(FI232*1, $FK$40:$FM$51, 3, TRUE)*$FM$40</f>
        <v>#VALUE!</v>
      </c>
    </row>
    <row r="234" spans="110:165">
      <c r="DF234" s="37" t="e">
        <f>先發名單!#REF!</f>
        <v>#REF!</v>
      </c>
      <c r="DG234" s="4" t="str">
        <f t="array" ref="DG234">IFERROR(INDEX(球員狀態!$C$2:$C$5000, MATCH(1, (球員狀態!$A$2:$A$5000=$DF$211)*(ISNUMBER(SEARCH($DF234, 球員狀態!$B$2:$B$5000))), 0)), "")</f>
        <v/>
      </c>
      <c r="DJ234" s="4" t="str">
        <f t="array" ref="DJ234">IFERROR(INDEX(球員狀態!$F$2:$F$5000,MATCH(1,(球員狀態!$A$2:$A$5000=$DF$211)*(ISNUMBER(SEARCH($DF234,球員狀態!$B$2:$B$5000))),0)),"")</f>
        <v/>
      </c>
      <c r="DK234" s="4" t="str">
        <f t="array" ref="DK234">IFERROR(INDEX(球員狀態!G$2:G$5000, MATCH(1, (球員狀態!$A$2:$A$5000=$DF$1)*(ISNUMBER(SEARCH($DF234, 球員狀態!$B$2:$B$5000))), 0)), "")</f>
        <v/>
      </c>
      <c r="DL234" s="4" t="str">
        <f t="array" ref="DL234">IFERROR(INDEX(球員狀態!H$2:H$5000, MATCH(1, (球員狀態!$A$2:$A$5000=$DF$211)*(ISNUMBER(SEARCH($DF234, 球員狀態!$B$2:$B$5000))), 0)), "")</f>
        <v/>
      </c>
      <c r="DM234" s="4" t="str">
        <f t="array" ref="DM234">IFERROR(INDEX(球員狀態!I$2:I$5000,MATCH(1,(球員狀態!$A$2:$A$5000=$DF$211)*(ISNUMBER(SEARCH($DF234,球員狀態!$B$2:$B$5000))),0)),"")</f>
        <v/>
      </c>
      <c r="DN234" s="4" t="str">
        <f t="array" ref="DN234">IFERROR(INDEX(球員狀態!J$2:J$5000,MATCH(1,(球員狀態!$A$2:$A$5000=$DF$211)*(ISNUMBER(SEARCH($DF234,球員狀態!$B$2:$B$5000))),0)),"")</f>
        <v/>
      </c>
      <c r="DO234" s="4" t="str">
        <f t="array" ref="DO234">IFERROR(INDEX(球員狀態!K$2:K$5000,MATCH(1,(球員狀態!$A$2:$A$5000=$DF$211)*(ISNUMBER(SEARCH($DF234,球員狀態!$B$2:$B$5000))),0)),"")</f>
        <v/>
      </c>
      <c r="DP234" s="4" t="str">
        <f t="array" ref="DP234">IFERROR(INDEX(球員狀態!L$2:L$5000,MATCH(1,(球員狀態!$A$2:$A$5000=$DF$211)*(ISNUMBER(SEARCH($DF234,球員狀態!$B$2:$B$5000))),0)),"")</f>
        <v/>
      </c>
      <c r="DQ234" s="4" t="str">
        <f t="array" ref="DQ234">IFERROR(INDEX(球員狀態!M$2:M$5000,MATCH(1,(球員狀態!$A$2:$A$5000=$DF$211)*(ISNUMBER(SEARCH($DF234,球員狀態!$B$2:$B$5000))),0)),"")</f>
        <v/>
      </c>
      <c r="DR234" s="4" t="str">
        <f t="array" ref="DR234">IFERROR(INDEX(球員狀態!N$2:N$5000,MATCH(1,(球員狀態!$A$2:$A$5000=$DF$211)*(ISNUMBER(SEARCH($DF234,球員狀態!$B$2:$B$5000))),0)),"")</f>
        <v/>
      </c>
      <c r="DS234" s="4" t="str">
        <f t="array" ref="DS234">IFERROR(INDEX(球員狀態!O$2:O$5000, MATCH(1, (球員狀態!$A$2:$A$5000=$DF$1)*(ISNUMBER(SEARCH($DF234, 球員狀態!$B$2:$B$5000))), 0)), "")</f>
        <v/>
      </c>
      <c r="DT234" s="4" t="str">
        <f t="array" ref="DT234">IFERROR(INDEX(球員狀態!P$2:P$5000, MATCH(1, (球員狀態!$A$2:$A$5000=$DF$1)*(ISNUMBER(SEARCH($DF234, 球員狀態!$B$2:$B$5000))), 0)), "")</f>
        <v/>
      </c>
      <c r="DU234" s="4" t="str">
        <f t="array" ref="DU234">IFERROR(INDEX(球員狀態!Q$2:Q$5000,MATCH(1,(球員狀態!$A$2:$A$5000=$DF$211)*(ISNUMBER(SEARCH($DF234,球員狀態!$B$2:$B$5000))),0)),"")</f>
        <v/>
      </c>
      <c r="DV234" s="4" t="str">
        <f t="array" ref="DV234">IFERROR(INDEX(球員狀態!R$2:R$5000, MATCH(1, (球員狀態!$A$2:$A$5000=$DF$1)*(ISNUMBER(SEARCH($DF234, 球員狀態!$B$2:$B$5000))), 0)), "")</f>
        <v/>
      </c>
      <c r="DW234" s="4" t="str">
        <f t="array" ref="DW234">IFERROR(INDEX(球員狀態!S$2:S$5000, MATCH(1, (球員狀態!$A$2:$A$5000=$DF$1)*(ISNUMBER(SEARCH($DF234, 球員狀態!$B$2:$B$5000))), 0)), "")</f>
        <v/>
      </c>
      <c r="DX234" s="4" t="str">
        <f t="array" ref="DX234">IFERROR(INDEX(球員狀態!T$2:T$5000,MATCH(1,(球員狀態!$A$2:$A$5000=$DF$211)*(ISNUMBER(SEARCH($DF234,球員狀態!$B$2:$B$5000))),0)),"")</f>
        <v/>
      </c>
      <c r="DY234" s="4" t="str">
        <f t="array" ref="DY234">IFERROR(INDEX(球員狀態!U$2:U$5000, MATCH(1, (球員狀態!$A$2:$A$5000=$DF$1)*(ISNUMBER(SEARCH($DF234, 球員狀態!$B$2:$B$5000))), 0)), "")</f>
        <v/>
      </c>
      <c r="DZ234" s="4" t="str">
        <f t="array" ref="DZ234">IFERROR(INDEX(球員狀態!V$2:V$5000, MATCH(1, (球員狀態!$A$2:$A$5000=$DF$1)*(ISNUMBER(SEARCH($DF234, 球員狀態!$B$2:$B$5000))), 0)), "")</f>
        <v/>
      </c>
      <c r="EA234" s="4" t="str">
        <f t="array" ref="EA234">IFERROR(INDEX(球員狀態!W$2:W$5000,MATCH(1,(球員狀態!$A$2:$A$5000=$DF$211)*(ISNUMBER(SEARCH($DF234,球員狀態!$B$2:$B$5000))),0)),"")</f>
        <v/>
      </c>
      <c r="EB234" s="4" t="str">
        <f t="array" ref="EB234">IFERROR(INDEX(球員狀態!X$2:X$5000, MATCH(1, (球員狀態!$A$2:$A$5000=$DF$1)*(ISNUMBER(SEARCH($DF234, 球員狀態!$B$2:$B$5000))), 0)), "")</f>
        <v/>
      </c>
      <c r="EC234" s="4" t="str">
        <f t="array" ref="EC234">IFERROR(INDEX(球員狀態!Y$2:Y$5000, MATCH(1, (球員狀態!$A$2:$A$5000=$DF$1)*(ISNUMBER(SEARCH($DF234, 球員狀態!$B$2:$B$5000))), 0)), "")</f>
        <v/>
      </c>
      <c r="ED234" s="4" t="str">
        <f t="array" ref="ED234">IFERROR(INDEX(球員狀態!Z$2:Z$5000,MATCH(1,(球員狀態!$A$2:$A$5000=$DF$211)*(ISNUMBER(SEARCH($DF234,球員狀態!$B$2:$B$5000))),0)),"")</f>
        <v/>
      </c>
      <c r="EE234" s="4" t="str">
        <f t="array" ref="EE234">IFERROR(INDEX(球員狀態!AA$2:AA$5000,MATCH(1,(球員狀態!$A$2:$A$5000=$DF$211)*(ISNUMBER(SEARCH($DF234,球員狀態!$B$2:$B$5000))),0)),"")</f>
        <v/>
      </c>
      <c r="EF234" s="4" t="str">
        <f t="array" ref="EF234">IFERROR(INDEX(球員狀態!AB$2:AB$5000,MATCH(1,(球員狀態!$A$2:$A$5000=$DF$211)*(ISNUMBER(SEARCH($DF234,球員狀態!$B$2:$B$5000))),0)),"")</f>
        <v/>
      </c>
      <c r="EG234" s="56"/>
      <c r="EI234" s="37">
        <f>先發名單!Z$9</f>
        <v>0</v>
      </c>
      <c r="EJ234" s="4" t="str">
        <f t="array" ref="EJ234">IFERROR(INDEX(球員狀態!C$2:C$5000, MATCH(1, (球員狀態!$A$2:$A$5000=$EI$211)*(ISNUMBER(SEARCH($EI234, 球員狀態!$B$2:$B$5000))), 0)), "")</f>
        <v/>
      </c>
      <c r="EM234" s="4" t="str">
        <f t="array" ref="EM234">IFERROR(INDEX(球員狀態!F$2:F$5000, MATCH(1, (球員狀態!$A$2:$A$5000=$EI$211)*(ISNUMBER(SEARCH($EI234, 球員狀態!$B$2:$B$5000))), 0)), "")</f>
        <v/>
      </c>
      <c r="EN234" s="4" t="str">
        <f t="array" ref="EN234">IFERROR(INDEX(球員狀態!G$2:G$5000, MATCH(1, (球員狀態!$A$2:$A$5000=$EI$1)*(ISNUMBER(SEARCH($EI234, 球員狀態!$B$2:$B$5000))), 0)), "")</f>
        <v/>
      </c>
      <c r="EO234" s="4" t="str">
        <f t="array" ref="EO234">IFERROR(INDEX(球員狀態!H$2:H$5000, MATCH(1, (球員狀態!$A$2:$A$5000=$EI$211)*(ISNUMBER(SEARCH($EI234, 球員狀態!$B$2:$B$5000))), 0)), "")</f>
        <v/>
      </c>
      <c r="EP234" s="4" t="str">
        <f t="array" ref="EP234">IFERROR(INDEX(球員狀態!I$2:I$5000, MATCH(1, (球員狀態!$A$2:$A$5000=$EI$211)*(ISNUMBER(SEARCH($EI234, 球員狀態!$B$2:$B$5000))), 0)), "")</f>
        <v/>
      </c>
      <c r="EQ234" s="4" t="str">
        <f t="array" ref="EQ234">IFERROR(INDEX(球員狀態!J$2:J$5000, MATCH(1, (球員狀態!$A$2:$A$5000=$EI$211)*(ISNUMBER(SEARCH($EI234, 球員狀態!$B$2:$B$5000))), 0)), "")</f>
        <v/>
      </c>
      <c r="ER234" s="4" t="str">
        <f t="array" ref="ER234">IFERROR(INDEX(球員狀態!K$2:K$5000, MATCH(1, (球員狀態!$A$2:$A$5000=$EI$211)*(ISNUMBER(SEARCH($EI234, 球員狀態!$B$2:$B$5000))), 0)), "")</f>
        <v/>
      </c>
      <c r="ES234" s="4" t="str">
        <f t="array" ref="ES234">IFERROR(INDEX(球員狀態!L$2:L$5000, MATCH(1, (球員狀態!$A$2:$A$5000=$EI$211)*(ISNUMBER(SEARCH($EI234, 球員狀態!$B$2:$B$5000))), 0)), "")</f>
        <v/>
      </c>
      <c r="ET234" s="4" t="str">
        <f t="array" ref="ET234">IFERROR(INDEX(球員狀態!M$2:M$5000, MATCH(1, (球員狀態!$A$2:$A$5000=$EI$211)*(ISNUMBER(SEARCH($EI234, 球員狀態!$B$2:$B$5000))), 0)), "")</f>
        <v/>
      </c>
      <c r="EU234" s="4" t="str">
        <f t="array" ref="EU234">IFERROR(INDEX(球員狀態!N$2:N$5000, MATCH(1, (球員狀態!$A$2:$A$5000=$EI$211)*(ISNUMBER(SEARCH($EI234, 球員狀態!$B$2:$B$5000))), 0)), "")</f>
        <v/>
      </c>
      <c r="EV234" s="4" t="str">
        <f t="array" ref="EV234">IFERROR(INDEX(球員狀態!O$2:O$5000, MATCH(1, (球員狀態!$A$2:$A$5000=$EI$1)*(ISNUMBER(SEARCH($EI234, 球員狀態!$B$2:$B$5000))), 0)), "")</f>
        <v/>
      </c>
      <c r="EW234" s="4" t="str">
        <f t="array" ref="EW234">IFERROR(INDEX(球員狀態!P$2:P$5000, MATCH(1, (球員狀態!$A$2:$A$5000=$EI$1)*(ISNUMBER(SEARCH($EI234, 球員狀態!$B$2:$B$5000))), 0)), "")</f>
        <v/>
      </c>
      <c r="EX234" s="4" t="str">
        <f t="array" ref="EX234">IFERROR(INDEX(球員狀態!Q$2:Q$5000, MATCH(1, (球員狀態!$A$2:$A$5000=$EI$211)*(ISNUMBER(SEARCH($EI234, 球員狀態!$B$2:$B$5000))), 0)), "")</f>
        <v/>
      </c>
      <c r="EY234" s="4" t="str">
        <f t="array" ref="EY234">IFERROR(INDEX(球員狀態!R$2:R$5000, MATCH(1, (球員狀態!$A$2:$A$5000=$EI$1)*(ISNUMBER(SEARCH($EI234, 球員狀態!$B$2:$B$5000))), 0)), "")</f>
        <v/>
      </c>
      <c r="EZ234" s="4" t="str">
        <f t="array" ref="EZ234">IFERROR(INDEX(球員狀態!S$2:S$5000, MATCH(1, (球員狀態!$A$2:$A$5000=$EI$1)*(ISNUMBER(SEARCH($EI234, 球員狀態!$B$2:$B$5000))), 0)), "")</f>
        <v/>
      </c>
      <c r="FA234" s="4" t="str">
        <f t="array" ref="FA234">IFERROR(INDEX(球員狀態!T$2:T$5000, MATCH(1, (球員狀態!$A$2:$A$5000=$EI$211)*(ISNUMBER(SEARCH($EI234, 球員狀態!$B$2:$B$5000))), 0)), "")</f>
        <v/>
      </c>
      <c r="FB234" s="4" t="str">
        <f t="array" ref="FB234">IFERROR(INDEX(球員狀態!U$2:U$5000, MATCH(1, (球員狀態!$A$2:$A$5000=$EI$1)*(ISNUMBER(SEARCH($EI234, 球員狀態!$B$2:$B$5000))), 0)), "")</f>
        <v/>
      </c>
      <c r="FC234" s="4" t="str">
        <f t="array" ref="FC234">IFERROR(INDEX(球員狀態!V$2:V$5000, MATCH(1, (球員狀態!$A$2:$A$5000=$EI$1)*(ISNUMBER(SEARCH($EI234, 球員狀態!$B$2:$B$5000))), 0)), "")</f>
        <v/>
      </c>
      <c r="FD234" s="4" t="str">
        <f t="array" ref="FD234">IFERROR(INDEX(球員狀態!W$2:W$5000, MATCH(1, (球員狀態!$A$2:$A$5000=$EI$211)*(ISNUMBER(SEARCH($EI234, 球員狀態!$B$2:$B$5000))), 0)), "")</f>
        <v/>
      </c>
      <c r="FE234" s="4" t="str">
        <f t="array" ref="FE234">IFERROR(INDEX(球員狀態!X$2:X$5000, MATCH(1, (球員狀態!$A$2:$A$5000=$EI$1)*(ISNUMBER(SEARCH($EI234, 球員狀態!$B$2:$B$5000))), 0)), "")</f>
        <v/>
      </c>
      <c r="FF234" s="4" t="str">
        <f t="array" ref="FF234">IFERROR(INDEX(球員狀態!Y$2:Y$5000, MATCH(1, (球員狀態!$A$2:$A$5000=$EI$1)*(ISNUMBER(SEARCH($EI234, 球員狀態!$B$2:$B$5000))), 0)), "")</f>
        <v/>
      </c>
      <c r="FG234" s="4" t="str">
        <f t="array" ref="FG234">IFERROR(INDEX(球員狀態!Z$2:Z$5000, MATCH(1, (球員狀態!$A$2:$A$5000=$EI$211)*(ISNUMBER(SEARCH($EI234, 球員狀態!$B$2:$B$5000))), 0)), "")</f>
        <v/>
      </c>
      <c r="FH234" s="4" t="str">
        <f t="array" ref="FH234">IFERROR(INDEX(球員狀態!AA$2:AA$5000, MATCH(1, (球員狀態!$A$2:$A$5000=$EI$211)*(ISNUMBER(SEARCH($EI234, 球員狀態!$B$2:$B$5000))), 0)), "")</f>
        <v/>
      </c>
      <c r="FI234" s="4" t="str">
        <f t="array" ref="FI234">IFERROR(INDEX(球員狀態!AB$2:AB$5000, MATCH(1, (球員狀態!$A$2:$A$5000=$EI$211)*(ISNUMBER(SEARCH($EI234, 球員狀態!$B$2:$B$5000))), 0)), "")</f>
        <v/>
      </c>
    </row>
    <row r="235" spans="110:165">
      <c r="DH235" s="40" t="e">
        <f>DJ235+DL235+DM235+DN235+DO235-DP235-DQ235+DR235</f>
        <v>#VALUE!</v>
      </c>
      <c r="DI235" s="42" t="e">
        <f>DU235+DX235+EA235+ED235+EE235+EF235</f>
        <v>#VALUE!</v>
      </c>
      <c r="DJ235" s="38" t="e">
        <f>VLOOKUP(DJ234*1, FK$2:FM$12, 3, TRUE)*FM$1</f>
        <v>#VALUE!</v>
      </c>
      <c r="DL235" s="38" t="e">
        <f>VLOOKUP(DL234*1, FN$2:FP$12, 3, TRUE)*FP$1</f>
        <v>#VALUE!</v>
      </c>
      <c r="DM235" s="38" t="e">
        <f>VLOOKUP(DM234*1, FQ$2:FS$12, 3, TRUE)*FS$1</f>
        <v>#VALUE!</v>
      </c>
      <c r="DN235" s="38" t="e">
        <f>VLOOKUP(DN234*1, FT$2:FV$12, 3, TRUE)*FV$1</f>
        <v>#VALUE!</v>
      </c>
      <c r="DO235" s="38" t="e">
        <f>VLOOKUP(DO234*1, FW$2:FY$12, 3, TRUE)*FY$1</f>
        <v>#VALUE!</v>
      </c>
      <c r="DP235" s="39" t="e">
        <f>VLOOKUP(DP234*1, FK$14:FM$25, 3, TRUE)*FM$14</f>
        <v>#VALUE!</v>
      </c>
      <c r="DQ235" s="39" t="e">
        <f>VLOOKUP(DQ234*1, FN$14:FP$25, 3, TRUE)*FP$14</f>
        <v>#VALUE!</v>
      </c>
      <c r="DR235" s="38" t="e">
        <f>VLOOKUP(DR234*1, FQ$14:FS$25, 3, TRUE)*FS$14</f>
        <v>#VALUE!</v>
      </c>
      <c r="DU235" s="41" t="e">
        <f>VLOOKUP(DU234*1, FK$27:FM$38, 3, TRUE)*FM$27</f>
        <v>#VALUE!</v>
      </c>
      <c r="DX235" s="41" t="e">
        <f>VLOOKUP(DX234*1, FN$27:FP$38, 3, TRUE)*FP$27</f>
        <v>#VALUE!</v>
      </c>
      <c r="EA235" s="41" t="e">
        <f>VLOOKUP(EA234*1, FQ$27:FS$38, 3, TRUE)*FS$27</f>
        <v>#VALUE!</v>
      </c>
      <c r="ED235" s="41" t="e">
        <f>VLOOKUP(ED234*1, FT$27:FV$38, 3, TRUE)*FV$27</f>
        <v>#VALUE!</v>
      </c>
      <c r="EE235" s="41" t="e">
        <f>VLOOKUP(EE234*1, FW$27:FY$38, 3, TRUE)*FY$27</f>
        <v>#VALUE!</v>
      </c>
      <c r="EF235" s="41" t="e">
        <f>VLOOKUP(EF234*1, FK$40:FM$51, 3, TRUE)*FM$40</f>
        <v>#VALUE!</v>
      </c>
      <c r="EG235" s="57"/>
      <c r="EK235" s="40" t="e">
        <f>EM235+EO235+EP235+EQ235+ER235-ES235-ET235+EU235</f>
        <v>#VALUE!</v>
      </c>
      <c r="EL235" s="42" t="e">
        <f>EX235+FA235+FD235+FG235+FH235+FI235</f>
        <v>#VALUE!</v>
      </c>
      <c r="EM235" s="38" t="e">
        <f>VLOOKUP(EM234*1, $FK$2:$FM$12, 3, TRUE)*$FM$1</f>
        <v>#VALUE!</v>
      </c>
      <c r="EO235" s="38" t="e">
        <f>VLOOKUP(EO234*1, $FN$2:$FP$12, 3, TRUE)*$FP$1</f>
        <v>#VALUE!</v>
      </c>
      <c r="EP235" s="38" t="e">
        <f>VLOOKUP(EP234*1, $FQ$2:$FS$12, 3, TRUE)*$FS$1</f>
        <v>#VALUE!</v>
      </c>
      <c r="EQ235" s="38" t="e">
        <f>VLOOKUP(EQ234*1, $FT$2:$FV$12, 3, TRUE)*$FV$1</f>
        <v>#VALUE!</v>
      </c>
      <c r="ER235" s="38" t="e">
        <f>VLOOKUP(ER234*1, $FW$2:$FY$12, 3, TRUE)*$FY$1</f>
        <v>#VALUE!</v>
      </c>
      <c r="ES235" s="39" t="e">
        <f>VLOOKUP(ES234*1, $FK$14:$FM$25, 3, TRUE)*$FM$14</f>
        <v>#VALUE!</v>
      </c>
      <c r="ET235" s="39" t="e">
        <f>VLOOKUP(ET234*1, $FN$14:$FP$25, 3, TRUE)*$FP$14</f>
        <v>#VALUE!</v>
      </c>
      <c r="EU235" s="38" t="e">
        <f>VLOOKUP(EU234*1, $FQ$14:$FS$25, 3, TRUE)*$FS$14</f>
        <v>#VALUE!</v>
      </c>
      <c r="EX235" s="41" t="e">
        <f>VLOOKUP(EX234*1, $FK$27:$FM$38, 3, TRUE)*$FM$27</f>
        <v>#VALUE!</v>
      </c>
      <c r="FA235" s="41" t="e">
        <f>VLOOKUP(FA234*1, $FN$27:$FP$38, 3, TRUE)*$FP$27</f>
        <v>#VALUE!</v>
      </c>
      <c r="FD235" s="41" t="e">
        <f>VLOOKUP(FD234*1, $FQ$27:$FS$38, 3, TRUE)*$FS$27</f>
        <v>#VALUE!</v>
      </c>
      <c r="FG235" s="41" t="e">
        <f>VLOOKUP(FG234*1, $FT$27:$FV$38, 3, TRUE)*$FV$27</f>
        <v>#VALUE!</v>
      </c>
      <c r="FH235" s="41" t="e">
        <f>VLOOKUP(FH234*1, $FW$27:$FY$38, 3, TRUE)*$FY$27</f>
        <v>#VALUE!</v>
      </c>
      <c r="FI235" s="41" t="e">
        <f>VLOOKUP(FI234*1, $FK$40:$FM$51, 3, TRUE)*$FM$40</f>
        <v>#VALUE!</v>
      </c>
    </row>
    <row r="236" spans="110:165">
      <c r="DF236" s="37" t="e">
        <f>先發名單!#REF!</f>
        <v>#REF!</v>
      </c>
      <c r="DG236" s="4" t="str">
        <f t="array" ref="DG236">IFERROR(INDEX(球員狀態!$C$2:$C$5000, MATCH(1, (球員狀態!$A$2:$A$5000=$DF$211)*(ISNUMBER(SEARCH($DF236, 球員狀態!$B$2:$B$5000))), 0)), "")</f>
        <v/>
      </c>
      <c r="DJ236" s="4" t="str">
        <f t="array" ref="DJ236">IFERROR(INDEX(球員狀態!$F$2:$F$5000,MATCH(1,(球員狀態!$A$2:$A$5000=$DF$211)*(ISNUMBER(SEARCH($DF236,球員狀態!$B$2:$B$5000))),0)),"")</f>
        <v/>
      </c>
      <c r="DK236" s="4" t="str">
        <f t="array" ref="DK236">IFERROR(INDEX(球員狀態!G$2:G$5000, MATCH(1, (球員狀態!$A$2:$A$5000=$DF$1)*(ISNUMBER(SEARCH($DF236, 球員狀態!$B$2:$B$5000))), 0)), "")</f>
        <v/>
      </c>
      <c r="DL236" s="4" t="str">
        <f t="array" ref="DL236">IFERROR(INDEX(球員狀態!H$2:H$5000, MATCH(1, (球員狀態!$A$2:$A$5000=$DF$211)*(ISNUMBER(SEARCH($DF236, 球員狀態!$B$2:$B$5000))), 0)), "")</f>
        <v/>
      </c>
      <c r="DM236" s="4" t="str">
        <f t="array" ref="DM236">IFERROR(INDEX(球員狀態!I$2:I$5000,MATCH(1,(球員狀態!$A$2:$A$5000=$DF$211)*(ISNUMBER(SEARCH($DF236,球員狀態!$B$2:$B$5000))),0)),"")</f>
        <v/>
      </c>
      <c r="DN236" s="4" t="str">
        <f t="array" ref="DN236">IFERROR(INDEX(球員狀態!J$2:J$5000,MATCH(1,(球員狀態!$A$2:$A$5000=$DF$211)*(ISNUMBER(SEARCH($DF236,球員狀態!$B$2:$B$5000))),0)),"")</f>
        <v/>
      </c>
      <c r="DO236" s="4" t="str">
        <f t="array" ref="DO236">IFERROR(INDEX(球員狀態!K$2:K$5000,MATCH(1,(球員狀態!$A$2:$A$5000=$DF$211)*(ISNUMBER(SEARCH($DF236,球員狀態!$B$2:$B$5000))),0)),"")</f>
        <v/>
      </c>
      <c r="DP236" s="4" t="str">
        <f t="array" ref="DP236">IFERROR(INDEX(球員狀態!L$2:L$5000,MATCH(1,(球員狀態!$A$2:$A$5000=$DF$211)*(ISNUMBER(SEARCH($DF236,球員狀態!$B$2:$B$5000))),0)),"")</f>
        <v/>
      </c>
      <c r="DQ236" s="4" t="str">
        <f t="array" ref="DQ236">IFERROR(INDEX(球員狀態!M$2:M$5000,MATCH(1,(球員狀態!$A$2:$A$5000=$DF$211)*(ISNUMBER(SEARCH($DF236,球員狀態!$B$2:$B$5000))),0)),"")</f>
        <v/>
      </c>
      <c r="DR236" s="4" t="str">
        <f t="array" ref="DR236">IFERROR(INDEX(球員狀態!N$2:N$5000,MATCH(1,(球員狀態!$A$2:$A$5000=$DF$211)*(ISNUMBER(SEARCH($DF236,球員狀態!$B$2:$B$5000))),0)),"")</f>
        <v/>
      </c>
      <c r="DS236" s="4" t="str">
        <f t="array" ref="DS236">IFERROR(INDEX(球員狀態!O$2:O$5000, MATCH(1, (球員狀態!$A$2:$A$5000=$DF$1)*(ISNUMBER(SEARCH($DF236, 球員狀態!$B$2:$B$5000))), 0)), "")</f>
        <v/>
      </c>
      <c r="DT236" s="4" t="str">
        <f t="array" ref="DT236">IFERROR(INDEX(球員狀態!P$2:P$5000, MATCH(1, (球員狀態!$A$2:$A$5000=$DF$1)*(ISNUMBER(SEARCH($DF236, 球員狀態!$B$2:$B$5000))), 0)), "")</f>
        <v/>
      </c>
      <c r="DU236" s="4" t="str">
        <f t="array" ref="DU236">IFERROR(INDEX(球員狀態!Q$2:Q$5000,MATCH(1,(球員狀態!$A$2:$A$5000=$DF$211)*(ISNUMBER(SEARCH($DF236,球員狀態!$B$2:$B$5000))),0)),"")</f>
        <v/>
      </c>
      <c r="DV236" s="4" t="str">
        <f t="array" ref="DV236">IFERROR(INDEX(球員狀態!R$2:R$5000, MATCH(1, (球員狀態!$A$2:$A$5000=$DF$1)*(ISNUMBER(SEARCH($DF236, 球員狀態!$B$2:$B$5000))), 0)), "")</f>
        <v/>
      </c>
      <c r="DW236" s="4" t="str">
        <f t="array" ref="DW236">IFERROR(INDEX(球員狀態!S$2:S$5000, MATCH(1, (球員狀態!$A$2:$A$5000=$DF$1)*(ISNUMBER(SEARCH($DF236, 球員狀態!$B$2:$B$5000))), 0)), "")</f>
        <v/>
      </c>
      <c r="DX236" s="4" t="str">
        <f t="array" ref="DX236">IFERROR(INDEX(球員狀態!T$2:T$5000,MATCH(1,(球員狀態!$A$2:$A$5000=$DF$211)*(ISNUMBER(SEARCH($DF236,球員狀態!$B$2:$B$5000))),0)),"")</f>
        <v/>
      </c>
      <c r="DY236" s="4" t="str">
        <f t="array" ref="DY236">IFERROR(INDEX(球員狀態!U$2:U$5000, MATCH(1, (球員狀態!$A$2:$A$5000=$DF$1)*(ISNUMBER(SEARCH($DF236, 球員狀態!$B$2:$B$5000))), 0)), "")</f>
        <v/>
      </c>
      <c r="DZ236" s="4" t="str">
        <f t="array" ref="DZ236">IFERROR(INDEX(球員狀態!V$2:V$5000, MATCH(1, (球員狀態!$A$2:$A$5000=$DF$1)*(ISNUMBER(SEARCH($DF236, 球員狀態!$B$2:$B$5000))), 0)), "")</f>
        <v/>
      </c>
      <c r="EA236" s="4" t="str">
        <f t="array" ref="EA236">IFERROR(INDEX(球員狀態!W$2:W$5000,MATCH(1,(球員狀態!$A$2:$A$5000=$DF$211)*(ISNUMBER(SEARCH($DF236,球員狀態!$B$2:$B$5000))),0)),"")</f>
        <v/>
      </c>
      <c r="EB236" s="4" t="str">
        <f t="array" ref="EB236">IFERROR(INDEX(球員狀態!X$2:X$5000, MATCH(1, (球員狀態!$A$2:$A$5000=$DF$1)*(ISNUMBER(SEARCH($DF236, 球員狀態!$B$2:$B$5000))), 0)), "")</f>
        <v/>
      </c>
      <c r="EC236" s="4" t="str">
        <f t="array" ref="EC236">IFERROR(INDEX(球員狀態!Y$2:Y$5000, MATCH(1, (球員狀態!$A$2:$A$5000=$DF$1)*(ISNUMBER(SEARCH($DF236, 球員狀態!$B$2:$B$5000))), 0)), "")</f>
        <v/>
      </c>
      <c r="ED236" s="4" t="str">
        <f t="array" ref="ED236">IFERROR(INDEX(球員狀態!Z$2:Z$5000,MATCH(1,(球員狀態!$A$2:$A$5000=$DF$211)*(ISNUMBER(SEARCH($DF236,球員狀態!$B$2:$B$5000))),0)),"")</f>
        <v/>
      </c>
      <c r="EE236" s="4" t="str">
        <f t="array" ref="EE236">IFERROR(INDEX(球員狀態!AA$2:AA$5000,MATCH(1,(球員狀態!$A$2:$A$5000=$DF$211)*(ISNUMBER(SEARCH($DF236,球員狀態!$B$2:$B$5000))),0)),"")</f>
        <v/>
      </c>
      <c r="EF236" s="4" t="str">
        <f t="array" ref="EF236">IFERROR(INDEX(球員狀態!AB$2:AB$5000,MATCH(1,(球員狀態!$A$2:$A$5000=$DF$211)*(ISNUMBER(SEARCH($DF236,球員狀態!$B$2:$B$5000))),0)),"")</f>
        <v/>
      </c>
      <c r="EG236" s="56"/>
      <c r="EI236" s="37">
        <f>先發名單!AA$9</f>
        <v>0</v>
      </c>
      <c r="EJ236" s="4" t="str">
        <f t="array" ref="EJ236">IFERROR(INDEX(球員狀態!C$2:C$5000, MATCH(1, (球員狀態!$A$2:$A$5000=$EI$211)*(ISNUMBER(SEARCH($EI236, 球員狀態!$B$2:$B$5000))), 0)), "")</f>
        <v/>
      </c>
      <c r="EM236" s="4" t="str">
        <f t="array" ref="EM236">IFERROR(INDEX(球員狀態!F$2:F$5000, MATCH(1, (球員狀態!$A$2:$A$5000=$EI$211)*(ISNUMBER(SEARCH($EI236, 球員狀態!$B$2:$B$5000))), 0)), "")</f>
        <v/>
      </c>
      <c r="EN236" s="4" t="str">
        <f t="array" ref="EN236">IFERROR(INDEX(球員狀態!G$2:G$5000, MATCH(1, (球員狀態!$A$2:$A$5000=$EI$1)*(ISNUMBER(SEARCH($EI236, 球員狀態!$B$2:$B$5000))), 0)), "")</f>
        <v/>
      </c>
      <c r="EO236" s="4" t="str">
        <f t="array" ref="EO236">IFERROR(INDEX(球員狀態!H$2:H$5000, MATCH(1, (球員狀態!$A$2:$A$5000=$EI$211)*(ISNUMBER(SEARCH($EI236, 球員狀態!$B$2:$B$5000))), 0)), "")</f>
        <v/>
      </c>
      <c r="EP236" s="4" t="str">
        <f t="array" ref="EP236">IFERROR(INDEX(球員狀態!I$2:I$5000, MATCH(1, (球員狀態!$A$2:$A$5000=$EI$211)*(ISNUMBER(SEARCH($EI236, 球員狀態!$B$2:$B$5000))), 0)), "")</f>
        <v/>
      </c>
      <c r="EQ236" s="4" t="str">
        <f t="array" ref="EQ236">IFERROR(INDEX(球員狀態!J$2:J$5000, MATCH(1, (球員狀態!$A$2:$A$5000=$EI$211)*(ISNUMBER(SEARCH($EI236, 球員狀態!$B$2:$B$5000))), 0)), "")</f>
        <v/>
      </c>
      <c r="ER236" s="4" t="str">
        <f t="array" ref="ER236">IFERROR(INDEX(球員狀態!K$2:K$5000, MATCH(1, (球員狀態!$A$2:$A$5000=$EI$211)*(ISNUMBER(SEARCH($EI236, 球員狀態!$B$2:$B$5000))), 0)), "")</f>
        <v/>
      </c>
      <c r="ES236" s="4" t="str">
        <f t="array" ref="ES236">IFERROR(INDEX(球員狀態!L$2:L$5000, MATCH(1, (球員狀態!$A$2:$A$5000=$EI$211)*(ISNUMBER(SEARCH($EI236, 球員狀態!$B$2:$B$5000))), 0)), "")</f>
        <v/>
      </c>
      <c r="ET236" s="4" t="str">
        <f t="array" ref="ET236">IFERROR(INDEX(球員狀態!M$2:M$5000, MATCH(1, (球員狀態!$A$2:$A$5000=$EI$211)*(ISNUMBER(SEARCH($EI236, 球員狀態!$B$2:$B$5000))), 0)), "")</f>
        <v/>
      </c>
      <c r="EU236" s="4" t="str">
        <f t="array" ref="EU236">IFERROR(INDEX(球員狀態!N$2:N$5000, MATCH(1, (球員狀態!$A$2:$A$5000=$EI$211)*(ISNUMBER(SEARCH($EI236, 球員狀態!$B$2:$B$5000))), 0)), "")</f>
        <v/>
      </c>
      <c r="EV236" s="4" t="str">
        <f t="array" ref="EV236">IFERROR(INDEX(球員狀態!O$2:O$5000, MATCH(1, (球員狀態!$A$2:$A$5000=$EI$1)*(ISNUMBER(SEARCH($EI236, 球員狀態!$B$2:$B$5000))), 0)), "")</f>
        <v/>
      </c>
      <c r="EW236" s="4" t="str">
        <f t="array" ref="EW236">IFERROR(INDEX(球員狀態!P$2:P$5000, MATCH(1, (球員狀態!$A$2:$A$5000=$EI$1)*(ISNUMBER(SEARCH($EI236, 球員狀態!$B$2:$B$5000))), 0)), "")</f>
        <v/>
      </c>
      <c r="EX236" s="4" t="str">
        <f t="array" ref="EX236">IFERROR(INDEX(球員狀態!Q$2:Q$5000, MATCH(1, (球員狀態!$A$2:$A$5000=$EI$211)*(ISNUMBER(SEARCH($EI236, 球員狀態!$B$2:$B$5000))), 0)), "")</f>
        <v/>
      </c>
      <c r="EY236" s="4" t="str">
        <f t="array" ref="EY236">IFERROR(INDEX(球員狀態!R$2:R$5000, MATCH(1, (球員狀態!$A$2:$A$5000=$EI$1)*(ISNUMBER(SEARCH($EI236, 球員狀態!$B$2:$B$5000))), 0)), "")</f>
        <v/>
      </c>
      <c r="EZ236" s="4" t="str">
        <f t="array" ref="EZ236">IFERROR(INDEX(球員狀態!S$2:S$5000, MATCH(1, (球員狀態!$A$2:$A$5000=$EI$1)*(ISNUMBER(SEARCH($EI236, 球員狀態!$B$2:$B$5000))), 0)), "")</f>
        <v/>
      </c>
      <c r="FA236" s="4" t="str">
        <f t="array" ref="FA236">IFERROR(INDEX(球員狀態!T$2:T$5000, MATCH(1, (球員狀態!$A$2:$A$5000=$EI$211)*(ISNUMBER(SEARCH($EI236, 球員狀態!$B$2:$B$5000))), 0)), "")</f>
        <v/>
      </c>
      <c r="FB236" s="4" t="str">
        <f t="array" ref="FB236">IFERROR(INDEX(球員狀態!U$2:U$5000, MATCH(1, (球員狀態!$A$2:$A$5000=$EI$1)*(ISNUMBER(SEARCH($EI236, 球員狀態!$B$2:$B$5000))), 0)), "")</f>
        <v/>
      </c>
      <c r="FC236" s="4" t="str">
        <f t="array" ref="FC236">IFERROR(INDEX(球員狀態!V$2:V$5000, MATCH(1, (球員狀態!$A$2:$A$5000=$EI$1)*(ISNUMBER(SEARCH($EI236, 球員狀態!$B$2:$B$5000))), 0)), "")</f>
        <v/>
      </c>
      <c r="FD236" s="4" t="str">
        <f t="array" ref="FD236">IFERROR(INDEX(球員狀態!W$2:W$5000, MATCH(1, (球員狀態!$A$2:$A$5000=$EI$211)*(ISNUMBER(SEARCH($EI236, 球員狀態!$B$2:$B$5000))), 0)), "")</f>
        <v/>
      </c>
      <c r="FE236" s="4" t="str">
        <f t="array" ref="FE236">IFERROR(INDEX(球員狀態!X$2:X$5000, MATCH(1, (球員狀態!$A$2:$A$5000=$EI$1)*(ISNUMBER(SEARCH($EI236, 球員狀態!$B$2:$B$5000))), 0)), "")</f>
        <v/>
      </c>
      <c r="FF236" s="4" t="str">
        <f t="array" ref="FF236">IFERROR(INDEX(球員狀態!Y$2:Y$5000, MATCH(1, (球員狀態!$A$2:$A$5000=$EI$1)*(ISNUMBER(SEARCH($EI236, 球員狀態!$B$2:$B$5000))), 0)), "")</f>
        <v/>
      </c>
      <c r="FG236" s="4" t="str">
        <f t="array" ref="FG236">IFERROR(INDEX(球員狀態!Z$2:Z$5000, MATCH(1, (球員狀態!$A$2:$A$5000=$EI$211)*(ISNUMBER(SEARCH($EI236, 球員狀態!$B$2:$B$5000))), 0)), "")</f>
        <v/>
      </c>
      <c r="FH236" s="4" t="str">
        <f t="array" ref="FH236">IFERROR(INDEX(球員狀態!AA$2:AA$5000, MATCH(1, (球員狀態!$A$2:$A$5000=$EI$211)*(ISNUMBER(SEARCH($EI236, 球員狀態!$B$2:$B$5000))), 0)), "")</f>
        <v/>
      </c>
      <c r="FI236" s="4" t="str">
        <f t="array" ref="FI236">IFERROR(INDEX(球員狀態!AB$2:AB$5000, MATCH(1, (球員狀態!$A$2:$A$5000=$EI$211)*(ISNUMBER(SEARCH($EI236, 球員狀態!$B$2:$B$5000))), 0)), "")</f>
        <v/>
      </c>
    </row>
    <row r="237" spans="110:165">
      <c r="DH237" s="40" t="e">
        <f>DJ237+DL237+DM237+DN237+DO237-DP237-DQ237+DR237</f>
        <v>#VALUE!</v>
      </c>
      <c r="DI237" s="42" t="e">
        <f>DU237+DX237+EA237+ED237+EE237+EF237</f>
        <v>#VALUE!</v>
      </c>
      <c r="DJ237" s="38" t="e">
        <f>VLOOKUP(DJ236*1, FK$2:FM$12, 3, TRUE)*FM$1</f>
        <v>#VALUE!</v>
      </c>
      <c r="DL237" s="38" t="e">
        <f>VLOOKUP(DL236*1, FN$2:FP$12, 3, TRUE)*FP$1</f>
        <v>#VALUE!</v>
      </c>
      <c r="DM237" s="38" t="e">
        <f>VLOOKUP(DM236*1, FQ$2:FS$12, 3, TRUE)*FS$1</f>
        <v>#VALUE!</v>
      </c>
      <c r="DN237" s="38" t="e">
        <f>VLOOKUP(DN236*1, FT$2:FV$12, 3, TRUE)*FV$1</f>
        <v>#VALUE!</v>
      </c>
      <c r="DO237" s="38" t="e">
        <f>VLOOKUP(DO236*1, FW$2:FY$12, 3, TRUE)*FY$1</f>
        <v>#VALUE!</v>
      </c>
      <c r="DP237" s="39" t="e">
        <f>VLOOKUP(DP236*1, FK$14:FM$25, 3, TRUE)*FM$14</f>
        <v>#VALUE!</v>
      </c>
      <c r="DQ237" s="39" t="e">
        <f>VLOOKUP(DQ236*1, FN$14:FP$25, 3, TRUE)*FP$14</f>
        <v>#VALUE!</v>
      </c>
      <c r="DR237" s="38" t="e">
        <f>VLOOKUP(DR236*1, FQ$14:FS$25, 3, TRUE)*FS$14</f>
        <v>#VALUE!</v>
      </c>
      <c r="DU237" s="41" t="e">
        <f>VLOOKUP(DU236*1, FK$27:FM$38, 3, TRUE)*FM$27</f>
        <v>#VALUE!</v>
      </c>
      <c r="DX237" s="41" t="e">
        <f>VLOOKUP(DX236*1, FN$27:FP$38, 3, TRUE)*FP$27</f>
        <v>#VALUE!</v>
      </c>
      <c r="EA237" s="41" t="e">
        <f>VLOOKUP(EA236*1, FQ$27:FS$38, 3, TRUE)*FS$27</f>
        <v>#VALUE!</v>
      </c>
      <c r="ED237" s="41" t="e">
        <f>VLOOKUP(ED236*1, FT$27:FV$38, 3, TRUE)*FV$27</f>
        <v>#VALUE!</v>
      </c>
      <c r="EE237" s="41" t="e">
        <f>VLOOKUP(EE236*1, FW$27:FY$38, 3, TRUE)*FY$27</f>
        <v>#VALUE!</v>
      </c>
      <c r="EF237" s="41" t="e">
        <f>VLOOKUP(EF236*1, FK$40:FM$51, 3, TRUE)*FM$40</f>
        <v>#VALUE!</v>
      </c>
      <c r="EG237" s="57"/>
      <c r="EK237" s="40" t="e">
        <f>EM237+EO237+EP237+EQ237+ER237-ES237-ET237+EU237</f>
        <v>#VALUE!</v>
      </c>
      <c r="EL237" s="42" t="e">
        <f>EX237+FA237+FD237+FG237+FH237+FI237</f>
        <v>#VALUE!</v>
      </c>
      <c r="EM237" s="38" t="e">
        <f>VLOOKUP(EM236*1, $FK$2:$FM$12, 3, TRUE)*$FM$1</f>
        <v>#VALUE!</v>
      </c>
      <c r="EO237" s="38" t="e">
        <f>VLOOKUP(EO236*1, $FN$2:$FP$12, 3, TRUE)*$FP$1</f>
        <v>#VALUE!</v>
      </c>
      <c r="EP237" s="38" t="e">
        <f>VLOOKUP(EP236*1, $FQ$2:$FS$12, 3, TRUE)*$FS$1</f>
        <v>#VALUE!</v>
      </c>
      <c r="EQ237" s="38" t="e">
        <f>VLOOKUP(EQ236*1, $FT$2:$FV$12, 3, TRUE)*$FV$1</f>
        <v>#VALUE!</v>
      </c>
      <c r="ER237" s="38" t="e">
        <f>VLOOKUP(ER236*1, $FW$2:$FY$12, 3, TRUE)*$FY$1</f>
        <v>#VALUE!</v>
      </c>
      <c r="ES237" s="39" t="e">
        <f>VLOOKUP(ES236*1, $FK$14:$FM$25, 3, TRUE)*$FM$14</f>
        <v>#VALUE!</v>
      </c>
      <c r="ET237" s="39" t="e">
        <f>VLOOKUP(ET236*1, $FN$14:$FP$25, 3, TRUE)*$FP$14</f>
        <v>#VALUE!</v>
      </c>
      <c r="EU237" s="38" t="e">
        <f>VLOOKUP(EU236*1, $FQ$14:$FS$25, 3, TRUE)*$FS$14</f>
        <v>#VALUE!</v>
      </c>
      <c r="EX237" s="41" t="e">
        <f>VLOOKUP(EX236*1, $FK$27:$FM$38, 3, TRUE)*$FM$27</f>
        <v>#VALUE!</v>
      </c>
      <c r="FA237" s="41" t="e">
        <f>VLOOKUP(FA236*1, $FN$27:$FP$38, 3, TRUE)*$FP$27</f>
        <v>#VALUE!</v>
      </c>
      <c r="FD237" s="41" t="e">
        <f>VLOOKUP(FD236*1, $FQ$27:$FS$38, 3, TRUE)*$FS$27</f>
        <v>#VALUE!</v>
      </c>
      <c r="FG237" s="41" t="e">
        <f>VLOOKUP(FG236*1, $FT$27:$FV$38, 3, TRUE)*$FV$27</f>
        <v>#VALUE!</v>
      </c>
      <c r="FH237" s="41" t="e">
        <f>VLOOKUP(FH236*1, $FW$27:$FY$38, 3, TRUE)*$FY$27</f>
        <v>#VALUE!</v>
      </c>
      <c r="FI237" s="41" t="e">
        <f>VLOOKUP(FI236*1, $FK$40:$FM$51, 3, TRUE)*$FM$40</f>
        <v>#VALUE!</v>
      </c>
    </row>
    <row r="238" spans="110:165">
      <c r="DF238" s="82" t="str">
        <f>$DF211&amp;"整體"</f>
        <v>馬林魚整體</v>
      </c>
      <c r="DG238" t="s">
        <v>487</v>
      </c>
      <c r="DH238" t="s">
        <v>488</v>
      </c>
      <c r="DJ238" s="82" t="str">
        <f>$DF211&amp;"先發"</f>
        <v>馬林魚先發</v>
      </c>
      <c r="DK238" s="78"/>
      <c r="DL238" t="s">
        <v>487</v>
      </c>
      <c r="DM238" t="s">
        <v>488</v>
      </c>
      <c r="DO238" s="82" t="str">
        <f>$DF211&amp;"板凳"</f>
        <v>馬林魚板凳</v>
      </c>
      <c r="DP238" s="78"/>
      <c r="DQ238" t="s">
        <v>487</v>
      </c>
      <c r="DR238" t="s">
        <v>488</v>
      </c>
      <c r="EI238" s="82" t="str">
        <f>$EI211&amp;"整體"</f>
        <v>道奇整體</v>
      </c>
      <c r="EJ238" t="s">
        <v>487</v>
      </c>
      <c r="EK238" t="s">
        <v>488</v>
      </c>
      <c r="EM238" s="82" t="str">
        <f>$EI211&amp;"先發"</f>
        <v>道奇先發</v>
      </c>
      <c r="EN238" s="78"/>
      <c r="EO238" t="s">
        <v>487</v>
      </c>
      <c r="EP238" t="s">
        <v>488</v>
      </c>
      <c r="ER238" s="82" t="str">
        <f>$EI211&amp;"板凳"</f>
        <v>道奇板凳</v>
      </c>
      <c r="ES238" s="78"/>
      <c r="ET238" t="s">
        <v>487</v>
      </c>
      <c r="EU238" t="s">
        <v>488</v>
      </c>
    </row>
    <row r="239" spans="110:165">
      <c r="DF239" s="78"/>
      <c r="DG239" s="43" t="e">
        <f>(DH213+DH215+DH217+DH219+DH221+DH223+DH225+DH227+DH229+DH231+DH233+DH235+DH237)/13</f>
        <v>#VALUE!</v>
      </c>
      <c r="DH239" s="43" t="e">
        <f>(DI213+DI215+DI217+DI219+DI221+DI223+DI225+DI227+DI229+DI231+DI233+DI235+DI237)/13</f>
        <v>#VALUE!</v>
      </c>
      <c r="DJ239" s="78"/>
      <c r="DK239" s="78"/>
      <c r="DL239" s="4" t="e">
        <f>(DH213+DH215+DH217+DH219+DH221)/5</f>
        <v>#VALUE!</v>
      </c>
      <c r="DM239" s="4" t="e">
        <f>(DI213+DI215+DI217+DI219+DI221)/5</f>
        <v>#VALUE!</v>
      </c>
      <c r="DO239" s="78"/>
      <c r="DP239" s="78"/>
      <c r="DQ239" s="43" t="e">
        <f>(DH223+DH225+DH227+DH229+DH231+DH233+DH235+DH235+DH237)/8</f>
        <v>#VALUE!</v>
      </c>
      <c r="DR239" s="43" t="e">
        <f>(DI223+DI225+DI227+DI229+DI231+DI233+DI235+DI237)/8</f>
        <v>#VALUE!</v>
      </c>
      <c r="EI239" s="78"/>
      <c r="EJ239" s="43" t="e">
        <f>(EK213+EK215+EK217+EK219+EK221+EK223+EK225+EK227+EK229+EK231+EK233+EK235+EK237)/13</f>
        <v>#VALUE!</v>
      </c>
      <c r="EK239" s="43" t="e">
        <f>(EL213+EL215+EL217+EL219+EL221+EL223+EL225+EL227+EL229+EL231+EL233+EL235+EL237)/13</f>
        <v>#VALUE!</v>
      </c>
      <c r="EM239" s="78"/>
      <c r="EN239" s="78"/>
      <c r="EO239" s="4" t="e">
        <f>(EK213+EK215+EK217+EK219+EK221)/5</f>
        <v>#VALUE!</v>
      </c>
      <c r="EP239" s="4" t="e">
        <f>(EL213+EL215+EL217+EL219+EL221)/5</f>
        <v>#VALUE!</v>
      </c>
      <c r="ER239" s="78"/>
      <c r="ES239" s="78"/>
      <c r="ET239" s="43" t="e">
        <f>(EK223+EK225+EK227+EK229+EK231+EK233+EK235+EK235+EK237)/8</f>
        <v>#VALUE!</v>
      </c>
      <c r="EU239" s="43" t="e">
        <f>(EL223+EL225+EL227+EL229+EL231+EL233+EL235+EL237)/8</f>
        <v>#VALUE!</v>
      </c>
    </row>
    <row r="241" spans="110:165">
      <c r="DF241" s="34" t="e">
        <f>CB34</f>
        <v>#N/A</v>
      </c>
      <c r="DG241" t="s">
        <v>486</v>
      </c>
      <c r="DH241" s="1" t="s">
        <v>487</v>
      </c>
      <c r="DI241" s="1" t="s">
        <v>488</v>
      </c>
      <c r="DJ241" t="s">
        <v>517</v>
      </c>
      <c r="DK241" t="s">
        <v>554</v>
      </c>
      <c r="DL241" t="s">
        <v>518</v>
      </c>
      <c r="DM241" t="s">
        <v>519</v>
      </c>
      <c r="DN241" t="s">
        <v>520</v>
      </c>
      <c r="DO241" t="s">
        <v>521</v>
      </c>
      <c r="DP241" t="s">
        <v>532</v>
      </c>
      <c r="DQ241" t="s">
        <v>533</v>
      </c>
      <c r="DR241" t="s">
        <v>534</v>
      </c>
      <c r="DS241" t="s">
        <v>555</v>
      </c>
      <c r="DT241" t="s">
        <v>556</v>
      </c>
      <c r="DU241" t="s">
        <v>549</v>
      </c>
      <c r="DV241" t="s">
        <v>557</v>
      </c>
      <c r="DW241" t="s">
        <v>558</v>
      </c>
      <c r="DX241" t="s">
        <v>550</v>
      </c>
      <c r="DY241" t="s">
        <v>559</v>
      </c>
      <c r="DZ241" t="s">
        <v>560</v>
      </c>
      <c r="EA241" t="s">
        <v>551</v>
      </c>
      <c r="EB241" t="s">
        <v>561</v>
      </c>
      <c r="EC241" t="s">
        <v>562</v>
      </c>
      <c r="ED241" t="s">
        <v>552</v>
      </c>
      <c r="EE241" t="s">
        <v>553</v>
      </c>
      <c r="EF241" t="s">
        <v>563</v>
      </c>
      <c r="EH241" s="14"/>
      <c r="EI241" s="34" t="e">
        <f>CB36</f>
        <v>#N/A</v>
      </c>
      <c r="EJ241" t="s">
        <v>486</v>
      </c>
      <c r="EK241" s="1" t="s">
        <v>487</v>
      </c>
      <c r="EL241" s="1" t="s">
        <v>488</v>
      </c>
      <c r="EM241" t="s">
        <v>517</v>
      </c>
      <c r="EN241" t="s">
        <v>554</v>
      </c>
      <c r="EO241" t="s">
        <v>518</v>
      </c>
      <c r="EP241" t="s">
        <v>519</v>
      </c>
      <c r="EQ241" t="s">
        <v>520</v>
      </c>
      <c r="ER241" t="s">
        <v>521</v>
      </c>
      <c r="ES241" t="s">
        <v>532</v>
      </c>
      <c r="ET241" t="s">
        <v>533</v>
      </c>
      <c r="EU241" t="s">
        <v>534</v>
      </c>
      <c r="EV241" t="s">
        <v>555</v>
      </c>
      <c r="EW241" t="s">
        <v>556</v>
      </c>
      <c r="EX241" t="s">
        <v>549</v>
      </c>
      <c r="EY241" t="s">
        <v>557</v>
      </c>
      <c r="EZ241" t="s">
        <v>558</v>
      </c>
      <c r="FA241" t="s">
        <v>550</v>
      </c>
      <c r="FB241" t="s">
        <v>559</v>
      </c>
      <c r="FC241" t="s">
        <v>560</v>
      </c>
      <c r="FD241" t="s">
        <v>551</v>
      </c>
      <c r="FE241" t="s">
        <v>561</v>
      </c>
      <c r="FF241" t="s">
        <v>562</v>
      </c>
      <c r="FG241" t="s">
        <v>552</v>
      </c>
      <c r="FH241" t="s">
        <v>553</v>
      </c>
      <c r="FI241" t="s">
        <v>563</v>
      </c>
    </row>
    <row r="242" spans="110:165">
      <c r="DF242" s="35">
        <f>先發名單!E$10</f>
        <v>0</v>
      </c>
      <c r="DG242" s="4" t="str">
        <f t="array" ref="DG242">IFERROR(INDEX(球員狀態!$C$2:$C$5000, MATCH(1, (球員狀態!$A$2:$A$5000=$DF$241)*(ISNUMBER(SEARCH($DF242, 球員狀態!$B$2:$B$5000))), 0)), "")</f>
        <v/>
      </c>
      <c r="DJ242" s="4" t="str">
        <f t="array" ref="DJ242">IFERROR(INDEX(球員狀態!$F$2:$F$5000,MATCH(1,(球員狀態!$A$2:$A$5000=$DF$241)*(ISNUMBER(SEARCH($DF242,球員狀態!$B$2:$B$5000))),0)),"")</f>
        <v/>
      </c>
      <c r="DK242" s="4" t="str">
        <f t="array" ref="DK242">IFERROR(INDEX(球員狀態!G$2:G$5000, MATCH(1, (球員狀態!$A$2:$A$5000=$DF$1)*(ISNUMBER(SEARCH($DF242, 球員狀態!$B$2:$B$5000))), 0)), "")</f>
        <v/>
      </c>
      <c r="DL242" s="4" t="str">
        <f t="array" ref="DL242">IFERROR(INDEX(球員狀態!H$2:H$5000, MATCH(1, (球員狀態!$A$2:$A$5000=$DF$241)*(ISNUMBER(SEARCH($DF242, 球員狀態!$B$2:$B$5000))), 0)), "")</f>
        <v/>
      </c>
      <c r="DM242" s="4" t="str">
        <f t="array" ref="DM242">IFERROR(INDEX(球員狀態!I$2:I$5000,MATCH(1,(球員狀態!$A$2:$A$5000=$DF$241)*(ISNUMBER(SEARCH($DF242,球員狀態!$B$2:$B$5000))),0)),"")</f>
        <v/>
      </c>
      <c r="DN242" s="4" t="str">
        <f t="array" ref="DN242">IFERROR(INDEX(球員狀態!J$2:J$5000,MATCH(1,(球員狀態!$A$2:$A$5000=$DF$241)*(ISNUMBER(SEARCH($DF242,球員狀態!$B$2:$B$5000))),0)),"")</f>
        <v/>
      </c>
      <c r="DO242" s="4" t="str">
        <f t="array" ref="DO242">IFERROR(INDEX(球員狀態!K$2:K$5000,MATCH(1,(球員狀態!$A$2:$A$5000=$DF$241)*(ISNUMBER(SEARCH($DF242,球員狀態!$B$2:$B$5000))),0)),"")</f>
        <v/>
      </c>
      <c r="DP242" s="4" t="str">
        <f t="array" ref="DP242">IFERROR(INDEX(球員狀態!L$2:L$5000,MATCH(1,(球員狀態!$A$2:$A$5000=$DF$241)*(ISNUMBER(SEARCH($DF242,球員狀態!$B$2:$B$5000))),0)),"")</f>
        <v/>
      </c>
      <c r="DQ242" s="4" t="str">
        <f t="array" ref="DQ242">IFERROR(INDEX(球員狀態!M$2:M$5000,MATCH(1,(球員狀態!$A$2:$A$5000=$DF$241)*(ISNUMBER(SEARCH($DF242,球員狀態!$B$2:$B$5000))),0)),"")</f>
        <v/>
      </c>
      <c r="DR242" s="4" t="str">
        <f t="array" ref="DR242">IFERROR(INDEX(球員狀態!N$2:N$5000,MATCH(1,(球員狀態!$A$2:$A$5000=$DF$241)*(ISNUMBER(SEARCH($DF242,球員狀態!$B$2:$B$5000))),0)),"")</f>
        <v/>
      </c>
      <c r="DS242" s="4" t="str">
        <f t="array" ref="DS242">IFERROR(INDEX(球員狀態!O$2:O$5000, MATCH(1, (球員狀態!$A$2:$A$5000=$DF$1)*(ISNUMBER(SEARCH($DF242, 球員狀態!$B$2:$B$5000))), 0)), "")</f>
        <v/>
      </c>
      <c r="DT242" s="4" t="str">
        <f t="array" ref="DT242">IFERROR(INDEX(球員狀態!P$2:P$5000, MATCH(1, (球員狀態!$A$2:$A$5000=$DF$1)*(ISNUMBER(SEARCH($DF242, 球員狀態!$B$2:$B$5000))), 0)), "")</f>
        <v/>
      </c>
      <c r="DU242" s="4" t="str">
        <f t="array" ref="DU242">IFERROR(INDEX(球員狀態!Q$2:Q$5000,MATCH(1,(球員狀態!$A$2:$A$5000=$DF$241)*(ISNUMBER(SEARCH($DF242,球員狀態!$B$2:$B$5000))),0)),"")</f>
        <v/>
      </c>
      <c r="DV242" s="4" t="str">
        <f t="array" ref="DV242">IFERROR(INDEX(球員狀態!R$2:R$5000, MATCH(1, (球員狀態!$A$2:$A$5000=$DF$1)*(ISNUMBER(SEARCH($DF242, 球員狀態!$B$2:$B$5000))), 0)), "")</f>
        <v/>
      </c>
      <c r="DW242" s="4" t="str">
        <f t="array" ref="DW242">IFERROR(INDEX(球員狀態!S$2:S$5000, MATCH(1, (球員狀態!$A$2:$A$5000=$DF$1)*(ISNUMBER(SEARCH($DF242, 球員狀態!$B$2:$B$5000))), 0)), "")</f>
        <v/>
      </c>
      <c r="DX242" s="4" t="str">
        <f t="array" ref="DX242">IFERROR(INDEX(球員狀態!T$2:T$5000,MATCH(1,(球員狀態!$A$2:$A$5000=$DF$241)*(ISNUMBER(SEARCH($DF242,球員狀態!$B$2:$B$5000))),0)),"")</f>
        <v/>
      </c>
      <c r="DY242" s="4" t="str">
        <f t="array" ref="DY242">IFERROR(INDEX(球員狀態!U$2:U$5000, MATCH(1, (球員狀態!$A$2:$A$5000=$DF$1)*(ISNUMBER(SEARCH($DF242, 球員狀態!$B$2:$B$5000))), 0)), "")</f>
        <v/>
      </c>
      <c r="DZ242" s="4" t="str">
        <f t="array" ref="DZ242">IFERROR(INDEX(球員狀態!V$2:V$5000, MATCH(1, (球員狀態!$A$2:$A$5000=$DF$1)*(ISNUMBER(SEARCH($DF242, 球員狀態!$B$2:$B$5000))), 0)), "")</f>
        <v/>
      </c>
      <c r="EA242" s="4" t="str">
        <f t="array" ref="EA242">IFERROR(INDEX(球員狀態!W$2:W$5000,MATCH(1,(球員狀態!$A$2:$A$5000=$DF$241)*(ISNUMBER(SEARCH($DF242,球員狀態!$B$2:$B$5000))),0)),"")</f>
        <v/>
      </c>
      <c r="EB242" s="4" t="str">
        <f t="array" ref="EB242">IFERROR(INDEX(球員狀態!X$2:X$5000, MATCH(1, (球員狀態!$A$2:$A$5000=$DF$1)*(ISNUMBER(SEARCH($DF242, 球員狀態!$B$2:$B$5000))), 0)), "")</f>
        <v/>
      </c>
      <c r="EC242" s="4" t="str">
        <f t="array" ref="EC242">IFERROR(INDEX(球員狀態!Y$2:Y$5000, MATCH(1, (球員狀態!$A$2:$A$5000=$DF$1)*(ISNUMBER(SEARCH($DF242, 球員狀態!$B$2:$B$5000))), 0)), "")</f>
        <v/>
      </c>
      <c r="ED242" s="4" t="str">
        <f t="array" ref="ED242">IFERROR(INDEX(球員狀態!Z$2:Z$5000,MATCH(1,(球員狀態!$A$2:$A$5000=$DF$241)*(ISNUMBER(SEARCH($DF242,球員狀態!$B$2:$B$5000))),0)),"")</f>
        <v/>
      </c>
      <c r="EE242" s="4" t="str">
        <f t="array" ref="EE242">IFERROR(INDEX(球員狀態!AA$2:AA$5000,MATCH(1,(球員狀態!$A$2:$A$5000=$DF$241)*(ISNUMBER(SEARCH($DF242,球員狀態!$B$2:$B$5000))),0)),"")</f>
        <v/>
      </c>
      <c r="EF242" s="4" t="str">
        <f t="array" ref="EF242">IFERROR(INDEX(球員狀態!AB$2:AB$5000,MATCH(1,(球員狀態!$A$2:$A$5000=$DF$241)*(ISNUMBER(SEARCH($DF242,球員狀態!$B$2:$B$5000))),0)),"")</f>
        <v/>
      </c>
      <c r="EG242" s="56"/>
      <c r="EI242" s="35">
        <f>先發名單!O$10</f>
        <v>0</v>
      </c>
      <c r="EJ242" s="4" t="str">
        <f t="array" ref="EJ242">IFERROR(INDEX(球員狀態!C$2:C$5000, MATCH(1, (球員狀態!$A$2:$A$5000=$EI$241)*(ISNUMBER(SEARCH($EI242, 球員狀態!$B$2:$B$5000))), 0)), "")</f>
        <v/>
      </c>
      <c r="EM242" s="4" t="str">
        <f t="array" ref="EM242">IFERROR(INDEX(球員狀態!F$2:F$5000, MATCH(1, (球員狀態!$A$2:$A$5000=$EI$241)*(ISNUMBER(SEARCH($EI242, 球員狀態!$B$2:$B$5000))), 0)), "")</f>
        <v/>
      </c>
      <c r="EN242" s="4" t="str">
        <f t="array" ref="EN242">IFERROR(INDEX(球員狀態!G$2:G$5000, MATCH(1, (球員狀態!$A$2:$A$5000=$EI$1)*(ISNUMBER(SEARCH($EI242, 球員狀態!$B$2:$B$5000))), 0)), "")</f>
        <v/>
      </c>
      <c r="EO242" s="4" t="str">
        <f t="array" ref="EO242">IFERROR(INDEX(球員狀態!H$2:H$5000, MATCH(1, (球員狀態!$A$2:$A$5000=$EI$241)*(ISNUMBER(SEARCH($EI242, 球員狀態!$B$2:$B$5000))), 0)), "")</f>
        <v/>
      </c>
      <c r="EP242" s="4" t="str">
        <f t="array" ref="EP242">IFERROR(INDEX(球員狀態!I$2:I$5000, MATCH(1, (球員狀態!$A$2:$A$5000=$EI$241)*(ISNUMBER(SEARCH($EI242, 球員狀態!$B$2:$B$5000))), 0)), "")</f>
        <v/>
      </c>
      <c r="EQ242" s="4" t="str">
        <f t="array" ref="EQ242">IFERROR(INDEX(球員狀態!J$2:J$5000, MATCH(1, (球員狀態!$A$2:$A$5000=$EI$241)*(ISNUMBER(SEARCH($EI242, 球員狀態!$B$2:$B$5000))), 0)), "")</f>
        <v/>
      </c>
      <c r="ER242" s="4" t="str">
        <f t="array" ref="ER242">IFERROR(INDEX(球員狀態!K$2:K$5000, MATCH(1, (球員狀態!$A$2:$A$5000=$EI$241)*(ISNUMBER(SEARCH($EI242, 球員狀態!$B$2:$B$5000))), 0)), "")</f>
        <v/>
      </c>
      <c r="ES242" s="4" t="str">
        <f t="array" ref="ES242">IFERROR(INDEX(球員狀態!L$2:L$5000, MATCH(1, (球員狀態!$A$2:$A$5000=$EI$241)*(ISNUMBER(SEARCH($EI242, 球員狀態!$B$2:$B$5000))), 0)), "")</f>
        <v/>
      </c>
      <c r="ET242" s="4" t="str">
        <f t="array" ref="ET242">IFERROR(INDEX(球員狀態!M$2:M$5000, MATCH(1, (球員狀態!$A$2:$A$5000=$EI$241)*(ISNUMBER(SEARCH($EI242, 球員狀態!$B$2:$B$5000))), 0)), "")</f>
        <v/>
      </c>
      <c r="EU242" s="4" t="str">
        <f t="array" ref="EU242">IFERROR(INDEX(球員狀態!N$2:N$5000, MATCH(1, (球員狀態!$A$2:$A$5000=$EI$241)*(ISNUMBER(SEARCH($EI242, 球員狀態!$B$2:$B$5000))), 0)), "")</f>
        <v/>
      </c>
      <c r="EV242" s="4" t="str">
        <f t="array" ref="EV242">IFERROR(INDEX(球員狀態!O$2:O$5000, MATCH(1, (球員狀態!$A$2:$A$5000=$EI$1)*(ISNUMBER(SEARCH($EI242, 球員狀態!$B$2:$B$5000))), 0)), "")</f>
        <v/>
      </c>
      <c r="EW242" s="4" t="str">
        <f t="array" ref="EW242">IFERROR(INDEX(球員狀態!P$2:P$5000, MATCH(1, (球員狀態!$A$2:$A$5000=$EI$1)*(ISNUMBER(SEARCH($EI242, 球員狀態!$B$2:$B$5000))), 0)), "")</f>
        <v/>
      </c>
      <c r="EX242" s="4" t="str">
        <f t="array" ref="EX242">IFERROR(INDEX(球員狀態!Q$2:Q$5000, MATCH(1, (球員狀態!$A$2:$A$5000=$EI$241)*(ISNUMBER(SEARCH($EI242, 球員狀態!$B$2:$B$5000))), 0)), "")</f>
        <v/>
      </c>
      <c r="EY242" s="4" t="str">
        <f t="array" ref="EY242">IFERROR(INDEX(球員狀態!R$2:R$5000, MATCH(1, (球員狀態!$A$2:$A$5000=$EI$1)*(ISNUMBER(SEARCH($EI242, 球員狀態!$B$2:$B$5000))), 0)), "")</f>
        <v/>
      </c>
      <c r="EZ242" s="4" t="str">
        <f t="array" ref="EZ242">IFERROR(INDEX(球員狀態!S$2:S$5000, MATCH(1, (球員狀態!$A$2:$A$5000=$EI$1)*(ISNUMBER(SEARCH($EI242, 球員狀態!$B$2:$B$5000))), 0)), "")</f>
        <v/>
      </c>
      <c r="FA242" s="4" t="str">
        <f t="array" ref="FA242">IFERROR(INDEX(球員狀態!T$2:T$5000, MATCH(1, (球員狀態!$A$2:$A$5000=$EI$241)*(ISNUMBER(SEARCH($EI242, 球員狀態!$B$2:$B$5000))), 0)), "")</f>
        <v/>
      </c>
      <c r="FB242" s="4" t="str">
        <f t="array" ref="FB242">IFERROR(INDEX(球員狀態!U$2:U$5000, MATCH(1, (球員狀態!$A$2:$A$5000=$EI$1)*(ISNUMBER(SEARCH($EI242, 球員狀態!$B$2:$B$5000))), 0)), "")</f>
        <v/>
      </c>
      <c r="FC242" s="4" t="str">
        <f t="array" ref="FC242">IFERROR(INDEX(球員狀態!V$2:V$5000, MATCH(1, (球員狀態!$A$2:$A$5000=$EI$1)*(ISNUMBER(SEARCH($EI242, 球員狀態!$B$2:$B$5000))), 0)), "")</f>
        <v/>
      </c>
      <c r="FD242" s="4" t="str">
        <f t="array" ref="FD242">IFERROR(INDEX(球員狀態!W$2:W$5000, MATCH(1, (球員狀態!$A$2:$A$5000=$EI$241)*(ISNUMBER(SEARCH($EI242, 球員狀態!$B$2:$B$5000))), 0)), "")</f>
        <v/>
      </c>
      <c r="FE242" s="4" t="str">
        <f t="array" ref="FE242">IFERROR(INDEX(球員狀態!X$2:X$5000, MATCH(1, (球員狀態!$A$2:$A$5000=$EI$1)*(ISNUMBER(SEARCH($EI242, 球員狀態!$B$2:$B$5000))), 0)), "")</f>
        <v/>
      </c>
      <c r="FF242" s="4" t="str">
        <f t="array" ref="FF242">IFERROR(INDEX(球員狀態!Y$2:Y$5000, MATCH(1, (球員狀態!$A$2:$A$5000=$EI$1)*(ISNUMBER(SEARCH($EI242, 球員狀態!$B$2:$B$5000))), 0)), "")</f>
        <v/>
      </c>
      <c r="FG242" s="4" t="str">
        <f t="array" ref="FG242">IFERROR(INDEX(球員狀態!Z$2:Z$5000, MATCH(1, (球員狀態!$A$2:$A$5000=$EI$241)*(ISNUMBER(SEARCH($EI242, 球員狀態!$B$2:$B$5000))), 0)), "")</f>
        <v/>
      </c>
      <c r="FH242" s="4" t="str">
        <f t="array" ref="FH242">IFERROR(INDEX(球員狀態!AA$2:AA$5000, MATCH(1, (球員狀態!$A$2:$A$5000=$EI$241)*(ISNUMBER(SEARCH($EI242, 球員狀態!$B$2:$B$5000))), 0)), "")</f>
        <v/>
      </c>
      <c r="FI242" s="4" t="str">
        <f t="array" ref="FI242">IFERROR(INDEX(球員狀態!AB$2:AB$5000, MATCH(1, (球員狀態!$A$2:$A$5000=$EI$241)*(ISNUMBER(SEARCH($EI242, 球員狀態!$B$2:$B$5000))), 0)), "")</f>
        <v/>
      </c>
    </row>
    <row r="243" spans="110:165">
      <c r="DF243" s="36"/>
      <c r="DG243" s="4"/>
      <c r="DH243" s="40" t="e">
        <f>DJ243+DL243+DM243+DN243+DO243-DP243-DQ243+DR243</f>
        <v>#VALUE!</v>
      </c>
      <c r="DI243" s="42" t="e">
        <f>DU243+DX243+EA243+ED243+EE243+EF243</f>
        <v>#VALUE!</v>
      </c>
      <c r="DJ243" s="38" t="e">
        <f>VLOOKUP(DJ242*1, $FK$2:$FM$12, 3, TRUE)*$FM$1</f>
        <v>#VALUE!</v>
      </c>
      <c r="DL243" s="38" t="e">
        <f>VLOOKUP(DL242*1, $FN$2:$FP$12, 3, TRUE)*$FP$1</f>
        <v>#VALUE!</v>
      </c>
      <c r="DM243" s="38" t="e">
        <f>VLOOKUP(DM242*1, $FQ$2:$FS$12, 3, TRUE)*$FS$1</f>
        <v>#VALUE!</v>
      </c>
      <c r="DN243" s="38" t="e">
        <f>VLOOKUP(DN242*1, $FT$2:$FV$12, 3, TRUE)*$FV$1</f>
        <v>#VALUE!</v>
      </c>
      <c r="DO243" s="38" t="e">
        <f>VLOOKUP(DO242*1, $FW$2:$FY$12, 3, TRUE)*$FY$1</f>
        <v>#VALUE!</v>
      </c>
      <c r="DP243" s="39" t="e">
        <f>VLOOKUP(DP242*1, $FK$14:$FM$25, 3, TRUE)*$FM$14</f>
        <v>#VALUE!</v>
      </c>
      <c r="DQ243" s="39" t="e">
        <f>VLOOKUP(DQ242*1, $FN$14:$FP$25, 3, TRUE)*$FP$14</f>
        <v>#VALUE!</v>
      </c>
      <c r="DR243" s="38" t="e">
        <f>VLOOKUP(DR242*1, $FQ$14:$FS$25, 3, TRUE)*$FS$14</f>
        <v>#VALUE!</v>
      </c>
      <c r="DU243" s="41" t="e">
        <f>VLOOKUP(DU242*1, $FK$27:$FM$38, 3, TRUE)*$FM$27</f>
        <v>#VALUE!</v>
      </c>
      <c r="DX243" s="41" t="e">
        <f>VLOOKUP(DX242*1, $FN$27:$FP$38, 3, TRUE)*$FP$27</f>
        <v>#VALUE!</v>
      </c>
      <c r="EA243" s="41" t="e">
        <f>VLOOKUP(EA242*1, $FQ$27:$FS$38, 3, TRUE)*$FS$27</f>
        <v>#VALUE!</v>
      </c>
      <c r="ED243" s="41" t="e">
        <f>VLOOKUP(ED242*1, $FT$27:$FV$38, 3, TRUE)*$FV$27</f>
        <v>#VALUE!</v>
      </c>
      <c r="EE243" s="41" t="e">
        <f>VLOOKUP(EE242*1, $FW$27:$FY$38, 3, TRUE)*$FY$27</f>
        <v>#VALUE!</v>
      </c>
      <c r="EF243" s="41" t="e">
        <f>VLOOKUP(EF242*1, $FK$40:$FM$51, 3, TRUE)*$FM$40</f>
        <v>#VALUE!</v>
      </c>
      <c r="EG243" s="57"/>
      <c r="EI243" s="36"/>
      <c r="EJ243" s="4"/>
      <c r="EK243" s="40" t="e">
        <f>EM243+EO243+EP243+EQ243+ER243-ES243-ET243+EU243</f>
        <v>#VALUE!</v>
      </c>
      <c r="EL243" s="42" t="e">
        <f>EX243+FA243+FD243+FG243+FH243+FI243</f>
        <v>#VALUE!</v>
      </c>
      <c r="EM243" s="38" t="e">
        <f>VLOOKUP(EM242*1, $FK$2:$FM$12, 3, TRUE)*$FM$1</f>
        <v>#VALUE!</v>
      </c>
      <c r="EO243" s="38" t="e">
        <f>VLOOKUP(EO242*1, $FN$2:$FP$12, 3, TRUE)*$FP$1</f>
        <v>#VALUE!</v>
      </c>
      <c r="EP243" s="38" t="e">
        <f>VLOOKUP(EP242*1, $FQ$2:$FS$12, 3, TRUE)*$FS$1</f>
        <v>#VALUE!</v>
      </c>
      <c r="EQ243" s="38" t="e">
        <f>VLOOKUP(EQ242*1, $FT$2:$FV$12, 3, TRUE)*$FV$1</f>
        <v>#VALUE!</v>
      </c>
      <c r="ER243" s="38" t="e">
        <f>VLOOKUP(ER242*1, $FW$2:$FY$12, 3, TRUE)*$FY$1</f>
        <v>#VALUE!</v>
      </c>
      <c r="ES243" s="39" t="e">
        <f>VLOOKUP(ES242*1, $FK$14:$FM$25, 3, TRUE)*$FM$14</f>
        <v>#VALUE!</v>
      </c>
      <c r="ET243" s="39" t="e">
        <f>VLOOKUP(ET242*1, $FN$14:$FP$25, 3, TRUE)*$FP$14</f>
        <v>#VALUE!</v>
      </c>
      <c r="EU243" s="38" t="e">
        <f>VLOOKUP(EU242*1, $FQ$14:$FS$25, 3, TRUE)*$FS$14</f>
        <v>#VALUE!</v>
      </c>
      <c r="EX243" s="41" t="e">
        <f>VLOOKUP(EX242*1, $FK$27:$FM$38, 3, TRUE)*$FM$27</f>
        <v>#VALUE!</v>
      </c>
      <c r="FA243" s="41" t="e">
        <f>VLOOKUP(FA242*1, $FN$27:$FP$38, 3, TRUE)*$FP$27</f>
        <v>#VALUE!</v>
      </c>
      <c r="FD243" s="41" t="e">
        <f>VLOOKUP(FD242*1, $FQ$27:$FS$38, 3, TRUE)*$FS$27</f>
        <v>#VALUE!</v>
      </c>
      <c r="FG243" s="41" t="e">
        <f>VLOOKUP(FG242*1, $FT$27:$FV$38, 3, TRUE)*$FV$27</f>
        <v>#VALUE!</v>
      </c>
      <c r="FH243" s="41" t="e">
        <f>VLOOKUP(FH242*1, $FW$27:$FY$38, 3, TRUE)*$FY$27</f>
        <v>#VALUE!</v>
      </c>
      <c r="FI243" s="41" t="e">
        <f>VLOOKUP(FI242*1, $FK$40:$FM$51, 3, TRUE)*$FM$40</f>
        <v>#VALUE!</v>
      </c>
    </row>
    <row r="244" spans="110:165">
      <c r="DF244" s="35">
        <f>先發名單!F10</f>
        <v>0</v>
      </c>
      <c r="DG244" s="4" t="str">
        <f t="array" ref="DG244">IFERROR(INDEX(球員狀態!$C$2:$C$5000, MATCH(1, (球員狀態!$A$2:$A$5000=$DF$241)*(ISNUMBER(SEARCH($DF244, 球員狀態!$B$2:$B$5000))), 0)), "")</f>
        <v/>
      </c>
      <c r="DJ244" s="4" t="str">
        <f t="array" ref="DJ244">IFERROR(INDEX(球員狀態!$F$2:$F$5000,MATCH(1,(球員狀態!$A$2:$A$5000=$DF$241)*(ISNUMBER(SEARCH($DF244,球員狀態!$B$2:$B$5000))),0)),"")</f>
        <v/>
      </c>
      <c r="DK244" s="4" t="str">
        <f t="array" ref="DK244">IFERROR(INDEX(球員狀態!G$2:G$5000, MATCH(1, (球員狀態!$A$2:$A$5000=$DF$1)*(ISNUMBER(SEARCH($DF244, 球員狀態!$B$2:$B$5000))), 0)), "")</f>
        <v/>
      </c>
      <c r="DL244" s="4" t="str">
        <f t="array" ref="DL244">IFERROR(INDEX(球員狀態!H$2:H$5000, MATCH(1, (球員狀態!$A$2:$A$5000=$DF$241)*(ISNUMBER(SEARCH($DF244, 球員狀態!$B$2:$B$5000))), 0)), "")</f>
        <v/>
      </c>
      <c r="DM244" s="4" t="str">
        <f t="array" ref="DM244">IFERROR(INDEX(球員狀態!I$2:I$5000,MATCH(1,(球員狀態!$A$2:$A$5000=$DF$241)*(ISNUMBER(SEARCH($DF244,球員狀態!$B$2:$B$5000))),0)),"")</f>
        <v/>
      </c>
      <c r="DN244" s="4" t="str">
        <f t="array" ref="DN244">IFERROR(INDEX(球員狀態!J$2:J$5000,MATCH(1,(球員狀態!$A$2:$A$5000=$DF$241)*(ISNUMBER(SEARCH($DF244,球員狀態!$B$2:$B$5000))),0)),"")</f>
        <v/>
      </c>
      <c r="DO244" s="4" t="str">
        <f t="array" ref="DO244">IFERROR(INDEX(球員狀態!K$2:K$5000,MATCH(1,(球員狀態!$A$2:$A$5000=$DF$241)*(ISNUMBER(SEARCH($DF244,球員狀態!$B$2:$B$5000))),0)),"")</f>
        <v/>
      </c>
      <c r="DP244" s="4" t="str">
        <f t="array" ref="DP244">IFERROR(INDEX(球員狀態!L$2:L$5000,MATCH(1,(球員狀態!$A$2:$A$5000=$DF$241)*(ISNUMBER(SEARCH($DF244,球員狀態!$B$2:$B$5000))),0)),"")</f>
        <v/>
      </c>
      <c r="DQ244" s="4" t="str">
        <f t="array" ref="DQ244">IFERROR(INDEX(球員狀態!M$2:M$5000,MATCH(1,(球員狀態!$A$2:$A$5000=$DF$241)*(ISNUMBER(SEARCH($DF244,球員狀態!$B$2:$B$5000))),0)),"")</f>
        <v/>
      </c>
      <c r="DR244" s="4" t="str">
        <f t="array" ref="DR244">IFERROR(INDEX(球員狀態!N$2:N$5000,MATCH(1,(球員狀態!$A$2:$A$5000=$DF$241)*(ISNUMBER(SEARCH($DF244,球員狀態!$B$2:$B$5000))),0)),"")</f>
        <v/>
      </c>
      <c r="DS244" s="4" t="str">
        <f t="array" ref="DS244">IFERROR(INDEX(球員狀態!O$2:O$5000, MATCH(1, (球員狀態!$A$2:$A$5000=$DF$1)*(ISNUMBER(SEARCH($DF244, 球員狀態!$B$2:$B$5000))), 0)), "")</f>
        <v/>
      </c>
      <c r="DT244" s="4" t="str">
        <f t="array" ref="DT244">IFERROR(INDEX(球員狀態!P$2:P$5000, MATCH(1, (球員狀態!$A$2:$A$5000=$DF$1)*(ISNUMBER(SEARCH($DF244, 球員狀態!$B$2:$B$5000))), 0)), "")</f>
        <v/>
      </c>
      <c r="DU244" s="4" t="str">
        <f t="array" ref="DU244">IFERROR(INDEX(球員狀態!Q$2:Q$5000,MATCH(1,(球員狀態!$A$2:$A$5000=$DF$241)*(ISNUMBER(SEARCH($DF244,球員狀態!$B$2:$B$5000))),0)),"")</f>
        <v/>
      </c>
      <c r="DV244" s="4" t="str">
        <f t="array" ref="DV244">IFERROR(INDEX(球員狀態!R$2:R$5000, MATCH(1, (球員狀態!$A$2:$A$5000=$DF$1)*(ISNUMBER(SEARCH($DF244, 球員狀態!$B$2:$B$5000))), 0)), "")</f>
        <v/>
      </c>
      <c r="DW244" s="4" t="str">
        <f t="array" ref="DW244">IFERROR(INDEX(球員狀態!S$2:S$5000, MATCH(1, (球員狀態!$A$2:$A$5000=$DF$1)*(ISNUMBER(SEARCH($DF244, 球員狀態!$B$2:$B$5000))), 0)), "")</f>
        <v/>
      </c>
      <c r="DX244" s="4" t="str">
        <f t="array" ref="DX244">IFERROR(INDEX(球員狀態!T$2:T$5000,MATCH(1,(球員狀態!$A$2:$A$5000=$DF$241)*(ISNUMBER(SEARCH($DF244,球員狀態!$B$2:$B$5000))),0)),"")</f>
        <v/>
      </c>
      <c r="DY244" s="4" t="str">
        <f t="array" ref="DY244">IFERROR(INDEX(球員狀態!U$2:U$5000, MATCH(1, (球員狀態!$A$2:$A$5000=$DF$1)*(ISNUMBER(SEARCH($DF244, 球員狀態!$B$2:$B$5000))), 0)), "")</f>
        <v/>
      </c>
      <c r="DZ244" s="4" t="str">
        <f t="array" ref="DZ244">IFERROR(INDEX(球員狀態!V$2:V$5000, MATCH(1, (球員狀態!$A$2:$A$5000=$DF$1)*(ISNUMBER(SEARCH($DF244, 球員狀態!$B$2:$B$5000))), 0)), "")</f>
        <v/>
      </c>
      <c r="EA244" s="4" t="str">
        <f t="array" ref="EA244">IFERROR(INDEX(球員狀態!W$2:W$5000,MATCH(1,(球員狀態!$A$2:$A$5000=$DF$241)*(ISNUMBER(SEARCH($DF244,球員狀態!$B$2:$B$5000))),0)),"")</f>
        <v/>
      </c>
      <c r="EB244" s="4" t="str">
        <f t="array" ref="EB244">IFERROR(INDEX(球員狀態!X$2:X$5000, MATCH(1, (球員狀態!$A$2:$A$5000=$DF$1)*(ISNUMBER(SEARCH($DF244, 球員狀態!$B$2:$B$5000))), 0)), "")</f>
        <v/>
      </c>
      <c r="EC244" s="4" t="str">
        <f t="array" ref="EC244">IFERROR(INDEX(球員狀態!Y$2:Y$5000, MATCH(1, (球員狀態!$A$2:$A$5000=$DF$1)*(ISNUMBER(SEARCH($DF244, 球員狀態!$B$2:$B$5000))), 0)), "")</f>
        <v/>
      </c>
      <c r="ED244" s="4" t="str">
        <f t="array" ref="ED244">IFERROR(INDEX(球員狀態!Z$2:Z$5000,MATCH(1,(球員狀態!$A$2:$A$5000=$DF$241)*(ISNUMBER(SEARCH($DF244,球員狀態!$B$2:$B$5000))),0)),"")</f>
        <v/>
      </c>
      <c r="EE244" s="4" t="str">
        <f t="array" ref="EE244">IFERROR(INDEX(球員狀態!AA$2:AA$5000,MATCH(1,(球員狀態!$A$2:$A$5000=$DF$241)*(ISNUMBER(SEARCH($DF244,球員狀態!$B$2:$B$5000))),0)),"")</f>
        <v/>
      </c>
      <c r="EF244" s="4" t="str">
        <f t="array" ref="EF244">IFERROR(INDEX(球員狀態!AB$2:AB$5000,MATCH(1,(球員狀態!$A$2:$A$5000=$DF$241)*(ISNUMBER(SEARCH($DF244,球員狀態!$B$2:$B$5000))),0)),"")</f>
        <v/>
      </c>
      <c r="EG244" s="56"/>
      <c r="EI244" s="35">
        <f>先發名單!P$10</f>
        <v>0</v>
      </c>
      <c r="EJ244" s="4" t="str">
        <f t="array" ref="EJ244">IFERROR(INDEX(球員狀態!C$2:C$5000, MATCH(1, (球員狀態!$A$2:$A$5000=$EI$241)*(ISNUMBER(SEARCH($EI244, 球員狀態!$B$2:$B$5000))), 0)), "")</f>
        <v/>
      </c>
      <c r="EM244" s="4" t="str">
        <f t="array" ref="EM244">IFERROR(INDEX(球員狀態!F$2:F$5000, MATCH(1, (球員狀態!$A$2:$A$5000=$EI$241)*(ISNUMBER(SEARCH($EI244, 球員狀態!$B$2:$B$5000))), 0)), "")</f>
        <v/>
      </c>
      <c r="EN244" s="4" t="str">
        <f t="array" ref="EN244">IFERROR(INDEX(球員狀態!G$2:G$5000, MATCH(1, (球員狀態!$A$2:$A$5000=$EI$1)*(ISNUMBER(SEARCH($EI244, 球員狀態!$B$2:$B$5000))), 0)), "")</f>
        <v/>
      </c>
      <c r="EO244" s="4" t="str">
        <f t="array" ref="EO244">IFERROR(INDEX(球員狀態!H$2:H$5000, MATCH(1, (球員狀態!$A$2:$A$5000=$EI$241)*(ISNUMBER(SEARCH($EI244, 球員狀態!$B$2:$B$5000))), 0)), "")</f>
        <v/>
      </c>
      <c r="EP244" s="4" t="str">
        <f t="array" ref="EP244">IFERROR(INDEX(球員狀態!I$2:I$5000, MATCH(1, (球員狀態!$A$2:$A$5000=$EI$241)*(ISNUMBER(SEARCH($EI244, 球員狀態!$B$2:$B$5000))), 0)), "")</f>
        <v/>
      </c>
      <c r="EQ244" s="4" t="str">
        <f t="array" ref="EQ244">IFERROR(INDEX(球員狀態!J$2:J$5000, MATCH(1, (球員狀態!$A$2:$A$5000=$EI$241)*(ISNUMBER(SEARCH($EI244, 球員狀態!$B$2:$B$5000))), 0)), "")</f>
        <v/>
      </c>
      <c r="ER244" s="4" t="str">
        <f t="array" ref="ER244">IFERROR(INDEX(球員狀態!K$2:K$5000, MATCH(1, (球員狀態!$A$2:$A$5000=$EI$241)*(ISNUMBER(SEARCH($EI244, 球員狀態!$B$2:$B$5000))), 0)), "")</f>
        <v/>
      </c>
      <c r="ES244" s="4" t="str">
        <f t="array" ref="ES244">IFERROR(INDEX(球員狀態!L$2:L$5000, MATCH(1, (球員狀態!$A$2:$A$5000=$EI$241)*(ISNUMBER(SEARCH($EI244, 球員狀態!$B$2:$B$5000))), 0)), "")</f>
        <v/>
      </c>
      <c r="ET244" s="4" t="str">
        <f t="array" ref="ET244">IFERROR(INDEX(球員狀態!M$2:M$5000, MATCH(1, (球員狀態!$A$2:$A$5000=$EI$241)*(ISNUMBER(SEARCH($EI244, 球員狀態!$B$2:$B$5000))), 0)), "")</f>
        <v/>
      </c>
      <c r="EU244" s="4" t="str">
        <f t="array" ref="EU244">IFERROR(INDEX(球員狀態!N$2:N$5000, MATCH(1, (球員狀態!$A$2:$A$5000=$EI$241)*(ISNUMBER(SEARCH($EI244, 球員狀態!$B$2:$B$5000))), 0)), "")</f>
        <v/>
      </c>
      <c r="EV244" s="4" t="str">
        <f t="array" ref="EV244">IFERROR(INDEX(球員狀態!O$2:O$5000, MATCH(1, (球員狀態!$A$2:$A$5000=$EI$1)*(ISNUMBER(SEARCH($EI244, 球員狀態!$B$2:$B$5000))), 0)), "")</f>
        <v/>
      </c>
      <c r="EW244" s="4" t="str">
        <f t="array" ref="EW244">IFERROR(INDEX(球員狀態!P$2:P$5000, MATCH(1, (球員狀態!$A$2:$A$5000=$EI$1)*(ISNUMBER(SEARCH($EI244, 球員狀態!$B$2:$B$5000))), 0)), "")</f>
        <v/>
      </c>
      <c r="EX244" s="4" t="str">
        <f t="array" ref="EX244">IFERROR(INDEX(球員狀態!Q$2:Q$5000, MATCH(1, (球員狀態!$A$2:$A$5000=$EI$241)*(ISNUMBER(SEARCH($EI244, 球員狀態!$B$2:$B$5000))), 0)), "")</f>
        <v/>
      </c>
      <c r="EY244" s="4" t="str">
        <f t="array" ref="EY244">IFERROR(INDEX(球員狀態!R$2:R$5000, MATCH(1, (球員狀態!$A$2:$A$5000=$EI$1)*(ISNUMBER(SEARCH($EI244, 球員狀態!$B$2:$B$5000))), 0)), "")</f>
        <v/>
      </c>
      <c r="EZ244" s="4" t="str">
        <f t="array" ref="EZ244">IFERROR(INDEX(球員狀態!S$2:S$5000, MATCH(1, (球員狀態!$A$2:$A$5000=$EI$1)*(ISNUMBER(SEARCH($EI244, 球員狀態!$B$2:$B$5000))), 0)), "")</f>
        <v/>
      </c>
      <c r="FA244" s="4" t="str">
        <f t="array" ref="FA244">IFERROR(INDEX(球員狀態!T$2:T$5000, MATCH(1, (球員狀態!$A$2:$A$5000=$EI$241)*(ISNUMBER(SEARCH($EI244, 球員狀態!$B$2:$B$5000))), 0)), "")</f>
        <v/>
      </c>
      <c r="FB244" s="4" t="str">
        <f t="array" ref="FB244">IFERROR(INDEX(球員狀態!U$2:U$5000, MATCH(1, (球員狀態!$A$2:$A$5000=$EI$1)*(ISNUMBER(SEARCH($EI244, 球員狀態!$B$2:$B$5000))), 0)), "")</f>
        <v/>
      </c>
      <c r="FC244" s="4" t="str">
        <f t="array" ref="FC244">IFERROR(INDEX(球員狀態!V$2:V$5000, MATCH(1, (球員狀態!$A$2:$A$5000=$EI$1)*(ISNUMBER(SEARCH($EI244, 球員狀態!$B$2:$B$5000))), 0)), "")</f>
        <v/>
      </c>
      <c r="FD244" s="4" t="str">
        <f t="array" ref="FD244">IFERROR(INDEX(球員狀態!W$2:W$5000, MATCH(1, (球員狀態!$A$2:$A$5000=$EI$241)*(ISNUMBER(SEARCH($EI244, 球員狀態!$B$2:$B$5000))), 0)), "")</f>
        <v/>
      </c>
      <c r="FE244" s="4" t="str">
        <f t="array" ref="FE244">IFERROR(INDEX(球員狀態!X$2:X$5000, MATCH(1, (球員狀態!$A$2:$A$5000=$EI$1)*(ISNUMBER(SEARCH($EI244, 球員狀態!$B$2:$B$5000))), 0)), "")</f>
        <v/>
      </c>
      <c r="FF244" s="4" t="str">
        <f t="array" ref="FF244">IFERROR(INDEX(球員狀態!Y$2:Y$5000, MATCH(1, (球員狀態!$A$2:$A$5000=$EI$1)*(ISNUMBER(SEARCH($EI244, 球員狀態!$B$2:$B$5000))), 0)), "")</f>
        <v/>
      </c>
      <c r="FG244" s="4" t="str">
        <f t="array" ref="FG244">IFERROR(INDEX(球員狀態!Z$2:Z$5000, MATCH(1, (球員狀態!$A$2:$A$5000=$EI$241)*(ISNUMBER(SEARCH($EI244, 球員狀態!$B$2:$B$5000))), 0)), "")</f>
        <v/>
      </c>
      <c r="FH244" s="4" t="str">
        <f t="array" ref="FH244">IFERROR(INDEX(球員狀態!AA$2:AA$5000, MATCH(1, (球員狀態!$A$2:$A$5000=$EI$241)*(ISNUMBER(SEARCH($EI244, 球員狀態!$B$2:$B$5000))), 0)), "")</f>
        <v/>
      </c>
      <c r="FI244" s="4" t="str">
        <f t="array" ref="FI244">IFERROR(INDEX(球員狀態!AB$2:AB$5000, MATCH(1, (球員狀態!$A$2:$A$5000=$EI$241)*(ISNUMBER(SEARCH($EI244, 球員狀態!$B$2:$B$5000))), 0)), "")</f>
        <v/>
      </c>
    </row>
    <row r="245" spans="110:165">
      <c r="DF245" s="36"/>
      <c r="DG245" s="4"/>
      <c r="DH245" s="40" t="e">
        <f>DJ245+DL245+DM245+DN245+DO245-DP245-DQ245+DR245</f>
        <v>#VALUE!</v>
      </c>
      <c r="DI245" s="42" t="e">
        <f>DU245+DX245+EA245+ED245+EE245+EF245</f>
        <v>#VALUE!</v>
      </c>
      <c r="DJ245" s="38" t="e">
        <f>VLOOKUP(DJ244*1, FK$2:FM$12, 3, TRUE)*FM$1</f>
        <v>#VALUE!</v>
      </c>
      <c r="DL245" s="38" t="e">
        <f>VLOOKUP(DL244*1, FN$2:FP$12, 3, TRUE)*FP$1</f>
        <v>#VALUE!</v>
      </c>
      <c r="DM245" s="38" t="e">
        <f>VLOOKUP(DM244*1, FQ$2:FS$12, 3, TRUE)*FS$1</f>
        <v>#VALUE!</v>
      </c>
      <c r="DN245" s="38" t="e">
        <f>VLOOKUP(DN244*1, FT$2:FV$12, 3, TRUE)*FV$1</f>
        <v>#VALUE!</v>
      </c>
      <c r="DO245" s="38" t="e">
        <f>VLOOKUP(DO244*1, FW$2:FY$12, 3, TRUE)*FY$1</f>
        <v>#VALUE!</v>
      </c>
      <c r="DP245" s="39" t="e">
        <f>VLOOKUP(DP244*1, FK$14:FM$25, 3, TRUE)*FM$14</f>
        <v>#VALUE!</v>
      </c>
      <c r="DQ245" s="39" t="e">
        <f>VLOOKUP(DQ244*1, FN$14:FP$25, 3, TRUE)*FP$14</f>
        <v>#VALUE!</v>
      </c>
      <c r="DR245" s="38" t="e">
        <f>VLOOKUP(DR244*1, FQ$14:FS$25, 3, TRUE)*FS$14</f>
        <v>#VALUE!</v>
      </c>
      <c r="DU245" s="41" t="e">
        <f>VLOOKUP(DU244*1, FK$27:FM$38, 3, TRUE)*FM$27</f>
        <v>#VALUE!</v>
      </c>
      <c r="DX245" s="41" t="e">
        <f>VLOOKUP(DX244*1, FN$27:FP$38, 3, TRUE)*FP$27</f>
        <v>#VALUE!</v>
      </c>
      <c r="EA245" s="41" t="e">
        <f>VLOOKUP(EA244*1, FQ$27:FS$38, 3, TRUE)*FS$27</f>
        <v>#VALUE!</v>
      </c>
      <c r="ED245" s="41" t="e">
        <f>VLOOKUP(ED244*1, FT$27:FV$38, 3, TRUE)*FV$27</f>
        <v>#VALUE!</v>
      </c>
      <c r="EE245" s="41" t="e">
        <f>VLOOKUP(EE244*1, FW$27:FY$38, 3, TRUE)*FY$27</f>
        <v>#VALUE!</v>
      </c>
      <c r="EF245" s="41" t="e">
        <f>VLOOKUP(EF244*1, FK$40:FM$51, 3, TRUE)*FM$40</f>
        <v>#VALUE!</v>
      </c>
      <c r="EG245" s="57"/>
      <c r="EI245" s="36"/>
      <c r="EJ245" s="4"/>
      <c r="EK245" s="40" t="e">
        <f>EM245+EO245+EP245+EQ245+ER245-ES245-ET245+EU245</f>
        <v>#VALUE!</v>
      </c>
      <c r="EL245" s="42" t="e">
        <f>EX245+FA245+FD245+FG245+FH245+FI245</f>
        <v>#VALUE!</v>
      </c>
      <c r="EM245" s="38" t="e">
        <f>VLOOKUP(EM244*1, $FK$2:$FM$12, 3, TRUE)*$FM$1</f>
        <v>#VALUE!</v>
      </c>
      <c r="EO245" s="38" t="e">
        <f>VLOOKUP(EO244*1, $FN$2:$FP$12, 3, TRUE)*$FP$1</f>
        <v>#VALUE!</v>
      </c>
      <c r="EP245" s="38" t="e">
        <f>VLOOKUP(EP244*1, $FQ$2:$FS$12, 3, TRUE)*$FS$1</f>
        <v>#VALUE!</v>
      </c>
      <c r="EQ245" s="38" t="e">
        <f>VLOOKUP(EQ244*1, $FT$2:$FV$12, 3, TRUE)*$FV$1</f>
        <v>#VALUE!</v>
      </c>
      <c r="ER245" s="38" t="e">
        <f>VLOOKUP(ER244*1, $FW$2:$FY$12, 3, TRUE)*$FY$1</f>
        <v>#VALUE!</v>
      </c>
      <c r="ES245" s="39" t="e">
        <f>VLOOKUP(ES244*1, $FK$14:$FM$25, 3, TRUE)*$FM$14</f>
        <v>#VALUE!</v>
      </c>
      <c r="ET245" s="39" t="e">
        <f>VLOOKUP(ET244*1, $FN$14:$FP$25, 3, TRUE)*$FP$14</f>
        <v>#VALUE!</v>
      </c>
      <c r="EU245" s="38" t="e">
        <f>VLOOKUP(EU244*1, $FQ$14:$FS$25, 3, TRUE)*$FS$14</f>
        <v>#VALUE!</v>
      </c>
      <c r="EX245" s="41" t="e">
        <f>VLOOKUP(EX244*1, $FK$27:$FM$38, 3, TRUE)*$FM$27</f>
        <v>#VALUE!</v>
      </c>
      <c r="FA245" s="41" t="e">
        <f>VLOOKUP(FA244*1, $FN$27:$FP$38, 3, TRUE)*$FP$27</f>
        <v>#VALUE!</v>
      </c>
      <c r="FD245" s="41" t="e">
        <f>VLOOKUP(FD244*1, $FQ$27:$FS$38, 3, TRUE)*$FS$27</f>
        <v>#VALUE!</v>
      </c>
      <c r="FG245" s="41" t="e">
        <f>VLOOKUP(FG244*1, $FT$27:$FV$38, 3, TRUE)*$FV$27</f>
        <v>#VALUE!</v>
      </c>
      <c r="FH245" s="41" t="e">
        <f>VLOOKUP(FH244*1, $FW$27:$FY$38, 3, TRUE)*$FY$27</f>
        <v>#VALUE!</v>
      </c>
      <c r="FI245" s="41" t="e">
        <f>VLOOKUP(FI244*1, $FK$40:$FM$51, 3, TRUE)*$FM$40</f>
        <v>#VALUE!</v>
      </c>
    </row>
    <row r="246" spans="110:165">
      <c r="DF246" s="35">
        <f>先發名單!G$10</f>
        <v>0</v>
      </c>
      <c r="DG246" s="4" t="str">
        <f t="array" ref="DG246">IFERROR(INDEX(球員狀態!$C$2:$C$5000, MATCH(1, (球員狀態!$A$2:$A$5000=$DF$241)*(ISNUMBER(SEARCH($DF246, 球員狀態!$B$2:$B$5000))), 0)), "")</f>
        <v/>
      </c>
      <c r="DJ246" s="4" t="str">
        <f t="array" ref="DJ246">IFERROR(INDEX(球員狀態!$F$2:$F$5000,MATCH(1,(球員狀態!$A$2:$A$5000=$DF$241)*(ISNUMBER(SEARCH($DF246,球員狀態!$B$2:$B$5000))),0)),"")</f>
        <v/>
      </c>
      <c r="DK246" s="4" t="str">
        <f t="array" ref="DK246">IFERROR(INDEX(球員狀態!G$2:G$5000, MATCH(1, (球員狀態!$A$2:$A$5000=$DF$1)*(ISNUMBER(SEARCH($DF246, 球員狀態!$B$2:$B$5000))), 0)), "")</f>
        <v/>
      </c>
      <c r="DL246" s="4" t="str">
        <f t="array" ref="DL246">IFERROR(INDEX(球員狀態!H$2:H$5000, MATCH(1, (球員狀態!$A$2:$A$5000=$DF$241)*(ISNUMBER(SEARCH($DF246, 球員狀態!$B$2:$B$5000))), 0)), "")</f>
        <v/>
      </c>
      <c r="DM246" s="4" t="str">
        <f t="array" ref="DM246">IFERROR(INDEX(球員狀態!I$2:I$5000,MATCH(1,(球員狀態!$A$2:$A$5000=$DF$241)*(ISNUMBER(SEARCH($DF246,球員狀態!$B$2:$B$5000))),0)),"")</f>
        <v/>
      </c>
      <c r="DN246" s="4" t="str">
        <f t="array" ref="DN246">IFERROR(INDEX(球員狀態!J$2:J$5000,MATCH(1,(球員狀態!$A$2:$A$5000=$DF$241)*(ISNUMBER(SEARCH($DF246,球員狀態!$B$2:$B$5000))),0)),"")</f>
        <v/>
      </c>
      <c r="DO246" s="4" t="str">
        <f t="array" ref="DO246">IFERROR(INDEX(球員狀態!K$2:K$5000,MATCH(1,(球員狀態!$A$2:$A$5000=$DF$241)*(ISNUMBER(SEARCH($DF246,球員狀態!$B$2:$B$5000))),0)),"")</f>
        <v/>
      </c>
      <c r="DP246" s="4" t="str">
        <f t="array" ref="DP246">IFERROR(INDEX(球員狀態!L$2:L$5000,MATCH(1,(球員狀態!$A$2:$A$5000=$DF$241)*(ISNUMBER(SEARCH($DF246,球員狀態!$B$2:$B$5000))),0)),"")</f>
        <v/>
      </c>
      <c r="DQ246" s="4" t="str">
        <f t="array" ref="DQ246">IFERROR(INDEX(球員狀態!M$2:M$5000,MATCH(1,(球員狀態!$A$2:$A$5000=$DF$241)*(ISNUMBER(SEARCH($DF246,球員狀態!$B$2:$B$5000))),0)),"")</f>
        <v/>
      </c>
      <c r="DR246" s="4" t="str">
        <f t="array" ref="DR246">IFERROR(INDEX(球員狀態!N$2:N$5000,MATCH(1,(球員狀態!$A$2:$A$5000=$DF$241)*(ISNUMBER(SEARCH($DF246,球員狀態!$B$2:$B$5000))),0)),"")</f>
        <v/>
      </c>
      <c r="DS246" s="4" t="str">
        <f t="array" ref="DS246">IFERROR(INDEX(球員狀態!O$2:O$5000, MATCH(1, (球員狀態!$A$2:$A$5000=$DF$1)*(ISNUMBER(SEARCH($DF246, 球員狀態!$B$2:$B$5000))), 0)), "")</f>
        <v/>
      </c>
      <c r="DT246" s="4" t="str">
        <f t="array" ref="DT246">IFERROR(INDEX(球員狀態!P$2:P$5000, MATCH(1, (球員狀態!$A$2:$A$5000=$DF$1)*(ISNUMBER(SEARCH($DF246, 球員狀態!$B$2:$B$5000))), 0)), "")</f>
        <v/>
      </c>
      <c r="DU246" s="4" t="str">
        <f t="array" ref="DU246">IFERROR(INDEX(球員狀態!Q$2:Q$5000,MATCH(1,(球員狀態!$A$2:$A$5000=$DF$241)*(ISNUMBER(SEARCH($DF246,球員狀態!$B$2:$B$5000))),0)),"")</f>
        <v/>
      </c>
      <c r="DV246" s="4" t="str">
        <f t="array" ref="DV246">IFERROR(INDEX(球員狀態!R$2:R$5000, MATCH(1, (球員狀態!$A$2:$A$5000=$DF$1)*(ISNUMBER(SEARCH($DF246, 球員狀態!$B$2:$B$5000))), 0)), "")</f>
        <v/>
      </c>
      <c r="DW246" s="4" t="str">
        <f t="array" ref="DW246">IFERROR(INDEX(球員狀態!S$2:S$5000, MATCH(1, (球員狀態!$A$2:$A$5000=$DF$1)*(ISNUMBER(SEARCH($DF246, 球員狀態!$B$2:$B$5000))), 0)), "")</f>
        <v/>
      </c>
      <c r="DX246" s="4" t="str">
        <f t="array" ref="DX246">IFERROR(INDEX(球員狀態!T$2:T$5000,MATCH(1,(球員狀態!$A$2:$A$5000=$DF$241)*(ISNUMBER(SEARCH($DF246,球員狀態!$B$2:$B$5000))),0)),"")</f>
        <v/>
      </c>
      <c r="DY246" s="4" t="str">
        <f t="array" ref="DY246">IFERROR(INDEX(球員狀態!U$2:U$5000, MATCH(1, (球員狀態!$A$2:$A$5000=$DF$1)*(ISNUMBER(SEARCH($DF246, 球員狀態!$B$2:$B$5000))), 0)), "")</f>
        <v/>
      </c>
      <c r="DZ246" s="4" t="str">
        <f t="array" ref="DZ246">IFERROR(INDEX(球員狀態!V$2:V$5000, MATCH(1, (球員狀態!$A$2:$A$5000=$DF$1)*(ISNUMBER(SEARCH($DF246, 球員狀態!$B$2:$B$5000))), 0)), "")</f>
        <v/>
      </c>
      <c r="EA246" s="4" t="str">
        <f t="array" ref="EA246">IFERROR(INDEX(球員狀態!W$2:W$5000,MATCH(1,(球員狀態!$A$2:$A$5000=$DF$241)*(ISNUMBER(SEARCH($DF246,球員狀態!$B$2:$B$5000))),0)),"")</f>
        <v/>
      </c>
      <c r="EB246" s="4" t="str">
        <f t="array" ref="EB246">IFERROR(INDEX(球員狀態!X$2:X$5000, MATCH(1, (球員狀態!$A$2:$A$5000=$DF$1)*(ISNUMBER(SEARCH($DF246, 球員狀態!$B$2:$B$5000))), 0)), "")</f>
        <v/>
      </c>
      <c r="EC246" s="4" t="str">
        <f t="array" ref="EC246">IFERROR(INDEX(球員狀態!Y$2:Y$5000, MATCH(1, (球員狀態!$A$2:$A$5000=$DF$1)*(ISNUMBER(SEARCH($DF246, 球員狀態!$B$2:$B$5000))), 0)), "")</f>
        <v/>
      </c>
      <c r="ED246" s="4" t="str">
        <f t="array" ref="ED246">IFERROR(INDEX(球員狀態!Z$2:Z$5000,MATCH(1,(球員狀態!$A$2:$A$5000=$DF$241)*(ISNUMBER(SEARCH($DF246,球員狀態!$B$2:$B$5000))),0)),"")</f>
        <v/>
      </c>
      <c r="EE246" s="4" t="str">
        <f t="array" ref="EE246">IFERROR(INDEX(球員狀態!AA$2:AA$5000,MATCH(1,(球員狀態!$A$2:$A$5000=$DF$241)*(ISNUMBER(SEARCH($DF246,球員狀態!$B$2:$B$5000))),0)),"")</f>
        <v/>
      </c>
      <c r="EF246" s="4" t="str">
        <f t="array" ref="EF246">IFERROR(INDEX(球員狀態!AB$2:AB$5000,MATCH(1,(球員狀態!$A$2:$A$5000=$DF$241)*(ISNUMBER(SEARCH($DF246,球員狀態!$B$2:$B$5000))),0)),"")</f>
        <v/>
      </c>
      <c r="EG246" s="56"/>
      <c r="EI246" s="35">
        <f>先發名單!Q$10</f>
        <v>0</v>
      </c>
      <c r="EJ246" s="4" t="str">
        <f t="array" ref="EJ246">IFERROR(INDEX(球員狀態!C$2:C$5000, MATCH(1, (球員狀態!$A$2:$A$5000=$EI$241)*(ISNUMBER(SEARCH($EI246, 球員狀態!$B$2:$B$5000))), 0)), "")</f>
        <v/>
      </c>
      <c r="EM246" s="4" t="str">
        <f t="array" ref="EM246">IFERROR(INDEX(球員狀態!F$2:F$5000, MATCH(1, (球員狀態!$A$2:$A$5000=$EI$241)*(ISNUMBER(SEARCH($EI246, 球員狀態!$B$2:$B$5000))), 0)), "")</f>
        <v/>
      </c>
      <c r="EN246" s="4" t="str">
        <f t="array" ref="EN246">IFERROR(INDEX(球員狀態!G$2:G$5000, MATCH(1, (球員狀態!$A$2:$A$5000=$EI$1)*(ISNUMBER(SEARCH($EI246, 球員狀態!$B$2:$B$5000))), 0)), "")</f>
        <v/>
      </c>
      <c r="EO246" s="4" t="str">
        <f t="array" ref="EO246">IFERROR(INDEX(球員狀態!H$2:H$5000, MATCH(1, (球員狀態!$A$2:$A$5000=$EI$241)*(ISNUMBER(SEARCH($EI246, 球員狀態!$B$2:$B$5000))), 0)), "")</f>
        <v/>
      </c>
      <c r="EP246" s="4" t="str">
        <f t="array" ref="EP246">IFERROR(INDEX(球員狀態!I$2:I$5000, MATCH(1, (球員狀態!$A$2:$A$5000=$EI$241)*(ISNUMBER(SEARCH($EI246, 球員狀態!$B$2:$B$5000))), 0)), "")</f>
        <v/>
      </c>
      <c r="EQ246" s="4" t="str">
        <f t="array" ref="EQ246">IFERROR(INDEX(球員狀態!J$2:J$5000, MATCH(1, (球員狀態!$A$2:$A$5000=$EI$241)*(ISNUMBER(SEARCH($EI246, 球員狀態!$B$2:$B$5000))), 0)), "")</f>
        <v/>
      </c>
      <c r="ER246" s="4" t="str">
        <f t="array" ref="ER246">IFERROR(INDEX(球員狀態!K$2:K$5000, MATCH(1, (球員狀態!$A$2:$A$5000=$EI$241)*(ISNUMBER(SEARCH($EI246, 球員狀態!$B$2:$B$5000))), 0)), "")</f>
        <v/>
      </c>
      <c r="ES246" s="4" t="str">
        <f t="array" ref="ES246">IFERROR(INDEX(球員狀態!L$2:L$5000, MATCH(1, (球員狀態!$A$2:$A$5000=$EI$241)*(ISNUMBER(SEARCH($EI246, 球員狀態!$B$2:$B$5000))), 0)), "")</f>
        <v/>
      </c>
      <c r="ET246" s="4" t="str">
        <f t="array" ref="ET246">IFERROR(INDEX(球員狀態!M$2:M$5000, MATCH(1, (球員狀態!$A$2:$A$5000=$EI$241)*(ISNUMBER(SEARCH($EI246, 球員狀態!$B$2:$B$5000))), 0)), "")</f>
        <v/>
      </c>
      <c r="EU246" s="4" t="str">
        <f t="array" ref="EU246">IFERROR(INDEX(球員狀態!N$2:N$5000, MATCH(1, (球員狀態!$A$2:$A$5000=$EI$241)*(ISNUMBER(SEARCH($EI246, 球員狀態!$B$2:$B$5000))), 0)), "")</f>
        <v/>
      </c>
      <c r="EV246" s="4" t="str">
        <f t="array" ref="EV246">IFERROR(INDEX(球員狀態!O$2:O$5000, MATCH(1, (球員狀態!$A$2:$A$5000=$EI$1)*(ISNUMBER(SEARCH($EI246, 球員狀態!$B$2:$B$5000))), 0)), "")</f>
        <v/>
      </c>
      <c r="EW246" s="4" t="str">
        <f t="array" ref="EW246">IFERROR(INDEX(球員狀態!P$2:P$5000, MATCH(1, (球員狀態!$A$2:$A$5000=$EI$1)*(ISNUMBER(SEARCH($EI246, 球員狀態!$B$2:$B$5000))), 0)), "")</f>
        <v/>
      </c>
      <c r="EX246" s="4" t="str">
        <f t="array" ref="EX246">IFERROR(INDEX(球員狀態!Q$2:Q$5000, MATCH(1, (球員狀態!$A$2:$A$5000=$EI$241)*(ISNUMBER(SEARCH($EI246, 球員狀態!$B$2:$B$5000))), 0)), "")</f>
        <v/>
      </c>
      <c r="EY246" s="4" t="str">
        <f t="array" ref="EY246">IFERROR(INDEX(球員狀態!R$2:R$5000, MATCH(1, (球員狀態!$A$2:$A$5000=$EI$1)*(ISNUMBER(SEARCH($EI246, 球員狀態!$B$2:$B$5000))), 0)), "")</f>
        <v/>
      </c>
      <c r="EZ246" s="4" t="str">
        <f t="array" ref="EZ246">IFERROR(INDEX(球員狀態!S$2:S$5000, MATCH(1, (球員狀態!$A$2:$A$5000=$EI$1)*(ISNUMBER(SEARCH($EI246, 球員狀態!$B$2:$B$5000))), 0)), "")</f>
        <v/>
      </c>
      <c r="FA246" s="4" t="str">
        <f t="array" ref="FA246">IFERROR(INDEX(球員狀態!T$2:T$5000, MATCH(1, (球員狀態!$A$2:$A$5000=$EI$241)*(ISNUMBER(SEARCH($EI246, 球員狀態!$B$2:$B$5000))), 0)), "")</f>
        <v/>
      </c>
      <c r="FB246" s="4" t="str">
        <f t="array" ref="FB246">IFERROR(INDEX(球員狀態!U$2:U$5000, MATCH(1, (球員狀態!$A$2:$A$5000=$EI$1)*(ISNUMBER(SEARCH($EI246, 球員狀態!$B$2:$B$5000))), 0)), "")</f>
        <v/>
      </c>
      <c r="FC246" s="4" t="str">
        <f t="array" ref="FC246">IFERROR(INDEX(球員狀態!V$2:V$5000, MATCH(1, (球員狀態!$A$2:$A$5000=$EI$1)*(ISNUMBER(SEARCH($EI246, 球員狀態!$B$2:$B$5000))), 0)), "")</f>
        <v/>
      </c>
      <c r="FD246" s="4" t="str">
        <f t="array" ref="FD246">IFERROR(INDEX(球員狀態!W$2:W$5000, MATCH(1, (球員狀態!$A$2:$A$5000=$EI$241)*(ISNUMBER(SEARCH($EI246, 球員狀態!$B$2:$B$5000))), 0)), "")</f>
        <v/>
      </c>
      <c r="FE246" s="4" t="str">
        <f t="array" ref="FE246">IFERROR(INDEX(球員狀態!X$2:X$5000, MATCH(1, (球員狀態!$A$2:$A$5000=$EI$1)*(ISNUMBER(SEARCH($EI246, 球員狀態!$B$2:$B$5000))), 0)), "")</f>
        <v/>
      </c>
      <c r="FF246" s="4" t="str">
        <f t="array" ref="FF246">IFERROR(INDEX(球員狀態!Y$2:Y$5000, MATCH(1, (球員狀態!$A$2:$A$5000=$EI$1)*(ISNUMBER(SEARCH($EI246, 球員狀態!$B$2:$B$5000))), 0)), "")</f>
        <v/>
      </c>
      <c r="FG246" s="4" t="str">
        <f t="array" ref="FG246">IFERROR(INDEX(球員狀態!Z$2:Z$5000, MATCH(1, (球員狀態!$A$2:$A$5000=$EI$241)*(ISNUMBER(SEARCH($EI246, 球員狀態!$B$2:$B$5000))), 0)), "")</f>
        <v/>
      </c>
      <c r="FH246" s="4" t="str">
        <f t="array" ref="FH246">IFERROR(INDEX(球員狀態!AA$2:AA$5000, MATCH(1, (球員狀態!$A$2:$A$5000=$EI$241)*(ISNUMBER(SEARCH($EI246, 球員狀態!$B$2:$B$5000))), 0)), "")</f>
        <v/>
      </c>
      <c r="FI246" s="4" t="str">
        <f t="array" ref="FI246">IFERROR(INDEX(球員狀態!AB$2:AB$5000, MATCH(1, (球員狀態!$A$2:$A$5000=$EI$241)*(ISNUMBER(SEARCH($EI246, 球員狀態!$B$2:$B$5000))), 0)), "")</f>
        <v/>
      </c>
    </row>
    <row r="247" spans="110:165">
      <c r="DF247" s="33"/>
      <c r="DG247" s="4"/>
      <c r="DH247" s="40" t="e">
        <f>DJ247+DL247+DM247+DN247+DO247-DP247-DQ247+DR247</f>
        <v>#VALUE!</v>
      </c>
      <c r="DI247" s="42" t="e">
        <f>DU247+DX247+EA247+ED247+EE247+EF247</f>
        <v>#VALUE!</v>
      </c>
      <c r="DJ247" s="38" t="e">
        <f>VLOOKUP(DJ246*1, FK$2:FM$12, 3, TRUE)*FM$1</f>
        <v>#VALUE!</v>
      </c>
      <c r="DL247" s="38" t="e">
        <f>VLOOKUP(DL246*1, FN$2:FP$12, 3, TRUE)*FP$1</f>
        <v>#VALUE!</v>
      </c>
      <c r="DM247" s="38" t="e">
        <f>VLOOKUP(DM246*1, FQ$2:FS$12, 3, TRUE)*FS$1</f>
        <v>#VALUE!</v>
      </c>
      <c r="DN247" s="38" t="e">
        <f>VLOOKUP(DN246*1, FT$2:FV$12, 3, TRUE)*FV$1</f>
        <v>#VALUE!</v>
      </c>
      <c r="DO247" s="38" t="e">
        <f>VLOOKUP(DO246*1, FW$2:FY$12, 3, TRUE)*FY$1</f>
        <v>#VALUE!</v>
      </c>
      <c r="DP247" s="39" t="e">
        <f>VLOOKUP(DP246*1, FK$14:FM$25, 3, TRUE)*FM$14</f>
        <v>#VALUE!</v>
      </c>
      <c r="DQ247" s="39" t="e">
        <f>VLOOKUP(DQ246*1, FN$14:FP$25, 3, TRUE)*FP$14</f>
        <v>#VALUE!</v>
      </c>
      <c r="DR247" s="38" t="e">
        <f>VLOOKUP(DR246*1, FQ$14:FS$25, 3, TRUE)*FS$14</f>
        <v>#VALUE!</v>
      </c>
      <c r="DU247" s="41" t="e">
        <f>VLOOKUP(DU246*1, FK$27:FM$38, 3, TRUE)*FM$27</f>
        <v>#VALUE!</v>
      </c>
      <c r="DX247" s="41" t="e">
        <f>VLOOKUP(DX246*1, FN$27:FP$38, 3, TRUE)*FP$27</f>
        <v>#VALUE!</v>
      </c>
      <c r="EA247" s="41" t="e">
        <f>VLOOKUP(EA246*1, FQ$27:FS$38, 3, TRUE)*FS$27</f>
        <v>#VALUE!</v>
      </c>
      <c r="ED247" s="41" t="e">
        <f>VLOOKUP(ED246*1, FT$27:FV$38, 3, TRUE)*FV$27</f>
        <v>#VALUE!</v>
      </c>
      <c r="EE247" s="41" t="e">
        <f>VLOOKUP(EE246*1, FW$27:FY$38, 3, TRUE)*FY$27</f>
        <v>#VALUE!</v>
      </c>
      <c r="EF247" s="41" t="e">
        <f>VLOOKUP(EF246*1, FK$40:FM$51, 3, TRUE)*FM$40</f>
        <v>#VALUE!</v>
      </c>
      <c r="EG247" s="57"/>
      <c r="EI247" s="33"/>
      <c r="EJ247" s="4"/>
      <c r="EK247" s="40" t="e">
        <f>EM247+EO247+EP247+EQ247+ER247-ES247-ET247+EU247</f>
        <v>#VALUE!</v>
      </c>
      <c r="EL247" s="42" t="e">
        <f>EX247+FA247+FD247+FG247+FH247+FI247</f>
        <v>#VALUE!</v>
      </c>
      <c r="EM247" s="38" t="e">
        <f>VLOOKUP(EM246*1, $FK$2:$FM$12, 3, TRUE)*$FM$1</f>
        <v>#VALUE!</v>
      </c>
      <c r="EO247" s="38" t="e">
        <f>VLOOKUP(EO246*1, $FN$2:$FP$12, 3, TRUE)*$FP$1</f>
        <v>#VALUE!</v>
      </c>
      <c r="EP247" s="38" t="e">
        <f>VLOOKUP(EP246*1, $FQ$2:$FS$12, 3, TRUE)*$FS$1</f>
        <v>#VALUE!</v>
      </c>
      <c r="EQ247" s="38" t="e">
        <f>VLOOKUP(EQ246*1, $FT$2:$FV$12, 3, TRUE)*$FV$1</f>
        <v>#VALUE!</v>
      </c>
      <c r="ER247" s="38" t="e">
        <f>VLOOKUP(ER246*1, $FW$2:$FY$12, 3, TRUE)*$FY$1</f>
        <v>#VALUE!</v>
      </c>
      <c r="ES247" s="39" t="e">
        <f>VLOOKUP(ES246*1, $FK$14:$FM$25, 3, TRUE)*$FM$14</f>
        <v>#VALUE!</v>
      </c>
      <c r="ET247" s="39" t="e">
        <f>VLOOKUP(ET246*1, $FN$14:$FP$25, 3, TRUE)*$FP$14</f>
        <v>#VALUE!</v>
      </c>
      <c r="EU247" s="38" t="e">
        <f>VLOOKUP(EU246*1, $FQ$14:$FS$25, 3, TRUE)*$FS$14</f>
        <v>#VALUE!</v>
      </c>
      <c r="EX247" s="41" t="e">
        <f>VLOOKUP(EX246*1, $FK$27:$FM$38, 3, TRUE)*$FM$27</f>
        <v>#VALUE!</v>
      </c>
      <c r="FA247" s="41" t="e">
        <f>VLOOKUP(FA246*1, $FN$27:$FP$38, 3, TRUE)*$FP$27</f>
        <v>#VALUE!</v>
      </c>
      <c r="FD247" s="41" t="e">
        <f>VLOOKUP(FD246*1, $FQ$27:$FS$38, 3, TRUE)*$FS$27</f>
        <v>#VALUE!</v>
      </c>
      <c r="FG247" s="41" t="e">
        <f>VLOOKUP(FG246*1, $FT$27:$FV$38, 3, TRUE)*$FV$27</f>
        <v>#VALUE!</v>
      </c>
      <c r="FH247" s="41" t="e">
        <f>VLOOKUP(FH246*1, $FW$27:$FY$38, 3, TRUE)*$FY$27</f>
        <v>#VALUE!</v>
      </c>
      <c r="FI247" s="41" t="e">
        <f>VLOOKUP(FI246*1, $FK$40:$FM$51, 3, TRUE)*$FM$40</f>
        <v>#VALUE!</v>
      </c>
    </row>
    <row r="248" spans="110:165">
      <c r="DF248" s="35">
        <f>先發名單!H$10</f>
        <v>0</v>
      </c>
      <c r="DG248" s="4" t="str">
        <f t="array" ref="DG248">IFERROR(INDEX(球員狀態!$C$2:$C$5000, MATCH(1, (球員狀態!$A$2:$A$5000=$DF$241)*(ISNUMBER(SEARCH($DF248, 球員狀態!$B$2:$B$5000))), 0)), "")</f>
        <v/>
      </c>
      <c r="DJ248" s="4" t="str">
        <f t="array" ref="DJ248">IFERROR(INDEX(球員狀態!$F$2:$F$5000,MATCH(1,(球員狀態!$A$2:$A$5000=$DF$241)*(ISNUMBER(SEARCH($DF248,球員狀態!$B$2:$B$5000))),0)),"")</f>
        <v/>
      </c>
      <c r="DK248" s="4" t="str">
        <f t="array" ref="DK248">IFERROR(INDEX(球員狀態!G$2:G$5000, MATCH(1, (球員狀態!$A$2:$A$5000=$DF$1)*(ISNUMBER(SEARCH($DF248, 球員狀態!$B$2:$B$5000))), 0)), "")</f>
        <v/>
      </c>
      <c r="DL248" s="4" t="str">
        <f t="array" ref="DL248">IFERROR(INDEX(球員狀態!H$2:H$5000, MATCH(1, (球員狀態!$A$2:$A$5000=$DF$241)*(ISNUMBER(SEARCH($DF248, 球員狀態!$B$2:$B$5000))), 0)), "")</f>
        <v/>
      </c>
      <c r="DM248" s="4" t="str">
        <f t="array" ref="DM248">IFERROR(INDEX(球員狀態!I$2:I$5000,MATCH(1,(球員狀態!$A$2:$A$5000=$DF$241)*(ISNUMBER(SEARCH($DF248,球員狀態!$B$2:$B$5000))),0)),"")</f>
        <v/>
      </c>
      <c r="DN248" s="4" t="str">
        <f t="array" ref="DN248">IFERROR(INDEX(球員狀態!J$2:J$5000,MATCH(1,(球員狀態!$A$2:$A$5000=$DF$241)*(ISNUMBER(SEARCH($DF248,球員狀態!$B$2:$B$5000))),0)),"")</f>
        <v/>
      </c>
      <c r="DO248" s="4" t="str">
        <f t="array" ref="DO248">IFERROR(INDEX(球員狀態!K$2:K$5000,MATCH(1,(球員狀態!$A$2:$A$5000=$DF$241)*(ISNUMBER(SEARCH($DF248,球員狀態!$B$2:$B$5000))),0)),"")</f>
        <v/>
      </c>
      <c r="DP248" s="4" t="str">
        <f t="array" ref="DP248">IFERROR(INDEX(球員狀態!L$2:L$5000,MATCH(1,(球員狀態!$A$2:$A$5000=$DF$241)*(ISNUMBER(SEARCH($DF248,球員狀態!$B$2:$B$5000))),0)),"")</f>
        <v/>
      </c>
      <c r="DQ248" s="4" t="str">
        <f t="array" ref="DQ248">IFERROR(INDEX(球員狀態!M$2:M$5000,MATCH(1,(球員狀態!$A$2:$A$5000=$DF$241)*(ISNUMBER(SEARCH($DF248,球員狀態!$B$2:$B$5000))),0)),"")</f>
        <v/>
      </c>
      <c r="DR248" s="4" t="str">
        <f t="array" ref="DR248">IFERROR(INDEX(球員狀態!N$2:N$5000,MATCH(1,(球員狀態!$A$2:$A$5000=$DF$241)*(ISNUMBER(SEARCH($DF248,球員狀態!$B$2:$B$5000))),0)),"")</f>
        <v/>
      </c>
      <c r="DS248" s="4" t="str">
        <f t="array" ref="DS248">IFERROR(INDEX(球員狀態!O$2:O$5000, MATCH(1, (球員狀態!$A$2:$A$5000=$DF$1)*(ISNUMBER(SEARCH($DF248, 球員狀態!$B$2:$B$5000))), 0)), "")</f>
        <v/>
      </c>
      <c r="DT248" s="4" t="str">
        <f t="array" ref="DT248">IFERROR(INDEX(球員狀態!P$2:P$5000, MATCH(1, (球員狀態!$A$2:$A$5000=$DF$1)*(ISNUMBER(SEARCH($DF248, 球員狀態!$B$2:$B$5000))), 0)), "")</f>
        <v/>
      </c>
      <c r="DU248" s="4" t="str">
        <f t="array" ref="DU248">IFERROR(INDEX(球員狀態!Q$2:Q$5000,MATCH(1,(球員狀態!$A$2:$A$5000=$DF$241)*(ISNUMBER(SEARCH($DF248,球員狀態!$B$2:$B$5000))),0)),"")</f>
        <v/>
      </c>
      <c r="DV248" s="4" t="str">
        <f t="array" ref="DV248">IFERROR(INDEX(球員狀態!R$2:R$5000, MATCH(1, (球員狀態!$A$2:$A$5000=$DF$1)*(ISNUMBER(SEARCH($DF248, 球員狀態!$B$2:$B$5000))), 0)), "")</f>
        <v/>
      </c>
      <c r="DW248" s="4" t="str">
        <f t="array" ref="DW248">IFERROR(INDEX(球員狀態!S$2:S$5000, MATCH(1, (球員狀態!$A$2:$A$5000=$DF$1)*(ISNUMBER(SEARCH($DF248, 球員狀態!$B$2:$B$5000))), 0)), "")</f>
        <v/>
      </c>
      <c r="DX248" s="4" t="str">
        <f t="array" ref="DX248">IFERROR(INDEX(球員狀態!T$2:T$5000,MATCH(1,(球員狀態!$A$2:$A$5000=$DF$241)*(ISNUMBER(SEARCH($DF248,球員狀態!$B$2:$B$5000))),0)),"")</f>
        <v/>
      </c>
      <c r="DY248" s="4" t="str">
        <f t="array" ref="DY248">IFERROR(INDEX(球員狀態!U$2:U$5000, MATCH(1, (球員狀態!$A$2:$A$5000=$DF$1)*(ISNUMBER(SEARCH($DF248, 球員狀態!$B$2:$B$5000))), 0)), "")</f>
        <v/>
      </c>
      <c r="DZ248" s="4" t="str">
        <f t="array" ref="DZ248">IFERROR(INDEX(球員狀態!V$2:V$5000, MATCH(1, (球員狀態!$A$2:$A$5000=$DF$1)*(ISNUMBER(SEARCH($DF248, 球員狀態!$B$2:$B$5000))), 0)), "")</f>
        <v/>
      </c>
      <c r="EA248" s="4" t="str">
        <f t="array" ref="EA248">IFERROR(INDEX(球員狀態!W$2:W$5000,MATCH(1,(球員狀態!$A$2:$A$5000=$DF$241)*(ISNUMBER(SEARCH($DF248,球員狀態!$B$2:$B$5000))),0)),"")</f>
        <v/>
      </c>
      <c r="EB248" s="4" t="str">
        <f t="array" ref="EB248">IFERROR(INDEX(球員狀態!X$2:X$5000, MATCH(1, (球員狀態!$A$2:$A$5000=$DF$1)*(ISNUMBER(SEARCH($DF248, 球員狀態!$B$2:$B$5000))), 0)), "")</f>
        <v/>
      </c>
      <c r="EC248" s="4" t="str">
        <f t="array" ref="EC248">IFERROR(INDEX(球員狀態!Y$2:Y$5000, MATCH(1, (球員狀態!$A$2:$A$5000=$DF$1)*(ISNUMBER(SEARCH($DF248, 球員狀態!$B$2:$B$5000))), 0)), "")</f>
        <v/>
      </c>
      <c r="ED248" s="4" t="str">
        <f t="array" ref="ED248">IFERROR(INDEX(球員狀態!Z$2:Z$5000,MATCH(1,(球員狀態!$A$2:$A$5000=$DF$241)*(ISNUMBER(SEARCH($DF248,球員狀態!$B$2:$B$5000))),0)),"")</f>
        <v/>
      </c>
      <c r="EE248" s="4" t="str">
        <f t="array" ref="EE248">IFERROR(INDEX(球員狀態!AA$2:AA$5000,MATCH(1,(球員狀態!$A$2:$A$5000=$DF$241)*(ISNUMBER(SEARCH($DF248,球員狀態!$B$2:$B$5000))),0)),"")</f>
        <v/>
      </c>
      <c r="EF248" s="4" t="str">
        <f t="array" ref="EF248">IFERROR(INDEX(球員狀態!AB$2:AB$5000,MATCH(1,(球員狀態!$A$2:$A$5000=$DF$241)*(ISNUMBER(SEARCH($DF248,球員狀態!$B$2:$B$5000))),0)),"")</f>
        <v/>
      </c>
      <c r="EG248" s="56"/>
      <c r="EI248" s="35">
        <f>先發名單!R$10</f>
        <v>0</v>
      </c>
      <c r="EJ248" s="4" t="str">
        <f t="array" ref="EJ248">IFERROR(INDEX(球員狀態!C$2:C$5000, MATCH(1, (球員狀態!$A$2:$A$5000=$EI$241)*(ISNUMBER(SEARCH($EI248, 球員狀態!$B$2:$B$5000))), 0)), "")</f>
        <v/>
      </c>
      <c r="EM248" s="4" t="str">
        <f t="array" ref="EM248">IFERROR(INDEX(球員狀態!F$2:F$5000, MATCH(1, (球員狀態!$A$2:$A$5000=$EI$241)*(ISNUMBER(SEARCH($EI248, 球員狀態!$B$2:$B$5000))), 0)), "")</f>
        <v/>
      </c>
      <c r="EN248" s="4" t="str">
        <f t="array" ref="EN248">IFERROR(INDEX(球員狀態!G$2:G$5000, MATCH(1, (球員狀態!$A$2:$A$5000=$EI$1)*(ISNUMBER(SEARCH($EI248, 球員狀態!$B$2:$B$5000))), 0)), "")</f>
        <v/>
      </c>
      <c r="EO248" s="4" t="str">
        <f t="array" ref="EO248">IFERROR(INDEX(球員狀態!H$2:H$5000, MATCH(1, (球員狀態!$A$2:$A$5000=$EI$241)*(ISNUMBER(SEARCH($EI248, 球員狀態!$B$2:$B$5000))), 0)), "")</f>
        <v/>
      </c>
      <c r="EP248" s="4" t="str">
        <f t="array" ref="EP248">IFERROR(INDEX(球員狀態!I$2:I$5000, MATCH(1, (球員狀態!$A$2:$A$5000=$EI$241)*(ISNUMBER(SEARCH($EI248, 球員狀態!$B$2:$B$5000))), 0)), "")</f>
        <v/>
      </c>
      <c r="EQ248" s="4" t="str">
        <f t="array" ref="EQ248">IFERROR(INDEX(球員狀態!J$2:J$5000, MATCH(1, (球員狀態!$A$2:$A$5000=$EI$241)*(ISNUMBER(SEARCH($EI248, 球員狀態!$B$2:$B$5000))), 0)), "")</f>
        <v/>
      </c>
      <c r="ER248" s="4" t="str">
        <f t="array" ref="ER248">IFERROR(INDEX(球員狀態!K$2:K$5000, MATCH(1, (球員狀態!$A$2:$A$5000=$EI$241)*(ISNUMBER(SEARCH($EI248, 球員狀態!$B$2:$B$5000))), 0)), "")</f>
        <v/>
      </c>
      <c r="ES248" s="4" t="str">
        <f t="array" ref="ES248">IFERROR(INDEX(球員狀態!L$2:L$5000, MATCH(1, (球員狀態!$A$2:$A$5000=$EI$241)*(ISNUMBER(SEARCH($EI248, 球員狀態!$B$2:$B$5000))), 0)), "")</f>
        <v/>
      </c>
      <c r="ET248" s="4" t="str">
        <f t="array" ref="ET248">IFERROR(INDEX(球員狀態!M$2:M$5000, MATCH(1, (球員狀態!$A$2:$A$5000=$EI$241)*(ISNUMBER(SEARCH($EI248, 球員狀態!$B$2:$B$5000))), 0)), "")</f>
        <v/>
      </c>
      <c r="EU248" s="4" t="str">
        <f t="array" ref="EU248">IFERROR(INDEX(球員狀態!N$2:N$5000, MATCH(1, (球員狀態!$A$2:$A$5000=$EI$241)*(ISNUMBER(SEARCH($EI248, 球員狀態!$B$2:$B$5000))), 0)), "")</f>
        <v/>
      </c>
      <c r="EV248" s="4" t="str">
        <f t="array" ref="EV248">IFERROR(INDEX(球員狀態!O$2:O$5000, MATCH(1, (球員狀態!$A$2:$A$5000=$EI$1)*(ISNUMBER(SEARCH($EI248, 球員狀態!$B$2:$B$5000))), 0)), "")</f>
        <v/>
      </c>
      <c r="EW248" s="4" t="str">
        <f t="array" ref="EW248">IFERROR(INDEX(球員狀態!P$2:P$5000, MATCH(1, (球員狀態!$A$2:$A$5000=$EI$1)*(ISNUMBER(SEARCH($EI248, 球員狀態!$B$2:$B$5000))), 0)), "")</f>
        <v/>
      </c>
      <c r="EX248" s="4" t="str">
        <f t="array" ref="EX248">IFERROR(INDEX(球員狀態!Q$2:Q$5000, MATCH(1, (球員狀態!$A$2:$A$5000=$EI$241)*(ISNUMBER(SEARCH($EI248, 球員狀態!$B$2:$B$5000))), 0)), "")</f>
        <v/>
      </c>
      <c r="EY248" s="4" t="str">
        <f t="array" ref="EY248">IFERROR(INDEX(球員狀態!R$2:R$5000, MATCH(1, (球員狀態!$A$2:$A$5000=$EI$1)*(ISNUMBER(SEARCH($EI248, 球員狀態!$B$2:$B$5000))), 0)), "")</f>
        <v/>
      </c>
      <c r="EZ248" s="4" t="str">
        <f t="array" ref="EZ248">IFERROR(INDEX(球員狀態!S$2:S$5000, MATCH(1, (球員狀態!$A$2:$A$5000=$EI$1)*(ISNUMBER(SEARCH($EI248, 球員狀態!$B$2:$B$5000))), 0)), "")</f>
        <v/>
      </c>
      <c r="FA248" s="4" t="str">
        <f t="array" ref="FA248">IFERROR(INDEX(球員狀態!T$2:T$5000, MATCH(1, (球員狀態!$A$2:$A$5000=$EI$241)*(ISNUMBER(SEARCH($EI248, 球員狀態!$B$2:$B$5000))), 0)), "")</f>
        <v/>
      </c>
      <c r="FB248" s="4" t="str">
        <f t="array" ref="FB248">IFERROR(INDEX(球員狀態!U$2:U$5000, MATCH(1, (球員狀態!$A$2:$A$5000=$EI$1)*(ISNUMBER(SEARCH($EI248, 球員狀態!$B$2:$B$5000))), 0)), "")</f>
        <v/>
      </c>
      <c r="FC248" s="4" t="str">
        <f t="array" ref="FC248">IFERROR(INDEX(球員狀態!V$2:V$5000, MATCH(1, (球員狀態!$A$2:$A$5000=$EI$1)*(ISNUMBER(SEARCH($EI248, 球員狀態!$B$2:$B$5000))), 0)), "")</f>
        <v/>
      </c>
      <c r="FD248" s="4" t="str">
        <f t="array" ref="FD248">IFERROR(INDEX(球員狀態!W$2:W$5000, MATCH(1, (球員狀態!$A$2:$A$5000=$EI$241)*(ISNUMBER(SEARCH($EI248, 球員狀態!$B$2:$B$5000))), 0)), "")</f>
        <v/>
      </c>
      <c r="FE248" s="4" t="str">
        <f t="array" ref="FE248">IFERROR(INDEX(球員狀態!X$2:X$5000, MATCH(1, (球員狀態!$A$2:$A$5000=$EI$1)*(ISNUMBER(SEARCH($EI248, 球員狀態!$B$2:$B$5000))), 0)), "")</f>
        <v/>
      </c>
      <c r="FF248" s="4" t="str">
        <f t="array" ref="FF248">IFERROR(INDEX(球員狀態!Y$2:Y$5000, MATCH(1, (球員狀態!$A$2:$A$5000=$EI$1)*(ISNUMBER(SEARCH($EI248, 球員狀態!$B$2:$B$5000))), 0)), "")</f>
        <v/>
      </c>
      <c r="FG248" s="4" t="str">
        <f t="array" ref="FG248">IFERROR(INDEX(球員狀態!Z$2:Z$5000, MATCH(1, (球員狀態!$A$2:$A$5000=$EI$241)*(ISNUMBER(SEARCH($EI248, 球員狀態!$B$2:$B$5000))), 0)), "")</f>
        <v/>
      </c>
      <c r="FH248" s="4" t="str">
        <f t="array" ref="FH248">IFERROR(INDEX(球員狀態!AA$2:AA$5000, MATCH(1, (球員狀態!$A$2:$A$5000=$EI$241)*(ISNUMBER(SEARCH($EI248, 球員狀態!$B$2:$B$5000))), 0)), "")</f>
        <v/>
      </c>
      <c r="FI248" s="4" t="str">
        <f t="array" ref="FI248">IFERROR(INDEX(球員狀態!AB$2:AB$5000, MATCH(1, (球員狀態!$A$2:$A$5000=$EI$241)*(ISNUMBER(SEARCH($EI248, 球員狀態!$B$2:$B$5000))), 0)), "")</f>
        <v/>
      </c>
    </row>
    <row r="249" spans="110:165">
      <c r="DF249" s="33"/>
      <c r="DG249" s="4"/>
      <c r="DH249" s="40" t="e">
        <f>DJ249+DL249+DM249+DN249+DO249-DP249-DQ249+DR249</f>
        <v>#VALUE!</v>
      </c>
      <c r="DI249" s="42" t="e">
        <f>DU249+DX249+EA249+ED249+EE249+EF249</f>
        <v>#VALUE!</v>
      </c>
      <c r="DJ249" s="38" t="e">
        <f>VLOOKUP(DJ248*1, FK$2:FM$12, 3, TRUE)*FM$1</f>
        <v>#VALUE!</v>
      </c>
      <c r="DL249" s="38" t="e">
        <f>VLOOKUP(DL248*1, FN$2:FP$12, 3, TRUE)*FP$1</f>
        <v>#VALUE!</v>
      </c>
      <c r="DM249" s="38" t="e">
        <f>VLOOKUP(DM248*1, FQ$2:FS$12, 3, TRUE)*FS$1</f>
        <v>#VALUE!</v>
      </c>
      <c r="DN249" s="38" t="e">
        <f>VLOOKUP(DN248*1, FT$2:FV$12, 3, TRUE)*FV$1</f>
        <v>#VALUE!</v>
      </c>
      <c r="DO249" s="38" t="e">
        <f>VLOOKUP(DO248*1, FW$2:FY$12, 3, TRUE)*FY$1</f>
        <v>#VALUE!</v>
      </c>
      <c r="DP249" s="39" t="e">
        <f>VLOOKUP(DP248*1, FK$14:FM$25, 3, TRUE)*FM$14</f>
        <v>#VALUE!</v>
      </c>
      <c r="DQ249" s="39" t="e">
        <f>VLOOKUP(DQ248*1, FN$14:FP$25, 3, TRUE)*FP$14</f>
        <v>#VALUE!</v>
      </c>
      <c r="DR249" s="38" t="e">
        <f>VLOOKUP(DR248*1, FQ$14:FS$25, 3, TRUE)*FS$14</f>
        <v>#VALUE!</v>
      </c>
      <c r="DU249" s="41" t="e">
        <f>VLOOKUP(DU248*1, FK$27:FM$38, 3, TRUE)*FM$27</f>
        <v>#VALUE!</v>
      </c>
      <c r="DX249" s="41" t="e">
        <f>VLOOKUP(DX248*1, FN$27:FP$38, 3, TRUE)*FP$27</f>
        <v>#VALUE!</v>
      </c>
      <c r="EA249" s="41" t="e">
        <f>VLOOKUP(EA248*1, FQ$27:FS$38, 3, TRUE)*FS$27</f>
        <v>#VALUE!</v>
      </c>
      <c r="ED249" s="41" t="e">
        <f>VLOOKUP(ED248*1, FT$27:FV$38, 3, TRUE)*FV$27</f>
        <v>#VALUE!</v>
      </c>
      <c r="EE249" s="41" t="e">
        <f>VLOOKUP(EE248*1, FW$27:FY$38, 3, TRUE)*FY$27</f>
        <v>#VALUE!</v>
      </c>
      <c r="EF249" s="41" t="e">
        <f>VLOOKUP(EF248*1, FK$40:FM$51, 3, TRUE)*FM$40</f>
        <v>#VALUE!</v>
      </c>
      <c r="EG249" s="57"/>
      <c r="EI249" s="33"/>
      <c r="EJ249" s="4"/>
      <c r="EK249" s="40" t="e">
        <f>EM249+EO249+EP249+EQ249+ER249-ES249-ET249+EU249</f>
        <v>#VALUE!</v>
      </c>
      <c r="EL249" s="42" t="e">
        <f>EX249+FA249+FD249+FG249+FH249+FI249</f>
        <v>#VALUE!</v>
      </c>
      <c r="EM249" s="38" t="e">
        <f>VLOOKUP(EM248*1, $FK$2:$FM$12, 3, TRUE)*$FM$1</f>
        <v>#VALUE!</v>
      </c>
      <c r="EO249" s="38" t="e">
        <f>VLOOKUP(EO248*1, $FN$2:$FP$12, 3, TRUE)*$FP$1</f>
        <v>#VALUE!</v>
      </c>
      <c r="EP249" s="38" t="e">
        <f>VLOOKUP(EP248*1, $FQ$2:$FS$12, 3, TRUE)*$FS$1</f>
        <v>#VALUE!</v>
      </c>
      <c r="EQ249" s="38" t="e">
        <f>VLOOKUP(EQ248*1, $FT$2:$FV$12, 3, TRUE)*$FV$1</f>
        <v>#VALUE!</v>
      </c>
      <c r="ER249" s="38" t="e">
        <f>VLOOKUP(ER248*1, $FW$2:$FY$12, 3, TRUE)*$FY$1</f>
        <v>#VALUE!</v>
      </c>
      <c r="ES249" s="39" t="e">
        <f>VLOOKUP(ES248*1, $FK$14:$FM$25, 3, TRUE)*$FM$14</f>
        <v>#VALUE!</v>
      </c>
      <c r="ET249" s="39" t="e">
        <f>VLOOKUP(ET248*1, $FN$14:$FP$25, 3, TRUE)*$FP$14</f>
        <v>#VALUE!</v>
      </c>
      <c r="EU249" s="38" t="e">
        <f>VLOOKUP(EU248*1, $FQ$14:$FS$25, 3, TRUE)*$FS$14</f>
        <v>#VALUE!</v>
      </c>
      <c r="EX249" s="41" t="e">
        <f>VLOOKUP(EX248*1, $FK$27:$FM$38, 3, TRUE)*$FM$27</f>
        <v>#VALUE!</v>
      </c>
      <c r="FA249" s="41" t="e">
        <f>VLOOKUP(FA248*1, $FN$27:$FP$38, 3, TRUE)*$FP$27</f>
        <v>#VALUE!</v>
      </c>
      <c r="FD249" s="41" t="e">
        <f>VLOOKUP(FD248*1, $FQ$27:$FS$38, 3, TRUE)*$FS$27</f>
        <v>#VALUE!</v>
      </c>
      <c r="FG249" s="41" t="e">
        <f>VLOOKUP(FG248*1, $FT$27:$FV$38, 3, TRUE)*$FV$27</f>
        <v>#VALUE!</v>
      </c>
      <c r="FH249" s="41" t="e">
        <f>VLOOKUP(FH248*1, $FW$27:$FY$38, 3, TRUE)*$FY$27</f>
        <v>#VALUE!</v>
      </c>
      <c r="FI249" s="41" t="e">
        <f>VLOOKUP(FI248*1, $FK$40:$FM$51, 3, TRUE)*$FM$40</f>
        <v>#VALUE!</v>
      </c>
    </row>
    <row r="250" spans="110:165">
      <c r="DF250" s="35">
        <f>先發名單!I$10</f>
        <v>0</v>
      </c>
      <c r="DG250" s="4" t="str">
        <f t="array" ref="DG250">IFERROR(INDEX(球員狀態!$C$2:$C$5000, MATCH(1, (球員狀態!$A$2:$A$5000=$DF$241)*(ISNUMBER(SEARCH($DF250, 球員狀態!$B$2:$B$5000))), 0)), "")</f>
        <v/>
      </c>
      <c r="DJ250" s="4" t="str">
        <f t="array" ref="DJ250">IFERROR(INDEX(球員狀態!$F$2:$F$5000,MATCH(1,(球員狀態!$A$2:$A$5000=$DF$241)*(ISNUMBER(SEARCH($DF250,球員狀態!$B$2:$B$5000))),0)),"")</f>
        <v/>
      </c>
      <c r="DK250" s="4" t="str">
        <f t="array" ref="DK250">IFERROR(INDEX(球員狀態!G$2:G$5000, MATCH(1, (球員狀態!$A$2:$A$5000=$DF$1)*(ISNUMBER(SEARCH($DF250, 球員狀態!$B$2:$B$5000))), 0)), "")</f>
        <v/>
      </c>
      <c r="DL250" s="4" t="str">
        <f t="array" ref="DL250">IFERROR(INDEX(球員狀態!H$2:H$5000, MATCH(1, (球員狀態!$A$2:$A$5000=$DF$241)*(ISNUMBER(SEARCH($DF250, 球員狀態!$B$2:$B$5000))), 0)), "")</f>
        <v/>
      </c>
      <c r="DM250" s="4" t="str">
        <f t="array" ref="DM250">IFERROR(INDEX(球員狀態!I$2:I$5000,MATCH(1,(球員狀態!$A$2:$A$5000=$DF$241)*(ISNUMBER(SEARCH($DF250,球員狀態!$B$2:$B$5000))),0)),"")</f>
        <v/>
      </c>
      <c r="DN250" s="4" t="str">
        <f t="array" ref="DN250">IFERROR(INDEX(球員狀態!J$2:J$5000,MATCH(1,(球員狀態!$A$2:$A$5000=$DF$241)*(ISNUMBER(SEARCH($DF250,球員狀態!$B$2:$B$5000))),0)),"")</f>
        <v/>
      </c>
      <c r="DO250" s="4" t="str">
        <f t="array" ref="DO250">IFERROR(INDEX(球員狀態!K$2:K$5000,MATCH(1,(球員狀態!$A$2:$A$5000=$DF$241)*(ISNUMBER(SEARCH($DF250,球員狀態!$B$2:$B$5000))),0)),"")</f>
        <v/>
      </c>
      <c r="DP250" s="4" t="str">
        <f t="array" ref="DP250">IFERROR(INDEX(球員狀態!L$2:L$5000,MATCH(1,(球員狀態!$A$2:$A$5000=$DF$241)*(ISNUMBER(SEARCH($DF250,球員狀態!$B$2:$B$5000))),0)),"")</f>
        <v/>
      </c>
      <c r="DQ250" s="4" t="str">
        <f t="array" ref="DQ250">IFERROR(INDEX(球員狀態!M$2:M$5000,MATCH(1,(球員狀態!$A$2:$A$5000=$DF$241)*(ISNUMBER(SEARCH($DF250,球員狀態!$B$2:$B$5000))),0)),"")</f>
        <v/>
      </c>
      <c r="DR250" s="4" t="str">
        <f t="array" ref="DR250">IFERROR(INDEX(球員狀態!N$2:N$5000,MATCH(1,(球員狀態!$A$2:$A$5000=$DF$241)*(ISNUMBER(SEARCH($DF250,球員狀態!$B$2:$B$5000))),0)),"")</f>
        <v/>
      </c>
      <c r="DS250" s="4" t="str">
        <f t="array" ref="DS250">IFERROR(INDEX(球員狀態!O$2:O$5000, MATCH(1, (球員狀態!$A$2:$A$5000=$DF$1)*(ISNUMBER(SEARCH($DF250, 球員狀態!$B$2:$B$5000))), 0)), "")</f>
        <v/>
      </c>
      <c r="DT250" s="4" t="str">
        <f t="array" ref="DT250">IFERROR(INDEX(球員狀態!P$2:P$5000, MATCH(1, (球員狀態!$A$2:$A$5000=$DF$1)*(ISNUMBER(SEARCH($DF250, 球員狀態!$B$2:$B$5000))), 0)), "")</f>
        <v/>
      </c>
      <c r="DU250" s="4" t="str">
        <f t="array" ref="DU250">IFERROR(INDEX(球員狀態!Q$2:Q$5000,MATCH(1,(球員狀態!$A$2:$A$5000=$DF$241)*(ISNUMBER(SEARCH($DF250,球員狀態!$B$2:$B$5000))),0)),"")</f>
        <v/>
      </c>
      <c r="DV250" s="4" t="str">
        <f t="array" ref="DV250">IFERROR(INDEX(球員狀態!R$2:R$5000, MATCH(1, (球員狀態!$A$2:$A$5000=$DF$1)*(ISNUMBER(SEARCH($DF250, 球員狀態!$B$2:$B$5000))), 0)), "")</f>
        <v/>
      </c>
      <c r="DW250" s="4" t="str">
        <f t="array" ref="DW250">IFERROR(INDEX(球員狀態!S$2:S$5000, MATCH(1, (球員狀態!$A$2:$A$5000=$DF$1)*(ISNUMBER(SEARCH($DF250, 球員狀態!$B$2:$B$5000))), 0)), "")</f>
        <v/>
      </c>
      <c r="DX250" s="4" t="str">
        <f t="array" ref="DX250">IFERROR(INDEX(球員狀態!T$2:T$5000,MATCH(1,(球員狀態!$A$2:$A$5000=$DF$241)*(ISNUMBER(SEARCH($DF250,球員狀態!$B$2:$B$5000))),0)),"")</f>
        <v/>
      </c>
      <c r="DY250" s="4" t="str">
        <f t="array" ref="DY250">IFERROR(INDEX(球員狀態!U$2:U$5000, MATCH(1, (球員狀態!$A$2:$A$5000=$DF$1)*(ISNUMBER(SEARCH($DF250, 球員狀態!$B$2:$B$5000))), 0)), "")</f>
        <v/>
      </c>
      <c r="DZ250" s="4" t="str">
        <f t="array" ref="DZ250">IFERROR(INDEX(球員狀態!V$2:V$5000, MATCH(1, (球員狀態!$A$2:$A$5000=$DF$1)*(ISNUMBER(SEARCH($DF250, 球員狀態!$B$2:$B$5000))), 0)), "")</f>
        <v/>
      </c>
      <c r="EA250" s="4" t="str">
        <f t="array" ref="EA250">IFERROR(INDEX(球員狀態!W$2:W$5000,MATCH(1,(球員狀態!$A$2:$A$5000=$DF$241)*(ISNUMBER(SEARCH($DF250,球員狀態!$B$2:$B$5000))),0)),"")</f>
        <v/>
      </c>
      <c r="EB250" s="4" t="str">
        <f t="array" ref="EB250">IFERROR(INDEX(球員狀態!X$2:X$5000, MATCH(1, (球員狀態!$A$2:$A$5000=$DF$1)*(ISNUMBER(SEARCH($DF250, 球員狀態!$B$2:$B$5000))), 0)), "")</f>
        <v/>
      </c>
      <c r="EC250" s="4" t="str">
        <f t="array" ref="EC250">IFERROR(INDEX(球員狀態!Y$2:Y$5000, MATCH(1, (球員狀態!$A$2:$A$5000=$DF$1)*(ISNUMBER(SEARCH($DF250, 球員狀態!$B$2:$B$5000))), 0)), "")</f>
        <v/>
      </c>
      <c r="ED250" s="4" t="str">
        <f t="array" ref="ED250">IFERROR(INDEX(球員狀態!Z$2:Z$5000,MATCH(1,(球員狀態!$A$2:$A$5000=$DF$241)*(ISNUMBER(SEARCH($DF250,球員狀態!$B$2:$B$5000))),0)),"")</f>
        <v/>
      </c>
      <c r="EE250" s="4" t="str">
        <f t="array" ref="EE250">IFERROR(INDEX(球員狀態!AA$2:AA$5000,MATCH(1,(球員狀態!$A$2:$A$5000=$DF$241)*(ISNUMBER(SEARCH($DF250,球員狀態!$B$2:$B$5000))),0)),"")</f>
        <v/>
      </c>
      <c r="EF250" s="4" t="str">
        <f t="array" ref="EF250">IFERROR(INDEX(球員狀態!AB$2:AB$5000,MATCH(1,(球員狀態!$A$2:$A$5000=$DF$241)*(ISNUMBER(SEARCH($DF250,球員狀態!$B$2:$B$5000))),0)),"")</f>
        <v/>
      </c>
      <c r="EG250" s="56"/>
      <c r="EI250" s="35">
        <f>先發名單!S$10</f>
        <v>0</v>
      </c>
      <c r="EJ250" s="4" t="str">
        <f t="array" ref="EJ250">IFERROR(INDEX(球員狀態!C$2:C$5000, MATCH(1, (球員狀態!$A$2:$A$5000=$EI$241)*(ISNUMBER(SEARCH($EI250, 球員狀態!$B$2:$B$5000))), 0)), "")</f>
        <v/>
      </c>
      <c r="EM250" s="4" t="str">
        <f t="array" ref="EM250">IFERROR(INDEX(球員狀態!F$2:F$5000, MATCH(1, (球員狀態!$A$2:$A$5000=$EI$241)*(ISNUMBER(SEARCH($EI250, 球員狀態!$B$2:$B$5000))), 0)), "")</f>
        <v/>
      </c>
      <c r="EN250" s="4" t="str">
        <f t="array" ref="EN250">IFERROR(INDEX(球員狀態!G$2:G$5000, MATCH(1, (球員狀態!$A$2:$A$5000=$EI$1)*(ISNUMBER(SEARCH($EI250, 球員狀態!$B$2:$B$5000))), 0)), "")</f>
        <v/>
      </c>
      <c r="EO250" s="4" t="str">
        <f t="array" ref="EO250">IFERROR(INDEX(球員狀態!H$2:H$5000, MATCH(1, (球員狀態!$A$2:$A$5000=$EI$241)*(ISNUMBER(SEARCH($EI250, 球員狀態!$B$2:$B$5000))), 0)), "")</f>
        <v/>
      </c>
      <c r="EP250" s="4" t="str">
        <f t="array" ref="EP250">IFERROR(INDEX(球員狀態!I$2:I$5000, MATCH(1, (球員狀態!$A$2:$A$5000=$EI$241)*(ISNUMBER(SEARCH($EI250, 球員狀態!$B$2:$B$5000))), 0)), "")</f>
        <v/>
      </c>
      <c r="EQ250" s="4" t="str">
        <f t="array" ref="EQ250">IFERROR(INDEX(球員狀態!J$2:J$5000, MATCH(1, (球員狀態!$A$2:$A$5000=$EI$241)*(ISNUMBER(SEARCH($EI250, 球員狀態!$B$2:$B$5000))), 0)), "")</f>
        <v/>
      </c>
      <c r="ER250" s="4" t="str">
        <f t="array" ref="ER250">IFERROR(INDEX(球員狀態!K$2:K$5000, MATCH(1, (球員狀態!$A$2:$A$5000=$EI$241)*(ISNUMBER(SEARCH($EI250, 球員狀態!$B$2:$B$5000))), 0)), "")</f>
        <v/>
      </c>
      <c r="ES250" s="4" t="str">
        <f t="array" ref="ES250">IFERROR(INDEX(球員狀態!L$2:L$5000, MATCH(1, (球員狀態!$A$2:$A$5000=$EI$241)*(ISNUMBER(SEARCH($EI250, 球員狀態!$B$2:$B$5000))), 0)), "")</f>
        <v/>
      </c>
      <c r="ET250" s="4" t="str">
        <f t="array" ref="ET250">IFERROR(INDEX(球員狀態!M$2:M$5000, MATCH(1, (球員狀態!$A$2:$A$5000=$EI$241)*(ISNUMBER(SEARCH($EI250, 球員狀態!$B$2:$B$5000))), 0)), "")</f>
        <v/>
      </c>
      <c r="EU250" s="4" t="str">
        <f t="array" ref="EU250">IFERROR(INDEX(球員狀態!N$2:N$5000, MATCH(1, (球員狀態!$A$2:$A$5000=$EI$241)*(ISNUMBER(SEARCH($EI250, 球員狀態!$B$2:$B$5000))), 0)), "")</f>
        <v/>
      </c>
      <c r="EV250" s="4" t="str">
        <f t="array" ref="EV250">IFERROR(INDEX(球員狀態!O$2:O$5000, MATCH(1, (球員狀態!$A$2:$A$5000=$EI$1)*(ISNUMBER(SEARCH($EI250, 球員狀態!$B$2:$B$5000))), 0)), "")</f>
        <v/>
      </c>
      <c r="EW250" s="4" t="str">
        <f t="array" ref="EW250">IFERROR(INDEX(球員狀態!P$2:P$5000, MATCH(1, (球員狀態!$A$2:$A$5000=$EI$1)*(ISNUMBER(SEARCH($EI250, 球員狀態!$B$2:$B$5000))), 0)), "")</f>
        <v/>
      </c>
      <c r="EX250" s="4" t="str">
        <f t="array" ref="EX250">IFERROR(INDEX(球員狀態!Q$2:Q$5000, MATCH(1, (球員狀態!$A$2:$A$5000=$EI$241)*(ISNUMBER(SEARCH($EI250, 球員狀態!$B$2:$B$5000))), 0)), "")</f>
        <v/>
      </c>
      <c r="EY250" s="4" t="str">
        <f t="array" ref="EY250">IFERROR(INDEX(球員狀態!R$2:R$5000, MATCH(1, (球員狀態!$A$2:$A$5000=$EI$1)*(ISNUMBER(SEARCH($EI250, 球員狀態!$B$2:$B$5000))), 0)), "")</f>
        <v/>
      </c>
      <c r="EZ250" s="4" t="str">
        <f t="array" ref="EZ250">IFERROR(INDEX(球員狀態!S$2:S$5000, MATCH(1, (球員狀態!$A$2:$A$5000=$EI$1)*(ISNUMBER(SEARCH($EI250, 球員狀態!$B$2:$B$5000))), 0)), "")</f>
        <v/>
      </c>
      <c r="FA250" s="4" t="str">
        <f t="array" ref="FA250">IFERROR(INDEX(球員狀態!T$2:T$5000, MATCH(1, (球員狀態!$A$2:$A$5000=$EI$241)*(ISNUMBER(SEARCH($EI250, 球員狀態!$B$2:$B$5000))), 0)), "")</f>
        <v/>
      </c>
      <c r="FB250" s="4" t="str">
        <f t="array" ref="FB250">IFERROR(INDEX(球員狀態!U$2:U$5000, MATCH(1, (球員狀態!$A$2:$A$5000=$EI$1)*(ISNUMBER(SEARCH($EI250, 球員狀態!$B$2:$B$5000))), 0)), "")</f>
        <v/>
      </c>
      <c r="FC250" s="4" t="str">
        <f t="array" ref="FC250">IFERROR(INDEX(球員狀態!V$2:V$5000, MATCH(1, (球員狀態!$A$2:$A$5000=$EI$1)*(ISNUMBER(SEARCH($EI250, 球員狀態!$B$2:$B$5000))), 0)), "")</f>
        <v/>
      </c>
      <c r="FD250" s="4" t="str">
        <f t="array" ref="FD250">IFERROR(INDEX(球員狀態!W$2:W$5000, MATCH(1, (球員狀態!$A$2:$A$5000=$EI$241)*(ISNUMBER(SEARCH($EI250, 球員狀態!$B$2:$B$5000))), 0)), "")</f>
        <v/>
      </c>
      <c r="FE250" s="4" t="str">
        <f t="array" ref="FE250">IFERROR(INDEX(球員狀態!X$2:X$5000, MATCH(1, (球員狀態!$A$2:$A$5000=$EI$1)*(ISNUMBER(SEARCH($EI250, 球員狀態!$B$2:$B$5000))), 0)), "")</f>
        <v/>
      </c>
      <c r="FF250" s="4" t="str">
        <f t="array" ref="FF250">IFERROR(INDEX(球員狀態!Y$2:Y$5000, MATCH(1, (球員狀態!$A$2:$A$5000=$EI$1)*(ISNUMBER(SEARCH($EI250, 球員狀態!$B$2:$B$5000))), 0)), "")</f>
        <v/>
      </c>
      <c r="FG250" s="4" t="str">
        <f t="array" ref="FG250">IFERROR(INDEX(球員狀態!Z$2:Z$5000, MATCH(1, (球員狀態!$A$2:$A$5000=$EI$241)*(ISNUMBER(SEARCH($EI250, 球員狀態!$B$2:$B$5000))), 0)), "")</f>
        <v/>
      </c>
      <c r="FH250" s="4" t="str">
        <f t="array" ref="FH250">IFERROR(INDEX(球員狀態!AA$2:AA$5000, MATCH(1, (球員狀態!$A$2:$A$5000=$EI$241)*(ISNUMBER(SEARCH($EI250, 球員狀態!$B$2:$B$5000))), 0)), "")</f>
        <v/>
      </c>
      <c r="FI250" s="4" t="str">
        <f t="array" ref="FI250">IFERROR(INDEX(球員狀態!AB$2:AB$5000, MATCH(1, (球員狀態!$A$2:$A$5000=$EI$241)*(ISNUMBER(SEARCH($EI250, 球員狀態!$B$2:$B$5000))), 0)), "")</f>
        <v/>
      </c>
    </row>
    <row r="251" spans="110:165">
      <c r="DF251" s="33"/>
      <c r="DH251" s="40" t="e">
        <f>DJ251+DL251+DM251+DN251+DO251-DP251-DQ251+DR251</f>
        <v>#VALUE!</v>
      </c>
      <c r="DI251" s="42" t="e">
        <f>DU251+DX251+EA251+ED251+EE251+EF251</f>
        <v>#VALUE!</v>
      </c>
      <c r="DJ251" s="38" t="e">
        <f>VLOOKUP(DJ250*1, FK$2:FM$12, 3, TRUE)*FM$1</f>
        <v>#VALUE!</v>
      </c>
      <c r="DL251" s="38" t="e">
        <f>VLOOKUP(DL250*1, FN$2:FP$12, 3, TRUE)*FP$1</f>
        <v>#VALUE!</v>
      </c>
      <c r="DM251" s="38" t="e">
        <f>VLOOKUP(DM250*1, FQ$2:FS$12, 3, TRUE)*FS$1</f>
        <v>#VALUE!</v>
      </c>
      <c r="DN251" s="38" t="e">
        <f>VLOOKUP(DN250*1, FT$2:FV$12, 3, TRUE)*FV$1</f>
        <v>#VALUE!</v>
      </c>
      <c r="DO251" s="38" t="e">
        <f>VLOOKUP(DO250*1, FW$2:FY$12, 3, TRUE)*FY$1</f>
        <v>#VALUE!</v>
      </c>
      <c r="DP251" s="39" t="e">
        <f>VLOOKUP(DP250*1, FK$14:FM$25, 3, TRUE)*FM$14</f>
        <v>#VALUE!</v>
      </c>
      <c r="DQ251" s="39" t="e">
        <f>VLOOKUP(DQ250*1, FN$14:FP$25, 3, TRUE)*FP$14</f>
        <v>#VALUE!</v>
      </c>
      <c r="DR251" s="38" t="e">
        <f>VLOOKUP(DR250*1, FQ$14:FS$25, 3, TRUE)*FS$14</f>
        <v>#VALUE!</v>
      </c>
      <c r="DU251" s="41" t="e">
        <f>VLOOKUP(DU250*1, FK$27:FM$38, 3, TRUE)*FM$27</f>
        <v>#VALUE!</v>
      </c>
      <c r="DX251" s="41" t="e">
        <f>VLOOKUP(DX250*1, FN$27:FP$38, 3, TRUE)*FP$27</f>
        <v>#VALUE!</v>
      </c>
      <c r="EA251" s="41" t="e">
        <f>VLOOKUP(EA250*1, FQ$27:FS$38, 3, TRUE)*FS$27</f>
        <v>#VALUE!</v>
      </c>
      <c r="ED251" s="41" t="e">
        <f>VLOOKUP(ED250*1, FT$27:FV$38, 3, TRUE)*FV$27</f>
        <v>#VALUE!</v>
      </c>
      <c r="EE251" s="41" t="e">
        <f>VLOOKUP(EE250*1, FW$27:FY$38, 3, TRUE)*FY$27</f>
        <v>#VALUE!</v>
      </c>
      <c r="EF251" s="41" t="e">
        <f>VLOOKUP(EF250*1, FK$40:FM$51, 3, TRUE)*FM$40</f>
        <v>#VALUE!</v>
      </c>
      <c r="EG251" s="57"/>
      <c r="EI251" s="33"/>
      <c r="EK251" s="40" t="e">
        <f>EM251+EO251+EP251+EQ251+ER251-ES251-ET251+EU251</f>
        <v>#VALUE!</v>
      </c>
      <c r="EL251" s="42" t="e">
        <f>EX251+FA251+FD251+FG251+FH251+FI251</f>
        <v>#VALUE!</v>
      </c>
      <c r="EM251" s="38" t="e">
        <f>VLOOKUP(EM250*1, $FK$2:$FM$12, 3, TRUE)*$FM$1</f>
        <v>#VALUE!</v>
      </c>
      <c r="EO251" s="38" t="e">
        <f>VLOOKUP(EO250*1, $FN$2:$FP$12, 3, TRUE)*$FP$1</f>
        <v>#VALUE!</v>
      </c>
      <c r="EP251" s="38" t="e">
        <f>VLOOKUP(EP250*1, $FQ$2:$FS$12, 3, TRUE)*$FS$1</f>
        <v>#VALUE!</v>
      </c>
      <c r="EQ251" s="38" t="e">
        <f>VLOOKUP(EQ250*1, $FT$2:$FV$12, 3, TRUE)*$FV$1</f>
        <v>#VALUE!</v>
      </c>
      <c r="ER251" s="38" t="e">
        <f>VLOOKUP(ER250*1, $FW$2:$FY$12, 3, TRUE)*$FY$1</f>
        <v>#VALUE!</v>
      </c>
      <c r="ES251" s="39" t="e">
        <f>VLOOKUP(ES250*1, $FK$14:$FM$25, 3, TRUE)*$FM$14</f>
        <v>#VALUE!</v>
      </c>
      <c r="ET251" s="39" t="e">
        <f>VLOOKUP(ET250*1, $FN$14:$FP$25, 3, TRUE)*$FP$14</f>
        <v>#VALUE!</v>
      </c>
      <c r="EU251" s="38" t="e">
        <f>VLOOKUP(EU250*1, $FQ$14:$FS$25, 3, TRUE)*$FS$14</f>
        <v>#VALUE!</v>
      </c>
      <c r="EX251" s="41" t="e">
        <f>VLOOKUP(EX250*1, $FK$27:$FM$38, 3, TRUE)*$FM$27</f>
        <v>#VALUE!</v>
      </c>
      <c r="FA251" s="41" t="e">
        <f>VLOOKUP(FA250*1, $FN$27:$FP$38, 3, TRUE)*$FP$27</f>
        <v>#VALUE!</v>
      </c>
      <c r="FD251" s="41" t="e">
        <f>VLOOKUP(FD250*1, $FQ$27:$FS$38, 3, TRUE)*$FS$27</f>
        <v>#VALUE!</v>
      </c>
      <c r="FG251" s="41" t="e">
        <f>VLOOKUP(FG250*1, $FT$27:$FV$38, 3, TRUE)*$FV$27</f>
        <v>#VALUE!</v>
      </c>
      <c r="FH251" s="41" t="e">
        <f>VLOOKUP(FH250*1, $FW$27:$FY$38, 3, TRUE)*$FY$27</f>
        <v>#VALUE!</v>
      </c>
      <c r="FI251" s="41" t="e">
        <f>VLOOKUP(FI250*1, $FK$40:$FM$51, 3, TRUE)*$FM$40</f>
        <v>#VALUE!</v>
      </c>
    </row>
    <row r="252" spans="110:165">
      <c r="DF252" s="37">
        <f>先發名單!J$10</f>
        <v>0</v>
      </c>
      <c r="DG252" s="4" t="str">
        <f t="array" ref="DG252">IFERROR(INDEX(球員狀態!$C$2:$C$5000, MATCH(1, (球員狀態!$A$2:$A$5000=$DF$241)*(ISNUMBER(SEARCH($DF252, 球員狀態!$B$2:$B$5000))), 0)), "")</f>
        <v/>
      </c>
      <c r="DJ252" s="4" t="str">
        <f t="array" ref="DJ252">IFERROR(INDEX(球員狀態!$F$2:$F$5000,MATCH(1,(球員狀態!$A$2:$A$5000=$DF$241)*(ISNUMBER(SEARCH($DF252,球員狀態!$B$2:$B$5000))),0)),"")</f>
        <v/>
      </c>
      <c r="DK252" s="4" t="str">
        <f t="array" ref="DK252">IFERROR(INDEX(球員狀態!G$2:G$5000, MATCH(1, (球員狀態!$A$2:$A$5000=$DF$1)*(ISNUMBER(SEARCH($DF252, 球員狀態!$B$2:$B$5000))), 0)), "")</f>
        <v/>
      </c>
      <c r="DL252" s="4" t="str">
        <f t="array" ref="DL252">IFERROR(INDEX(球員狀態!H$2:H$5000, MATCH(1, (球員狀態!$A$2:$A$5000=$DF$241)*(ISNUMBER(SEARCH($DF252, 球員狀態!$B$2:$B$5000))), 0)), "")</f>
        <v/>
      </c>
      <c r="DM252" s="4" t="str">
        <f t="array" ref="DM252">IFERROR(INDEX(球員狀態!I$2:I$5000,MATCH(1,(球員狀態!$A$2:$A$5000=$DF$241)*(ISNUMBER(SEARCH($DF252,球員狀態!$B$2:$B$5000))),0)),"")</f>
        <v/>
      </c>
      <c r="DN252" s="4" t="str">
        <f t="array" ref="DN252">IFERROR(INDEX(球員狀態!J$2:J$5000,MATCH(1,(球員狀態!$A$2:$A$5000=$DF$241)*(ISNUMBER(SEARCH($DF252,球員狀態!$B$2:$B$5000))),0)),"")</f>
        <v/>
      </c>
      <c r="DO252" s="4" t="str">
        <f t="array" ref="DO252">IFERROR(INDEX(球員狀態!K$2:K$5000,MATCH(1,(球員狀態!$A$2:$A$5000=$DF$241)*(ISNUMBER(SEARCH($DF252,球員狀態!$B$2:$B$5000))),0)),"")</f>
        <v/>
      </c>
      <c r="DP252" s="4" t="str">
        <f t="array" ref="DP252">IFERROR(INDEX(球員狀態!L$2:L$5000,MATCH(1,(球員狀態!$A$2:$A$5000=$DF$241)*(ISNUMBER(SEARCH($DF252,球員狀態!$B$2:$B$5000))),0)),"")</f>
        <v/>
      </c>
      <c r="DQ252" s="4" t="str">
        <f t="array" ref="DQ252">IFERROR(INDEX(球員狀態!M$2:M$5000,MATCH(1,(球員狀態!$A$2:$A$5000=$DF$241)*(ISNUMBER(SEARCH($DF252,球員狀態!$B$2:$B$5000))),0)),"")</f>
        <v/>
      </c>
      <c r="DR252" s="4" t="str">
        <f t="array" ref="DR252">IFERROR(INDEX(球員狀態!N$2:N$5000,MATCH(1,(球員狀態!$A$2:$A$5000=$DF$241)*(ISNUMBER(SEARCH($DF252,球員狀態!$B$2:$B$5000))),0)),"")</f>
        <v/>
      </c>
      <c r="DS252" s="4" t="str">
        <f t="array" ref="DS252">IFERROR(INDEX(球員狀態!O$2:O$5000, MATCH(1, (球員狀態!$A$2:$A$5000=$DF$1)*(ISNUMBER(SEARCH($DF252, 球員狀態!$B$2:$B$5000))), 0)), "")</f>
        <v/>
      </c>
      <c r="DT252" s="4" t="str">
        <f t="array" ref="DT252">IFERROR(INDEX(球員狀態!P$2:P$5000, MATCH(1, (球員狀態!$A$2:$A$5000=$DF$1)*(ISNUMBER(SEARCH($DF252, 球員狀態!$B$2:$B$5000))), 0)), "")</f>
        <v/>
      </c>
      <c r="DU252" s="4" t="str">
        <f t="array" ref="DU252">IFERROR(INDEX(球員狀態!Q$2:Q$5000,MATCH(1,(球員狀態!$A$2:$A$5000=$DF$241)*(ISNUMBER(SEARCH($DF252,球員狀態!$B$2:$B$5000))),0)),"")</f>
        <v/>
      </c>
      <c r="DV252" s="4" t="str">
        <f t="array" ref="DV252">IFERROR(INDEX(球員狀態!R$2:R$5000, MATCH(1, (球員狀態!$A$2:$A$5000=$DF$1)*(ISNUMBER(SEARCH($DF252, 球員狀態!$B$2:$B$5000))), 0)), "")</f>
        <v/>
      </c>
      <c r="DW252" s="4" t="str">
        <f t="array" ref="DW252">IFERROR(INDEX(球員狀態!S$2:S$5000, MATCH(1, (球員狀態!$A$2:$A$5000=$DF$1)*(ISNUMBER(SEARCH($DF252, 球員狀態!$B$2:$B$5000))), 0)), "")</f>
        <v/>
      </c>
      <c r="DX252" s="4" t="str">
        <f t="array" ref="DX252">IFERROR(INDEX(球員狀態!T$2:T$5000,MATCH(1,(球員狀態!$A$2:$A$5000=$DF$241)*(ISNUMBER(SEARCH($DF252,球員狀態!$B$2:$B$5000))),0)),"")</f>
        <v/>
      </c>
      <c r="DY252" s="4" t="str">
        <f t="array" ref="DY252">IFERROR(INDEX(球員狀態!U$2:U$5000, MATCH(1, (球員狀態!$A$2:$A$5000=$DF$1)*(ISNUMBER(SEARCH($DF252, 球員狀態!$B$2:$B$5000))), 0)), "")</f>
        <v/>
      </c>
      <c r="DZ252" s="4" t="str">
        <f t="array" ref="DZ252">IFERROR(INDEX(球員狀態!V$2:V$5000, MATCH(1, (球員狀態!$A$2:$A$5000=$DF$1)*(ISNUMBER(SEARCH($DF252, 球員狀態!$B$2:$B$5000))), 0)), "")</f>
        <v/>
      </c>
      <c r="EA252" s="4" t="str">
        <f t="array" ref="EA252">IFERROR(INDEX(球員狀態!W$2:W$5000,MATCH(1,(球員狀態!$A$2:$A$5000=$DF$241)*(ISNUMBER(SEARCH($DF252,球員狀態!$B$2:$B$5000))),0)),"")</f>
        <v/>
      </c>
      <c r="EB252" s="4" t="str">
        <f t="array" ref="EB252">IFERROR(INDEX(球員狀態!X$2:X$5000, MATCH(1, (球員狀態!$A$2:$A$5000=$DF$1)*(ISNUMBER(SEARCH($DF252, 球員狀態!$B$2:$B$5000))), 0)), "")</f>
        <v/>
      </c>
      <c r="EC252" s="4" t="str">
        <f t="array" ref="EC252">IFERROR(INDEX(球員狀態!Y$2:Y$5000, MATCH(1, (球員狀態!$A$2:$A$5000=$DF$1)*(ISNUMBER(SEARCH($DF252, 球員狀態!$B$2:$B$5000))), 0)), "")</f>
        <v/>
      </c>
      <c r="ED252" s="4" t="str">
        <f t="array" ref="ED252">IFERROR(INDEX(球員狀態!Z$2:Z$5000,MATCH(1,(球員狀態!$A$2:$A$5000=$DF$241)*(ISNUMBER(SEARCH($DF252,球員狀態!$B$2:$B$5000))),0)),"")</f>
        <v/>
      </c>
      <c r="EE252" s="4" t="str">
        <f t="array" ref="EE252">IFERROR(INDEX(球員狀態!AA$2:AA$5000,MATCH(1,(球員狀態!$A$2:$A$5000=$DF$241)*(ISNUMBER(SEARCH($DF252,球員狀態!$B$2:$B$5000))),0)),"")</f>
        <v/>
      </c>
      <c r="EF252" s="4" t="str">
        <f t="array" ref="EF252">IFERROR(INDEX(球員狀態!AB$2:AB$5000,MATCH(1,(球員狀態!$A$2:$A$5000=$DF$241)*(ISNUMBER(SEARCH($DF252,球員狀態!$B$2:$B$5000))),0)),"")</f>
        <v/>
      </c>
      <c r="EG252" s="56"/>
      <c r="EI252" s="37">
        <f>先發名單!T$10</f>
        <v>0</v>
      </c>
      <c r="EJ252" s="4" t="str">
        <f t="array" ref="EJ252">IFERROR(INDEX(球員狀態!C$2:C$5000, MATCH(1, (球員狀態!$A$2:$A$5000=$EI$241)*(ISNUMBER(SEARCH($EI252, 球員狀態!$B$2:$B$5000))), 0)), "")</f>
        <v/>
      </c>
      <c r="EM252" s="4" t="str">
        <f t="array" ref="EM252">IFERROR(INDEX(球員狀態!F$2:F$5000, MATCH(1, (球員狀態!$A$2:$A$5000=$EI$241)*(ISNUMBER(SEARCH($EI252, 球員狀態!$B$2:$B$5000))), 0)), "")</f>
        <v/>
      </c>
      <c r="EN252" s="4" t="str">
        <f t="array" ref="EN252">IFERROR(INDEX(球員狀態!G$2:G$5000, MATCH(1, (球員狀態!$A$2:$A$5000=$EI$1)*(ISNUMBER(SEARCH($EI252, 球員狀態!$B$2:$B$5000))), 0)), "")</f>
        <v/>
      </c>
      <c r="EO252" s="4" t="str">
        <f t="array" ref="EO252">IFERROR(INDEX(球員狀態!H$2:H$5000, MATCH(1, (球員狀態!$A$2:$A$5000=$EI$241)*(ISNUMBER(SEARCH($EI252, 球員狀態!$B$2:$B$5000))), 0)), "")</f>
        <v/>
      </c>
      <c r="EP252" s="4" t="str">
        <f t="array" ref="EP252">IFERROR(INDEX(球員狀態!I$2:I$5000, MATCH(1, (球員狀態!$A$2:$A$5000=$EI$241)*(ISNUMBER(SEARCH($EI252, 球員狀態!$B$2:$B$5000))), 0)), "")</f>
        <v/>
      </c>
      <c r="EQ252" s="4" t="str">
        <f t="array" ref="EQ252">IFERROR(INDEX(球員狀態!J$2:J$5000, MATCH(1, (球員狀態!$A$2:$A$5000=$EI$241)*(ISNUMBER(SEARCH($EI252, 球員狀態!$B$2:$B$5000))), 0)), "")</f>
        <v/>
      </c>
      <c r="ER252" s="4" t="str">
        <f t="array" ref="ER252">IFERROR(INDEX(球員狀態!K$2:K$5000, MATCH(1, (球員狀態!$A$2:$A$5000=$EI$241)*(ISNUMBER(SEARCH($EI252, 球員狀態!$B$2:$B$5000))), 0)), "")</f>
        <v/>
      </c>
      <c r="ES252" s="4" t="str">
        <f t="array" ref="ES252">IFERROR(INDEX(球員狀態!L$2:L$5000, MATCH(1, (球員狀態!$A$2:$A$5000=$EI$241)*(ISNUMBER(SEARCH($EI252, 球員狀態!$B$2:$B$5000))), 0)), "")</f>
        <v/>
      </c>
      <c r="ET252" s="4" t="str">
        <f t="array" ref="ET252">IFERROR(INDEX(球員狀態!M$2:M$5000, MATCH(1, (球員狀態!$A$2:$A$5000=$EI$241)*(ISNUMBER(SEARCH($EI252, 球員狀態!$B$2:$B$5000))), 0)), "")</f>
        <v/>
      </c>
      <c r="EU252" s="4" t="str">
        <f t="array" ref="EU252">IFERROR(INDEX(球員狀態!N$2:N$5000, MATCH(1, (球員狀態!$A$2:$A$5000=$EI$241)*(ISNUMBER(SEARCH($EI252, 球員狀態!$B$2:$B$5000))), 0)), "")</f>
        <v/>
      </c>
      <c r="EV252" s="4" t="str">
        <f t="array" ref="EV252">IFERROR(INDEX(球員狀態!O$2:O$5000, MATCH(1, (球員狀態!$A$2:$A$5000=$EI$1)*(ISNUMBER(SEARCH($EI252, 球員狀態!$B$2:$B$5000))), 0)), "")</f>
        <v/>
      </c>
      <c r="EW252" s="4" t="str">
        <f t="array" ref="EW252">IFERROR(INDEX(球員狀態!P$2:P$5000, MATCH(1, (球員狀態!$A$2:$A$5000=$EI$1)*(ISNUMBER(SEARCH($EI252, 球員狀態!$B$2:$B$5000))), 0)), "")</f>
        <v/>
      </c>
      <c r="EX252" s="4" t="str">
        <f t="array" ref="EX252">IFERROR(INDEX(球員狀態!Q$2:Q$5000, MATCH(1, (球員狀態!$A$2:$A$5000=$EI$241)*(ISNUMBER(SEARCH($EI252, 球員狀態!$B$2:$B$5000))), 0)), "")</f>
        <v/>
      </c>
      <c r="EY252" s="4" t="str">
        <f t="array" ref="EY252">IFERROR(INDEX(球員狀態!R$2:R$5000, MATCH(1, (球員狀態!$A$2:$A$5000=$EI$1)*(ISNUMBER(SEARCH($EI252, 球員狀態!$B$2:$B$5000))), 0)), "")</f>
        <v/>
      </c>
      <c r="EZ252" s="4" t="str">
        <f t="array" ref="EZ252">IFERROR(INDEX(球員狀態!S$2:S$5000, MATCH(1, (球員狀態!$A$2:$A$5000=$EI$1)*(ISNUMBER(SEARCH($EI252, 球員狀態!$B$2:$B$5000))), 0)), "")</f>
        <v/>
      </c>
      <c r="FA252" s="4" t="str">
        <f t="array" ref="FA252">IFERROR(INDEX(球員狀態!T$2:T$5000, MATCH(1, (球員狀態!$A$2:$A$5000=$EI$241)*(ISNUMBER(SEARCH($EI252, 球員狀態!$B$2:$B$5000))), 0)), "")</f>
        <v/>
      </c>
      <c r="FB252" s="4" t="str">
        <f t="array" ref="FB252">IFERROR(INDEX(球員狀態!U$2:U$5000, MATCH(1, (球員狀態!$A$2:$A$5000=$EI$1)*(ISNUMBER(SEARCH($EI252, 球員狀態!$B$2:$B$5000))), 0)), "")</f>
        <v/>
      </c>
      <c r="FC252" s="4" t="str">
        <f t="array" ref="FC252">IFERROR(INDEX(球員狀態!V$2:V$5000, MATCH(1, (球員狀態!$A$2:$A$5000=$EI$1)*(ISNUMBER(SEARCH($EI252, 球員狀態!$B$2:$B$5000))), 0)), "")</f>
        <v/>
      </c>
      <c r="FD252" s="4" t="str">
        <f t="array" ref="FD252">IFERROR(INDEX(球員狀態!W$2:W$5000, MATCH(1, (球員狀態!$A$2:$A$5000=$EI$241)*(ISNUMBER(SEARCH($EI252, 球員狀態!$B$2:$B$5000))), 0)), "")</f>
        <v/>
      </c>
      <c r="FE252" s="4" t="str">
        <f t="array" ref="FE252">IFERROR(INDEX(球員狀態!X$2:X$5000, MATCH(1, (球員狀態!$A$2:$A$5000=$EI$1)*(ISNUMBER(SEARCH($EI252, 球員狀態!$B$2:$B$5000))), 0)), "")</f>
        <v/>
      </c>
      <c r="FF252" s="4" t="str">
        <f t="array" ref="FF252">IFERROR(INDEX(球員狀態!Y$2:Y$5000, MATCH(1, (球員狀態!$A$2:$A$5000=$EI$1)*(ISNUMBER(SEARCH($EI252, 球員狀態!$B$2:$B$5000))), 0)), "")</f>
        <v/>
      </c>
      <c r="FG252" s="4" t="str">
        <f t="array" ref="FG252">IFERROR(INDEX(球員狀態!Z$2:Z$5000, MATCH(1, (球員狀態!$A$2:$A$5000=$EI$241)*(ISNUMBER(SEARCH($EI252, 球員狀態!$B$2:$B$5000))), 0)), "")</f>
        <v/>
      </c>
      <c r="FH252" s="4" t="str">
        <f t="array" ref="FH252">IFERROR(INDEX(球員狀態!AA$2:AA$5000, MATCH(1, (球員狀態!$A$2:$A$5000=$EI$241)*(ISNUMBER(SEARCH($EI252, 球員狀態!$B$2:$B$5000))), 0)), "")</f>
        <v/>
      </c>
      <c r="FI252" s="4" t="str">
        <f t="array" ref="FI252">IFERROR(INDEX(球員狀態!AB$2:AB$5000, MATCH(1, (球員狀態!$A$2:$A$5000=$EI$241)*(ISNUMBER(SEARCH($EI252, 球員狀態!$B$2:$B$5000))), 0)), "")</f>
        <v/>
      </c>
    </row>
    <row r="253" spans="110:165">
      <c r="DF253" s="33"/>
      <c r="DH253" s="40" t="e">
        <f>DJ253+DL253+DM253+DN253+DO253-DP253-DQ253+DR253</f>
        <v>#VALUE!</v>
      </c>
      <c r="DI253" s="42" t="e">
        <f>DU253+DX253+EA253+ED253+EE253+EF253</f>
        <v>#VALUE!</v>
      </c>
      <c r="DJ253" s="38" t="e">
        <f>VLOOKUP(DJ252*1, FK$2:FM$12, 3, TRUE)*FM$1</f>
        <v>#VALUE!</v>
      </c>
      <c r="DL253" s="38" t="e">
        <f>VLOOKUP(DL252*1, FN$2:FP$12, 3, TRUE)*FP$1</f>
        <v>#VALUE!</v>
      </c>
      <c r="DM253" s="38" t="e">
        <f>VLOOKUP(DM252*1, FQ$2:FS$12, 3, TRUE)*FS$1</f>
        <v>#VALUE!</v>
      </c>
      <c r="DN253" s="38" t="e">
        <f>VLOOKUP(DN252*1, FT$2:FV$12, 3, TRUE)*FV$1</f>
        <v>#VALUE!</v>
      </c>
      <c r="DO253" s="38" t="e">
        <f>VLOOKUP(DO252*1, FW$2:FY$12, 3, TRUE)*FY$1</f>
        <v>#VALUE!</v>
      </c>
      <c r="DP253" s="39" t="e">
        <f>VLOOKUP(DP252*1, FK$14:FM$25, 3, TRUE)*FM$14</f>
        <v>#VALUE!</v>
      </c>
      <c r="DQ253" s="39" t="e">
        <f>VLOOKUP(DQ252*1, FN$14:FP$25, 3, TRUE)*FP$14</f>
        <v>#VALUE!</v>
      </c>
      <c r="DR253" s="38" t="e">
        <f>VLOOKUP(DR252*1, FQ$14:FS$25, 3, TRUE)*FS$14</f>
        <v>#VALUE!</v>
      </c>
      <c r="DU253" s="41" t="e">
        <f>VLOOKUP(DU252*1, FK$27:FM$38, 3, TRUE)*FM$27</f>
        <v>#VALUE!</v>
      </c>
      <c r="DX253" s="41" t="e">
        <f>VLOOKUP(DX252*1, FN$27:FP$38, 3, TRUE)*FP$27</f>
        <v>#VALUE!</v>
      </c>
      <c r="EA253" s="41" t="e">
        <f>VLOOKUP(EA252*1, FQ$27:FS$38, 3, TRUE)*FS$27</f>
        <v>#VALUE!</v>
      </c>
      <c r="ED253" s="41" t="e">
        <f>VLOOKUP(ED252*1, FT$27:FV$38, 3, TRUE)*FV$27</f>
        <v>#VALUE!</v>
      </c>
      <c r="EE253" s="41" t="e">
        <f>VLOOKUP(EE252*1, FW$27:FY$38, 3, TRUE)*FY$27</f>
        <v>#VALUE!</v>
      </c>
      <c r="EF253" s="41" t="e">
        <f>VLOOKUP(EF252*1, FK$40:FM$51, 3, TRUE)*FM$40</f>
        <v>#VALUE!</v>
      </c>
      <c r="EG253" s="57"/>
      <c r="EI253" s="33"/>
      <c r="EK253" s="40" t="e">
        <f>EM253+EO253+EP253+EQ253+ER253-ES253-ET253+EU253</f>
        <v>#VALUE!</v>
      </c>
      <c r="EL253" s="42" t="e">
        <f>EX253+FA253+FD253+FG253+FH253+FI253</f>
        <v>#VALUE!</v>
      </c>
      <c r="EM253" s="38" t="e">
        <f>VLOOKUP(EM252*1, $FK$2:$FM$12, 3, TRUE)*$FM$1</f>
        <v>#VALUE!</v>
      </c>
      <c r="EO253" s="38" t="e">
        <f>VLOOKUP(EO252*1, $FN$2:$FP$12, 3, TRUE)*$FP$1</f>
        <v>#VALUE!</v>
      </c>
      <c r="EP253" s="38" t="e">
        <f>VLOOKUP(EP252*1, $FQ$2:$FS$12, 3, TRUE)*$FS$1</f>
        <v>#VALUE!</v>
      </c>
      <c r="EQ253" s="38" t="e">
        <f>VLOOKUP(EQ252*1, $FT$2:$FV$12, 3, TRUE)*$FV$1</f>
        <v>#VALUE!</v>
      </c>
      <c r="ER253" s="38" t="e">
        <f>VLOOKUP(ER252*1, $FW$2:$FY$12, 3, TRUE)*$FY$1</f>
        <v>#VALUE!</v>
      </c>
      <c r="ES253" s="39" t="e">
        <f>VLOOKUP(ES252*1, $FK$14:$FM$25, 3, TRUE)*$FM$14</f>
        <v>#VALUE!</v>
      </c>
      <c r="ET253" s="39" t="e">
        <f>VLOOKUP(ET252*1, $FN$14:$FP$25, 3, TRUE)*$FP$14</f>
        <v>#VALUE!</v>
      </c>
      <c r="EU253" s="38" t="e">
        <f>VLOOKUP(EU252*1, $FQ$14:$FS$25, 3, TRUE)*$FS$14</f>
        <v>#VALUE!</v>
      </c>
      <c r="EX253" s="41" t="e">
        <f>VLOOKUP(EX252*1, $FK$27:$FM$38, 3, TRUE)*$FM$27</f>
        <v>#VALUE!</v>
      </c>
      <c r="FA253" s="41" t="e">
        <f>VLOOKUP(FA252*1, $FN$27:$FP$38, 3, TRUE)*$FP$27</f>
        <v>#VALUE!</v>
      </c>
      <c r="FD253" s="41" t="e">
        <f>VLOOKUP(FD252*1, $FQ$27:$FS$38, 3, TRUE)*$FS$27</f>
        <v>#VALUE!</v>
      </c>
      <c r="FG253" s="41" t="e">
        <f>VLOOKUP(FG252*1, $FT$27:$FV$38, 3, TRUE)*$FV$27</f>
        <v>#VALUE!</v>
      </c>
      <c r="FH253" s="41" t="e">
        <f>VLOOKUP(FH252*1, $FW$27:$FY$38, 3, TRUE)*$FY$27</f>
        <v>#VALUE!</v>
      </c>
      <c r="FI253" s="41" t="e">
        <f>VLOOKUP(FI252*1, $FK$40:$FM$51, 3, TRUE)*$FM$40</f>
        <v>#VALUE!</v>
      </c>
    </row>
    <row r="254" spans="110:165">
      <c r="DF254" s="37">
        <f>先發名單!K$10</f>
        <v>0</v>
      </c>
      <c r="DG254" s="4" t="str">
        <f t="array" ref="DG254">IFERROR(INDEX(球員狀態!$C$2:$C$5000, MATCH(1, (球員狀態!$A$2:$A$5000=$DF$241)*(ISNUMBER(SEARCH($DF254, 球員狀態!$B$2:$B$5000))), 0)), "")</f>
        <v/>
      </c>
      <c r="DJ254" s="4" t="str">
        <f t="array" ref="DJ254">IFERROR(INDEX(球員狀態!$F$2:$F$5000,MATCH(1,(球員狀態!$A$2:$A$5000=$DF$241)*(ISNUMBER(SEARCH($DF254,球員狀態!$B$2:$B$5000))),0)),"")</f>
        <v/>
      </c>
      <c r="DK254" s="4" t="str">
        <f t="array" ref="DK254">IFERROR(INDEX(球員狀態!G$2:G$5000, MATCH(1, (球員狀態!$A$2:$A$5000=$DF$1)*(ISNUMBER(SEARCH($DF254, 球員狀態!$B$2:$B$5000))), 0)), "")</f>
        <v/>
      </c>
      <c r="DL254" s="4" t="str">
        <f t="array" ref="DL254">IFERROR(INDEX(球員狀態!H$2:H$5000, MATCH(1, (球員狀態!$A$2:$A$5000=$DF$241)*(ISNUMBER(SEARCH($DF254, 球員狀態!$B$2:$B$5000))), 0)), "")</f>
        <v/>
      </c>
      <c r="DM254" s="4" t="str">
        <f t="array" ref="DM254">IFERROR(INDEX(球員狀態!I$2:I$5000,MATCH(1,(球員狀態!$A$2:$A$5000=$DF$241)*(ISNUMBER(SEARCH($DF254,球員狀態!$B$2:$B$5000))),0)),"")</f>
        <v/>
      </c>
      <c r="DN254" s="4" t="str">
        <f t="array" ref="DN254">IFERROR(INDEX(球員狀態!J$2:J$5000,MATCH(1,(球員狀態!$A$2:$A$5000=$DF$241)*(ISNUMBER(SEARCH($DF254,球員狀態!$B$2:$B$5000))),0)),"")</f>
        <v/>
      </c>
      <c r="DO254" s="4" t="str">
        <f t="array" ref="DO254">IFERROR(INDEX(球員狀態!K$2:K$5000,MATCH(1,(球員狀態!$A$2:$A$5000=$DF$241)*(ISNUMBER(SEARCH($DF254,球員狀態!$B$2:$B$5000))),0)),"")</f>
        <v/>
      </c>
      <c r="DP254" s="4" t="str">
        <f t="array" ref="DP254">IFERROR(INDEX(球員狀態!L$2:L$5000,MATCH(1,(球員狀態!$A$2:$A$5000=$DF$241)*(ISNUMBER(SEARCH($DF254,球員狀態!$B$2:$B$5000))),0)),"")</f>
        <v/>
      </c>
      <c r="DQ254" s="4" t="str">
        <f t="array" ref="DQ254">IFERROR(INDEX(球員狀態!M$2:M$5000,MATCH(1,(球員狀態!$A$2:$A$5000=$DF$241)*(ISNUMBER(SEARCH($DF254,球員狀態!$B$2:$B$5000))),0)),"")</f>
        <v/>
      </c>
      <c r="DR254" s="4" t="str">
        <f t="array" ref="DR254">IFERROR(INDEX(球員狀態!N$2:N$5000,MATCH(1,(球員狀態!$A$2:$A$5000=$DF$241)*(ISNUMBER(SEARCH($DF254,球員狀態!$B$2:$B$5000))),0)),"")</f>
        <v/>
      </c>
      <c r="DS254" s="4" t="str">
        <f t="array" ref="DS254">IFERROR(INDEX(球員狀態!O$2:O$5000, MATCH(1, (球員狀態!$A$2:$A$5000=$DF$1)*(ISNUMBER(SEARCH($DF254, 球員狀態!$B$2:$B$5000))), 0)), "")</f>
        <v/>
      </c>
      <c r="DT254" s="4" t="str">
        <f t="array" ref="DT254">IFERROR(INDEX(球員狀態!P$2:P$5000, MATCH(1, (球員狀態!$A$2:$A$5000=$DF$1)*(ISNUMBER(SEARCH($DF254, 球員狀態!$B$2:$B$5000))), 0)), "")</f>
        <v/>
      </c>
      <c r="DU254" s="4" t="str">
        <f t="array" ref="DU254">IFERROR(INDEX(球員狀態!Q$2:Q$5000,MATCH(1,(球員狀態!$A$2:$A$5000=$DF$241)*(ISNUMBER(SEARCH($DF254,球員狀態!$B$2:$B$5000))),0)),"")</f>
        <v/>
      </c>
      <c r="DV254" s="4" t="str">
        <f t="array" ref="DV254">IFERROR(INDEX(球員狀態!R$2:R$5000, MATCH(1, (球員狀態!$A$2:$A$5000=$DF$1)*(ISNUMBER(SEARCH($DF254, 球員狀態!$B$2:$B$5000))), 0)), "")</f>
        <v/>
      </c>
      <c r="DW254" s="4" t="str">
        <f t="array" ref="DW254">IFERROR(INDEX(球員狀態!S$2:S$5000, MATCH(1, (球員狀態!$A$2:$A$5000=$DF$1)*(ISNUMBER(SEARCH($DF254, 球員狀態!$B$2:$B$5000))), 0)), "")</f>
        <v/>
      </c>
      <c r="DX254" s="4" t="str">
        <f t="array" ref="DX254">IFERROR(INDEX(球員狀態!T$2:T$5000,MATCH(1,(球員狀態!$A$2:$A$5000=$DF$241)*(ISNUMBER(SEARCH($DF254,球員狀態!$B$2:$B$5000))),0)),"")</f>
        <v/>
      </c>
      <c r="DY254" s="4" t="str">
        <f t="array" ref="DY254">IFERROR(INDEX(球員狀態!U$2:U$5000, MATCH(1, (球員狀態!$A$2:$A$5000=$DF$1)*(ISNUMBER(SEARCH($DF254, 球員狀態!$B$2:$B$5000))), 0)), "")</f>
        <v/>
      </c>
      <c r="DZ254" s="4" t="str">
        <f t="array" ref="DZ254">IFERROR(INDEX(球員狀態!V$2:V$5000, MATCH(1, (球員狀態!$A$2:$A$5000=$DF$1)*(ISNUMBER(SEARCH($DF254, 球員狀態!$B$2:$B$5000))), 0)), "")</f>
        <v/>
      </c>
      <c r="EA254" s="4" t="str">
        <f t="array" ref="EA254">IFERROR(INDEX(球員狀態!W$2:W$5000,MATCH(1,(球員狀態!$A$2:$A$5000=$DF$241)*(ISNUMBER(SEARCH($DF254,球員狀態!$B$2:$B$5000))),0)),"")</f>
        <v/>
      </c>
      <c r="EB254" s="4" t="str">
        <f t="array" ref="EB254">IFERROR(INDEX(球員狀態!X$2:X$5000, MATCH(1, (球員狀態!$A$2:$A$5000=$DF$1)*(ISNUMBER(SEARCH($DF254, 球員狀態!$B$2:$B$5000))), 0)), "")</f>
        <v/>
      </c>
      <c r="EC254" s="4" t="str">
        <f t="array" ref="EC254">IFERROR(INDEX(球員狀態!Y$2:Y$5000, MATCH(1, (球員狀態!$A$2:$A$5000=$DF$1)*(ISNUMBER(SEARCH($DF254, 球員狀態!$B$2:$B$5000))), 0)), "")</f>
        <v/>
      </c>
      <c r="ED254" s="4" t="str">
        <f t="array" ref="ED254">IFERROR(INDEX(球員狀態!Z$2:Z$5000,MATCH(1,(球員狀態!$A$2:$A$5000=$DF$241)*(ISNUMBER(SEARCH($DF254,球員狀態!$B$2:$B$5000))),0)),"")</f>
        <v/>
      </c>
      <c r="EE254" s="4" t="str">
        <f t="array" ref="EE254">IFERROR(INDEX(球員狀態!AA$2:AA$5000,MATCH(1,(球員狀態!$A$2:$A$5000=$DF$241)*(ISNUMBER(SEARCH($DF254,球員狀態!$B$2:$B$5000))),0)),"")</f>
        <v/>
      </c>
      <c r="EF254" s="4" t="str">
        <f t="array" ref="EF254">IFERROR(INDEX(球員狀態!AB$2:AB$5000,MATCH(1,(球員狀態!$A$2:$A$5000=$DF$241)*(ISNUMBER(SEARCH($DF254,球員狀態!$B$2:$B$5000))),0)),"")</f>
        <v/>
      </c>
      <c r="EG254" s="56"/>
      <c r="EI254" s="37">
        <f>先發名單!U$10</f>
        <v>0</v>
      </c>
      <c r="EJ254" s="4" t="str">
        <f t="array" ref="EJ254">IFERROR(INDEX(球員狀態!C$2:C$5000, MATCH(1, (球員狀態!$A$2:$A$5000=$EI$241)*(ISNUMBER(SEARCH($EI254, 球員狀態!$B$2:$B$5000))), 0)), "")</f>
        <v/>
      </c>
      <c r="EM254" s="4" t="str">
        <f t="array" ref="EM254">IFERROR(INDEX(球員狀態!F$2:F$5000, MATCH(1, (球員狀態!$A$2:$A$5000=$EI$241)*(ISNUMBER(SEARCH($EI254, 球員狀態!$B$2:$B$5000))), 0)), "")</f>
        <v/>
      </c>
      <c r="EN254" s="4" t="str">
        <f t="array" ref="EN254">IFERROR(INDEX(球員狀態!G$2:G$5000, MATCH(1, (球員狀態!$A$2:$A$5000=$EI$1)*(ISNUMBER(SEARCH($EI254, 球員狀態!$B$2:$B$5000))), 0)), "")</f>
        <v/>
      </c>
      <c r="EO254" s="4" t="str">
        <f t="array" ref="EO254">IFERROR(INDEX(球員狀態!H$2:H$5000, MATCH(1, (球員狀態!$A$2:$A$5000=$EI$241)*(ISNUMBER(SEARCH($EI254, 球員狀態!$B$2:$B$5000))), 0)), "")</f>
        <v/>
      </c>
      <c r="EP254" s="4" t="str">
        <f t="array" ref="EP254">IFERROR(INDEX(球員狀態!I$2:I$5000, MATCH(1, (球員狀態!$A$2:$A$5000=$EI$241)*(ISNUMBER(SEARCH($EI254, 球員狀態!$B$2:$B$5000))), 0)), "")</f>
        <v/>
      </c>
      <c r="EQ254" s="4" t="str">
        <f t="array" ref="EQ254">IFERROR(INDEX(球員狀態!J$2:J$5000, MATCH(1, (球員狀態!$A$2:$A$5000=$EI$241)*(ISNUMBER(SEARCH($EI254, 球員狀態!$B$2:$B$5000))), 0)), "")</f>
        <v/>
      </c>
      <c r="ER254" s="4" t="str">
        <f t="array" ref="ER254">IFERROR(INDEX(球員狀態!K$2:K$5000, MATCH(1, (球員狀態!$A$2:$A$5000=$EI$241)*(ISNUMBER(SEARCH($EI254, 球員狀態!$B$2:$B$5000))), 0)), "")</f>
        <v/>
      </c>
      <c r="ES254" s="4" t="str">
        <f t="array" ref="ES254">IFERROR(INDEX(球員狀態!L$2:L$5000, MATCH(1, (球員狀態!$A$2:$A$5000=$EI$241)*(ISNUMBER(SEARCH($EI254, 球員狀態!$B$2:$B$5000))), 0)), "")</f>
        <v/>
      </c>
      <c r="ET254" s="4" t="str">
        <f t="array" ref="ET254">IFERROR(INDEX(球員狀態!M$2:M$5000, MATCH(1, (球員狀態!$A$2:$A$5000=$EI$241)*(ISNUMBER(SEARCH($EI254, 球員狀態!$B$2:$B$5000))), 0)), "")</f>
        <v/>
      </c>
      <c r="EU254" s="4" t="str">
        <f t="array" ref="EU254">IFERROR(INDEX(球員狀態!N$2:N$5000, MATCH(1, (球員狀態!$A$2:$A$5000=$EI$241)*(ISNUMBER(SEARCH($EI254, 球員狀態!$B$2:$B$5000))), 0)), "")</f>
        <v/>
      </c>
      <c r="EV254" s="4" t="str">
        <f t="array" ref="EV254">IFERROR(INDEX(球員狀態!O$2:O$5000, MATCH(1, (球員狀態!$A$2:$A$5000=$EI$1)*(ISNUMBER(SEARCH($EI254, 球員狀態!$B$2:$B$5000))), 0)), "")</f>
        <v/>
      </c>
      <c r="EW254" s="4" t="str">
        <f t="array" ref="EW254">IFERROR(INDEX(球員狀態!P$2:P$5000, MATCH(1, (球員狀態!$A$2:$A$5000=$EI$1)*(ISNUMBER(SEARCH($EI254, 球員狀態!$B$2:$B$5000))), 0)), "")</f>
        <v/>
      </c>
      <c r="EX254" s="4" t="str">
        <f t="array" ref="EX254">IFERROR(INDEX(球員狀態!Q$2:Q$5000, MATCH(1, (球員狀態!$A$2:$A$5000=$EI$241)*(ISNUMBER(SEARCH($EI254, 球員狀態!$B$2:$B$5000))), 0)), "")</f>
        <v/>
      </c>
      <c r="EY254" s="4" t="str">
        <f t="array" ref="EY254">IFERROR(INDEX(球員狀態!R$2:R$5000, MATCH(1, (球員狀態!$A$2:$A$5000=$EI$1)*(ISNUMBER(SEARCH($EI254, 球員狀態!$B$2:$B$5000))), 0)), "")</f>
        <v/>
      </c>
      <c r="EZ254" s="4" t="str">
        <f t="array" ref="EZ254">IFERROR(INDEX(球員狀態!S$2:S$5000, MATCH(1, (球員狀態!$A$2:$A$5000=$EI$1)*(ISNUMBER(SEARCH($EI254, 球員狀態!$B$2:$B$5000))), 0)), "")</f>
        <v/>
      </c>
      <c r="FA254" s="4" t="str">
        <f t="array" ref="FA254">IFERROR(INDEX(球員狀態!T$2:T$5000, MATCH(1, (球員狀態!$A$2:$A$5000=$EI$241)*(ISNUMBER(SEARCH($EI254, 球員狀態!$B$2:$B$5000))), 0)), "")</f>
        <v/>
      </c>
      <c r="FB254" s="4" t="str">
        <f t="array" ref="FB254">IFERROR(INDEX(球員狀態!U$2:U$5000, MATCH(1, (球員狀態!$A$2:$A$5000=$EI$1)*(ISNUMBER(SEARCH($EI254, 球員狀態!$B$2:$B$5000))), 0)), "")</f>
        <v/>
      </c>
      <c r="FC254" s="4" t="str">
        <f t="array" ref="FC254">IFERROR(INDEX(球員狀態!V$2:V$5000, MATCH(1, (球員狀態!$A$2:$A$5000=$EI$1)*(ISNUMBER(SEARCH($EI254, 球員狀態!$B$2:$B$5000))), 0)), "")</f>
        <v/>
      </c>
      <c r="FD254" s="4" t="str">
        <f t="array" ref="FD254">IFERROR(INDEX(球員狀態!W$2:W$5000, MATCH(1, (球員狀態!$A$2:$A$5000=$EI$241)*(ISNUMBER(SEARCH($EI254, 球員狀態!$B$2:$B$5000))), 0)), "")</f>
        <v/>
      </c>
      <c r="FE254" s="4" t="str">
        <f t="array" ref="FE254">IFERROR(INDEX(球員狀態!X$2:X$5000, MATCH(1, (球員狀態!$A$2:$A$5000=$EI$1)*(ISNUMBER(SEARCH($EI254, 球員狀態!$B$2:$B$5000))), 0)), "")</f>
        <v/>
      </c>
      <c r="FF254" s="4" t="str">
        <f t="array" ref="FF254">IFERROR(INDEX(球員狀態!Y$2:Y$5000, MATCH(1, (球員狀態!$A$2:$A$5000=$EI$1)*(ISNUMBER(SEARCH($EI254, 球員狀態!$B$2:$B$5000))), 0)), "")</f>
        <v/>
      </c>
      <c r="FG254" s="4" t="str">
        <f t="array" ref="FG254">IFERROR(INDEX(球員狀態!Z$2:Z$5000, MATCH(1, (球員狀態!$A$2:$A$5000=$EI$241)*(ISNUMBER(SEARCH($EI254, 球員狀態!$B$2:$B$5000))), 0)), "")</f>
        <v/>
      </c>
      <c r="FH254" s="4" t="str">
        <f t="array" ref="FH254">IFERROR(INDEX(球員狀態!AA$2:AA$5000, MATCH(1, (球員狀態!$A$2:$A$5000=$EI$241)*(ISNUMBER(SEARCH($EI254, 球員狀態!$B$2:$B$5000))), 0)), "")</f>
        <v/>
      </c>
      <c r="FI254" s="4" t="str">
        <f t="array" ref="FI254">IFERROR(INDEX(球員狀態!AB$2:AB$5000, MATCH(1, (球員狀態!$A$2:$A$5000=$EI$241)*(ISNUMBER(SEARCH($EI254, 球員狀態!$B$2:$B$5000))), 0)), "")</f>
        <v/>
      </c>
    </row>
    <row r="255" spans="110:165">
      <c r="DH255" s="40" t="e">
        <f>DJ255+DL255+DM255+DN255+DO255-DP255-DQ255+DR255</f>
        <v>#VALUE!</v>
      </c>
      <c r="DI255" s="42" t="e">
        <f>DU255+DX255+EA255+ED255+EE255+EF255</f>
        <v>#VALUE!</v>
      </c>
      <c r="DJ255" s="38" t="e">
        <f>VLOOKUP(DJ254*1, FK$2:FM$12, 3, TRUE)*FM$1</f>
        <v>#VALUE!</v>
      </c>
      <c r="DL255" s="38" t="e">
        <f>VLOOKUP(DL254*1, FN$2:FP$12, 3, TRUE)*FP$1</f>
        <v>#VALUE!</v>
      </c>
      <c r="DM255" s="38" t="e">
        <f>VLOOKUP(DM254*1, FQ$2:FS$12, 3, TRUE)*FS$1</f>
        <v>#VALUE!</v>
      </c>
      <c r="DN255" s="38" t="e">
        <f>VLOOKUP(DN254*1, FT$2:FV$12, 3, TRUE)*FV$1</f>
        <v>#VALUE!</v>
      </c>
      <c r="DO255" s="38" t="e">
        <f>VLOOKUP(DO254*1, FW$2:FY$12, 3, TRUE)*FY$1</f>
        <v>#VALUE!</v>
      </c>
      <c r="DP255" s="39" t="e">
        <f>VLOOKUP(DP254*1, FK$14:FM$25, 3, TRUE)*FM$14</f>
        <v>#VALUE!</v>
      </c>
      <c r="DQ255" s="39" t="e">
        <f>VLOOKUP(DQ254*1, FN$14:FP$25, 3, TRUE)*FP$14</f>
        <v>#VALUE!</v>
      </c>
      <c r="DR255" s="38" t="e">
        <f>VLOOKUP(DR254*1, FQ$14:FS$25, 3, TRUE)*FS$14</f>
        <v>#VALUE!</v>
      </c>
      <c r="DU255" s="41" t="e">
        <f>VLOOKUP(DU254*1, FK$27:FM$38, 3, TRUE)*FM$27</f>
        <v>#VALUE!</v>
      </c>
      <c r="DX255" s="41" t="e">
        <f>VLOOKUP(DX254*1, FN$27:FP$38, 3, TRUE)*FP$27</f>
        <v>#VALUE!</v>
      </c>
      <c r="EA255" s="41" t="e">
        <f>VLOOKUP(EA254*1, FQ$27:FS$38, 3, TRUE)*FS$27</f>
        <v>#VALUE!</v>
      </c>
      <c r="ED255" s="41" t="e">
        <f>VLOOKUP(ED254*1, FT$27:FV$38, 3, TRUE)*FV$27</f>
        <v>#VALUE!</v>
      </c>
      <c r="EE255" s="41" t="e">
        <f>VLOOKUP(EE254*1, FW$27:FY$38, 3, TRUE)*FY$27</f>
        <v>#VALUE!</v>
      </c>
      <c r="EF255" s="41" t="e">
        <f>VLOOKUP(EF254*1, FK$40:FM$51, 3, TRUE)*FM$40</f>
        <v>#VALUE!</v>
      </c>
      <c r="EG255" s="57"/>
      <c r="EK255" s="40" t="e">
        <f>EM255+EO255+EP255+EQ255+ER255-ES255-ET255+EU255</f>
        <v>#VALUE!</v>
      </c>
      <c r="EL255" s="42" t="e">
        <f>EX255+FA255+FD255+FG255+FH255+FI255</f>
        <v>#VALUE!</v>
      </c>
      <c r="EM255" s="38" t="e">
        <f>VLOOKUP(EM254*1, $FK$2:$FM$12, 3, TRUE)*$FM$1</f>
        <v>#VALUE!</v>
      </c>
      <c r="EO255" s="38" t="e">
        <f>VLOOKUP(EO254*1, $FN$2:$FP$12, 3, TRUE)*$FP$1</f>
        <v>#VALUE!</v>
      </c>
      <c r="EP255" s="38" t="e">
        <f>VLOOKUP(EP254*1, $FQ$2:$FS$12, 3, TRUE)*$FS$1</f>
        <v>#VALUE!</v>
      </c>
      <c r="EQ255" s="38" t="e">
        <f>VLOOKUP(EQ254*1, $FT$2:$FV$12, 3, TRUE)*$FV$1</f>
        <v>#VALUE!</v>
      </c>
      <c r="ER255" s="38" t="e">
        <f>VLOOKUP(ER254*1, $FW$2:$FY$12, 3, TRUE)*$FY$1</f>
        <v>#VALUE!</v>
      </c>
      <c r="ES255" s="39" t="e">
        <f>VLOOKUP(ES254*1, $FK$14:$FM$25, 3, TRUE)*$FM$14</f>
        <v>#VALUE!</v>
      </c>
      <c r="ET255" s="39" t="e">
        <f>VLOOKUP(ET254*1, $FN$14:$FP$25, 3, TRUE)*$FP$14</f>
        <v>#VALUE!</v>
      </c>
      <c r="EU255" s="38" t="e">
        <f>VLOOKUP(EU254*1, $FQ$14:$FS$25, 3, TRUE)*$FS$14</f>
        <v>#VALUE!</v>
      </c>
      <c r="EX255" s="41" t="e">
        <f>VLOOKUP(EX254*1, $FK$27:$FM$38, 3, TRUE)*$FM$27</f>
        <v>#VALUE!</v>
      </c>
      <c r="FA255" s="41" t="e">
        <f>VLOOKUP(FA254*1, $FN$27:$FP$38, 3, TRUE)*$FP$27</f>
        <v>#VALUE!</v>
      </c>
      <c r="FD255" s="41" t="e">
        <f>VLOOKUP(FD254*1, $FQ$27:$FS$38, 3, TRUE)*$FS$27</f>
        <v>#VALUE!</v>
      </c>
      <c r="FG255" s="41" t="e">
        <f>VLOOKUP(FG254*1, $FT$27:$FV$38, 3, TRUE)*$FV$27</f>
        <v>#VALUE!</v>
      </c>
      <c r="FH255" s="41" t="e">
        <f>VLOOKUP(FH254*1, $FW$27:$FY$38, 3, TRUE)*$FY$27</f>
        <v>#VALUE!</v>
      </c>
      <c r="FI255" s="41" t="e">
        <f>VLOOKUP(FI254*1, $FK$40:$FM$51, 3, TRUE)*$FM$40</f>
        <v>#VALUE!</v>
      </c>
    </row>
    <row r="256" spans="110:165">
      <c r="DF256" s="37">
        <f>先發名單!L$10</f>
        <v>0</v>
      </c>
      <c r="DG256" s="4" t="str">
        <f t="array" ref="DG256">IFERROR(INDEX(球員狀態!$C$2:$C$5000, MATCH(1, (球員狀態!$A$2:$A$5000=$DF$241)*(ISNUMBER(SEARCH($DF256, 球員狀態!$B$2:$B$5000))), 0)), "")</f>
        <v/>
      </c>
      <c r="DJ256" s="4" t="str">
        <f t="array" ref="DJ256">IFERROR(INDEX(球員狀態!$F$2:$F$5000,MATCH(1,(球員狀態!$A$2:$A$5000=$DF$241)*(ISNUMBER(SEARCH($DF256,球員狀態!$B$2:$B$5000))),0)),"")</f>
        <v/>
      </c>
      <c r="DK256" s="4" t="str">
        <f t="array" ref="DK256">IFERROR(INDEX(球員狀態!G$2:G$5000, MATCH(1, (球員狀態!$A$2:$A$5000=$DF$1)*(ISNUMBER(SEARCH($DF256, 球員狀態!$B$2:$B$5000))), 0)), "")</f>
        <v/>
      </c>
      <c r="DL256" s="4" t="str">
        <f t="array" ref="DL256">IFERROR(INDEX(球員狀態!H$2:H$5000, MATCH(1, (球員狀態!$A$2:$A$5000=$DF$241)*(ISNUMBER(SEARCH($DF256, 球員狀態!$B$2:$B$5000))), 0)), "")</f>
        <v/>
      </c>
      <c r="DM256" s="4" t="str">
        <f t="array" ref="DM256">IFERROR(INDEX(球員狀態!I$2:I$5000,MATCH(1,(球員狀態!$A$2:$A$5000=$DF$241)*(ISNUMBER(SEARCH($DF256,球員狀態!$B$2:$B$5000))),0)),"")</f>
        <v/>
      </c>
      <c r="DN256" s="4" t="str">
        <f t="array" ref="DN256">IFERROR(INDEX(球員狀態!J$2:J$5000,MATCH(1,(球員狀態!$A$2:$A$5000=$DF$241)*(ISNUMBER(SEARCH($DF256,球員狀態!$B$2:$B$5000))),0)),"")</f>
        <v/>
      </c>
      <c r="DO256" s="4" t="str">
        <f t="array" ref="DO256">IFERROR(INDEX(球員狀態!K$2:K$5000,MATCH(1,(球員狀態!$A$2:$A$5000=$DF$241)*(ISNUMBER(SEARCH($DF256,球員狀態!$B$2:$B$5000))),0)),"")</f>
        <v/>
      </c>
      <c r="DP256" s="4" t="str">
        <f t="array" ref="DP256">IFERROR(INDEX(球員狀態!L$2:L$5000,MATCH(1,(球員狀態!$A$2:$A$5000=$DF$241)*(ISNUMBER(SEARCH($DF256,球員狀態!$B$2:$B$5000))),0)),"")</f>
        <v/>
      </c>
      <c r="DQ256" s="4" t="str">
        <f t="array" ref="DQ256">IFERROR(INDEX(球員狀態!M$2:M$5000,MATCH(1,(球員狀態!$A$2:$A$5000=$DF$241)*(ISNUMBER(SEARCH($DF256,球員狀態!$B$2:$B$5000))),0)),"")</f>
        <v/>
      </c>
      <c r="DR256" s="4" t="str">
        <f t="array" ref="DR256">IFERROR(INDEX(球員狀態!N$2:N$5000,MATCH(1,(球員狀態!$A$2:$A$5000=$DF$241)*(ISNUMBER(SEARCH($DF256,球員狀態!$B$2:$B$5000))),0)),"")</f>
        <v/>
      </c>
      <c r="DS256" s="4" t="str">
        <f t="array" ref="DS256">IFERROR(INDEX(球員狀態!O$2:O$5000, MATCH(1, (球員狀態!$A$2:$A$5000=$DF$1)*(ISNUMBER(SEARCH($DF256, 球員狀態!$B$2:$B$5000))), 0)), "")</f>
        <v/>
      </c>
      <c r="DT256" s="4" t="str">
        <f t="array" ref="DT256">IFERROR(INDEX(球員狀態!P$2:P$5000, MATCH(1, (球員狀態!$A$2:$A$5000=$DF$1)*(ISNUMBER(SEARCH($DF256, 球員狀態!$B$2:$B$5000))), 0)), "")</f>
        <v/>
      </c>
      <c r="DU256" s="4" t="str">
        <f t="array" ref="DU256">IFERROR(INDEX(球員狀態!Q$2:Q$5000,MATCH(1,(球員狀態!$A$2:$A$5000=$DF$241)*(ISNUMBER(SEARCH($DF256,球員狀態!$B$2:$B$5000))),0)),"")</f>
        <v/>
      </c>
      <c r="DV256" s="4" t="str">
        <f t="array" ref="DV256">IFERROR(INDEX(球員狀態!R$2:R$5000, MATCH(1, (球員狀態!$A$2:$A$5000=$DF$1)*(ISNUMBER(SEARCH($DF256, 球員狀態!$B$2:$B$5000))), 0)), "")</f>
        <v/>
      </c>
      <c r="DW256" s="4" t="str">
        <f t="array" ref="DW256">IFERROR(INDEX(球員狀態!S$2:S$5000, MATCH(1, (球員狀態!$A$2:$A$5000=$DF$1)*(ISNUMBER(SEARCH($DF256, 球員狀態!$B$2:$B$5000))), 0)), "")</f>
        <v/>
      </c>
      <c r="DX256" s="4" t="str">
        <f t="array" ref="DX256">IFERROR(INDEX(球員狀態!T$2:T$5000,MATCH(1,(球員狀態!$A$2:$A$5000=$DF$241)*(ISNUMBER(SEARCH($DF256,球員狀態!$B$2:$B$5000))),0)),"")</f>
        <v/>
      </c>
      <c r="DY256" s="4" t="str">
        <f t="array" ref="DY256">IFERROR(INDEX(球員狀態!U$2:U$5000, MATCH(1, (球員狀態!$A$2:$A$5000=$DF$1)*(ISNUMBER(SEARCH($DF256, 球員狀態!$B$2:$B$5000))), 0)), "")</f>
        <v/>
      </c>
      <c r="DZ256" s="4" t="str">
        <f t="array" ref="DZ256">IFERROR(INDEX(球員狀態!V$2:V$5000, MATCH(1, (球員狀態!$A$2:$A$5000=$DF$1)*(ISNUMBER(SEARCH($DF256, 球員狀態!$B$2:$B$5000))), 0)), "")</f>
        <v/>
      </c>
      <c r="EA256" s="4" t="str">
        <f t="array" ref="EA256">IFERROR(INDEX(球員狀態!W$2:W$5000,MATCH(1,(球員狀態!$A$2:$A$5000=$DF$241)*(ISNUMBER(SEARCH($DF256,球員狀態!$B$2:$B$5000))),0)),"")</f>
        <v/>
      </c>
      <c r="EB256" s="4" t="str">
        <f t="array" ref="EB256">IFERROR(INDEX(球員狀態!X$2:X$5000, MATCH(1, (球員狀態!$A$2:$A$5000=$DF$1)*(ISNUMBER(SEARCH($DF256, 球員狀態!$B$2:$B$5000))), 0)), "")</f>
        <v/>
      </c>
      <c r="EC256" s="4" t="str">
        <f t="array" ref="EC256">IFERROR(INDEX(球員狀態!Y$2:Y$5000, MATCH(1, (球員狀態!$A$2:$A$5000=$DF$1)*(ISNUMBER(SEARCH($DF256, 球員狀態!$B$2:$B$5000))), 0)), "")</f>
        <v/>
      </c>
      <c r="ED256" s="4" t="str">
        <f t="array" ref="ED256">IFERROR(INDEX(球員狀態!Z$2:Z$5000,MATCH(1,(球員狀態!$A$2:$A$5000=$DF$241)*(ISNUMBER(SEARCH($DF256,球員狀態!$B$2:$B$5000))),0)),"")</f>
        <v/>
      </c>
      <c r="EE256" s="4" t="str">
        <f t="array" ref="EE256">IFERROR(INDEX(球員狀態!AA$2:AA$5000,MATCH(1,(球員狀態!$A$2:$A$5000=$DF$241)*(ISNUMBER(SEARCH($DF256,球員狀態!$B$2:$B$5000))),0)),"")</f>
        <v/>
      </c>
      <c r="EF256" s="4" t="str">
        <f t="array" ref="EF256">IFERROR(INDEX(球員狀態!AB$2:AB$5000,MATCH(1,(球員狀態!$A$2:$A$5000=$DF$241)*(ISNUMBER(SEARCH($DF256,球員狀態!$B$2:$B$5000))),0)),"")</f>
        <v/>
      </c>
      <c r="EG256" s="56"/>
      <c r="EI256" s="37">
        <f>先發名單!V$10</f>
        <v>0</v>
      </c>
      <c r="EJ256" s="4" t="str">
        <f t="array" ref="EJ256">IFERROR(INDEX(球員狀態!C$2:C$5000, MATCH(1, (球員狀態!$A$2:$A$5000=$EI$241)*(ISNUMBER(SEARCH($EI256, 球員狀態!$B$2:$B$5000))), 0)), "")</f>
        <v/>
      </c>
      <c r="EM256" s="4" t="str">
        <f t="array" ref="EM256">IFERROR(INDEX(球員狀態!F$2:F$5000, MATCH(1, (球員狀態!$A$2:$A$5000=$EI$241)*(ISNUMBER(SEARCH($EI256, 球員狀態!$B$2:$B$5000))), 0)), "")</f>
        <v/>
      </c>
      <c r="EN256" s="4" t="str">
        <f t="array" ref="EN256">IFERROR(INDEX(球員狀態!G$2:G$5000, MATCH(1, (球員狀態!$A$2:$A$5000=$EI$1)*(ISNUMBER(SEARCH($EI256, 球員狀態!$B$2:$B$5000))), 0)), "")</f>
        <v/>
      </c>
      <c r="EO256" s="4" t="str">
        <f t="array" ref="EO256">IFERROR(INDEX(球員狀態!H$2:H$5000, MATCH(1, (球員狀態!$A$2:$A$5000=$EI$241)*(ISNUMBER(SEARCH($EI256, 球員狀態!$B$2:$B$5000))), 0)), "")</f>
        <v/>
      </c>
      <c r="EP256" s="4" t="str">
        <f t="array" ref="EP256">IFERROR(INDEX(球員狀態!I$2:I$5000, MATCH(1, (球員狀態!$A$2:$A$5000=$EI$241)*(ISNUMBER(SEARCH($EI256, 球員狀態!$B$2:$B$5000))), 0)), "")</f>
        <v/>
      </c>
      <c r="EQ256" s="4" t="str">
        <f t="array" ref="EQ256">IFERROR(INDEX(球員狀態!J$2:J$5000, MATCH(1, (球員狀態!$A$2:$A$5000=$EI$241)*(ISNUMBER(SEARCH($EI256, 球員狀態!$B$2:$B$5000))), 0)), "")</f>
        <v/>
      </c>
      <c r="ER256" s="4" t="str">
        <f t="array" ref="ER256">IFERROR(INDEX(球員狀態!K$2:K$5000, MATCH(1, (球員狀態!$A$2:$A$5000=$EI$241)*(ISNUMBER(SEARCH($EI256, 球員狀態!$B$2:$B$5000))), 0)), "")</f>
        <v/>
      </c>
      <c r="ES256" s="4" t="str">
        <f t="array" ref="ES256">IFERROR(INDEX(球員狀態!L$2:L$5000, MATCH(1, (球員狀態!$A$2:$A$5000=$EI$241)*(ISNUMBER(SEARCH($EI256, 球員狀態!$B$2:$B$5000))), 0)), "")</f>
        <v/>
      </c>
      <c r="ET256" s="4" t="str">
        <f t="array" ref="ET256">IFERROR(INDEX(球員狀態!M$2:M$5000, MATCH(1, (球員狀態!$A$2:$A$5000=$EI$241)*(ISNUMBER(SEARCH($EI256, 球員狀態!$B$2:$B$5000))), 0)), "")</f>
        <v/>
      </c>
      <c r="EU256" s="4" t="str">
        <f t="array" ref="EU256">IFERROR(INDEX(球員狀態!N$2:N$5000, MATCH(1, (球員狀態!$A$2:$A$5000=$EI$241)*(ISNUMBER(SEARCH($EI256, 球員狀態!$B$2:$B$5000))), 0)), "")</f>
        <v/>
      </c>
      <c r="EV256" s="4" t="str">
        <f t="array" ref="EV256">IFERROR(INDEX(球員狀態!O$2:O$5000, MATCH(1, (球員狀態!$A$2:$A$5000=$EI$1)*(ISNUMBER(SEARCH($EI256, 球員狀態!$B$2:$B$5000))), 0)), "")</f>
        <v/>
      </c>
      <c r="EW256" s="4" t="str">
        <f t="array" ref="EW256">IFERROR(INDEX(球員狀態!P$2:P$5000, MATCH(1, (球員狀態!$A$2:$A$5000=$EI$1)*(ISNUMBER(SEARCH($EI256, 球員狀態!$B$2:$B$5000))), 0)), "")</f>
        <v/>
      </c>
      <c r="EX256" s="4" t="str">
        <f t="array" ref="EX256">IFERROR(INDEX(球員狀態!Q$2:Q$5000, MATCH(1, (球員狀態!$A$2:$A$5000=$EI$241)*(ISNUMBER(SEARCH($EI256, 球員狀態!$B$2:$B$5000))), 0)), "")</f>
        <v/>
      </c>
      <c r="EY256" s="4" t="str">
        <f t="array" ref="EY256">IFERROR(INDEX(球員狀態!R$2:R$5000, MATCH(1, (球員狀態!$A$2:$A$5000=$EI$1)*(ISNUMBER(SEARCH($EI256, 球員狀態!$B$2:$B$5000))), 0)), "")</f>
        <v/>
      </c>
      <c r="EZ256" s="4" t="str">
        <f t="array" ref="EZ256">IFERROR(INDEX(球員狀態!S$2:S$5000, MATCH(1, (球員狀態!$A$2:$A$5000=$EI$1)*(ISNUMBER(SEARCH($EI256, 球員狀態!$B$2:$B$5000))), 0)), "")</f>
        <v/>
      </c>
      <c r="FA256" s="4" t="str">
        <f t="array" ref="FA256">IFERROR(INDEX(球員狀態!T$2:T$5000, MATCH(1, (球員狀態!$A$2:$A$5000=$EI$241)*(ISNUMBER(SEARCH($EI256, 球員狀態!$B$2:$B$5000))), 0)), "")</f>
        <v/>
      </c>
      <c r="FB256" s="4" t="str">
        <f t="array" ref="FB256">IFERROR(INDEX(球員狀態!U$2:U$5000, MATCH(1, (球員狀態!$A$2:$A$5000=$EI$1)*(ISNUMBER(SEARCH($EI256, 球員狀態!$B$2:$B$5000))), 0)), "")</f>
        <v/>
      </c>
      <c r="FC256" s="4" t="str">
        <f t="array" ref="FC256">IFERROR(INDEX(球員狀態!V$2:V$5000, MATCH(1, (球員狀態!$A$2:$A$5000=$EI$1)*(ISNUMBER(SEARCH($EI256, 球員狀態!$B$2:$B$5000))), 0)), "")</f>
        <v/>
      </c>
      <c r="FD256" s="4" t="str">
        <f t="array" ref="FD256">IFERROR(INDEX(球員狀態!W$2:W$5000, MATCH(1, (球員狀態!$A$2:$A$5000=$EI$241)*(ISNUMBER(SEARCH($EI256, 球員狀態!$B$2:$B$5000))), 0)), "")</f>
        <v/>
      </c>
      <c r="FE256" s="4" t="str">
        <f t="array" ref="FE256">IFERROR(INDEX(球員狀態!X$2:X$5000, MATCH(1, (球員狀態!$A$2:$A$5000=$EI$1)*(ISNUMBER(SEARCH($EI256, 球員狀態!$B$2:$B$5000))), 0)), "")</f>
        <v/>
      </c>
      <c r="FF256" s="4" t="str">
        <f t="array" ref="FF256">IFERROR(INDEX(球員狀態!Y$2:Y$5000, MATCH(1, (球員狀態!$A$2:$A$5000=$EI$1)*(ISNUMBER(SEARCH($EI256, 球員狀態!$B$2:$B$5000))), 0)), "")</f>
        <v/>
      </c>
      <c r="FG256" s="4" t="str">
        <f t="array" ref="FG256">IFERROR(INDEX(球員狀態!Z$2:Z$5000, MATCH(1, (球員狀態!$A$2:$A$5000=$EI$241)*(ISNUMBER(SEARCH($EI256, 球員狀態!$B$2:$B$5000))), 0)), "")</f>
        <v/>
      </c>
      <c r="FH256" s="4" t="str">
        <f t="array" ref="FH256">IFERROR(INDEX(球員狀態!AA$2:AA$5000, MATCH(1, (球員狀態!$A$2:$A$5000=$EI$241)*(ISNUMBER(SEARCH($EI256, 球員狀態!$B$2:$B$5000))), 0)), "")</f>
        <v/>
      </c>
      <c r="FI256" s="4" t="str">
        <f t="array" ref="FI256">IFERROR(INDEX(球員狀態!AB$2:AB$5000, MATCH(1, (球員狀態!$A$2:$A$5000=$EI$241)*(ISNUMBER(SEARCH($EI256, 球員狀態!$B$2:$B$5000))), 0)), "")</f>
        <v/>
      </c>
    </row>
    <row r="257" spans="110:165">
      <c r="DH257" s="40" t="e">
        <f>DJ257+DL257+DM257+DN257+DO257-DP257-DQ257+DR257</f>
        <v>#VALUE!</v>
      </c>
      <c r="DI257" s="42" t="e">
        <f>DU257+DX257+EA257+ED257+EE257+EF257</f>
        <v>#VALUE!</v>
      </c>
      <c r="DJ257" s="38" t="e">
        <f>VLOOKUP(DJ256*1, FK$2:FM$12, 3, TRUE)*FM$1</f>
        <v>#VALUE!</v>
      </c>
      <c r="DL257" s="38" t="e">
        <f>VLOOKUP(DL256*1, FN$2:FP$12, 3, TRUE)*FP$1</f>
        <v>#VALUE!</v>
      </c>
      <c r="DM257" s="38" t="e">
        <f>VLOOKUP(DM256*1, FQ$2:FS$12, 3, TRUE)*FS$1</f>
        <v>#VALUE!</v>
      </c>
      <c r="DN257" s="38" t="e">
        <f>VLOOKUP(DN256*1, FT$2:FV$12, 3, TRUE)*FV$1</f>
        <v>#VALUE!</v>
      </c>
      <c r="DO257" s="38" t="e">
        <f>VLOOKUP(DO256*1, FW$2:FY$12, 3, TRUE)*FY$1</f>
        <v>#VALUE!</v>
      </c>
      <c r="DP257" s="39" t="e">
        <f>VLOOKUP(DP256*1, FK$14:FM$25, 3, TRUE)*FM$14</f>
        <v>#VALUE!</v>
      </c>
      <c r="DQ257" s="39" t="e">
        <f>VLOOKUP(DQ256*1, FN$14:FP$25, 3, TRUE)*FP$14</f>
        <v>#VALUE!</v>
      </c>
      <c r="DR257" s="38" t="e">
        <f>VLOOKUP(DR256*1, FQ$14:FS$25, 3, TRUE)*FS$14</f>
        <v>#VALUE!</v>
      </c>
      <c r="DU257" s="41" t="e">
        <f>VLOOKUP(DU256*1, FK$27:FM$38, 3, TRUE)*FM$27</f>
        <v>#VALUE!</v>
      </c>
      <c r="DX257" s="41" t="e">
        <f>VLOOKUP(DX256*1, FN$27:FP$38, 3, TRUE)*FP$27</f>
        <v>#VALUE!</v>
      </c>
      <c r="EA257" s="41" t="e">
        <f>VLOOKUP(EA256*1, FQ$27:FS$38, 3, TRUE)*FS$27</f>
        <v>#VALUE!</v>
      </c>
      <c r="ED257" s="41" t="e">
        <f>VLOOKUP(ED256*1, FT$27:FV$38, 3, TRUE)*FV$27</f>
        <v>#VALUE!</v>
      </c>
      <c r="EE257" s="41" t="e">
        <f>VLOOKUP(EE256*1, FW$27:FY$38, 3, TRUE)*FY$27</f>
        <v>#VALUE!</v>
      </c>
      <c r="EF257" s="41" t="e">
        <f>VLOOKUP(EF256*1, FK$40:FM$51, 3, TRUE)*FM$40</f>
        <v>#VALUE!</v>
      </c>
      <c r="EG257" s="57"/>
      <c r="EK257" s="40" t="e">
        <f>EM257+EO257+EP257+EQ257+ER257-ES257-ET257+EU257</f>
        <v>#VALUE!</v>
      </c>
      <c r="EL257" s="42" t="e">
        <f>EX257+FA257+FD257+FG257+FH257+FI257</f>
        <v>#VALUE!</v>
      </c>
      <c r="EM257" s="38" t="e">
        <f>VLOOKUP(EM256*1, $FK$2:$FM$12, 3, TRUE)*$FM$1</f>
        <v>#VALUE!</v>
      </c>
      <c r="EO257" s="38" t="e">
        <f>VLOOKUP(EO256*1, $FN$2:$FP$12, 3, TRUE)*$FP$1</f>
        <v>#VALUE!</v>
      </c>
      <c r="EP257" s="38" t="e">
        <f>VLOOKUP(EP256*1, $FQ$2:$FS$12, 3, TRUE)*$FS$1</f>
        <v>#VALUE!</v>
      </c>
      <c r="EQ257" s="38" t="e">
        <f>VLOOKUP(EQ256*1, $FT$2:$FV$12, 3, TRUE)*$FV$1</f>
        <v>#VALUE!</v>
      </c>
      <c r="ER257" s="38" t="e">
        <f>VLOOKUP(ER256*1, $FW$2:$FY$12, 3, TRUE)*$FY$1</f>
        <v>#VALUE!</v>
      </c>
      <c r="ES257" s="39" t="e">
        <f>VLOOKUP(ES256*1, $FK$14:$FM$25, 3, TRUE)*$FM$14</f>
        <v>#VALUE!</v>
      </c>
      <c r="ET257" s="39" t="e">
        <f>VLOOKUP(ET256*1, $FN$14:$FP$25, 3, TRUE)*$FP$14</f>
        <v>#VALUE!</v>
      </c>
      <c r="EU257" s="38" t="e">
        <f>VLOOKUP(EU256*1, $FQ$14:$FS$25, 3, TRUE)*$FS$14</f>
        <v>#VALUE!</v>
      </c>
      <c r="EX257" s="41" t="e">
        <f>VLOOKUP(EX256*1, $FK$27:$FM$38, 3, TRUE)*$FM$27</f>
        <v>#VALUE!</v>
      </c>
      <c r="FA257" s="41" t="e">
        <f>VLOOKUP(FA256*1, $FN$27:$FP$38, 3, TRUE)*$FP$27</f>
        <v>#VALUE!</v>
      </c>
      <c r="FD257" s="41" t="e">
        <f>VLOOKUP(FD256*1, $FQ$27:$FS$38, 3, TRUE)*$FS$27</f>
        <v>#VALUE!</v>
      </c>
      <c r="FG257" s="41" t="e">
        <f>VLOOKUP(FG256*1, $FT$27:$FV$38, 3, TRUE)*$FV$27</f>
        <v>#VALUE!</v>
      </c>
      <c r="FH257" s="41" t="e">
        <f>VLOOKUP(FH256*1, $FW$27:$FY$38, 3, TRUE)*$FY$27</f>
        <v>#VALUE!</v>
      </c>
      <c r="FI257" s="41" t="e">
        <f>VLOOKUP(FI256*1, $FK$40:$FM$51, 3, TRUE)*$FM$40</f>
        <v>#VALUE!</v>
      </c>
    </row>
    <row r="258" spans="110:165">
      <c r="DF258" s="37">
        <f>先發名單!M$10</f>
        <v>0</v>
      </c>
      <c r="DG258" s="4" t="str">
        <f t="array" ref="DG258">IFERROR(INDEX(球員狀態!$C$2:$C$5000, MATCH(1, (球員狀態!$A$2:$A$5000=$DF$241)*(ISNUMBER(SEARCH($DF258, 球員狀態!$B$2:$B$5000))), 0)), "")</f>
        <v/>
      </c>
      <c r="DJ258" s="4" t="str">
        <f t="array" ref="DJ258">IFERROR(INDEX(球員狀態!$F$2:$F$5000,MATCH(1,(球員狀態!$A$2:$A$5000=$DF$241)*(ISNUMBER(SEARCH($DF258,球員狀態!$B$2:$B$5000))),0)),"")</f>
        <v/>
      </c>
      <c r="DK258" s="4" t="str">
        <f t="array" ref="DK258">IFERROR(INDEX(球員狀態!G$2:G$5000, MATCH(1, (球員狀態!$A$2:$A$5000=$DF$1)*(ISNUMBER(SEARCH($DF258, 球員狀態!$B$2:$B$5000))), 0)), "")</f>
        <v/>
      </c>
      <c r="DL258" s="4" t="str">
        <f t="array" ref="DL258">IFERROR(INDEX(球員狀態!H$2:H$5000, MATCH(1, (球員狀態!$A$2:$A$5000=$DF$241)*(ISNUMBER(SEARCH($DF258, 球員狀態!$B$2:$B$5000))), 0)), "")</f>
        <v/>
      </c>
      <c r="DM258" s="4" t="str">
        <f t="array" ref="DM258">IFERROR(INDEX(球員狀態!I$2:I$5000,MATCH(1,(球員狀態!$A$2:$A$5000=$DF$241)*(ISNUMBER(SEARCH($DF258,球員狀態!$B$2:$B$5000))),0)),"")</f>
        <v/>
      </c>
      <c r="DN258" s="4" t="str">
        <f t="array" ref="DN258">IFERROR(INDEX(球員狀態!J$2:J$5000,MATCH(1,(球員狀態!$A$2:$A$5000=$DF$241)*(ISNUMBER(SEARCH($DF258,球員狀態!$B$2:$B$5000))),0)),"")</f>
        <v/>
      </c>
      <c r="DO258" s="4" t="str">
        <f t="array" ref="DO258">IFERROR(INDEX(球員狀態!K$2:K$5000,MATCH(1,(球員狀態!$A$2:$A$5000=$DF$241)*(ISNUMBER(SEARCH($DF258,球員狀態!$B$2:$B$5000))),0)),"")</f>
        <v/>
      </c>
      <c r="DP258" s="4" t="str">
        <f t="array" ref="DP258">IFERROR(INDEX(球員狀態!L$2:L$5000,MATCH(1,(球員狀態!$A$2:$A$5000=$DF$241)*(ISNUMBER(SEARCH($DF258,球員狀態!$B$2:$B$5000))),0)),"")</f>
        <v/>
      </c>
      <c r="DQ258" s="4" t="str">
        <f t="array" ref="DQ258">IFERROR(INDEX(球員狀態!M$2:M$5000,MATCH(1,(球員狀態!$A$2:$A$5000=$DF$241)*(ISNUMBER(SEARCH($DF258,球員狀態!$B$2:$B$5000))),0)),"")</f>
        <v/>
      </c>
      <c r="DR258" s="4" t="str">
        <f t="array" ref="DR258">IFERROR(INDEX(球員狀態!N$2:N$5000,MATCH(1,(球員狀態!$A$2:$A$5000=$DF$241)*(ISNUMBER(SEARCH($DF258,球員狀態!$B$2:$B$5000))),0)),"")</f>
        <v/>
      </c>
      <c r="DS258" s="4" t="str">
        <f t="array" ref="DS258">IFERROR(INDEX(球員狀態!O$2:O$5000, MATCH(1, (球員狀態!$A$2:$A$5000=$DF$1)*(ISNUMBER(SEARCH($DF258, 球員狀態!$B$2:$B$5000))), 0)), "")</f>
        <v/>
      </c>
      <c r="DT258" s="4" t="str">
        <f t="array" ref="DT258">IFERROR(INDEX(球員狀態!P$2:P$5000, MATCH(1, (球員狀態!$A$2:$A$5000=$DF$1)*(ISNUMBER(SEARCH($DF258, 球員狀態!$B$2:$B$5000))), 0)), "")</f>
        <v/>
      </c>
      <c r="DU258" s="4" t="str">
        <f t="array" ref="DU258">IFERROR(INDEX(球員狀態!Q$2:Q$5000,MATCH(1,(球員狀態!$A$2:$A$5000=$DF$241)*(ISNUMBER(SEARCH($DF258,球員狀態!$B$2:$B$5000))),0)),"")</f>
        <v/>
      </c>
      <c r="DV258" s="4" t="str">
        <f t="array" ref="DV258">IFERROR(INDEX(球員狀態!R$2:R$5000, MATCH(1, (球員狀態!$A$2:$A$5000=$DF$1)*(ISNUMBER(SEARCH($DF258, 球員狀態!$B$2:$B$5000))), 0)), "")</f>
        <v/>
      </c>
      <c r="DW258" s="4" t="str">
        <f t="array" ref="DW258">IFERROR(INDEX(球員狀態!S$2:S$5000, MATCH(1, (球員狀態!$A$2:$A$5000=$DF$1)*(ISNUMBER(SEARCH($DF258, 球員狀態!$B$2:$B$5000))), 0)), "")</f>
        <v/>
      </c>
      <c r="DX258" s="4" t="str">
        <f t="array" ref="DX258">IFERROR(INDEX(球員狀態!T$2:T$5000,MATCH(1,(球員狀態!$A$2:$A$5000=$DF$241)*(ISNUMBER(SEARCH($DF258,球員狀態!$B$2:$B$5000))),0)),"")</f>
        <v/>
      </c>
      <c r="DY258" s="4" t="str">
        <f t="array" ref="DY258">IFERROR(INDEX(球員狀態!U$2:U$5000, MATCH(1, (球員狀態!$A$2:$A$5000=$DF$1)*(ISNUMBER(SEARCH($DF258, 球員狀態!$B$2:$B$5000))), 0)), "")</f>
        <v/>
      </c>
      <c r="DZ258" s="4" t="str">
        <f t="array" ref="DZ258">IFERROR(INDEX(球員狀態!V$2:V$5000, MATCH(1, (球員狀態!$A$2:$A$5000=$DF$1)*(ISNUMBER(SEARCH($DF258, 球員狀態!$B$2:$B$5000))), 0)), "")</f>
        <v/>
      </c>
      <c r="EA258" s="4" t="str">
        <f t="array" ref="EA258">IFERROR(INDEX(球員狀態!W$2:W$5000,MATCH(1,(球員狀態!$A$2:$A$5000=$DF$241)*(ISNUMBER(SEARCH($DF258,球員狀態!$B$2:$B$5000))),0)),"")</f>
        <v/>
      </c>
      <c r="EB258" s="4" t="str">
        <f t="array" ref="EB258">IFERROR(INDEX(球員狀態!X$2:X$5000, MATCH(1, (球員狀態!$A$2:$A$5000=$DF$1)*(ISNUMBER(SEARCH($DF258, 球員狀態!$B$2:$B$5000))), 0)), "")</f>
        <v/>
      </c>
      <c r="EC258" s="4" t="str">
        <f t="array" ref="EC258">IFERROR(INDEX(球員狀態!Y$2:Y$5000, MATCH(1, (球員狀態!$A$2:$A$5000=$DF$1)*(ISNUMBER(SEARCH($DF258, 球員狀態!$B$2:$B$5000))), 0)), "")</f>
        <v/>
      </c>
      <c r="ED258" s="4" t="str">
        <f t="array" ref="ED258">IFERROR(INDEX(球員狀態!Z$2:Z$5000,MATCH(1,(球員狀態!$A$2:$A$5000=$DF$241)*(ISNUMBER(SEARCH($DF258,球員狀態!$B$2:$B$5000))),0)),"")</f>
        <v/>
      </c>
      <c r="EE258" s="4" t="str">
        <f t="array" ref="EE258">IFERROR(INDEX(球員狀態!AA$2:AA$5000,MATCH(1,(球員狀態!$A$2:$A$5000=$DF$241)*(ISNUMBER(SEARCH($DF258,球員狀態!$B$2:$B$5000))),0)),"")</f>
        <v/>
      </c>
      <c r="EF258" s="4" t="str">
        <f t="array" ref="EF258">IFERROR(INDEX(球員狀態!AB$2:AB$5000,MATCH(1,(球員狀態!$A$2:$A$5000=$DF$241)*(ISNUMBER(SEARCH($DF258,球員狀態!$B$2:$B$5000))),0)),"")</f>
        <v/>
      </c>
      <c r="EG258" s="56"/>
      <c r="EI258" s="37">
        <f>先發名單!W$10</f>
        <v>0</v>
      </c>
      <c r="EJ258" s="4" t="str">
        <f t="array" ref="EJ258">IFERROR(INDEX(球員狀態!C$2:C$5000, MATCH(1, (球員狀態!$A$2:$A$5000=$EI$241)*(ISNUMBER(SEARCH($EI258, 球員狀態!$B$2:$B$5000))), 0)), "")</f>
        <v/>
      </c>
      <c r="EM258" s="4" t="str">
        <f t="array" ref="EM258">IFERROR(INDEX(球員狀態!F$2:F$5000, MATCH(1, (球員狀態!$A$2:$A$5000=$EI$241)*(ISNUMBER(SEARCH($EI258, 球員狀態!$B$2:$B$5000))), 0)), "")</f>
        <v/>
      </c>
      <c r="EN258" s="4" t="str">
        <f t="array" ref="EN258">IFERROR(INDEX(球員狀態!G$2:G$5000, MATCH(1, (球員狀態!$A$2:$A$5000=$EI$1)*(ISNUMBER(SEARCH($EI258, 球員狀態!$B$2:$B$5000))), 0)), "")</f>
        <v/>
      </c>
      <c r="EO258" s="4" t="str">
        <f t="array" ref="EO258">IFERROR(INDEX(球員狀態!H$2:H$5000, MATCH(1, (球員狀態!$A$2:$A$5000=$EI$241)*(ISNUMBER(SEARCH($EI258, 球員狀態!$B$2:$B$5000))), 0)), "")</f>
        <v/>
      </c>
      <c r="EP258" s="4" t="str">
        <f t="array" ref="EP258">IFERROR(INDEX(球員狀態!I$2:I$5000, MATCH(1, (球員狀態!$A$2:$A$5000=$EI$241)*(ISNUMBER(SEARCH($EI258, 球員狀態!$B$2:$B$5000))), 0)), "")</f>
        <v/>
      </c>
      <c r="EQ258" s="4" t="str">
        <f t="array" ref="EQ258">IFERROR(INDEX(球員狀態!J$2:J$5000, MATCH(1, (球員狀態!$A$2:$A$5000=$EI$241)*(ISNUMBER(SEARCH($EI258, 球員狀態!$B$2:$B$5000))), 0)), "")</f>
        <v/>
      </c>
      <c r="ER258" s="4" t="str">
        <f t="array" ref="ER258">IFERROR(INDEX(球員狀態!K$2:K$5000, MATCH(1, (球員狀態!$A$2:$A$5000=$EI$241)*(ISNUMBER(SEARCH($EI258, 球員狀態!$B$2:$B$5000))), 0)), "")</f>
        <v/>
      </c>
      <c r="ES258" s="4" t="str">
        <f t="array" ref="ES258">IFERROR(INDEX(球員狀態!L$2:L$5000, MATCH(1, (球員狀態!$A$2:$A$5000=$EI$241)*(ISNUMBER(SEARCH($EI258, 球員狀態!$B$2:$B$5000))), 0)), "")</f>
        <v/>
      </c>
      <c r="ET258" s="4" t="str">
        <f t="array" ref="ET258">IFERROR(INDEX(球員狀態!M$2:M$5000, MATCH(1, (球員狀態!$A$2:$A$5000=$EI$241)*(ISNUMBER(SEARCH($EI258, 球員狀態!$B$2:$B$5000))), 0)), "")</f>
        <v/>
      </c>
      <c r="EU258" s="4" t="str">
        <f t="array" ref="EU258">IFERROR(INDEX(球員狀態!N$2:N$5000, MATCH(1, (球員狀態!$A$2:$A$5000=$EI$241)*(ISNUMBER(SEARCH($EI258, 球員狀態!$B$2:$B$5000))), 0)), "")</f>
        <v/>
      </c>
      <c r="EV258" s="4" t="str">
        <f t="array" ref="EV258">IFERROR(INDEX(球員狀態!O$2:O$5000, MATCH(1, (球員狀態!$A$2:$A$5000=$EI$1)*(ISNUMBER(SEARCH($EI258, 球員狀態!$B$2:$B$5000))), 0)), "")</f>
        <v/>
      </c>
      <c r="EW258" s="4" t="str">
        <f t="array" ref="EW258">IFERROR(INDEX(球員狀態!P$2:P$5000, MATCH(1, (球員狀態!$A$2:$A$5000=$EI$1)*(ISNUMBER(SEARCH($EI258, 球員狀態!$B$2:$B$5000))), 0)), "")</f>
        <v/>
      </c>
      <c r="EX258" s="4" t="str">
        <f t="array" ref="EX258">IFERROR(INDEX(球員狀態!Q$2:Q$5000, MATCH(1, (球員狀態!$A$2:$A$5000=$EI$241)*(ISNUMBER(SEARCH($EI258, 球員狀態!$B$2:$B$5000))), 0)), "")</f>
        <v/>
      </c>
      <c r="EY258" s="4" t="str">
        <f t="array" ref="EY258">IFERROR(INDEX(球員狀態!R$2:R$5000, MATCH(1, (球員狀態!$A$2:$A$5000=$EI$1)*(ISNUMBER(SEARCH($EI258, 球員狀態!$B$2:$B$5000))), 0)), "")</f>
        <v/>
      </c>
      <c r="EZ258" s="4" t="str">
        <f t="array" ref="EZ258">IFERROR(INDEX(球員狀態!S$2:S$5000, MATCH(1, (球員狀態!$A$2:$A$5000=$EI$1)*(ISNUMBER(SEARCH($EI258, 球員狀態!$B$2:$B$5000))), 0)), "")</f>
        <v/>
      </c>
      <c r="FA258" s="4" t="str">
        <f t="array" ref="FA258">IFERROR(INDEX(球員狀態!T$2:T$5000, MATCH(1, (球員狀態!$A$2:$A$5000=$EI$241)*(ISNUMBER(SEARCH($EI258, 球員狀態!$B$2:$B$5000))), 0)), "")</f>
        <v/>
      </c>
      <c r="FB258" s="4" t="str">
        <f t="array" ref="FB258">IFERROR(INDEX(球員狀態!U$2:U$5000, MATCH(1, (球員狀態!$A$2:$A$5000=$EI$1)*(ISNUMBER(SEARCH($EI258, 球員狀態!$B$2:$B$5000))), 0)), "")</f>
        <v/>
      </c>
      <c r="FC258" s="4" t="str">
        <f t="array" ref="FC258">IFERROR(INDEX(球員狀態!V$2:V$5000, MATCH(1, (球員狀態!$A$2:$A$5000=$EI$1)*(ISNUMBER(SEARCH($EI258, 球員狀態!$B$2:$B$5000))), 0)), "")</f>
        <v/>
      </c>
      <c r="FD258" s="4" t="str">
        <f t="array" ref="FD258">IFERROR(INDEX(球員狀態!W$2:W$5000, MATCH(1, (球員狀態!$A$2:$A$5000=$EI$241)*(ISNUMBER(SEARCH($EI258, 球員狀態!$B$2:$B$5000))), 0)), "")</f>
        <v/>
      </c>
      <c r="FE258" s="4" t="str">
        <f t="array" ref="FE258">IFERROR(INDEX(球員狀態!X$2:X$5000, MATCH(1, (球員狀態!$A$2:$A$5000=$EI$1)*(ISNUMBER(SEARCH($EI258, 球員狀態!$B$2:$B$5000))), 0)), "")</f>
        <v/>
      </c>
      <c r="FF258" s="4" t="str">
        <f t="array" ref="FF258">IFERROR(INDEX(球員狀態!Y$2:Y$5000, MATCH(1, (球員狀態!$A$2:$A$5000=$EI$1)*(ISNUMBER(SEARCH($EI258, 球員狀態!$B$2:$B$5000))), 0)), "")</f>
        <v/>
      </c>
      <c r="FG258" s="4" t="str">
        <f t="array" ref="FG258">IFERROR(INDEX(球員狀態!Z$2:Z$5000, MATCH(1, (球員狀態!$A$2:$A$5000=$EI$241)*(ISNUMBER(SEARCH($EI258, 球員狀態!$B$2:$B$5000))), 0)), "")</f>
        <v/>
      </c>
      <c r="FH258" s="4" t="str">
        <f t="array" ref="FH258">IFERROR(INDEX(球員狀態!AA$2:AA$5000, MATCH(1, (球員狀態!$A$2:$A$5000=$EI$241)*(ISNUMBER(SEARCH($EI258, 球員狀態!$B$2:$B$5000))), 0)), "")</f>
        <v/>
      </c>
      <c r="FI258" s="4" t="str">
        <f t="array" ref="FI258">IFERROR(INDEX(球員狀態!AB$2:AB$5000, MATCH(1, (球員狀態!$A$2:$A$5000=$EI$241)*(ISNUMBER(SEARCH($EI258, 球員狀態!$B$2:$B$5000))), 0)), "")</f>
        <v/>
      </c>
    </row>
    <row r="259" spans="110:165">
      <c r="DH259" s="40" t="e">
        <f>DJ259+DL259+DM259+DN259+DO259-DP259-DQ259+DR259</f>
        <v>#VALUE!</v>
      </c>
      <c r="DI259" s="42" t="e">
        <f>DU259+DX259+EA259+ED259+EE259+EF259</f>
        <v>#VALUE!</v>
      </c>
      <c r="DJ259" s="38" t="e">
        <f>VLOOKUP(DJ258*1, FK$2:FM$12, 3, TRUE)*FM$1</f>
        <v>#VALUE!</v>
      </c>
      <c r="DL259" s="38" t="e">
        <f>VLOOKUP(DL258*1, FN$2:FP$12, 3, TRUE)*FP$1</f>
        <v>#VALUE!</v>
      </c>
      <c r="DM259" s="38" t="e">
        <f>VLOOKUP(DM258*1, FQ$2:FS$12, 3, TRUE)*FS$1</f>
        <v>#VALUE!</v>
      </c>
      <c r="DN259" s="38" t="e">
        <f>VLOOKUP(DN258*1, FT$2:FV$12, 3, TRUE)*FV$1</f>
        <v>#VALUE!</v>
      </c>
      <c r="DO259" s="38" t="e">
        <f>VLOOKUP(DO258*1, FW$2:FY$12, 3, TRUE)*FY$1</f>
        <v>#VALUE!</v>
      </c>
      <c r="DP259" s="39" t="e">
        <f>VLOOKUP(DP258*1, FK$14:FM$25, 3, TRUE)*FM$14</f>
        <v>#VALUE!</v>
      </c>
      <c r="DQ259" s="39" t="e">
        <f>VLOOKUP(DQ258*1, FN$14:FP$25, 3, TRUE)*FP$14</f>
        <v>#VALUE!</v>
      </c>
      <c r="DR259" s="38" t="e">
        <f>VLOOKUP(DR258*1, FQ$14:FS$25, 3, TRUE)*FS$14</f>
        <v>#VALUE!</v>
      </c>
      <c r="DU259" s="41" t="e">
        <f>VLOOKUP(DU258*1, FK$27:FM$38, 3, TRUE)*FM$27</f>
        <v>#VALUE!</v>
      </c>
      <c r="DX259" s="41" t="e">
        <f>VLOOKUP(DX258*1, FN$27:FP$38, 3, TRUE)*FP$27</f>
        <v>#VALUE!</v>
      </c>
      <c r="EA259" s="41" t="e">
        <f>VLOOKUP(EA258*1, FQ$27:FS$38, 3, TRUE)*FS$27</f>
        <v>#VALUE!</v>
      </c>
      <c r="ED259" s="41" t="e">
        <f>VLOOKUP(ED258*1, FT$27:FV$38, 3, TRUE)*FV$27</f>
        <v>#VALUE!</v>
      </c>
      <c r="EE259" s="41" t="e">
        <f>VLOOKUP(EE258*1, FW$27:FY$38, 3, TRUE)*FY$27</f>
        <v>#VALUE!</v>
      </c>
      <c r="EF259" s="41" t="e">
        <f>VLOOKUP(EF258*1, FK$40:FM$51, 3, TRUE)*FM$40</f>
        <v>#VALUE!</v>
      </c>
      <c r="EG259" s="57"/>
      <c r="EK259" s="40" t="e">
        <f>EM259+EO259+EP259+EQ259+ER259-ES259-ET259+EU259</f>
        <v>#VALUE!</v>
      </c>
      <c r="EL259" s="42" t="e">
        <f>EX259+FA259+FD259+FG259+FH259+FI259</f>
        <v>#VALUE!</v>
      </c>
      <c r="EM259" s="38" t="e">
        <f>VLOOKUP(EM258*1, $FK$2:$FM$12, 3, TRUE)*$FM$1</f>
        <v>#VALUE!</v>
      </c>
      <c r="EO259" s="38" t="e">
        <f>VLOOKUP(EO258*1, $FN$2:$FP$12, 3, TRUE)*$FP$1</f>
        <v>#VALUE!</v>
      </c>
      <c r="EP259" s="38" t="e">
        <f>VLOOKUP(EP258*1, $FQ$2:$FS$12, 3, TRUE)*$FS$1</f>
        <v>#VALUE!</v>
      </c>
      <c r="EQ259" s="38" t="e">
        <f>VLOOKUP(EQ258*1, $FT$2:$FV$12, 3, TRUE)*$FV$1</f>
        <v>#VALUE!</v>
      </c>
      <c r="ER259" s="38" t="e">
        <f>VLOOKUP(ER258*1, $FW$2:$FY$12, 3, TRUE)*$FY$1</f>
        <v>#VALUE!</v>
      </c>
      <c r="ES259" s="39" t="e">
        <f>VLOOKUP(ES258*1, $FK$14:$FM$25, 3, TRUE)*$FM$14</f>
        <v>#VALUE!</v>
      </c>
      <c r="ET259" s="39" t="e">
        <f>VLOOKUP(ET258*1, $FN$14:$FP$25, 3, TRUE)*$FP$14</f>
        <v>#VALUE!</v>
      </c>
      <c r="EU259" s="38" t="e">
        <f>VLOOKUP(EU258*1, $FQ$14:$FS$25, 3, TRUE)*$FS$14</f>
        <v>#VALUE!</v>
      </c>
      <c r="EX259" s="41" t="e">
        <f>VLOOKUP(EX258*1, $FK$27:$FM$38, 3, TRUE)*$FM$27</f>
        <v>#VALUE!</v>
      </c>
      <c r="FA259" s="41" t="e">
        <f>VLOOKUP(FA258*1, $FN$27:$FP$38, 3, TRUE)*$FP$27</f>
        <v>#VALUE!</v>
      </c>
      <c r="FD259" s="41" t="e">
        <f>VLOOKUP(FD258*1, $FQ$27:$FS$38, 3, TRUE)*$FS$27</f>
        <v>#VALUE!</v>
      </c>
      <c r="FG259" s="41" t="e">
        <f>VLOOKUP(FG258*1, $FT$27:$FV$38, 3, TRUE)*$FV$27</f>
        <v>#VALUE!</v>
      </c>
      <c r="FH259" s="41" t="e">
        <f>VLOOKUP(FH258*1, $FW$27:$FY$38, 3, TRUE)*$FY$27</f>
        <v>#VALUE!</v>
      </c>
      <c r="FI259" s="41" t="e">
        <f>VLOOKUP(FI258*1, $FK$40:$FM$51, 3, TRUE)*$FM$40</f>
        <v>#VALUE!</v>
      </c>
    </row>
    <row r="260" spans="110:165">
      <c r="DF260" s="37" t="e">
        <f>先發名單!#REF!</f>
        <v>#REF!</v>
      </c>
      <c r="DG260" s="4" t="str">
        <f t="array" ref="DG260">IFERROR(INDEX(球員狀態!$C$2:$C$5000, MATCH(1, (球員狀態!$A$2:$A$5000=$DF$241)*(ISNUMBER(SEARCH($DF260, 球員狀態!$B$2:$B$5000))), 0)), "")</f>
        <v/>
      </c>
      <c r="DJ260" s="4" t="str">
        <f t="array" ref="DJ260">IFERROR(INDEX(球員狀態!$F$2:$F$5000,MATCH(1,(球員狀態!$A$2:$A$5000=$DF$241)*(ISNUMBER(SEARCH($DF260,球員狀態!$B$2:$B$5000))),0)),"")</f>
        <v/>
      </c>
      <c r="DK260" s="4" t="str">
        <f t="array" ref="DK260">IFERROR(INDEX(球員狀態!G$2:G$5000, MATCH(1, (球員狀態!$A$2:$A$5000=$DF$1)*(ISNUMBER(SEARCH($DF260, 球員狀態!$B$2:$B$5000))), 0)), "")</f>
        <v/>
      </c>
      <c r="DL260" s="4" t="str">
        <f t="array" ref="DL260">IFERROR(INDEX(球員狀態!H$2:H$5000, MATCH(1, (球員狀態!$A$2:$A$5000=$DF$241)*(ISNUMBER(SEARCH($DF260, 球員狀態!$B$2:$B$5000))), 0)), "")</f>
        <v/>
      </c>
      <c r="DM260" s="4" t="str">
        <f t="array" ref="DM260">IFERROR(INDEX(球員狀態!I$2:I$5000,MATCH(1,(球員狀態!$A$2:$A$5000=$DF$241)*(ISNUMBER(SEARCH($DF260,球員狀態!$B$2:$B$5000))),0)),"")</f>
        <v/>
      </c>
      <c r="DN260" s="4" t="str">
        <f t="array" ref="DN260">IFERROR(INDEX(球員狀態!J$2:J$5000,MATCH(1,(球員狀態!$A$2:$A$5000=$DF$241)*(ISNUMBER(SEARCH($DF260,球員狀態!$B$2:$B$5000))),0)),"")</f>
        <v/>
      </c>
      <c r="DO260" s="4" t="str">
        <f t="array" ref="DO260">IFERROR(INDEX(球員狀態!K$2:K$5000,MATCH(1,(球員狀態!$A$2:$A$5000=$DF$241)*(ISNUMBER(SEARCH($DF260,球員狀態!$B$2:$B$5000))),0)),"")</f>
        <v/>
      </c>
      <c r="DP260" s="4" t="str">
        <f t="array" ref="DP260">IFERROR(INDEX(球員狀態!L$2:L$5000,MATCH(1,(球員狀態!$A$2:$A$5000=$DF$241)*(ISNUMBER(SEARCH($DF260,球員狀態!$B$2:$B$5000))),0)),"")</f>
        <v/>
      </c>
      <c r="DQ260" s="4" t="str">
        <f t="array" ref="DQ260">IFERROR(INDEX(球員狀態!M$2:M$5000,MATCH(1,(球員狀態!$A$2:$A$5000=$DF$241)*(ISNUMBER(SEARCH($DF260,球員狀態!$B$2:$B$5000))),0)),"")</f>
        <v/>
      </c>
      <c r="DR260" s="4" t="str">
        <f t="array" ref="DR260">IFERROR(INDEX(球員狀態!N$2:N$5000,MATCH(1,(球員狀態!$A$2:$A$5000=$DF$241)*(ISNUMBER(SEARCH($DF260,球員狀態!$B$2:$B$5000))),0)),"")</f>
        <v/>
      </c>
      <c r="DS260" s="4" t="str">
        <f t="array" ref="DS260">IFERROR(INDEX(球員狀態!O$2:O$5000, MATCH(1, (球員狀態!$A$2:$A$5000=$DF$1)*(ISNUMBER(SEARCH($DF260, 球員狀態!$B$2:$B$5000))), 0)), "")</f>
        <v/>
      </c>
      <c r="DT260" s="4" t="str">
        <f t="array" ref="DT260">IFERROR(INDEX(球員狀態!P$2:P$5000, MATCH(1, (球員狀態!$A$2:$A$5000=$DF$1)*(ISNUMBER(SEARCH($DF260, 球員狀態!$B$2:$B$5000))), 0)), "")</f>
        <v/>
      </c>
      <c r="DU260" s="4" t="str">
        <f t="array" ref="DU260">IFERROR(INDEX(球員狀態!Q$2:Q$5000,MATCH(1,(球員狀態!$A$2:$A$5000=$DF$241)*(ISNUMBER(SEARCH($DF260,球員狀態!$B$2:$B$5000))),0)),"")</f>
        <v/>
      </c>
      <c r="DV260" s="4" t="str">
        <f t="array" ref="DV260">IFERROR(INDEX(球員狀態!R$2:R$5000, MATCH(1, (球員狀態!$A$2:$A$5000=$DF$1)*(ISNUMBER(SEARCH($DF260, 球員狀態!$B$2:$B$5000))), 0)), "")</f>
        <v/>
      </c>
      <c r="DW260" s="4" t="str">
        <f t="array" ref="DW260">IFERROR(INDEX(球員狀態!S$2:S$5000, MATCH(1, (球員狀態!$A$2:$A$5000=$DF$1)*(ISNUMBER(SEARCH($DF260, 球員狀態!$B$2:$B$5000))), 0)), "")</f>
        <v/>
      </c>
      <c r="DX260" s="4" t="str">
        <f t="array" ref="DX260">IFERROR(INDEX(球員狀態!T$2:T$5000,MATCH(1,(球員狀態!$A$2:$A$5000=$DF$241)*(ISNUMBER(SEARCH($DF260,球員狀態!$B$2:$B$5000))),0)),"")</f>
        <v/>
      </c>
      <c r="DY260" s="4" t="str">
        <f t="array" ref="DY260">IFERROR(INDEX(球員狀態!U$2:U$5000, MATCH(1, (球員狀態!$A$2:$A$5000=$DF$1)*(ISNUMBER(SEARCH($DF260, 球員狀態!$B$2:$B$5000))), 0)), "")</f>
        <v/>
      </c>
      <c r="DZ260" s="4" t="str">
        <f t="array" ref="DZ260">IFERROR(INDEX(球員狀態!V$2:V$5000, MATCH(1, (球員狀態!$A$2:$A$5000=$DF$1)*(ISNUMBER(SEARCH($DF260, 球員狀態!$B$2:$B$5000))), 0)), "")</f>
        <v/>
      </c>
      <c r="EA260" s="4" t="str">
        <f t="array" ref="EA260">IFERROR(INDEX(球員狀態!W$2:W$5000,MATCH(1,(球員狀態!$A$2:$A$5000=$DF$241)*(ISNUMBER(SEARCH($DF260,球員狀態!$B$2:$B$5000))),0)),"")</f>
        <v/>
      </c>
      <c r="EB260" s="4" t="str">
        <f t="array" ref="EB260">IFERROR(INDEX(球員狀態!X$2:X$5000, MATCH(1, (球員狀態!$A$2:$A$5000=$DF$1)*(ISNUMBER(SEARCH($DF260, 球員狀態!$B$2:$B$5000))), 0)), "")</f>
        <v/>
      </c>
      <c r="EC260" s="4" t="str">
        <f t="array" ref="EC260">IFERROR(INDEX(球員狀態!Y$2:Y$5000, MATCH(1, (球員狀態!$A$2:$A$5000=$DF$1)*(ISNUMBER(SEARCH($DF260, 球員狀態!$B$2:$B$5000))), 0)), "")</f>
        <v/>
      </c>
      <c r="ED260" s="4" t="str">
        <f t="array" ref="ED260">IFERROR(INDEX(球員狀態!Z$2:Z$5000,MATCH(1,(球員狀態!$A$2:$A$5000=$DF$241)*(ISNUMBER(SEARCH($DF260,球員狀態!$B$2:$B$5000))),0)),"")</f>
        <v/>
      </c>
      <c r="EE260" s="4" t="str">
        <f t="array" ref="EE260">IFERROR(INDEX(球員狀態!AA$2:AA$5000,MATCH(1,(球員狀態!$A$2:$A$5000=$DF$241)*(ISNUMBER(SEARCH($DF260,球員狀態!$B$2:$B$5000))),0)),"")</f>
        <v/>
      </c>
      <c r="EF260" s="4" t="str">
        <f t="array" ref="EF260">IFERROR(INDEX(球員狀態!AB$2:AB$5000,MATCH(1,(球員狀態!$A$2:$A$5000=$DF$241)*(ISNUMBER(SEARCH($DF260,球員狀態!$B$2:$B$5000))),0)),"")</f>
        <v/>
      </c>
      <c r="EG260" s="56"/>
      <c r="EI260" s="37">
        <f>先發名單!X$10</f>
        <v>0</v>
      </c>
      <c r="EJ260" s="4" t="str">
        <f t="array" ref="EJ260">IFERROR(INDEX(球員狀態!C$2:C$5000, MATCH(1, (球員狀態!$A$2:$A$5000=$EI$241)*(ISNUMBER(SEARCH($EI260, 球員狀態!$B$2:$B$5000))), 0)), "")</f>
        <v/>
      </c>
      <c r="EM260" s="4" t="str">
        <f t="array" ref="EM260">IFERROR(INDEX(球員狀態!F$2:F$5000, MATCH(1, (球員狀態!$A$2:$A$5000=$EI$241)*(ISNUMBER(SEARCH($EI260, 球員狀態!$B$2:$B$5000))), 0)), "")</f>
        <v/>
      </c>
      <c r="EN260" s="4" t="str">
        <f t="array" ref="EN260">IFERROR(INDEX(球員狀態!G$2:G$5000, MATCH(1, (球員狀態!$A$2:$A$5000=$EI$1)*(ISNUMBER(SEARCH($EI260, 球員狀態!$B$2:$B$5000))), 0)), "")</f>
        <v/>
      </c>
      <c r="EO260" s="4" t="str">
        <f t="array" ref="EO260">IFERROR(INDEX(球員狀態!H$2:H$5000, MATCH(1, (球員狀態!$A$2:$A$5000=$EI$241)*(ISNUMBER(SEARCH($EI260, 球員狀態!$B$2:$B$5000))), 0)), "")</f>
        <v/>
      </c>
      <c r="EP260" s="4" t="str">
        <f t="array" ref="EP260">IFERROR(INDEX(球員狀態!I$2:I$5000, MATCH(1, (球員狀態!$A$2:$A$5000=$EI$241)*(ISNUMBER(SEARCH($EI260, 球員狀態!$B$2:$B$5000))), 0)), "")</f>
        <v/>
      </c>
      <c r="EQ260" s="4" t="str">
        <f t="array" ref="EQ260">IFERROR(INDEX(球員狀態!J$2:J$5000, MATCH(1, (球員狀態!$A$2:$A$5000=$EI$241)*(ISNUMBER(SEARCH($EI260, 球員狀態!$B$2:$B$5000))), 0)), "")</f>
        <v/>
      </c>
      <c r="ER260" s="4" t="str">
        <f t="array" ref="ER260">IFERROR(INDEX(球員狀態!K$2:K$5000, MATCH(1, (球員狀態!$A$2:$A$5000=$EI$241)*(ISNUMBER(SEARCH($EI260, 球員狀態!$B$2:$B$5000))), 0)), "")</f>
        <v/>
      </c>
      <c r="ES260" s="4" t="str">
        <f t="array" ref="ES260">IFERROR(INDEX(球員狀態!L$2:L$5000, MATCH(1, (球員狀態!$A$2:$A$5000=$EI$241)*(ISNUMBER(SEARCH($EI260, 球員狀態!$B$2:$B$5000))), 0)), "")</f>
        <v/>
      </c>
      <c r="ET260" s="4" t="str">
        <f t="array" ref="ET260">IFERROR(INDEX(球員狀態!M$2:M$5000, MATCH(1, (球員狀態!$A$2:$A$5000=$EI$241)*(ISNUMBER(SEARCH($EI260, 球員狀態!$B$2:$B$5000))), 0)), "")</f>
        <v/>
      </c>
      <c r="EU260" s="4" t="str">
        <f t="array" ref="EU260">IFERROR(INDEX(球員狀態!N$2:N$5000, MATCH(1, (球員狀態!$A$2:$A$5000=$EI$241)*(ISNUMBER(SEARCH($EI260, 球員狀態!$B$2:$B$5000))), 0)), "")</f>
        <v/>
      </c>
      <c r="EV260" s="4" t="str">
        <f t="array" ref="EV260">IFERROR(INDEX(球員狀態!O$2:O$5000, MATCH(1, (球員狀態!$A$2:$A$5000=$EI$1)*(ISNUMBER(SEARCH($EI260, 球員狀態!$B$2:$B$5000))), 0)), "")</f>
        <v/>
      </c>
      <c r="EW260" s="4" t="str">
        <f t="array" ref="EW260">IFERROR(INDEX(球員狀態!P$2:P$5000, MATCH(1, (球員狀態!$A$2:$A$5000=$EI$1)*(ISNUMBER(SEARCH($EI260, 球員狀態!$B$2:$B$5000))), 0)), "")</f>
        <v/>
      </c>
      <c r="EX260" s="4" t="str">
        <f t="array" ref="EX260">IFERROR(INDEX(球員狀態!Q$2:Q$5000, MATCH(1, (球員狀態!$A$2:$A$5000=$EI$241)*(ISNUMBER(SEARCH($EI260, 球員狀態!$B$2:$B$5000))), 0)), "")</f>
        <v/>
      </c>
      <c r="EY260" s="4" t="str">
        <f t="array" ref="EY260">IFERROR(INDEX(球員狀態!R$2:R$5000, MATCH(1, (球員狀態!$A$2:$A$5000=$EI$1)*(ISNUMBER(SEARCH($EI260, 球員狀態!$B$2:$B$5000))), 0)), "")</f>
        <v/>
      </c>
      <c r="EZ260" s="4" t="str">
        <f t="array" ref="EZ260">IFERROR(INDEX(球員狀態!S$2:S$5000, MATCH(1, (球員狀態!$A$2:$A$5000=$EI$1)*(ISNUMBER(SEARCH($EI260, 球員狀態!$B$2:$B$5000))), 0)), "")</f>
        <v/>
      </c>
      <c r="FA260" s="4" t="str">
        <f t="array" ref="FA260">IFERROR(INDEX(球員狀態!T$2:T$5000, MATCH(1, (球員狀態!$A$2:$A$5000=$EI$241)*(ISNUMBER(SEARCH($EI260, 球員狀態!$B$2:$B$5000))), 0)), "")</f>
        <v/>
      </c>
      <c r="FB260" s="4" t="str">
        <f t="array" ref="FB260">IFERROR(INDEX(球員狀態!U$2:U$5000, MATCH(1, (球員狀態!$A$2:$A$5000=$EI$1)*(ISNUMBER(SEARCH($EI260, 球員狀態!$B$2:$B$5000))), 0)), "")</f>
        <v/>
      </c>
      <c r="FC260" s="4" t="str">
        <f t="array" ref="FC260">IFERROR(INDEX(球員狀態!V$2:V$5000, MATCH(1, (球員狀態!$A$2:$A$5000=$EI$1)*(ISNUMBER(SEARCH($EI260, 球員狀態!$B$2:$B$5000))), 0)), "")</f>
        <v/>
      </c>
      <c r="FD260" s="4" t="str">
        <f t="array" ref="FD260">IFERROR(INDEX(球員狀態!W$2:W$5000, MATCH(1, (球員狀態!$A$2:$A$5000=$EI$241)*(ISNUMBER(SEARCH($EI260, 球員狀態!$B$2:$B$5000))), 0)), "")</f>
        <v/>
      </c>
      <c r="FE260" s="4" t="str">
        <f t="array" ref="FE260">IFERROR(INDEX(球員狀態!X$2:X$5000, MATCH(1, (球員狀態!$A$2:$A$5000=$EI$1)*(ISNUMBER(SEARCH($EI260, 球員狀態!$B$2:$B$5000))), 0)), "")</f>
        <v/>
      </c>
      <c r="FF260" s="4" t="str">
        <f t="array" ref="FF260">IFERROR(INDEX(球員狀態!Y$2:Y$5000, MATCH(1, (球員狀態!$A$2:$A$5000=$EI$1)*(ISNUMBER(SEARCH($EI260, 球員狀態!$B$2:$B$5000))), 0)), "")</f>
        <v/>
      </c>
      <c r="FG260" s="4" t="str">
        <f t="array" ref="FG260">IFERROR(INDEX(球員狀態!Z$2:Z$5000, MATCH(1, (球員狀態!$A$2:$A$5000=$EI$241)*(ISNUMBER(SEARCH($EI260, 球員狀態!$B$2:$B$5000))), 0)), "")</f>
        <v/>
      </c>
      <c r="FH260" s="4" t="str">
        <f t="array" ref="FH260">IFERROR(INDEX(球員狀態!AA$2:AA$5000, MATCH(1, (球員狀態!$A$2:$A$5000=$EI$241)*(ISNUMBER(SEARCH($EI260, 球員狀態!$B$2:$B$5000))), 0)), "")</f>
        <v/>
      </c>
      <c r="FI260" s="4" t="str">
        <f t="array" ref="FI260">IFERROR(INDEX(球員狀態!AB$2:AB$5000, MATCH(1, (球員狀態!$A$2:$A$5000=$EI$241)*(ISNUMBER(SEARCH($EI260, 球員狀態!$B$2:$B$5000))), 0)), "")</f>
        <v/>
      </c>
    </row>
    <row r="261" spans="110:165">
      <c r="DH261" s="40" t="e">
        <f>DJ261+DL261+DM261+DN261+DO261-DP261-DQ261+DR261</f>
        <v>#VALUE!</v>
      </c>
      <c r="DI261" s="42" t="e">
        <f>DU261+DX261+EA261+ED261+EE261+EF261</f>
        <v>#VALUE!</v>
      </c>
      <c r="DJ261" s="38" t="e">
        <f>VLOOKUP(DJ260*1, FK$2:FM$12, 3, TRUE)*FM$1</f>
        <v>#VALUE!</v>
      </c>
      <c r="DL261" s="38" t="e">
        <f>VLOOKUP(DL260*1, FN$2:FP$12, 3, TRUE)*FP$1</f>
        <v>#VALUE!</v>
      </c>
      <c r="DM261" s="38" t="e">
        <f>VLOOKUP(DM260*1, FQ$2:FS$12, 3, TRUE)*FS$1</f>
        <v>#VALUE!</v>
      </c>
      <c r="DN261" s="38" t="e">
        <f>VLOOKUP(DN260*1, FT$2:FV$12, 3, TRUE)*FV$1</f>
        <v>#VALUE!</v>
      </c>
      <c r="DO261" s="38" t="e">
        <f>VLOOKUP(DO260*1, FW$2:FY$12, 3, TRUE)*FY$1</f>
        <v>#VALUE!</v>
      </c>
      <c r="DP261" s="39" t="e">
        <f>VLOOKUP(DP260*1, FK$14:FM$25, 3, TRUE)*FM$14</f>
        <v>#VALUE!</v>
      </c>
      <c r="DQ261" s="39" t="e">
        <f>VLOOKUP(DQ260*1, FN$14:FP$25, 3, TRUE)*FP$14</f>
        <v>#VALUE!</v>
      </c>
      <c r="DR261" s="38" t="e">
        <f>VLOOKUP(DR260*1, FQ$14:FS$25, 3, TRUE)*FS$14</f>
        <v>#VALUE!</v>
      </c>
      <c r="DU261" s="41" t="e">
        <f>VLOOKUP(DU260*1, FK$27:FM$38, 3, TRUE)*FM$27</f>
        <v>#VALUE!</v>
      </c>
      <c r="DX261" s="41" t="e">
        <f>VLOOKUP(DX260*1, FN$27:FP$38, 3, TRUE)*FP$27</f>
        <v>#VALUE!</v>
      </c>
      <c r="EA261" s="41" t="e">
        <f>VLOOKUP(EA260*1, FQ$27:FS$38, 3, TRUE)*FS$27</f>
        <v>#VALUE!</v>
      </c>
      <c r="ED261" s="41" t="e">
        <f>VLOOKUP(ED260*1, FT$27:FV$38, 3, TRUE)*FV$27</f>
        <v>#VALUE!</v>
      </c>
      <c r="EE261" s="41" t="e">
        <f>VLOOKUP(EE260*1, FW$27:FY$38, 3, TRUE)*FY$27</f>
        <v>#VALUE!</v>
      </c>
      <c r="EF261" s="41" t="e">
        <f>VLOOKUP(EF260*1, FK$40:FM$51, 3, TRUE)*FM$40</f>
        <v>#VALUE!</v>
      </c>
      <c r="EG261" s="57"/>
      <c r="EK261" s="40" t="e">
        <f>EM261+EO261+EP261+EQ261+ER261-ES261-ET261+EU261</f>
        <v>#VALUE!</v>
      </c>
      <c r="EL261" s="42" t="e">
        <f>EX261+FA261+FD261+FG261+FH261+FI261</f>
        <v>#VALUE!</v>
      </c>
      <c r="EM261" s="38" t="e">
        <f>VLOOKUP(EM260*1, $FK$2:$FM$12, 3, TRUE)*$FM$1</f>
        <v>#VALUE!</v>
      </c>
      <c r="EO261" s="38" t="e">
        <f>VLOOKUP(EO260*1, $FN$2:$FP$12, 3, TRUE)*$FP$1</f>
        <v>#VALUE!</v>
      </c>
      <c r="EP261" s="38" t="e">
        <f>VLOOKUP(EP260*1, $FQ$2:$FS$12, 3, TRUE)*$FS$1</f>
        <v>#VALUE!</v>
      </c>
      <c r="EQ261" s="38" t="e">
        <f>VLOOKUP(EQ260*1, $FT$2:$FV$12, 3, TRUE)*$FV$1</f>
        <v>#VALUE!</v>
      </c>
      <c r="ER261" s="38" t="e">
        <f>VLOOKUP(ER260*1, $FW$2:$FY$12, 3, TRUE)*$FY$1</f>
        <v>#VALUE!</v>
      </c>
      <c r="ES261" s="39" t="e">
        <f>VLOOKUP(ES260*1, $FK$14:$FM$25, 3, TRUE)*$FM$14</f>
        <v>#VALUE!</v>
      </c>
      <c r="ET261" s="39" t="e">
        <f>VLOOKUP(ET260*1, $FN$14:$FP$25, 3, TRUE)*$FP$14</f>
        <v>#VALUE!</v>
      </c>
      <c r="EU261" s="38" t="e">
        <f>VLOOKUP(EU260*1, $FQ$14:$FS$25, 3, TRUE)*$FS$14</f>
        <v>#VALUE!</v>
      </c>
      <c r="EX261" s="41" t="e">
        <f>VLOOKUP(EX260*1, $FK$27:$FM$38, 3, TRUE)*$FM$27</f>
        <v>#VALUE!</v>
      </c>
      <c r="FA261" s="41" t="e">
        <f>VLOOKUP(FA260*1, $FN$27:$FP$38, 3, TRUE)*$FP$27</f>
        <v>#VALUE!</v>
      </c>
      <c r="FD261" s="41" t="e">
        <f>VLOOKUP(FD260*1, $FQ$27:$FS$38, 3, TRUE)*$FS$27</f>
        <v>#VALUE!</v>
      </c>
      <c r="FG261" s="41" t="e">
        <f>VLOOKUP(FG260*1, $FT$27:$FV$38, 3, TRUE)*$FV$27</f>
        <v>#VALUE!</v>
      </c>
      <c r="FH261" s="41" t="e">
        <f>VLOOKUP(FH260*1, $FW$27:$FY$38, 3, TRUE)*$FY$27</f>
        <v>#VALUE!</v>
      </c>
      <c r="FI261" s="41" t="e">
        <f>VLOOKUP(FI260*1, $FK$40:$FM$51, 3, TRUE)*$FM$40</f>
        <v>#VALUE!</v>
      </c>
    </row>
    <row r="262" spans="110:165">
      <c r="DF262" s="37" t="e">
        <f>先發名單!#REF!</f>
        <v>#REF!</v>
      </c>
      <c r="DG262" s="4" t="str">
        <f t="array" ref="DG262">IFERROR(INDEX(球員狀態!$C$2:$C$5000, MATCH(1, (球員狀態!$A$2:$A$5000=$DF$241)*(ISNUMBER(SEARCH($DF262, 球員狀態!$B$2:$B$5000))), 0)), "")</f>
        <v/>
      </c>
      <c r="DJ262" s="4" t="str">
        <f t="array" ref="DJ262">IFERROR(INDEX(球員狀態!$F$2:$F$5000,MATCH(1,(球員狀態!$A$2:$A$5000=$DF$241)*(ISNUMBER(SEARCH($DF262,球員狀態!$B$2:$B$5000))),0)),"")</f>
        <v/>
      </c>
      <c r="DK262" s="4" t="str">
        <f t="array" ref="DK262">IFERROR(INDEX(球員狀態!G$2:G$5000, MATCH(1, (球員狀態!$A$2:$A$5000=$DF$1)*(ISNUMBER(SEARCH($DF262, 球員狀態!$B$2:$B$5000))), 0)), "")</f>
        <v/>
      </c>
      <c r="DL262" s="4" t="str">
        <f t="array" ref="DL262">IFERROR(INDEX(球員狀態!H$2:H$5000, MATCH(1, (球員狀態!$A$2:$A$5000=$DF$241)*(ISNUMBER(SEARCH($DF262, 球員狀態!$B$2:$B$5000))), 0)), "")</f>
        <v/>
      </c>
      <c r="DM262" s="4" t="str">
        <f t="array" ref="DM262">IFERROR(INDEX(球員狀態!I$2:I$5000,MATCH(1,(球員狀態!$A$2:$A$5000=$DF$241)*(ISNUMBER(SEARCH($DF262,球員狀態!$B$2:$B$5000))),0)),"")</f>
        <v/>
      </c>
      <c r="DN262" s="4" t="str">
        <f t="array" ref="DN262">IFERROR(INDEX(球員狀態!J$2:J$5000,MATCH(1,(球員狀態!$A$2:$A$5000=$DF$241)*(ISNUMBER(SEARCH($DF262,球員狀態!$B$2:$B$5000))),0)),"")</f>
        <v/>
      </c>
      <c r="DO262" s="4" t="str">
        <f t="array" ref="DO262">IFERROR(INDEX(球員狀態!K$2:K$5000,MATCH(1,(球員狀態!$A$2:$A$5000=$DF$241)*(ISNUMBER(SEARCH($DF262,球員狀態!$B$2:$B$5000))),0)),"")</f>
        <v/>
      </c>
      <c r="DP262" s="4" t="str">
        <f t="array" ref="DP262">IFERROR(INDEX(球員狀態!L$2:L$5000,MATCH(1,(球員狀態!$A$2:$A$5000=$DF$241)*(ISNUMBER(SEARCH($DF262,球員狀態!$B$2:$B$5000))),0)),"")</f>
        <v/>
      </c>
      <c r="DQ262" s="4" t="str">
        <f t="array" ref="DQ262">IFERROR(INDEX(球員狀態!M$2:M$5000,MATCH(1,(球員狀態!$A$2:$A$5000=$DF$241)*(ISNUMBER(SEARCH($DF262,球員狀態!$B$2:$B$5000))),0)),"")</f>
        <v/>
      </c>
      <c r="DR262" s="4" t="str">
        <f t="array" ref="DR262">IFERROR(INDEX(球員狀態!N$2:N$5000,MATCH(1,(球員狀態!$A$2:$A$5000=$DF$241)*(ISNUMBER(SEARCH($DF262,球員狀態!$B$2:$B$5000))),0)),"")</f>
        <v/>
      </c>
      <c r="DS262" s="4" t="str">
        <f t="array" ref="DS262">IFERROR(INDEX(球員狀態!O$2:O$5000, MATCH(1, (球員狀態!$A$2:$A$5000=$DF$1)*(ISNUMBER(SEARCH($DF262, 球員狀態!$B$2:$B$5000))), 0)), "")</f>
        <v/>
      </c>
      <c r="DT262" s="4" t="str">
        <f t="array" ref="DT262">IFERROR(INDEX(球員狀態!P$2:P$5000, MATCH(1, (球員狀態!$A$2:$A$5000=$DF$1)*(ISNUMBER(SEARCH($DF262, 球員狀態!$B$2:$B$5000))), 0)), "")</f>
        <v/>
      </c>
      <c r="DU262" s="4" t="str">
        <f t="array" ref="DU262">IFERROR(INDEX(球員狀態!Q$2:Q$5000,MATCH(1,(球員狀態!$A$2:$A$5000=$DF$241)*(ISNUMBER(SEARCH($DF262,球員狀態!$B$2:$B$5000))),0)),"")</f>
        <v/>
      </c>
      <c r="DV262" s="4" t="str">
        <f t="array" ref="DV262">IFERROR(INDEX(球員狀態!R$2:R$5000, MATCH(1, (球員狀態!$A$2:$A$5000=$DF$1)*(ISNUMBER(SEARCH($DF262, 球員狀態!$B$2:$B$5000))), 0)), "")</f>
        <v/>
      </c>
      <c r="DW262" s="4" t="str">
        <f t="array" ref="DW262">IFERROR(INDEX(球員狀態!S$2:S$5000, MATCH(1, (球員狀態!$A$2:$A$5000=$DF$1)*(ISNUMBER(SEARCH($DF262, 球員狀態!$B$2:$B$5000))), 0)), "")</f>
        <v/>
      </c>
      <c r="DX262" s="4" t="str">
        <f t="array" ref="DX262">IFERROR(INDEX(球員狀態!T$2:T$5000,MATCH(1,(球員狀態!$A$2:$A$5000=$DF$241)*(ISNUMBER(SEARCH($DF262,球員狀態!$B$2:$B$5000))),0)),"")</f>
        <v/>
      </c>
      <c r="DY262" s="4" t="str">
        <f t="array" ref="DY262">IFERROR(INDEX(球員狀態!U$2:U$5000, MATCH(1, (球員狀態!$A$2:$A$5000=$DF$1)*(ISNUMBER(SEARCH($DF262, 球員狀態!$B$2:$B$5000))), 0)), "")</f>
        <v/>
      </c>
      <c r="DZ262" s="4" t="str">
        <f t="array" ref="DZ262">IFERROR(INDEX(球員狀態!V$2:V$5000, MATCH(1, (球員狀態!$A$2:$A$5000=$DF$1)*(ISNUMBER(SEARCH($DF262, 球員狀態!$B$2:$B$5000))), 0)), "")</f>
        <v/>
      </c>
      <c r="EA262" s="4" t="str">
        <f t="array" ref="EA262">IFERROR(INDEX(球員狀態!W$2:W$5000,MATCH(1,(球員狀態!$A$2:$A$5000=$DF$241)*(ISNUMBER(SEARCH($DF262,球員狀態!$B$2:$B$5000))),0)),"")</f>
        <v/>
      </c>
      <c r="EB262" s="4" t="str">
        <f t="array" ref="EB262">IFERROR(INDEX(球員狀態!X$2:X$5000, MATCH(1, (球員狀態!$A$2:$A$5000=$DF$1)*(ISNUMBER(SEARCH($DF262, 球員狀態!$B$2:$B$5000))), 0)), "")</f>
        <v/>
      </c>
      <c r="EC262" s="4" t="str">
        <f t="array" ref="EC262">IFERROR(INDEX(球員狀態!Y$2:Y$5000, MATCH(1, (球員狀態!$A$2:$A$5000=$DF$1)*(ISNUMBER(SEARCH($DF262, 球員狀態!$B$2:$B$5000))), 0)), "")</f>
        <v/>
      </c>
      <c r="ED262" s="4" t="str">
        <f t="array" ref="ED262">IFERROR(INDEX(球員狀態!Z$2:Z$5000,MATCH(1,(球員狀態!$A$2:$A$5000=$DF$241)*(ISNUMBER(SEARCH($DF262,球員狀態!$B$2:$B$5000))),0)),"")</f>
        <v/>
      </c>
      <c r="EE262" s="4" t="str">
        <f t="array" ref="EE262">IFERROR(INDEX(球員狀態!AA$2:AA$5000,MATCH(1,(球員狀態!$A$2:$A$5000=$DF$241)*(ISNUMBER(SEARCH($DF262,球員狀態!$B$2:$B$5000))),0)),"")</f>
        <v/>
      </c>
      <c r="EF262" s="4" t="str">
        <f t="array" ref="EF262">IFERROR(INDEX(球員狀態!AB$2:AB$5000,MATCH(1,(球員狀態!$A$2:$A$5000=$DF$241)*(ISNUMBER(SEARCH($DF262,球員狀態!$B$2:$B$5000))),0)),"")</f>
        <v/>
      </c>
      <c r="EG262" s="56"/>
      <c r="EI262" s="37">
        <f>先發名單!Y$10</f>
        <v>0</v>
      </c>
      <c r="EJ262" s="4" t="str">
        <f t="array" ref="EJ262">IFERROR(INDEX(球員狀態!C$2:C$5000, MATCH(1, (球員狀態!$A$2:$A$5000=$EI$241)*(ISNUMBER(SEARCH($EI262, 球員狀態!$B$2:$B$5000))), 0)), "")</f>
        <v/>
      </c>
      <c r="EM262" s="4" t="str">
        <f t="array" ref="EM262">IFERROR(INDEX(球員狀態!F$2:F$5000, MATCH(1, (球員狀態!$A$2:$A$5000=$EI$241)*(ISNUMBER(SEARCH($EI262, 球員狀態!$B$2:$B$5000))), 0)), "")</f>
        <v/>
      </c>
      <c r="EN262" s="4" t="str">
        <f t="array" ref="EN262">IFERROR(INDEX(球員狀態!G$2:G$5000, MATCH(1, (球員狀態!$A$2:$A$5000=$EI$1)*(ISNUMBER(SEARCH($EI262, 球員狀態!$B$2:$B$5000))), 0)), "")</f>
        <v/>
      </c>
      <c r="EO262" s="4" t="str">
        <f t="array" ref="EO262">IFERROR(INDEX(球員狀態!H$2:H$5000, MATCH(1, (球員狀態!$A$2:$A$5000=$EI$241)*(ISNUMBER(SEARCH($EI262, 球員狀態!$B$2:$B$5000))), 0)), "")</f>
        <v/>
      </c>
      <c r="EP262" s="4" t="str">
        <f t="array" ref="EP262">IFERROR(INDEX(球員狀態!I$2:I$5000, MATCH(1, (球員狀態!$A$2:$A$5000=$EI$241)*(ISNUMBER(SEARCH($EI262, 球員狀態!$B$2:$B$5000))), 0)), "")</f>
        <v/>
      </c>
      <c r="EQ262" s="4" t="str">
        <f t="array" ref="EQ262">IFERROR(INDEX(球員狀態!J$2:J$5000, MATCH(1, (球員狀態!$A$2:$A$5000=$EI$241)*(ISNUMBER(SEARCH($EI262, 球員狀態!$B$2:$B$5000))), 0)), "")</f>
        <v/>
      </c>
      <c r="ER262" s="4" t="str">
        <f t="array" ref="ER262">IFERROR(INDEX(球員狀態!K$2:K$5000, MATCH(1, (球員狀態!$A$2:$A$5000=$EI$241)*(ISNUMBER(SEARCH($EI262, 球員狀態!$B$2:$B$5000))), 0)), "")</f>
        <v/>
      </c>
      <c r="ES262" s="4" t="str">
        <f t="array" ref="ES262">IFERROR(INDEX(球員狀態!L$2:L$5000, MATCH(1, (球員狀態!$A$2:$A$5000=$EI$241)*(ISNUMBER(SEARCH($EI262, 球員狀態!$B$2:$B$5000))), 0)), "")</f>
        <v/>
      </c>
      <c r="ET262" s="4" t="str">
        <f t="array" ref="ET262">IFERROR(INDEX(球員狀態!M$2:M$5000, MATCH(1, (球員狀態!$A$2:$A$5000=$EI$241)*(ISNUMBER(SEARCH($EI262, 球員狀態!$B$2:$B$5000))), 0)), "")</f>
        <v/>
      </c>
      <c r="EU262" s="4" t="str">
        <f t="array" ref="EU262">IFERROR(INDEX(球員狀態!N$2:N$5000, MATCH(1, (球員狀態!$A$2:$A$5000=$EI$241)*(ISNUMBER(SEARCH($EI262, 球員狀態!$B$2:$B$5000))), 0)), "")</f>
        <v/>
      </c>
      <c r="EV262" s="4" t="str">
        <f t="array" ref="EV262">IFERROR(INDEX(球員狀態!O$2:O$5000, MATCH(1, (球員狀態!$A$2:$A$5000=$EI$1)*(ISNUMBER(SEARCH($EI262, 球員狀態!$B$2:$B$5000))), 0)), "")</f>
        <v/>
      </c>
      <c r="EW262" s="4" t="str">
        <f t="array" ref="EW262">IFERROR(INDEX(球員狀態!P$2:P$5000, MATCH(1, (球員狀態!$A$2:$A$5000=$EI$1)*(ISNUMBER(SEARCH($EI262, 球員狀態!$B$2:$B$5000))), 0)), "")</f>
        <v/>
      </c>
      <c r="EX262" s="4" t="str">
        <f t="array" ref="EX262">IFERROR(INDEX(球員狀態!Q$2:Q$5000, MATCH(1, (球員狀態!$A$2:$A$5000=$EI$241)*(ISNUMBER(SEARCH($EI262, 球員狀態!$B$2:$B$5000))), 0)), "")</f>
        <v/>
      </c>
      <c r="EY262" s="4" t="str">
        <f t="array" ref="EY262">IFERROR(INDEX(球員狀態!R$2:R$5000, MATCH(1, (球員狀態!$A$2:$A$5000=$EI$1)*(ISNUMBER(SEARCH($EI262, 球員狀態!$B$2:$B$5000))), 0)), "")</f>
        <v/>
      </c>
      <c r="EZ262" s="4" t="str">
        <f t="array" ref="EZ262">IFERROR(INDEX(球員狀態!S$2:S$5000, MATCH(1, (球員狀態!$A$2:$A$5000=$EI$1)*(ISNUMBER(SEARCH($EI262, 球員狀態!$B$2:$B$5000))), 0)), "")</f>
        <v/>
      </c>
      <c r="FA262" s="4" t="str">
        <f t="array" ref="FA262">IFERROR(INDEX(球員狀態!T$2:T$5000, MATCH(1, (球員狀態!$A$2:$A$5000=$EI$241)*(ISNUMBER(SEARCH($EI262, 球員狀態!$B$2:$B$5000))), 0)), "")</f>
        <v/>
      </c>
      <c r="FB262" s="4" t="str">
        <f t="array" ref="FB262">IFERROR(INDEX(球員狀態!U$2:U$5000, MATCH(1, (球員狀態!$A$2:$A$5000=$EI$1)*(ISNUMBER(SEARCH($EI262, 球員狀態!$B$2:$B$5000))), 0)), "")</f>
        <v/>
      </c>
      <c r="FC262" s="4" t="str">
        <f t="array" ref="FC262">IFERROR(INDEX(球員狀態!V$2:V$5000, MATCH(1, (球員狀態!$A$2:$A$5000=$EI$1)*(ISNUMBER(SEARCH($EI262, 球員狀態!$B$2:$B$5000))), 0)), "")</f>
        <v/>
      </c>
      <c r="FD262" s="4" t="str">
        <f t="array" ref="FD262">IFERROR(INDEX(球員狀態!W$2:W$5000, MATCH(1, (球員狀態!$A$2:$A$5000=$EI$241)*(ISNUMBER(SEARCH($EI262, 球員狀態!$B$2:$B$5000))), 0)), "")</f>
        <v/>
      </c>
      <c r="FE262" s="4" t="str">
        <f t="array" ref="FE262">IFERROR(INDEX(球員狀態!X$2:X$5000, MATCH(1, (球員狀態!$A$2:$A$5000=$EI$1)*(ISNUMBER(SEARCH($EI262, 球員狀態!$B$2:$B$5000))), 0)), "")</f>
        <v/>
      </c>
      <c r="FF262" s="4" t="str">
        <f t="array" ref="FF262">IFERROR(INDEX(球員狀態!Y$2:Y$5000, MATCH(1, (球員狀態!$A$2:$A$5000=$EI$1)*(ISNUMBER(SEARCH($EI262, 球員狀態!$B$2:$B$5000))), 0)), "")</f>
        <v/>
      </c>
      <c r="FG262" s="4" t="str">
        <f t="array" ref="FG262">IFERROR(INDEX(球員狀態!Z$2:Z$5000, MATCH(1, (球員狀態!$A$2:$A$5000=$EI$241)*(ISNUMBER(SEARCH($EI262, 球員狀態!$B$2:$B$5000))), 0)), "")</f>
        <v/>
      </c>
      <c r="FH262" s="4" t="str">
        <f t="array" ref="FH262">IFERROR(INDEX(球員狀態!AA$2:AA$5000, MATCH(1, (球員狀態!$A$2:$A$5000=$EI$241)*(ISNUMBER(SEARCH($EI262, 球員狀態!$B$2:$B$5000))), 0)), "")</f>
        <v/>
      </c>
      <c r="FI262" s="4" t="str">
        <f t="array" ref="FI262">IFERROR(INDEX(球員狀態!AB$2:AB$5000, MATCH(1, (球員狀態!$A$2:$A$5000=$EI$241)*(ISNUMBER(SEARCH($EI262, 球員狀態!$B$2:$B$5000))), 0)), "")</f>
        <v/>
      </c>
    </row>
    <row r="263" spans="110:165">
      <c r="DH263" s="40" t="e">
        <f>DJ263+DL263+DM263+DN263+DO263-DP263-DQ263+DR263</f>
        <v>#VALUE!</v>
      </c>
      <c r="DI263" s="42" t="e">
        <f>DU263+DX263+EA263+ED263+EE263+EF263</f>
        <v>#VALUE!</v>
      </c>
      <c r="DJ263" s="38" t="e">
        <f>VLOOKUP(DJ262*1, FK$2:FM$12, 3, TRUE)*FM$1</f>
        <v>#VALUE!</v>
      </c>
      <c r="DL263" s="38" t="e">
        <f>VLOOKUP(DL262*1, FN$2:FP$12, 3, TRUE)*FP$1</f>
        <v>#VALUE!</v>
      </c>
      <c r="DM263" s="38" t="e">
        <f>VLOOKUP(DM262*1, FQ$2:FS$12, 3, TRUE)*FS$1</f>
        <v>#VALUE!</v>
      </c>
      <c r="DN263" s="38" t="e">
        <f>VLOOKUP(DN262*1, FT$2:FV$12, 3, TRUE)*FV$1</f>
        <v>#VALUE!</v>
      </c>
      <c r="DO263" s="38" t="e">
        <f>VLOOKUP(DO262*1, FW$2:FY$12, 3, TRUE)*FY$1</f>
        <v>#VALUE!</v>
      </c>
      <c r="DP263" s="39" t="e">
        <f>VLOOKUP(DP262*1, FK$14:FM$25, 3, TRUE)*FM$14</f>
        <v>#VALUE!</v>
      </c>
      <c r="DQ263" s="39" t="e">
        <f>VLOOKUP(DQ262*1, FN$14:FP$25, 3, TRUE)*FP$14</f>
        <v>#VALUE!</v>
      </c>
      <c r="DR263" s="38" t="e">
        <f>VLOOKUP(DR262*1, FQ$14:FS$25, 3, TRUE)*FS$14</f>
        <v>#VALUE!</v>
      </c>
      <c r="DU263" s="41" t="e">
        <f>VLOOKUP(DU262*1, FK$27:FM$38, 3, TRUE)*FM$27</f>
        <v>#VALUE!</v>
      </c>
      <c r="DX263" s="41" t="e">
        <f>VLOOKUP(DX262*1, FN$27:FP$38, 3, TRUE)*FP$27</f>
        <v>#VALUE!</v>
      </c>
      <c r="EA263" s="41" t="e">
        <f>VLOOKUP(EA262*1, FQ$27:FS$38, 3, TRUE)*FS$27</f>
        <v>#VALUE!</v>
      </c>
      <c r="ED263" s="41" t="e">
        <f>VLOOKUP(ED262*1, FT$27:FV$38, 3, TRUE)*FV$27</f>
        <v>#VALUE!</v>
      </c>
      <c r="EE263" s="41" t="e">
        <f>VLOOKUP(EE262*1, FW$27:FY$38, 3, TRUE)*FY$27</f>
        <v>#VALUE!</v>
      </c>
      <c r="EF263" s="41" t="e">
        <f>VLOOKUP(EF262*1, FK$40:FM$51, 3, TRUE)*FM$40</f>
        <v>#VALUE!</v>
      </c>
      <c r="EG263" s="57"/>
      <c r="EK263" s="40" t="e">
        <f>EM263+EO263+EP263+EQ263+ER263-ES263-ET263+EU263</f>
        <v>#VALUE!</v>
      </c>
      <c r="EL263" s="42" t="e">
        <f>EX263+FA263+FD263+FG263+FH263+FI263</f>
        <v>#VALUE!</v>
      </c>
      <c r="EM263" s="38" t="e">
        <f>VLOOKUP(EM262*1, $FK$2:$FM$12, 3, TRUE)*$FM$1</f>
        <v>#VALUE!</v>
      </c>
      <c r="EO263" s="38" t="e">
        <f>VLOOKUP(EO262*1, $FN$2:$FP$12, 3, TRUE)*$FP$1</f>
        <v>#VALUE!</v>
      </c>
      <c r="EP263" s="38" t="e">
        <f>VLOOKUP(EP262*1, $FQ$2:$FS$12, 3, TRUE)*$FS$1</f>
        <v>#VALUE!</v>
      </c>
      <c r="EQ263" s="38" t="e">
        <f>VLOOKUP(EQ262*1, $FT$2:$FV$12, 3, TRUE)*$FV$1</f>
        <v>#VALUE!</v>
      </c>
      <c r="ER263" s="38" t="e">
        <f>VLOOKUP(ER262*1, $FW$2:$FY$12, 3, TRUE)*$FY$1</f>
        <v>#VALUE!</v>
      </c>
      <c r="ES263" s="39" t="e">
        <f>VLOOKUP(ES262*1, $FK$14:$FM$25, 3, TRUE)*$FM$14</f>
        <v>#VALUE!</v>
      </c>
      <c r="ET263" s="39" t="e">
        <f>VLOOKUP(ET262*1, $FN$14:$FP$25, 3, TRUE)*$FP$14</f>
        <v>#VALUE!</v>
      </c>
      <c r="EU263" s="38" t="e">
        <f>VLOOKUP(EU262*1, $FQ$14:$FS$25, 3, TRUE)*$FS$14</f>
        <v>#VALUE!</v>
      </c>
      <c r="EX263" s="41" t="e">
        <f>VLOOKUP(EX262*1, $FK$27:$FM$38, 3, TRUE)*$FM$27</f>
        <v>#VALUE!</v>
      </c>
      <c r="FA263" s="41" t="e">
        <f>VLOOKUP(FA262*1, $FN$27:$FP$38, 3, TRUE)*$FP$27</f>
        <v>#VALUE!</v>
      </c>
      <c r="FD263" s="41" t="e">
        <f>VLOOKUP(FD262*1, $FQ$27:$FS$38, 3, TRUE)*$FS$27</f>
        <v>#VALUE!</v>
      </c>
      <c r="FG263" s="41" t="e">
        <f>VLOOKUP(FG262*1, $FT$27:$FV$38, 3, TRUE)*$FV$27</f>
        <v>#VALUE!</v>
      </c>
      <c r="FH263" s="41" t="e">
        <f>VLOOKUP(FH262*1, $FW$27:$FY$38, 3, TRUE)*$FY$27</f>
        <v>#VALUE!</v>
      </c>
      <c r="FI263" s="41" t="e">
        <f>VLOOKUP(FI262*1, $FK$40:$FM$51, 3, TRUE)*$FM$40</f>
        <v>#VALUE!</v>
      </c>
    </row>
    <row r="264" spans="110:165">
      <c r="DF264" s="37" t="e">
        <f>先發名單!#REF!</f>
        <v>#REF!</v>
      </c>
      <c r="DG264" s="4" t="str">
        <f t="array" ref="DG264">IFERROR(INDEX(球員狀態!$C$2:$C$5000, MATCH(1, (球員狀態!$A$2:$A$5000=$DF$241)*(ISNUMBER(SEARCH($DF264, 球員狀態!$B$2:$B$5000))), 0)), "")</f>
        <v/>
      </c>
      <c r="DJ264" s="4" t="str">
        <f t="array" ref="DJ264">IFERROR(INDEX(球員狀態!$F$2:$F$5000,MATCH(1,(球員狀態!$A$2:$A$5000=$DF$241)*(ISNUMBER(SEARCH($DF264,球員狀態!$B$2:$B$5000))),0)),"")</f>
        <v/>
      </c>
      <c r="DK264" s="4" t="str">
        <f t="array" ref="DK264">IFERROR(INDEX(球員狀態!G$2:G$5000, MATCH(1, (球員狀態!$A$2:$A$5000=$DF$1)*(ISNUMBER(SEARCH($DF264, 球員狀態!$B$2:$B$5000))), 0)), "")</f>
        <v/>
      </c>
      <c r="DL264" s="4" t="str">
        <f t="array" ref="DL264">IFERROR(INDEX(球員狀態!H$2:H$5000, MATCH(1, (球員狀態!$A$2:$A$5000=$DF$241)*(ISNUMBER(SEARCH($DF264, 球員狀態!$B$2:$B$5000))), 0)), "")</f>
        <v/>
      </c>
      <c r="DM264" s="4" t="str">
        <f t="array" ref="DM264">IFERROR(INDEX(球員狀態!I$2:I$5000,MATCH(1,(球員狀態!$A$2:$A$5000=$DF$241)*(ISNUMBER(SEARCH($DF264,球員狀態!$B$2:$B$5000))),0)),"")</f>
        <v/>
      </c>
      <c r="DN264" s="4" t="str">
        <f t="array" ref="DN264">IFERROR(INDEX(球員狀態!J$2:J$5000,MATCH(1,(球員狀態!$A$2:$A$5000=$DF$241)*(ISNUMBER(SEARCH($DF264,球員狀態!$B$2:$B$5000))),0)),"")</f>
        <v/>
      </c>
      <c r="DO264" s="4" t="str">
        <f t="array" ref="DO264">IFERROR(INDEX(球員狀態!K$2:K$5000,MATCH(1,(球員狀態!$A$2:$A$5000=$DF$241)*(ISNUMBER(SEARCH($DF264,球員狀態!$B$2:$B$5000))),0)),"")</f>
        <v/>
      </c>
      <c r="DP264" s="4" t="str">
        <f t="array" ref="DP264">IFERROR(INDEX(球員狀態!L$2:L$5000,MATCH(1,(球員狀態!$A$2:$A$5000=$DF$241)*(ISNUMBER(SEARCH($DF264,球員狀態!$B$2:$B$5000))),0)),"")</f>
        <v/>
      </c>
      <c r="DQ264" s="4" t="str">
        <f t="array" ref="DQ264">IFERROR(INDEX(球員狀態!M$2:M$5000,MATCH(1,(球員狀態!$A$2:$A$5000=$DF$241)*(ISNUMBER(SEARCH($DF264,球員狀態!$B$2:$B$5000))),0)),"")</f>
        <v/>
      </c>
      <c r="DR264" s="4" t="str">
        <f t="array" ref="DR264">IFERROR(INDEX(球員狀態!N$2:N$5000,MATCH(1,(球員狀態!$A$2:$A$5000=$DF$241)*(ISNUMBER(SEARCH($DF264,球員狀態!$B$2:$B$5000))),0)),"")</f>
        <v/>
      </c>
      <c r="DS264" s="4" t="str">
        <f t="array" ref="DS264">IFERROR(INDEX(球員狀態!O$2:O$5000, MATCH(1, (球員狀態!$A$2:$A$5000=$DF$1)*(ISNUMBER(SEARCH($DF264, 球員狀態!$B$2:$B$5000))), 0)), "")</f>
        <v/>
      </c>
      <c r="DT264" s="4" t="str">
        <f t="array" ref="DT264">IFERROR(INDEX(球員狀態!P$2:P$5000, MATCH(1, (球員狀態!$A$2:$A$5000=$DF$1)*(ISNUMBER(SEARCH($DF264, 球員狀態!$B$2:$B$5000))), 0)), "")</f>
        <v/>
      </c>
      <c r="DU264" s="4" t="str">
        <f t="array" ref="DU264">IFERROR(INDEX(球員狀態!Q$2:Q$5000,MATCH(1,(球員狀態!$A$2:$A$5000=$DF$241)*(ISNUMBER(SEARCH($DF264,球員狀態!$B$2:$B$5000))),0)),"")</f>
        <v/>
      </c>
      <c r="DV264" s="4" t="str">
        <f t="array" ref="DV264">IFERROR(INDEX(球員狀態!R$2:R$5000, MATCH(1, (球員狀態!$A$2:$A$5000=$DF$1)*(ISNUMBER(SEARCH($DF264, 球員狀態!$B$2:$B$5000))), 0)), "")</f>
        <v/>
      </c>
      <c r="DW264" s="4" t="str">
        <f t="array" ref="DW264">IFERROR(INDEX(球員狀態!S$2:S$5000, MATCH(1, (球員狀態!$A$2:$A$5000=$DF$1)*(ISNUMBER(SEARCH($DF264, 球員狀態!$B$2:$B$5000))), 0)), "")</f>
        <v/>
      </c>
      <c r="DX264" s="4" t="str">
        <f t="array" ref="DX264">IFERROR(INDEX(球員狀態!T$2:T$5000,MATCH(1,(球員狀態!$A$2:$A$5000=$DF$241)*(ISNUMBER(SEARCH($DF264,球員狀態!$B$2:$B$5000))),0)),"")</f>
        <v/>
      </c>
      <c r="DY264" s="4" t="str">
        <f t="array" ref="DY264">IFERROR(INDEX(球員狀態!U$2:U$5000, MATCH(1, (球員狀態!$A$2:$A$5000=$DF$1)*(ISNUMBER(SEARCH($DF264, 球員狀態!$B$2:$B$5000))), 0)), "")</f>
        <v/>
      </c>
      <c r="DZ264" s="4" t="str">
        <f t="array" ref="DZ264">IFERROR(INDEX(球員狀態!V$2:V$5000, MATCH(1, (球員狀態!$A$2:$A$5000=$DF$1)*(ISNUMBER(SEARCH($DF264, 球員狀態!$B$2:$B$5000))), 0)), "")</f>
        <v/>
      </c>
      <c r="EA264" s="4" t="str">
        <f t="array" ref="EA264">IFERROR(INDEX(球員狀態!W$2:W$5000,MATCH(1,(球員狀態!$A$2:$A$5000=$DF$241)*(ISNUMBER(SEARCH($DF264,球員狀態!$B$2:$B$5000))),0)),"")</f>
        <v/>
      </c>
      <c r="EB264" s="4" t="str">
        <f t="array" ref="EB264">IFERROR(INDEX(球員狀態!X$2:X$5000, MATCH(1, (球員狀態!$A$2:$A$5000=$DF$1)*(ISNUMBER(SEARCH($DF264, 球員狀態!$B$2:$B$5000))), 0)), "")</f>
        <v/>
      </c>
      <c r="EC264" s="4" t="str">
        <f t="array" ref="EC264">IFERROR(INDEX(球員狀態!Y$2:Y$5000, MATCH(1, (球員狀態!$A$2:$A$5000=$DF$1)*(ISNUMBER(SEARCH($DF264, 球員狀態!$B$2:$B$5000))), 0)), "")</f>
        <v/>
      </c>
      <c r="ED264" s="4" t="str">
        <f t="array" ref="ED264">IFERROR(INDEX(球員狀態!Z$2:Z$5000,MATCH(1,(球員狀態!$A$2:$A$5000=$DF$241)*(ISNUMBER(SEARCH($DF264,球員狀態!$B$2:$B$5000))),0)),"")</f>
        <v/>
      </c>
      <c r="EE264" s="4" t="str">
        <f t="array" ref="EE264">IFERROR(INDEX(球員狀態!AA$2:AA$5000,MATCH(1,(球員狀態!$A$2:$A$5000=$DF$241)*(ISNUMBER(SEARCH($DF264,球員狀態!$B$2:$B$5000))),0)),"")</f>
        <v/>
      </c>
      <c r="EF264" s="4" t="str">
        <f t="array" ref="EF264">IFERROR(INDEX(球員狀態!AB$2:AB$5000,MATCH(1,(球員狀態!$A$2:$A$5000=$DF$241)*(ISNUMBER(SEARCH($DF264,球員狀態!$B$2:$B$5000))),0)),"")</f>
        <v/>
      </c>
      <c r="EG264" s="56"/>
      <c r="EI264" s="37">
        <f>先發名單!Z$10</f>
        <v>0</v>
      </c>
      <c r="EJ264" s="4" t="str">
        <f t="array" ref="EJ264">IFERROR(INDEX(球員狀態!C$2:C$5000, MATCH(1, (球員狀態!$A$2:$A$5000=$EI$241)*(ISNUMBER(SEARCH($EI264, 球員狀態!$B$2:$B$5000))), 0)), "")</f>
        <v/>
      </c>
      <c r="EM264" s="4" t="str">
        <f t="array" ref="EM264">IFERROR(INDEX(球員狀態!F$2:F$5000, MATCH(1, (球員狀態!$A$2:$A$5000=$EI$241)*(ISNUMBER(SEARCH($EI264, 球員狀態!$B$2:$B$5000))), 0)), "")</f>
        <v/>
      </c>
      <c r="EN264" s="4" t="str">
        <f t="array" ref="EN264">IFERROR(INDEX(球員狀態!G$2:G$5000, MATCH(1, (球員狀態!$A$2:$A$5000=$EI$1)*(ISNUMBER(SEARCH($EI264, 球員狀態!$B$2:$B$5000))), 0)), "")</f>
        <v/>
      </c>
      <c r="EO264" s="4" t="str">
        <f t="array" ref="EO264">IFERROR(INDEX(球員狀態!H$2:H$5000, MATCH(1, (球員狀態!$A$2:$A$5000=$EI$241)*(ISNUMBER(SEARCH($EI264, 球員狀態!$B$2:$B$5000))), 0)), "")</f>
        <v/>
      </c>
      <c r="EP264" s="4" t="str">
        <f t="array" ref="EP264">IFERROR(INDEX(球員狀態!I$2:I$5000, MATCH(1, (球員狀態!$A$2:$A$5000=$EI$241)*(ISNUMBER(SEARCH($EI264, 球員狀態!$B$2:$B$5000))), 0)), "")</f>
        <v/>
      </c>
      <c r="EQ264" s="4" t="str">
        <f t="array" ref="EQ264">IFERROR(INDEX(球員狀態!J$2:J$5000, MATCH(1, (球員狀態!$A$2:$A$5000=$EI$241)*(ISNUMBER(SEARCH($EI264, 球員狀態!$B$2:$B$5000))), 0)), "")</f>
        <v/>
      </c>
      <c r="ER264" s="4" t="str">
        <f t="array" ref="ER264">IFERROR(INDEX(球員狀態!K$2:K$5000, MATCH(1, (球員狀態!$A$2:$A$5000=$EI$241)*(ISNUMBER(SEARCH($EI264, 球員狀態!$B$2:$B$5000))), 0)), "")</f>
        <v/>
      </c>
      <c r="ES264" s="4" t="str">
        <f t="array" ref="ES264">IFERROR(INDEX(球員狀態!L$2:L$5000, MATCH(1, (球員狀態!$A$2:$A$5000=$EI$241)*(ISNUMBER(SEARCH($EI264, 球員狀態!$B$2:$B$5000))), 0)), "")</f>
        <v/>
      </c>
      <c r="ET264" s="4" t="str">
        <f t="array" ref="ET264">IFERROR(INDEX(球員狀態!M$2:M$5000, MATCH(1, (球員狀態!$A$2:$A$5000=$EI$241)*(ISNUMBER(SEARCH($EI264, 球員狀態!$B$2:$B$5000))), 0)), "")</f>
        <v/>
      </c>
      <c r="EU264" s="4" t="str">
        <f t="array" ref="EU264">IFERROR(INDEX(球員狀態!N$2:N$5000, MATCH(1, (球員狀態!$A$2:$A$5000=$EI$241)*(ISNUMBER(SEARCH($EI264, 球員狀態!$B$2:$B$5000))), 0)), "")</f>
        <v/>
      </c>
      <c r="EV264" s="4" t="str">
        <f t="array" ref="EV264">IFERROR(INDEX(球員狀態!O$2:O$5000, MATCH(1, (球員狀態!$A$2:$A$5000=$EI$1)*(ISNUMBER(SEARCH($EI264, 球員狀態!$B$2:$B$5000))), 0)), "")</f>
        <v/>
      </c>
      <c r="EW264" s="4" t="str">
        <f t="array" ref="EW264">IFERROR(INDEX(球員狀態!P$2:P$5000, MATCH(1, (球員狀態!$A$2:$A$5000=$EI$1)*(ISNUMBER(SEARCH($EI264, 球員狀態!$B$2:$B$5000))), 0)), "")</f>
        <v/>
      </c>
      <c r="EX264" s="4" t="str">
        <f t="array" ref="EX264">IFERROR(INDEX(球員狀態!Q$2:Q$5000, MATCH(1, (球員狀態!$A$2:$A$5000=$EI$241)*(ISNUMBER(SEARCH($EI264, 球員狀態!$B$2:$B$5000))), 0)), "")</f>
        <v/>
      </c>
      <c r="EY264" s="4" t="str">
        <f t="array" ref="EY264">IFERROR(INDEX(球員狀態!R$2:R$5000, MATCH(1, (球員狀態!$A$2:$A$5000=$EI$1)*(ISNUMBER(SEARCH($EI264, 球員狀態!$B$2:$B$5000))), 0)), "")</f>
        <v/>
      </c>
      <c r="EZ264" s="4" t="str">
        <f t="array" ref="EZ264">IFERROR(INDEX(球員狀態!S$2:S$5000, MATCH(1, (球員狀態!$A$2:$A$5000=$EI$1)*(ISNUMBER(SEARCH($EI264, 球員狀態!$B$2:$B$5000))), 0)), "")</f>
        <v/>
      </c>
      <c r="FA264" s="4" t="str">
        <f t="array" ref="FA264">IFERROR(INDEX(球員狀態!T$2:T$5000, MATCH(1, (球員狀態!$A$2:$A$5000=$EI$241)*(ISNUMBER(SEARCH($EI264, 球員狀態!$B$2:$B$5000))), 0)), "")</f>
        <v/>
      </c>
      <c r="FB264" s="4" t="str">
        <f t="array" ref="FB264">IFERROR(INDEX(球員狀態!U$2:U$5000, MATCH(1, (球員狀態!$A$2:$A$5000=$EI$1)*(ISNUMBER(SEARCH($EI264, 球員狀態!$B$2:$B$5000))), 0)), "")</f>
        <v/>
      </c>
      <c r="FC264" s="4" t="str">
        <f t="array" ref="FC264">IFERROR(INDEX(球員狀態!V$2:V$5000, MATCH(1, (球員狀態!$A$2:$A$5000=$EI$1)*(ISNUMBER(SEARCH($EI264, 球員狀態!$B$2:$B$5000))), 0)), "")</f>
        <v/>
      </c>
      <c r="FD264" s="4" t="str">
        <f t="array" ref="FD264">IFERROR(INDEX(球員狀態!W$2:W$5000, MATCH(1, (球員狀態!$A$2:$A$5000=$EI$241)*(ISNUMBER(SEARCH($EI264, 球員狀態!$B$2:$B$5000))), 0)), "")</f>
        <v/>
      </c>
      <c r="FE264" s="4" t="str">
        <f t="array" ref="FE264">IFERROR(INDEX(球員狀態!X$2:X$5000, MATCH(1, (球員狀態!$A$2:$A$5000=$EI$1)*(ISNUMBER(SEARCH($EI264, 球員狀態!$B$2:$B$5000))), 0)), "")</f>
        <v/>
      </c>
      <c r="FF264" s="4" t="str">
        <f t="array" ref="FF264">IFERROR(INDEX(球員狀態!Y$2:Y$5000, MATCH(1, (球員狀態!$A$2:$A$5000=$EI$1)*(ISNUMBER(SEARCH($EI264, 球員狀態!$B$2:$B$5000))), 0)), "")</f>
        <v/>
      </c>
      <c r="FG264" s="4" t="str">
        <f t="array" ref="FG264">IFERROR(INDEX(球員狀態!Z$2:Z$5000, MATCH(1, (球員狀態!$A$2:$A$5000=$EI$241)*(ISNUMBER(SEARCH($EI264, 球員狀態!$B$2:$B$5000))), 0)), "")</f>
        <v/>
      </c>
      <c r="FH264" s="4" t="str">
        <f t="array" ref="FH264">IFERROR(INDEX(球員狀態!AA$2:AA$5000, MATCH(1, (球員狀態!$A$2:$A$5000=$EI$241)*(ISNUMBER(SEARCH($EI264, 球員狀態!$B$2:$B$5000))), 0)), "")</f>
        <v/>
      </c>
      <c r="FI264" s="4" t="str">
        <f t="array" ref="FI264">IFERROR(INDEX(球員狀態!AB$2:AB$5000, MATCH(1, (球員狀態!$A$2:$A$5000=$EI$241)*(ISNUMBER(SEARCH($EI264, 球員狀態!$B$2:$B$5000))), 0)), "")</f>
        <v/>
      </c>
    </row>
    <row r="265" spans="110:165">
      <c r="DH265" s="40" t="e">
        <f>DJ265+DL265+DM265+DN265+DO265-DP265-DQ265+DR265</f>
        <v>#VALUE!</v>
      </c>
      <c r="DI265" s="42" t="e">
        <f>DU265+DX265+EA265+ED265+EE265+EF265</f>
        <v>#VALUE!</v>
      </c>
      <c r="DJ265" s="38" t="e">
        <f>VLOOKUP(DJ264*1, FK$2:FM$12, 3, TRUE)*FM$1</f>
        <v>#VALUE!</v>
      </c>
      <c r="DL265" s="38" t="e">
        <f>VLOOKUP(DL264*1, FN$2:FP$12, 3, TRUE)*FP$1</f>
        <v>#VALUE!</v>
      </c>
      <c r="DM265" s="38" t="e">
        <f>VLOOKUP(DM264*1, FQ$2:FS$12, 3, TRUE)*FS$1</f>
        <v>#VALUE!</v>
      </c>
      <c r="DN265" s="38" t="e">
        <f>VLOOKUP(DN264*1, FT$2:FV$12, 3, TRUE)*FV$1</f>
        <v>#VALUE!</v>
      </c>
      <c r="DO265" s="38" t="e">
        <f>VLOOKUP(DO264*1, FW$2:FY$12, 3, TRUE)*FY$1</f>
        <v>#VALUE!</v>
      </c>
      <c r="DP265" s="39" t="e">
        <f>VLOOKUP(DP264*1, FK$14:FM$25, 3, TRUE)*FM$14</f>
        <v>#VALUE!</v>
      </c>
      <c r="DQ265" s="39" t="e">
        <f>VLOOKUP(DQ264*1, FN$14:FP$25, 3, TRUE)*FP$14</f>
        <v>#VALUE!</v>
      </c>
      <c r="DR265" s="38" t="e">
        <f>VLOOKUP(DR264*1, FQ$14:FS$25, 3, TRUE)*FS$14</f>
        <v>#VALUE!</v>
      </c>
      <c r="DU265" s="41" t="e">
        <f>VLOOKUP(DU264*1, FK$27:FM$38, 3, TRUE)*FM$27</f>
        <v>#VALUE!</v>
      </c>
      <c r="DX265" s="41" t="e">
        <f>VLOOKUP(DX264*1, FN$27:FP$38, 3, TRUE)*FP$27</f>
        <v>#VALUE!</v>
      </c>
      <c r="EA265" s="41" t="e">
        <f>VLOOKUP(EA264*1, FQ$27:FS$38, 3, TRUE)*FS$27</f>
        <v>#VALUE!</v>
      </c>
      <c r="ED265" s="41" t="e">
        <f>VLOOKUP(ED264*1, FT$27:FV$38, 3, TRUE)*FV$27</f>
        <v>#VALUE!</v>
      </c>
      <c r="EE265" s="41" t="e">
        <f>VLOOKUP(EE264*1, FW$27:FY$38, 3, TRUE)*FY$27</f>
        <v>#VALUE!</v>
      </c>
      <c r="EF265" s="41" t="e">
        <f>VLOOKUP(EF264*1, FK$40:FM$51, 3, TRUE)*FM$40</f>
        <v>#VALUE!</v>
      </c>
      <c r="EG265" s="57"/>
      <c r="EK265" s="40" t="e">
        <f>EM265+EO265+EP265+EQ265+ER265-ES265-ET265+EU265</f>
        <v>#VALUE!</v>
      </c>
      <c r="EL265" s="42" t="e">
        <f>EX265+FA265+FD265+FG265+FH265+FI265</f>
        <v>#VALUE!</v>
      </c>
      <c r="EM265" s="38" t="e">
        <f>VLOOKUP(EM264*1, $FK$2:$FM$12, 3, TRUE)*$FM$1</f>
        <v>#VALUE!</v>
      </c>
      <c r="EO265" s="38" t="e">
        <f>VLOOKUP(EO264*1, $FN$2:$FP$12, 3, TRUE)*$FP$1</f>
        <v>#VALUE!</v>
      </c>
      <c r="EP265" s="38" t="e">
        <f>VLOOKUP(EP264*1, $FQ$2:$FS$12, 3, TRUE)*$FS$1</f>
        <v>#VALUE!</v>
      </c>
      <c r="EQ265" s="38" t="e">
        <f>VLOOKUP(EQ264*1, $FT$2:$FV$12, 3, TRUE)*$FV$1</f>
        <v>#VALUE!</v>
      </c>
      <c r="ER265" s="38" t="e">
        <f>VLOOKUP(ER264*1, $FW$2:$FY$12, 3, TRUE)*$FY$1</f>
        <v>#VALUE!</v>
      </c>
      <c r="ES265" s="39" t="e">
        <f>VLOOKUP(ES264*1, $FK$14:$FM$25, 3, TRUE)*$FM$14</f>
        <v>#VALUE!</v>
      </c>
      <c r="ET265" s="39" t="e">
        <f>VLOOKUP(ET264*1, $FN$14:$FP$25, 3, TRUE)*$FP$14</f>
        <v>#VALUE!</v>
      </c>
      <c r="EU265" s="38" t="e">
        <f>VLOOKUP(EU264*1, $FQ$14:$FS$25, 3, TRUE)*$FS$14</f>
        <v>#VALUE!</v>
      </c>
      <c r="EX265" s="41" t="e">
        <f>VLOOKUP(EX264*1, $FK$27:$FM$38, 3, TRUE)*$FM$27</f>
        <v>#VALUE!</v>
      </c>
      <c r="FA265" s="41" t="e">
        <f>VLOOKUP(FA264*1, $FN$27:$FP$38, 3, TRUE)*$FP$27</f>
        <v>#VALUE!</v>
      </c>
      <c r="FD265" s="41" t="e">
        <f>VLOOKUP(FD264*1, $FQ$27:$FS$38, 3, TRUE)*$FS$27</f>
        <v>#VALUE!</v>
      </c>
      <c r="FG265" s="41" t="e">
        <f>VLOOKUP(FG264*1, $FT$27:$FV$38, 3, TRUE)*$FV$27</f>
        <v>#VALUE!</v>
      </c>
      <c r="FH265" s="41" t="e">
        <f>VLOOKUP(FH264*1, $FW$27:$FY$38, 3, TRUE)*$FY$27</f>
        <v>#VALUE!</v>
      </c>
      <c r="FI265" s="41" t="e">
        <f>VLOOKUP(FI264*1, $FK$40:$FM$51, 3, TRUE)*$FM$40</f>
        <v>#VALUE!</v>
      </c>
    </row>
    <row r="266" spans="110:165">
      <c r="DF266" s="37" t="e">
        <f>先發名單!#REF!</f>
        <v>#REF!</v>
      </c>
      <c r="DG266" s="4" t="str">
        <f t="array" ref="DG266">IFERROR(INDEX(球員狀態!$C$2:$C$5000, MATCH(1, (球員狀態!$A$2:$A$5000=$DF$241)*(ISNUMBER(SEARCH($DF266, 球員狀態!$B$2:$B$5000))), 0)), "")</f>
        <v/>
      </c>
      <c r="DJ266" s="4" t="str">
        <f t="array" ref="DJ266">IFERROR(INDEX(球員狀態!$F$2:$F$5000,MATCH(1,(球員狀態!$A$2:$A$5000=$DF$241)*(ISNUMBER(SEARCH($DF266,球員狀態!$B$2:$B$5000))),0)),"")</f>
        <v/>
      </c>
      <c r="DK266" s="4" t="str">
        <f t="array" ref="DK266">IFERROR(INDEX(球員狀態!G$2:G$5000, MATCH(1, (球員狀態!$A$2:$A$5000=$DF$1)*(ISNUMBER(SEARCH($DF266, 球員狀態!$B$2:$B$5000))), 0)), "")</f>
        <v/>
      </c>
      <c r="DL266" s="4" t="str">
        <f t="array" ref="DL266">IFERROR(INDEX(球員狀態!H$2:H$5000, MATCH(1, (球員狀態!$A$2:$A$5000=$DF$241)*(ISNUMBER(SEARCH($DF266, 球員狀態!$B$2:$B$5000))), 0)), "")</f>
        <v/>
      </c>
      <c r="DM266" s="4" t="str">
        <f t="array" ref="DM266">IFERROR(INDEX(球員狀態!I$2:I$5000,MATCH(1,(球員狀態!$A$2:$A$5000=$DF$241)*(ISNUMBER(SEARCH($DF266,球員狀態!$B$2:$B$5000))),0)),"")</f>
        <v/>
      </c>
      <c r="DN266" s="4" t="str">
        <f t="array" ref="DN266">IFERROR(INDEX(球員狀態!J$2:J$5000,MATCH(1,(球員狀態!$A$2:$A$5000=$DF$241)*(ISNUMBER(SEARCH($DF266,球員狀態!$B$2:$B$5000))),0)),"")</f>
        <v/>
      </c>
      <c r="DO266" s="4" t="str">
        <f t="array" ref="DO266">IFERROR(INDEX(球員狀態!K$2:K$5000,MATCH(1,(球員狀態!$A$2:$A$5000=$DF$241)*(ISNUMBER(SEARCH($DF266,球員狀態!$B$2:$B$5000))),0)),"")</f>
        <v/>
      </c>
      <c r="DP266" s="4" t="str">
        <f t="array" ref="DP266">IFERROR(INDEX(球員狀態!L$2:L$5000,MATCH(1,(球員狀態!$A$2:$A$5000=$DF$241)*(ISNUMBER(SEARCH($DF266,球員狀態!$B$2:$B$5000))),0)),"")</f>
        <v/>
      </c>
      <c r="DQ266" s="4" t="str">
        <f t="array" ref="DQ266">IFERROR(INDEX(球員狀態!M$2:M$5000,MATCH(1,(球員狀態!$A$2:$A$5000=$DF$241)*(ISNUMBER(SEARCH($DF266,球員狀態!$B$2:$B$5000))),0)),"")</f>
        <v/>
      </c>
      <c r="DR266" s="4" t="str">
        <f t="array" ref="DR266">IFERROR(INDEX(球員狀態!N$2:N$5000,MATCH(1,(球員狀態!$A$2:$A$5000=$DF$241)*(ISNUMBER(SEARCH($DF266,球員狀態!$B$2:$B$5000))),0)),"")</f>
        <v/>
      </c>
      <c r="DS266" s="4" t="str">
        <f t="array" ref="DS266">IFERROR(INDEX(球員狀態!O$2:O$5000, MATCH(1, (球員狀態!$A$2:$A$5000=$DF$1)*(ISNUMBER(SEARCH($DF266, 球員狀態!$B$2:$B$5000))), 0)), "")</f>
        <v/>
      </c>
      <c r="DT266" s="4" t="str">
        <f t="array" ref="DT266">IFERROR(INDEX(球員狀態!P$2:P$5000, MATCH(1, (球員狀態!$A$2:$A$5000=$DF$1)*(ISNUMBER(SEARCH($DF266, 球員狀態!$B$2:$B$5000))), 0)), "")</f>
        <v/>
      </c>
      <c r="DU266" s="4" t="str">
        <f t="array" ref="DU266">IFERROR(INDEX(球員狀態!Q$2:Q$5000,MATCH(1,(球員狀態!$A$2:$A$5000=$DF$241)*(ISNUMBER(SEARCH($DF266,球員狀態!$B$2:$B$5000))),0)),"")</f>
        <v/>
      </c>
      <c r="DV266" s="4" t="str">
        <f t="array" ref="DV266">IFERROR(INDEX(球員狀態!R$2:R$5000, MATCH(1, (球員狀態!$A$2:$A$5000=$DF$1)*(ISNUMBER(SEARCH($DF266, 球員狀態!$B$2:$B$5000))), 0)), "")</f>
        <v/>
      </c>
      <c r="DW266" s="4" t="str">
        <f t="array" ref="DW266">IFERROR(INDEX(球員狀態!S$2:S$5000, MATCH(1, (球員狀態!$A$2:$A$5000=$DF$1)*(ISNUMBER(SEARCH($DF266, 球員狀態!$B$2:$B$5000))), 0)), "")</f>
        <v/>
      </c>
      <c r="DX266" s="4" t="str">
        <f t="array" ref="DX266">IFERROR(INDEX(球員狀態!T$2:T$5000,MATCH(1,(球員狀態!$A$2:$A$5000=$DF$241)*(ISNUMBER(SEARCH($DF266,球員狀態!$B$2:$B$5000))),0)),"")</f>
        <v/>
      </c>
      <c r="DY266" s="4" t="str">
        <f t="array" ref="DY266">IFERROR(INDEX(球員狀態!U$2:U$5000, MATCH(1, (球員狀態!$A$2:$A$5000=$DF$1)*(ISNUMBER(SEARCH($DF266, 球員狀態!$B$2:$B$5000))), 0)), "")</f>
        <v/>
      </c>
      <c r="DZ266" s="4" t="str">
        <f t="array" ref="DZ266">IFERROR(INDEX(球員狀態!V$2:V$5000, MATCH(1, (球員狀態!$A$2:$A$5000=$DF$1)*(ISNUMBER(SEARCH($DF266, 球員狀態!$B$2:$B$5000))), 0)), "")</f>
        <v/>
      </c>
      <c r="EA266" s="4" t="str">
        <f t="array" ref="EA266">IFERROR(INDEX(球員狀態!W$2:W$5000,MATCH(1,(球員狀態!$A$2:$A$5000=$DF$241)*(ISNUMBER(SEARCH($DF266,球員狀態!$B$2:$B$5000))),0)),"")</f>
        <v/>
      </c>
      <c r="EB266" s="4" t="str">
        <f t="array" ref="EB266">IFERROR(INDEX(球員狀態!X$2:X$5000, MATCH(1, (球員狀態!$A$2:$A$5000=$DF$1)*(ISNUMBER(SEARCH($DF266, 球員狀態!$B$2:$B$5000))), 0)), "")</f>
        <v/>
      </c>
      <c r="EC266" s="4" t="str">
        <f t="array" ref="EC266">IFERROR(INDEX(球員狀態!Y$2:Y$5000, MATCH(1, (球員狀態!$A$2:$A$5000=$DF$1)*(ISNUMBER(SEARCH($DF266, 球員狀態!$B$2:$B$5000))), 0)), "")</f>
        <v/>
      </c>
      <c r="ED266" s="4" t="str">
        <f t="array" ref="ED266">IFERROR(INDEX(球員狀態!Z$2:Z$5000,MATCH(1,(球員狀態!$A$2:$A$5000=$DF$241)*(ISNUMBER(SEARCH($DF266,球員狀態!$B$2:$B$5000))),0)),"")</f>
        <v/>
      </c>
      <c r="EE266" s="4" t="str">
        <f t="array" ref="EE266">IFERROR(INDEX(球員狀態!AA$2:AA$5000,MATCH(1,(球員狀態!$A$2:$A$5000=$DF$241)*(ISNUMBER(SEARCH($DF266,球員狀態!$B$2:$B$5000))),0)),"")</f>
        <v/>
      </c>
      <c r="EF266" s="4" t="str">
        <f t="array" ref="EF266">IFERROR(INDEX(球員狀態!AB$2:AB$5000,MATCH(1,(球員狀態!$A$2:$A$5000=$DF$241)*(ISNUMBER(SEARCH($DF266,球員狀態!$B$2:$B$5000))),0)),"")</f>
        <v/>
      </c>
      <c r="EG266" s="56"/>
      <c r="EI266" s="37">
        <f>先發名單!AA$10</f>
        <v>0</v>
      </c>
      <c r="EJ266" s="4" t="str">
        <f t="array" ref="EJ266">IFERROR(INDEX(球員狀態!C$2:C$5000, MATCH(1, (球員狀態!$A$2:$A$5000=$EI$241)*(ISNUMBER(SEARCH($EI266, 球員狀態!$B$2:$B$5000))), 0)), "")</f>
        <v/>
      </c>
      <c r="EM266" s="4" t="str">
        <f t="array" ref="EM266">IFERROR(INDEX(球員狀態!F$2:F$5000, MATCH(1, (球員狀態!$A$2:$A$5000=$EI$241)*(ISNUMBER(SEARCH($EI266, 球員狀態!$B$2:$B$5000))), 0)), "")</f>
        <v/>
      </c>
      <c r="EN266" s="4" t="str">
        <f t="array" ref="EN266">IFERROR(INDEX(球員狀態!G$2:G$5000, MATCH(1, (球員狀態!$A$2:$A$5000=$EI$1)*(ISNUMBER(SEARCH($EI266, 球員狀態!$B$2:$B$5000))), 0)), "")</f>
        <v/>
      </c>
      <c r="EO266" s="4" t="str">
        <f t="array" ref="EO266">IFERROR(INDEX(球員狀態!H$2:H$5000, MATCH(1, (球員狀態!$A$2:$A$5000=$EI$241)*(ISNUMBER(SEARCH($EI266, 球員狀態!$B$2:$B$5000))), 0)), "")</f>
        <v/>
      </c>
      <c r="EP266" s="4" t="str">
        <f t="array" ref="EP266">IFERROR(INDEX(球員狀態!I$2:I$5000, MATCH(1, (球員狀態!$A$2:$A$5000=$EI$241)*(ISNUMBER(SEARCH($EI266, 球員狀態!$B$2:$B$5000))), 0)), "")</f>
        <v/>
      </c>
      <c r="EQ266" s="4" t="str">
        <f t="array" ref="EQ266">IFERROR(INDEX(球員狀態!J$2:J$5000, MATCH(1, (球員狀態!$A$2:$A$5000=$EI$241)*(ISNUMBER(SEARCH($EI266, 球員狀態!$B$2:$B$5000))), 0)), "")</f>
        <v/>
      </c>
      <c r="ER266" s="4" t="str">
        <f t="array" ref="ER266">IFERROR(INDEX(球員狀態!K$2:K$5000, MATCH(1, (球員狀態!$A$2:$A$5000=$EI$241)*(ISNUMBER(SEARCH($EI266, 球員狀態!$B$2:$B$5000))), 0)), "")</f>
        <v/>
      </c>
      <c r="ES266" s="4" t="str">
        <f t="array" ref="ES266">IFERROR(INDEX(球員狀態!L$2:L$5000, MATCH(1, (球員狀態!$A$2:$A$5000=$EI$241)*(ISNUMBER(SEARCH($EI266, 球員狀態!$B$2:$B$5000))), 0)), "")</f>
        <v/>
      </c>
      <c r="ET266" s="4" t="str">
        <f t="array" ref="ET266">IFERROR(INDEX(球員狀態!M$2:M$5000, MATCH(1, (球員狀態!$A$2:$A$5000=$EI$241)*(ISNUMBER(SEARCH($EI266, 球員狀態!$B$2:$B$5000))), 0)), "")</f>
        <v/>
      </c>
      <c r="EU266" s="4" t="str">
        <f t="array" ref="EU266">IFERROR(INDEX(球員狀態!N$2:N$5000, MATCH(1, (球員狀態!$A$2:$A$5000=$EI$241)*(ISNUMBER(SEARCH($EI266, 球員狀態!$B$2:$B$5000))), 0)), "")</f>
        <v/>
      </c>
      <c r="EV266" s="4" t="str">
        <f t="array" ref="EV266">IFERROR(INDEX(球員狀態!O$2:O$5000, MATCH(1, (球員狀態!$A$2:$A$5000=$EI$1)*(ISNUMBER(SEARCH($EI266, 球員狀態!$B$2:$B$5000))), 0)), "")</f>
        <v/>
      </c>
      <c r="EW266" s="4" t="str">
        <f t="array" ref="EW266">IFERROR(INDEX(球員狀態!P$2:P$5000, MATCH(1, (球員狀態!$A$2:$A$5000=$EI$1)*(ISNUMBER(SEARCH($EI266, 球員狀態!$B$2:$B$5000))), 0)), "")</f>
        <v/>
      </c>
      <c r="EX266" s="4" t="str">
        <f t="array" ref="EX266">IFERROR(INDEX(球員狀態!Q$2:Q$5000, MATCH(1, (球員狀態!$A$2:$A$5000=$EI$241)*(ISNUMBER(SEARCH($EI266, 球員狀態!$B$2:$B$5000))), 0)), "")</f>
        <v/>
      </c>
      <c r="EY266" s="4" t="str">
        <f t="array" ref="EY266">IFERROR(INDEX(球員狀態!R$2:R$5000, MATCH(1, (球員狀態!$A$2:$A$5000=$EI$1)*(ISNUMBER(SEARCH($EI266, 球員狀態!$B$2:$B$5000))), 0)), "")</f>
        <v/>
      </c>
      <c r="EZ266" s="4" t="str">
        <f t="array" ref="EZ266">IFERROR(INDEX(球員狀態!S$2:S$5000, MATCH(1, (球員狀態!$A$2:$A$5000=$EI$1)*(ISNUMBER(SEARCH($EI266, 球員狀態!$B$2:$B$5000))), 0)), "")</f>
        <v/>
      </c>
      <c r="FA266" s="4" t="str">
        <f t="array" ref="FA266">IFERROR(INDEX(球員狀態!T$2:T$5000, MATCH(1, (球員狀態!$A$2:$A$5000=$EI$241)*(ISNUMBER(SEARCH($EI266, 球員狀態!$B$2:$B$5000))), 0)), "")</f>
        <v/>
      </c>
      <c r="FB266" s="4" t="str">
        <f t="array" ref="FB266">IFERROR(INDEX(球員狀態!U$2:U$5000, MATCH(1, (球員狀態!$A$2:$A$5000=$EI$1)*(ISNUMBER(SEARCH($EI266, 球員狀態!$B$2:$B$5000))), 0)), "")</f>
        <v/>
      </c>
      <c r="FC266" s="4" t="str">
        <f t="array" ref="FC266">IFERROR(INDEX(球員狀態!V$2:V$5000, MATCH(1, (球員狀態!$A$2:$A$5000=$EI$1)*(ISNUMBER(SEARCH($EI266, 球員狀態!$B$2:$B$5000))), 0)), "")</f>
        <v/>
      </c>
      <c r="FD266" s="4" t="str">
        <f t="array" ref="FD266">IFERROR(INDEX(球員狀態!W$2:W$5000, MATCH(1, (球員狀態!$A$2:$A$5000=$EI$241)*(ISNUMBER(SEARCH($EI266, 球員狀態!$B$2:$B$5000))), 0)), "")</f>
        <v/>
      </c>
      <c r="FE266" s="4" t="str">
        <f t="array" ref="FE266">IFERROR(INDEX(球員狀態!X$2:X$5000, MATCH(1, (球員狀態!$A$2:$A$5000=$EI$1)*(ISNUMBER(SEARCH($EI266, 球員狀態!$B$2:$B$5000))), 0)), "")</f>
        <v/>
      </c>
      <c r="FF266" s="4" t="str">
        <f t="array" ref="FF266">IFERROR(INDEX(球員狀態!Y$2:Y$5000, MATCH(1, (球員狀態!$A$2:$A$5000=$EI$1)*(ISNUMBER(SEARCH($EI266, 球員狀態!$B$2:$B$5000))), 0)), "")</f>
        <v/>
      </c>
      <c r="FG266" s="4" t="str">
        <f t="array" ref="FG266">IFERROR(INDEX(球員狀態!Z$2:Z$5000, MATCH(1, (球員狀態!$A$2:$A$5000=$EI$241)*(ISNUMBER(SEARCH($EI266, 球員狀態!$B$2:$B$5000))), 0)), "")</f>
        <v/>
      </c>
      <c r="FH266" s="4" t="str">
        <f t="array" ref="FH266">IFERROR(INDEX(球員狀態!AA$2:AA$5000, MATCH(1, (球員狀態!$A$2:$A$5000=$EI$241)*(ISNUMBER(SEARCH($EI266, 球員狀態!$B$2:$B$5000))), 0)), "")</f>
        <v/>
      </c>
      <c r="FI266" s="4" t="str">
        <f t="array" ref="FI266">IFERROR(INDEX(球員狀態!AB$2:AB$5000, MATCH(1, (球員狀態!$A$2:$A$5000=$EI$241)*(ISNUMBER(SEARCH($EI266, 球員狀態!$B$2:$B$5000))), 0)), "")</f>
        <v/>
      </c>
    </row>
    <row r="267" spans="110:165">
      <c r="DH267" s="40" t="e">
        <f>DJ267+DL267+DM267+DN267+DO267-DP267-DQ267+DR267</f>
        <v>#VALUE!</v>
      </c>
      <c r="DI267" s="42" t="e">
        <f>DU267+DX267+EA267+ED267+EE267+EF267</f>
        <v>#VALUE!</v>
      </c>
      <c r="DJ267" s="38" t="e">
        <f>VLOOKUP(DJ266*1, FK$2:FM$12, 3, TRUE)*FM$1</f>
        <v>#VALUE!</v>
      </c>
      <c r="DL267" s="38" t="e">
        <f>VLOOKUP(DL266*1, FN$2:FP$12, 3, TRUE)*FP$1</f>
        <v>#VALUE!</v>
      </c>
      <c r="DM267" s="38" t="e">
        <f>VLOOKUP(DM266*1, FQ$2:FS$12, 3, TRUE)*FS$1</f>
        <v>#VALUE!</v>
      </c>
      <c r="DN267" s="38" t="e">
        <f>VLOOKUP(DN266*1, FT$2:FV$12, 3, TRUE)*FV$1</f>
        <v>#VALUE!</v>
      </c>
      <c r="DO267" s="38" t="e">
        <f>VLOOKUP(DO266*1, FW$2:FY$12, 3, TRUE)*FY$1</f>
        <v>#VALUE!</v>
      </c>
      <c r="DP267" s="39" t="e">
        <f>VLOOKUP(DP266*1, FK$14:FM$25, 3, TRUE)*FM$14</f>
        <v>#VALUE!</v>
      </c>
      <c r="DQ267" s="39" t="e">
        <f>VLOOKUP(DQ266*1, FN$14:FP$25, 3, TRUE)*FP$14</f>
        <v>#VALUE!</v>
      </c>
      <c r="DR267" s="38" t="e">
        <f>VLOOKUP(DR266*1, FQ$14:FS$25, 3, TRUE)*FS$14</f>
        <v>#VALUE!</v>
      </c>
      <c r="DU267" s="41" t="e">
        <f>VLOOKUP(DU266*1, FK$27:FM$38, 3, TRUE)*FM$27</f>
        <v>#VALUE!</v>
      </c>
      <c r="DX267" s="41" t="e">
        <f>VLOOKUP(DX266*1, FN$27:FP$38, 3, TRUE)*FP$27</f>
        <v>#VALUE!</v>
      </c>
      <c r="EA267" s="41" t="e">
        <f>VLOOKUP(EA266*1, FQ$27:FS$38, 3, TRUE)*FS$27</f>
        <v>#VALUE!</v>
      </c>
      <c r="ED267" s="41" t="e">
        <f>VLOOKUP(ED266*1, FT$27:FV$38, 3, TRUE)*FV$27</f>
        <v>#VALUE!</v>
      </c>
      <c r="EE267" s="41" t="e">
        <f>VLOOKUP(EE266*1, FW$27:FY$38, 3, TRUE)*FY$27</f>
        <v>#VALUE!</v>
      </c>
      <c r="EF267" s="41" t="e">
        <f>VLOOKUP(EF266*1, FK$40:FM$51, 3, TRUE)*FM$40</f>
        <v>#VALUE!</v>
      </c>
      <c r="EG267" s="57"/>
      <c r="EK267" s="40" t="e">
        <f>EM267+EO267+EP267+EQ267+ER267-ES267-ET267+EU267</f>
        <v>#VALUE!</v>
      </c>
      <c r="EL267" s="42" t="e">
        <f>EX267+FA267+FD267+FG267+FH267+FI267</f>
        <v>#VALUE!</v>
      </c>
      <c r="EM267" s="38" t="e">
        <f>VLOOKUP(EM266*1, $FK$2:$FM$12, 3, TRUE)*$FM$1</f>
        <v>#VALUE!</v>
      </c>
      <c r="EO267" s="38" t="e">
        <f>VLOOKUP(EO266*1, $FN$2:$FP$12, 3, TRUE)*$FP$1</f>
        <v>#VALUE!</v>
      </c>
      <c r="EP267" s="38" t="e">
        <f>VLOOKUP(EP266*1, $FQ$2:$FS$12, 3, TRUE)*$FS$1</f>
        <v>#VALUE!</v>
      </c>
      <c r="EQ267" s="38" t="e">
        <f>VLOOKUP(EQ266*1, $FT$2:$FV$12, 3, TRUE)*$FV$1</f>
        <v>#VALUE!</v>
      </c>
      <c r="ER267" s="38" t="e">
        <f>VLOOKUP(ER266*1, $FW$2:$FY$12, 3, TRUE)*$FY$1</f>
        <v>#VALUE!</v>
      </c>
      <c r="ES267" s="39" t="e">
        <f>VLOOKUP(ES266*1, $FK$14:$FM$25, 3, TRUE)*$FM$14</f>
        <v>#VALUE!</v>
      </c>
      <c r="ET267" s="39" t="e">
        <f>VLOOKUP(ET266*1, $FN$14:$FP$25, 3, TRUE)*$FP$14</f>
        <v>#VALUE!</v>
      </c>
      <c r="EU267" s="38" t="e">
        <f>VLOOKUP(EU266*1, $FQ$14:$FS$25, 3, TRUE)*$FS$14</f>
        <v>#VALUE!</v>
      </c>
      <c r="EX267" s="41" t="e">
        <f>VLOOKUP(EX266*1, $FK$27:$FM$38, 3, TRUE)*$FM$27</f>
        <v>#VALUE!</v>
      </c>
      <c r="FA267" s="41" t="e">
        <f>VLOOKUP(FA266*1, $FN$27:$FP$38, 3, TRUE)*$FP$27</f>
        <v>#VALUE!</v>
      </c>
      <c r="FD267" s="41" t="e">
        <f>VLOOKUP(FD266*1, $FQ$27:$FS$38, 3, TRUE)*$FS$27</f>
        <v>#VALUE!</v>
      </c>
      <c r="FG267" s="41" t="e">
        <f>VLOOKUP(FG266*1, $FT$27:$FV$38, 3, TRUE)*$FV$27</f>
        <v>#VALUE!</v>
      </c>
      <c r="FH267" s="41" t="e">
        <f>VLOOKUP(FH266*1, $FW$27:$FY$38, 3, TRUE)*$FY$27</f>
        <v>#VALUE!</v>
      </c>
      <c r="FI267" s="41" t="e">
        <f>VLOOKUP(FI266*1, $FK$40:$FM$51, 3, TRUE)*$FM$40</f>
        <v>#VALUE!</v>
      </c>
    </row>
    <row r="268" spans="110:165">
      <c r="DF268" s="82" t="e">
        <f>$DF241&amp;"整體"</f>
        <v>#N/A</v>
      </c>
      <c r="DG268" t="s">
        <v>487</v>
      </c>
      <c r="DH268" t="s">
        <v>488</v>
      </c>
      <c r="DJ268" s="82" t="e">
        <f>$DF241&amp;"先發"</f>
        <v>#N/A</v>
      </c>
      <c r="DK268" s="78"/>
      <c r="DL268" t="s">
        <v>487</v>
      </c>
      <c r="DM268" t="s">
        <v>488</v>
      </c>
      <c r="DO268" s="82" t="e">
        <f>$DF241&amp;"板凳"</f>
        <v>#N/A</v>
      </c>
      <c r="DP268" s="78"/>
      <c r="DQ268" t="s">
        <v>487</v>
      </c>
      <c r="DR268" t="s">
        <v>488</v>
      </c>
      <c r="EI268" s="82" t="e">
        <f>$EI241&amp;"整體"</f>
        <v>#N/A</v>
      </c>
      <c r="EJ268" t="s">
        <v>487</v>
      </c>
      <c r="EK268" t="s">
        <v>488</v>
      </c>
      <c r="EM268" s="82" t="e">
        <f>$EI241&amp;"先發"</f>
        <v>#N/A</v>
      </c>
      <c r="EN268" s="78"/>
      <c r="EO268" t="s">
        <v>487</v>
      </c>
      <c r="EP268" t="s">
        <v>488</v>
      </c>
      <c r="ER268" s="82" t="e">
        <f>$EI241&amp;"板凳"</f>
        <v>#N/A</v>
      </c>
      <c r="ES268" s="78"/>
      <c r="ET268" t="s">
        <v>487</v>
      </c>
      <c r="EU268" t="s">
        <v>488</v>
      </c>
    </row>
    <row r="269" spans="110:165">
      <c r="DF269" s="78"/>
      <c r="DG269" s="43" t="e">
        <f>(DH243+DH245+DH247+DH249+DH251+DH253+DH255+DH257+DH259+DH261+DH263+DH265+DH267)/13</f>
        <v>#VALUE!</v>
      </c>
      <c r="DH269" s="43" t="e">
        <f>(DI243+DI245+DI247+DI249+DI251+DI253+DI255+DI257+DI259+DI261+DI263+DI265+DI267)/13</f>
        <v>#VALUE!</v>
      </c>
      <c r="DJ269" s="78"/>
      <c r="DK269" s="78"/>
      <c r="DL269" s="4" t="e">
        <f>(DH243+DH245+DH247+DH249+DH251)/5</f>
        <v>#VALUE!</v>
      </c>
      <c r="DM269" s="4" t="e">
        <f>(DI243+DI245+DI247+DI249+DI251)/5</f>
        <v>#VALUE!</v>
      </c>
      <c r="DO269" s="78"/>
      <c r="DP269" s="78"/>
      <c r="DQ269" s="43" t="e">
        <f>(DH253+DH255+DH257+DH259+DH261+DH263+DH265+DH265+DH267)/8</f>
        <v>#VALUE!</v>
      </c>
      <c r="DR269" s="43" t="e">
        <f>(DI253+DI255+DI257+DI259+DI261+DI263+DI265+DI267)/8</f>
        <v>#VALUE!</v>
      </c>
      <c r="EI269" s="78"/>
      <c r="EJ269" s="43" t="e">
        <f>(EK243+EK245+EK247+EK249+EK251+EK253+EK255+EK257+EK259+EK261+EK263+EK265+EK267)/13</f>
        <v>#VALUE!</v>
      </c>
      <c r="EK269" s="43" t="e">
        <f>(EL243+EL245+EL247+EL249+EL251+EL253+EL255+EL257+EL259+EL261+EL263+EL265+EL267)/13</f>
        <v>#VALUE!</v>
      </c>
      <c r="EM269" s="78"/>
      <c r="EN269" s="78"/>
      <c r="EO269" s="4" t="e">
        <f>(EK243+EK245+EK247+EK249+EK251)/5</f>
        <v>#VALUE!</v>
      </c>
      <c r="EP269" s="4" t="e">
        <f>(EL243+EL245+EL247+EL249+EL251)/5</f>
        <v>#VALUE!</v>
      </c>
      <c r="ER269" s="78"/>
      <c r="ES269" s="78"/>
      <c r="ET269" s="43" t="e">
        <f>(EK253+EK255+EK257+EK259+EK261+EK263+EK265+EK265+EK267)/8</f>
        <v>#VALUE!</v>
      </c>
      <c r="EU269" s="43" t="e">
        <f>(EL253+EL255+EL257+EL259+EL261+EL263+EL265+EL267)/8</f>
        <v>#VALUE!</v>
      </c>
    </row>
    <row r="271" spans="110:165">
      <c r="DF271" s="34" t="e">
        <f>CB38</f>
        <v>#N/A</v>
      </c>
      <c r="DG271" t="s">
        <v>486</v>
      </c>
      <c r="DH271" s="1" t="s">
        <v>487</v>
      </c>
      <c r="DI271" s="1" t="s">
        <v>488</v>
      </c>
      <c r="DJ271" t="s">
        <v>517</v>
      </c>
      <c r="DK271" t="s">
        <v>554</v>
      </c>
      <c r="DL271" t="s">
        <v>518</v>
      </c>
      <c r="DM271" t="s">
        <v>519</v>
      </c>
      <c r="DN271" t="s">
        <v>520</v>
      </c>
      <c r="DO271" t="s">
        <v>521</v>
      </c>
      <c r="DP271" t="s">
        <v>532</v>
      </c>
      <c r="DQ271" t="s">
        <v>533</v>
      </c>
      <c r="DR271" t="s">
        <v>534</v>
      </c>
      <c r="DS271" t="s">
        <v>555</v>
      </c>
      <c r="DT271" t="s">
        <v>556</v>
      </c>
      <c r="DU271" t="s">
        <v>549</v>
      </c>
      <c r="DV271" t="s">
        <v>557</v>
      </c>
      <c r="DW271" t="s">
        <v>558</v>
      </c>
      <c r="DX271" t="s">
        <v>550</v>
      </c>
      <c r="DY271" t="s">
        <v>559</v>
      </c>
      <c r="DZ271" t="s">
        <v>560</v>
      </c>
      <c r="EA271" t="s">
        <v>551</v>
      </c>
      <c r="EB271" t="s">
        <v>561</v>
      </c>
      <c r="EC271" t="s">
        <v>562</v>
      </c>
      <c r="ED271" t="s">
        <v>552</v>
      </c>
      <c r="EE271" t="s">
        <v>553</v>
      </c>
      <c r="EF271" t="s">
        <v>563</v>
      </c>
      <c r="EH271" s="14"/>
      <c r="EI271" s="34" t="e">
        <f>CB40</f>
        <v>#N/A</v>
      </c>
      <c r="EJ271" t="s">
        <v>486</v>
      </c>
      <c r="EK271" s="1" t="s">
        <v>487</v>
      </c>
      <c r="EL271" s="1" t="s">
        <v>488</v>
      </c>
      <c r="EM271" t="s">
        <v>517</v>
      </c>
      <c r="EN271" t="s">
        <v>554</v>
      </c>
      <c r="EO271" t="s">
        <v>518</v>
      </c>
      <c r="EP271" t="s">
        <v>519</v>
      </c>
      <c r="EQ271" t="s">
        <v>520</v>
      </c>
      <c r="ER271" t="s">
        <v>521</v>
      </c>
      <c r="ES271" t="s">
        <v>532</v>
      </c>
      <c r="ET271" t="s">
        <v>533</v>
      </c>
      <c r="EU271" t="s">
        <v>534</v>
      </c>
      <c r="EV271" t="s">
        <v>555</v>
      </c>
      <c r="EW271" t="s">
        <v>556</v>
      </c>
      <c r="EX271" t="s">
        <v>549</v>
      </c>
      <c r="EY271" t="s">
        <v>557</v>
      </c>
      <c r="EZ271" t="s">
        <v>558</v>
      </c>
      <c r="FA271" t="s">
        <v>550</v>
      </c>
      <c r="FB271" t="s">
        <v>559</v>
      </c>
      <c r="FC271" t="s">
        <v>560</v>
      </c>
      <c r="FD271" t="s">
        <v>551</v>
      </c>
      <c r="FE271" t="s">
        <v>561</v>
      </c>
      <c r="FF271" t="s">
        <v>562</v>
      </c>
      <c r="FG271" t="s">
        <v>552</v>
      </c>
      <c r="FH271" t="s">
        <v>553</v>
      </c>
      <c r="FI271" t="s">
        <v>563</v>
      </c>
    </row>
    <row r="272" spans="110:165">
      <c r="DF272" s="35" t="str">
        <f>先發名單!E$11</f>
        <v>Nick Martinez</v>
      </c>
      <c r="DG272" s="4" t="str">
        <f t="array" ref="DG272">IFERROR(INDEX(球員狀態!$C$2:$C$5000, MATCH(1, (球員狀態!$A$2:$A$5000=$DF$271)*(ISNUMBER(SEARCH($DF272, 球員狀態!$B$2:$B$5000))), 0)), "")</f>
        <v/>
      </c>
      <c r="DJ272" s="4" t="str">
        <f t="array" ref="DJ272">IFERROR(INDEX(球員狀態!$F$2:$F$5000,MATCH(1,(球員狀態!$A$2:$A$5000=$DF$271)*(ISNUMBER(SEARCH($DF272,球員狀態!$B$2:$B$5000))),0)),"")</f>
        <v/>
      </c>
      <c r="DK272" s="4" t="str">
        <f t="array" ref="DK272">IFERROR(INDEX(球員狀態!G$2:G$5000, MATCH(1, (球員狀態!$A$2:$A$5000=$DF$1)*(ISNUMBER(SEARCH($DF272, 球員狀態!$B$2:$B$5000))), 0)), "")</f>
        <v/>
      </c>
      <c r="DL272" s="4" t="str">
        <f t="array" ref="DL272">IFERROR(INDEX(球員狀態!H$2:H$5000, MATCH(1, (球員狀態!$A$2:$A$5000=$DF$271)*(ISNUMBER(SEARCH($DF272, 球員狀態!$B$2:$B$5000))), 0)), "")</f>
        <v/>
      </c>
      <c r="DM272" s="4" t="str">
        <f t="array" ref="DM272">IFERROR(INDEX(球員狀態!I$2:I$5000,MATCH(1,(球員狀態!$A$2:$A$5000=$DF$271)*(ISNUMBER(SEARCH($DF272,球員狀態!$B$2:$B$5000))),0)),"")</f>
        <v/>
      </c>
      <c r="DN272" s="4" t="str">
        <f t="array" ref="DN272">IFERROR(INDEX(球員狀態!J$2:J$5000,MATCH(1,(球員狀態!$A$2:$A$5000=$DF$271)*(ISNUMBER(SEARCH($DF272,球員狀態!$B$2:$B$5000))),0)),"")</f>
        <v/>
      </c>
      <c r="DO272" s="4" t="str">
        <f t="array" ref="DO272">IFERROR(INDEX(球員狀態!K$2:K$5000,MATCH(1,(球員狀態!$A$2:$A$5000=$DF$271)*(ISNUMBER(SEARCH($DF272,球員狀態!$B$2:$B$5000))),0)),"")</f>
        <v/>
      </c>
      <c r="DP272" s="4" t="str">
        <f t="array" ref="DP272">IFERROR(INDEX(球員狀態!L$2:L$5000,MATCH(1,(球員狀態!$A$2:$A$5000=$DF$271)*(ISNUMBER(SEARCH($DF272,球員狀態!$B$2:$B$5000))),0)),"")</f>
        <v/>
      </c>
      <c r="DQ272" s="4" t="str">
        <f t="array" ref="DQ272">IFERROR(INDEX(球員狀態!M$2:M$5000,MATCH(1,(球員狀態!$A$2:$A$5000=$DF$271)*(ISNUMBER(SEARCH($DF272,球員狀態!$B$2:$B$5000))),0)),"")</f>
        <v/>
      </c>
      <c r="DR272" s="4" t="str">
        <f t="array" ref="DR272">IFERROR(INDEX(球員狀態!N$2:N$5000,MATCH(1,(球員狀態!$A$2:$A$5000=$DF$271)*(ISNUMBER(SEARCH($DF272,球員狀態!$B$2:$B$5000))),0)),"")</f>
        <v/>
      </c>
      <c r="DS272" s="4" t="str">
        <f t="array" ref="DS272">IFERROR(INDEX(球員狀態!O$2:O$5000, MATCH(1, (球員狀態!$A$2:$A$5000=$DF$1)*(ISNUMBER(SEARCH($DF272, 球員狀態!$B$2:$B$5000))), 0)), "")</f>
        <v/>
      </c>
      <c r="DT272" s="4" t="str">
        <f t="array" ref="DT272">IFERROR(INDEX(球員狀態!P$2:P$5000, MATCH(1, (球員狀態!$A$2:$A$5000=$DF$1)*(ISNUMBER(SEARCH($DF272, 球員狀態!$B$2:$B$5000))), 0)), "")</f>
        <v/>
      </c>
      <c r="DU272" s="4" t="str">
        <f t="array" ref="DU272">IFERROR(INDEX(球員狀態!Q$2:Q$5000,MATCH(1,(球員狀態!$A$2:$A$5000=$DF$271)*(ISNUMBER(SEARCH($DF272,球員狀態!$B$2:$B$5000))),0)),"")</f>
        <v/>
      </c>
      <c r="DV272" s="4" t="str">
        <f t="array" ref="DV272">IFERROR(INDEX(球員狀態!R$2:R$5000, MATCH(1, (球員狀態!$A$2:$A$5000=$DF$1)*(ISNUMBER(SEARCH($DF272, 球員狀態!$B$2:$B$5000))), 0)), "")</f>
        <v/>
      </c>
      <c r="DW272" s="4" t="str">
        <f t="array" ref="DW272">IFERROR(INDEX(球員狀態!S$2:S$5000, MATCH(1, (球員狀態!$A$2:$A$5000=$DF$1)*(ISNUMBER(SEARCH($DF272, 球員狀態!$B$2:$B$5000))), 0)), "")</f>
        <v/>
      </c>
      <c r="DX272" s="4" t="str">
        <f t="array" ref="DX272">IFERROR(INDEX(球員狀態!T$2:T$5000,MATCH(1,(球員狀態!$A$2:$A$5000=$DF$271)*(ISNUMBER(SEARCH($DF272,球員狀態!$B$2:$B$5000))),0)),"")</f>
        <v/>
      </c>
      <c r="DY272" s="4" t="str">
        <f t="array" ref="DY272">IFERROR(INDEX(球員狀態!U$2:U$5000, MATCH(1, (球員狀態!$A$2:$A$5000=$DF$1)*(ISNUMBER(SEARCH($DF272, 球員狀態!$B$2:$B$5000))), 0)), "")</f>
        <v/>
      </c>
      <c r="DZ272" s="4" t="str">
        <f t="array" ref="DZ272">IFERROR(INDEX(球員狀態!V$2:V$5000, MATCH(1, (球員狀態!$A$2:$A$5000=$DF$1)*(ISNUMBER(SEARCH($DF272, 球員狀態!$B$2:$B$5000))), 0)), "")</f>
        <v/>
      </c>
      <c r="EA272" s="4" t="str">
        <f t="array" ref="EA272">IFERROR(INDEX(球員狀態!W$2:W$5000,MATCH(1,(球員狀態!$A$2:$A$5000=$DF$271)*(ISNUMBER(SEARCH($DF272,球員狀態!$B$2:$B$5000))),0)),"")</f>
        <v/>
      </c>
      <c r="EB272" s="4" t="str">
        <f t="array" ref="EB272">IFERROR(INDEX(球員狀態!X$2:X$5000, MATCH(1, (球員狀態!$A$2:$A$5000=$DF$1)*(ISNUMBER(SEARCH($DF272, 球員狀態!$B$2:$B$5000))), 0)), "")</f>
        <v/>
      </c>
      <c r="EC272" s="4" t="str">
        <f t="array" ref="EC272">IFERROR(INDEX(球員狀態!Y$2:Y$5000, MATCH(1, (球員狀態!$A$2:$A$5000=$DF$1)*(ISNUMBER(SEARCH($DF272, 球員狀態!$B$2:$B$5000))), 0)), "")</f>
        <v/>
      </c>
      <c r="ED272" s="4" t="str">
        <f t="array" ref="ED272">IFERROR(INDEX(球員狀態!Z$2:Z$5000,MATCH(1,(球員狀態!$A$2:$A$5000=$DF$271)*(ISNUMBER(SEARCH($DF272,球員狀態!$B$2:$B$5000))),0)),"")</f>
        <v/>
      </c>
      <c r="EE272" s="4" t="str">
        <f t="array" ref="EE272">IFERROR(INDEX(球員狀態!AA$2:AA$5000,MATCH(1,(球員狀態!$A$2:$A$5000=$DF$271)*(ISNUMBER(SEARCH($DF272,球員狀態!$B$2:$B$5000))),0)),"")</f>
        <v/>
      </c>
      <c r="EF272" s="4" t="str">
        <f t="array" ref="EF272">IFERROR(INDEX(球員狀態!AB$2:AB$5000,MATCH(1,(球員狀態!$A$2:$A$5000=$DF$271)*(ISNUMBER(SEARCH($DF272,球員狀態!$B$2:$B$5000))),0)),"")</f>
        <v/>
      </c>
      <c r="EG272" s="56"/>
      <c r="EI272" s="35" t="str">
        <f>先發名單!O$11</f>
        <v>Taylor Walls</v>
      </c>
      <c r="EJ272" s="4" t="str">
        <f t="array" ref="EJ272">IFERROR(INDEX(球員狀態!C$2:C$5000, MATCH(1, (球員狀態!$A$2:$A$5000=$EI$271)*(ISNUMBER(SEARCH($EI272, 球員狀態!$B$2:$B$5000))), 0)), "")</f>
        <v/>
      </c>
      <c r="EM272" s="4" t="str">
        <f t="array" ref="EM272">IFERROR(INDEX(球員狀態!F$2:F$5000, MATCH(1, (球員狀態!$A$2:$A$5000=$EI$271)*(ISNUMBER(SEARCH($EI272, 球員狀態!$B$2:$B$5000))), 0)), "")</f>
        <v/>
      </c>
      <c r="EN272" s="4" t="str">
        <f t="array" ref="EN272">IFERROR(INDEX(球員狀態!G$2:G$5000, MATCH(1, (球員狀態!$A$2:$A$5000=$EI$1)*(ISNUMBER(SEARCH($EI272, 球員狀態!$B$2:$B$5000))), 0)), "")</f>
        <v/>
      </c>
      <c r="EO272" s="4" t="str">
        <f t="array" ref="EO272">IFERROR(INDEX(球員狀態!H$2:H$5000, MATCH(1, (球員狀態!$A$2:$A$5000=$EI$271)*(ISNUMBER(SEARCH($EI272, 球員狀態!$B$2:$B$5000))), 0)), "")</f>
        <v/>
      </c>
      <c r="EP272" s="4" t="str">
        <f t="array" ref="EP272">IFERROR(INDEX(球員狀態!I$2:I$5000, MATCH(1, (球員狀態!$A$2:$A$5000=$EI$271)*(ISNUMBER(SEARCH($EI272, 球員狀態!$B$2:$B$5000))), 0)), "")</f>
        <v/>
      </c>
      <c r="EQ272" s="4" t="str">
        <f t="array" ref="EQ272">IFERROR(INDEX(球員狀態!J$2:J$5000, MATCH(1, (球員狀態!$A$2:$A$5000=$EI$271)*(ISNUMBER(SEARCH($EI272, 球員狀態!$B$2:$B$5000))), 0)), "")</f>
        <v/>
      </c>
      <c r="ER272" s="4" t="str">
        <f t="array" ref="ER272">IFERROR(INDEX(球員狀態!K$2:K$5000, MATCH(1, (球員狀態!$A$2:$A$5000=$EI$271)*(ISNUMBER(SEARCH($EI272, 球員狀態!$B$2:$B$5000))), 0)), "")</f>
        <v/>
      </c>
      <c r="ES272" s="4" t="str">
        <f t="array" ref="ES272">IFERROR(INDEX(球員狀態!L$2:L$5000, MATCH(1, (球員狀態!$A$2:$A$5000=$EI$271)*(ISNUMBER(SEARCH($EI272, 球員狀態!$B$2:$B$5000))), 0)), "")</f>
        <v/>
      </c>
      <c r="ET272" s="4" t="str">
        <f t="array" ref="ET272">IFERROR(INDEX(球員狀態!M$2:M$5000, MATCH(1, (球員狀態!$A$2:$A$5000=$EI$271)*(ISNUMBER(SEARCH($EI272, 球員狀態!$B$2:$B$5000))), 0)), "")</f>
        <v/>
      </c>
      <c r="EU272" s="4" t="str">
        <f t="array" ref="EU272">IFERROR(INDEX(球員狀態!N$2:N$5000, MATCH(1, (球員狀態!$A$2:$A$5000=$EI$271)*(ISNUMBER(SEARCH($EI272, 球員狀態!$B$2:$B$5000))), 0)), "")</f>
        <v/>
      </c>
      <c r="EV272" s="4" t="str">
        <f t="array" ref="EV272">IFERROR(INDEX(球員狀態!O$2:O$5000, MATCH(1, (球員狀態!$A$2:$A$5000=$EI$1)*(ISNUMBER(SEARCH($EI272, 球員狀態!$B$2:$B$5000))), 0)), "")</f>
        <v/>
      </c>
      <c r="EW272" s="4" t="str">
        <f t="array" ref="EW272">IFERROR(INDEX(球員狀態!P$2:P$5000, MATCH(1, (球員狀態!$A$2:$A$5000=$EI$1)*(ISNUMBER(SEARCH($EI272, 球員狀態!$B$2:$B$5000))), 0)), "")</f>
        <v/>
      </c>
      <c r="EX272" s="4" t="str">
        <f t="array" ref="EX272">IFERROR(INDEX(球員狀態!Q$2:Q$5000, MATCH(1, (球員狀態!$A$2:$A$5000=$EI$271)*(ISNUMBER(SEARCH($EI272, 球員狀態!$B$2:$B$5000))), 0)), "")</f>
        <v/>
      </c>
      <c r="EY272" s="4" t="str">
        <f t="array" ref="EY272">IFERROR(INDEX(球員狀態!R$2:R$5000, MATCH(1, (球員狀態!$A$2:$A$5000=$EI$1)*(ISNUMBER(SEARCH($EI272, 球員狀態!$B$2:$B$5000))), 0)), "")</f>
        <v/>
      </c>
      <c r="EZ272" s="4" t="str">
        <f t="array" ref="EZ272">IFERROR(INDEX(球員狀態!S$2:S$5000, MATCH(1, (球員狀態!$A$2:$A$5000=$EI$1)*(ISNUMBER(SEARCH($EI272, 球員狀態!$B$2:$B$5000))), 0)), "")</f>
        <v/>
      </c>
      <c r="FA272" s="4" t="str">
        <f t="array" ref="FA272">IFERROR(INDEX(球員狀態!T$2:T$5000, MATCH(1, (球員狀態!$A$2:$A$5000=$EI$271)*(ISNUMBER(SEARCH($EI272, 球員狀態!$B$2:$B$5000))), 0)), "")</f>
        <v/>
      </c>
      <c r="FB272" s="4" t="str">
        <f t="array" ref="FB272">IFERROR(INDEX(球員狀態!U$2:U$5000, MATCH(1, (球員狀態!$A$2:$A$5000=$EI$1)*(ISNUMBER(SEARCH($EI272, 球員狀態!$B$2:$B$5000))), 0)), "")</f>
        <v/>
      </c>
      <c r="FC272" s="4" t="str">
        <f t="array" ref="FC272">IFERROR(INDEX(球員狀態!V$2:V$5000, MATCH(1, (球員狀態!$A$2:$A$5000=$EI$1)*(ISNUMBER(SEARCH($EI272, 球員狀態!$B$2:$B$5000))), 0)), "")</f>
        <v/>
      </c>
      <c r="FD272" s="4" t="str">
        <f t="array" ref="FD272">IFERROR(INDEX(球員狀態!W$2:W$5000, MATCH(1, (球員狀態!$A$2:$A$5000=$EI$271)*(ISNUMBER(SEARCH($EI272, 球員狀態!$B$2:$B$5000))), 0)), "")</f>
        <v/>
      </c>
      <c r="FE272" s="4" t="str">
        <f t="array" ref="FE272">IFERROR(INDEX(球員狀態!X$2:X$5000, MATCH(1, (球員狀態!$A$2:$A$5000=$EI$1)*(ISNUMBER(SEARCH($EI272, 球員狀態!$B$2:$B$5000))), 0)), "")</f>
        <v/>
      </c>
      <c r="FF272" s="4" t="str">
        <f t="array" ref="FF272">IFERROR(INDEX(球員狀態!Y$2:Y$5000, MATCH(1, (球員狀態!$A$2:$A$5000=$EI$1)*(ISNUMBER(SEARCH($EI272, 球員狀態!$B$2:$B$5000))), 0)), "")</f>
        <v/>
      </c>
      <c r="FG272" s="4" t="str">
        <f t="array" ref="FG272">IFERROR(INDEX(球員狀態!Z$2:Z$5000, MATCH(1, (球員狀態!$A$2:$A$5000=$EI$271)*(ISNUMBER(SEARCH($EI272, 球員狀態!$B$2:$B$5000))), 0)), "")</f>
        <v/>
      </c>
      <c r="FH272" s="4" t="str">
        <f t="array" ref="FH272">IFERROR(INDEX(球員狀態!AA$2:AA$5000, MATCH(1, (球員狀態!$A$2:$A$5000=$EI$271)*(ISNUMBER(SEARCH($EI272, 球員狀態!$B$2:$B$5000))), 0)), "")</f>
        <v/>
      </c>
      <c r="FI272" s="4" t="str">
        <f t="array" ref="FI272">IFERROR(INDEX(球員狀態!AB$2:AB$5000, MATCH(1, (球員狀態!$A$2:$A$5000=$EI$271)*(ISNUMBER(SEARCH($EI272, 球員狀態!$B$2:$B$5000))), 0)), "")</f>
        <v/>
      </c>
    </row>
    <row r="273" spans="110:165">
      <c r="DF273" s="36"/>
      <c r="DG273" s="4"/>
      <c r="DH273" s="40" t="e">
        <f>DJ273+DL273+DM273+DN273+DO273-DP273-DQ273+DR273</f>
        <v>#VALUE!</v>
      </c>
      <c r="DI273" s="42" t="e">
        <f>DU273+DX273+EA273+ED273+EE273+EF273</f>
        <v>#VALUE!</v>
      </c>
      <c r="DJ273" s="38" t="e">
        <f>VLOOKUP(DJ272*1, $FK$2:$FM$12, 3, TRUE)*$FM$1</f>
        <v>#VALUE!</v>
      </c>
      <c r="DL273" s="38" t="e">
        <f>VLOOKUP(DL272*1, $FN$2:$FP$12, 3, TRUE)*$FP$1</f>
        <v>#VALUE!</v>
      </c>
      <c r="DM273" s="38" t="e">
        <f>VLOOKUP(DM272*1, $FQ$2:$FS$12, 3, TRUE)*$FS$1</f>
        <v>#VALUE!</v>
      </c>
      <c r="DN273" s="38" t="e">
        <f>VLOOKUP(DN272*1, $FT$2:$FV$12, 3, TRUE)*$FV$1</f>
        <v>#VALUE!</v>
      </c>
      <c r="DO273" s="38" t="e">
        <f>VLOOKUP(DO272*1, $FW$2:$FY$12, 3, TRUE)*$FY$1</f>
        <v>#VALUE!</v>
      </c>
      <c r="DP273" s="39" t="e">
        <f>VLOOKUP(DP272*1, $FK$14:$FM$25, 3, TRUE)*$FM$14</f>
        <v>#VALUE!</v>
      </c>
      <c r="DQ273" s="39" t="e">
        <f>VLOOKUP(DQ272*1, $FN$14:$FP$25, 3, TRUE)*$FP$14</f>
        <v>#VALUE!</v>
      </c>
      <c r="DR273" s="38" t="e">
        <f>VLOOKUP(DR272*1, $FQ$14:$FS$25, 3, TRUE)*$FS$14</f>
        <v>#VALUE!</v>
      </c>
      <c r="DU273" s="41" t="e">
        <f>VLOOKUP(DU272*1, $FK$27:$FM$38, 3, TRUE)*$FM$27</f>
        <v>#VALUE!</v>
      </c>
      <c r="DX273" s="41" t="e">
        <f>VLOOKUP(DX272*1, $FN$27:$FP$38, 3, TRUE)*$FP$27</f>
        <v>#VALUE!</v>
      </c>
      <c r="EA273" s="41" t="e">
        <f>VLOOKUP(EA272*1, $FQ$27:$FS$38, 3, TRUE)*$FS$27</f>
        <v>#VALUE!</v>
      </c>
      <c r="ED273" s="41" t="e">
        <f>VLOOKUP(ED272*1, $FT$27:$FV$38, 3, TRUE)*$FV$27</f>
        <v>#VALUE!</v>
      </c>
      <c r="EE273" s="41" t="e">
        <f>VLOOKUP(EE272*1, $FW$27:$FY$38, 3, TRUE)*$FY$27</f>
        <v>#VALUE!</v>
      </c>
      <c r="EF273" s="41" t="e">
        <f>VLOOKUP(EF272*1, $FK$40:$FM$51, 3, TRUE)*$FM$40</f>
        <v>#VALUE!</v>
      </c>
      <c r="EG273" s="57"/>
      <c r="EI273" s="36"/>
      <c r="EJ273" s="4"/>
      <c r="EK273" s="40" t="e">
        <f>EM273+EO273+EP273+EQ273+ER273-ES273-ET273+EU273</f>
        <v>#VALUE!</v>
      </c>
      <c r="EL273" s="42" t="e">
        <f>EX273+FA273+FD273+FG273+FH273+FI273</f>
        <v>#VALUE!</v>
      </c>
      <c r="EM273" s="38" t="e">
        <f>VLOOKUP(EM272*1, $FK$2:$FM$12, 3, TRUE)*$FM$1</f>
        <v>#VALUE!</v>
      </c>
      <c r="EO273" s="38" t="e">
        <f>VLOOKUP(EO272*1, $FN$2:$FP$12, 3, TRUE)*$FP$1</f>
        <v>#VALUE!</v>
      </c>
      <c r="EP273" s="38" t="e">
        <f>VLOOKUP(EP272*1, $FQ$2:$FS$12, 3, TRUE)*$FS$1</f>
        <v>#VALUE!</v>
      </c>
      <c r="EQ273" s="38" t="e">
        <f>VLOOKUP(EQ272*1, $FT$2:$FV$12, 3, TRUE)*$FV$1</f>
        <v>#VALUE!</v>
      </c>
      <c r="ER273" s="38" t="e">
        <f>VLOOKUP(ER272*1, $FW$2:$FY$12, 3, TRUE)*$FY$1</f>
        <v>#VALUE!</v>
      </c>
      <c r="ES273" s="39" t="e">
        <f>VLOOKUP(ES272*1, $FK$14:$FM$25, 3, TRUE)*$FM$14</f>
        <v>#VALUE!</v>
      </c>
      <c r="ET273" s="39" t="e">
        <f>VLOOKUP(ET272*1, $FN$14:$FP$25, 3, TRUE)*$FP$14</f>
        <v>#VALUE!</v>
      </c>
      <c r="EU273" s="38" t="e">
        <f>VLOOKUP(EU272*1, $FQ$14:$FS$25, 3, TRUE)*$FS$14</f>
        <v>#VALUE!</v>
      </c>
      <c r="EX273" s="41" t="e">
        <f>VLOOKUP(EX272*1, $FK$27:$FM$38, 3, TRUE)*$FM$27</f>
        <v>#VALUE!</v>
      </c>
      <c r="FA273" s="41" t="e">
        <f>VLOOKUP(FA272*1, $FN$27:$FP$38, 3, TRUE)*$FP$27</f>
        <v>#VALUE!</v>
      </c>
      <c r="FD273" s="41" t="e">
        <f>VLOOKUP(FD272*1, $FQ$27:$FS$38, 3, TRUE)*$FS$27</f>
        <v>#VALUE!</v>
      </c>
      <c r="FG273" s="41" t="e">
        <f>VLOOKUP(FG272*1, $FT$27:$FV$38, 3, TRUE)*$FV$27</f>
        <v>#VALUE!</v>
      </c>
      <c r="FH273" s="41" t="e">
        <f>VLOOKUP(FH272*1, $FW$27:$FY$38, 3, TRUE)*$FY$27</f>
        <v>#VALUE!</v>
      </c>
      <c r="FI273" s="41" t="e">
        <f>VLOOKUP(FI272*1, $FK$40:$FM$51, 3, TRUE)*$FM$40</f>
        <v>#VALUE!</v>
      </c>
    </row>
    <row r="274" spans="110:165">
      <c r="DF274" s="35" t="str">
        <f>先發名單!F11</f>
        <v>Tanner Bibee</v>
      </c>
      <c r="DG274" s="4" t="str">
        <f t="array" ref="DG274">IFERROR(INDEX(球員狀態!$C$2:$C$5000, MATCH(1, (球員狀態!$A$2:$A$5000=$DF$271)*(ISNUMBER(SEARCH($DF274, 球員狀態!$B$2:$B$5000))), 0)), "")</f>
        <v/>
      </c>
      <c r="DJ274" s="4" t="str">
        <f t="array" ref="DJ274">IFERROR(INDEX(球員狀態!$F$2:$F$5000,MATCH(1,(球員狀態!$A$2:$A$5000=$DF$271)*(ISNUMBER(SEARCH($DF274,球員狀態!$B$2:$B$5000))),0)),"")</f>
        <v/>
      </c>
      <c r="DK274" s="4" t="str">
        <f t="array" ref="DK274">IFERROR(INDEX(球員狀態!G$2:G$5000, MATCH(1, (球員狀態!$A$2:$A$5000=$DF$1)*(ISNUMBER(SEARCH($DF274, 球員狀態!$B$2:$B$5000))), 0)), "")</f>
        <v/>
      </c>
      <c r="DL274" s="4" t="str">
        <f t="array" ref="DL274">IFERROR(INDEX(球員狀態!H$2:H$5000, MATCH(1, (球員狀態!$A$2:$A$5000=$DF$271)*(ISNUMBER(SEARCH($DF274, 球員狀態!$B$2:$B$5000))), 0)), "")</f>
        <v/>
      </c>
      <c r="DM274" s="4" t="str">
        <f t="array" ref="DM274">IFERROR(INDEX(球員狀態!I$2:I$5000,MATCH(1,(球員狀態!$A$2:$A$5000=$DF$271)*(ISNUMBER(SEARCH($DF274,球員狀態!$B$2:$B$5000))),0)),"")</f>
        <v/>
      </c>
      <c r="DN274" s="4" t="str">
        <f t="array" ref="DN274">IFERROR(INDEX(球員狀態!J$2:J$5000,MATCH(1,(球員狀態!$A$2:$A$5000=$DF$271)*(ISNUMBER(SEARCH($DF274,球員狀態!$B$2:$B$5000))),0)),"")</f>
        <v/>
      </c>
      <c r="DO274" s="4" t="str">
        <f t="array" ref="DO274">IFERROR(INDEX(球員狀態!K$2:K$5000,MATCH(1,(球員狀態!$A$2:$A$5000=$DF$271)*(ISNUMBER(SEARCH($DF274,球員狀態!$B$2:$B$5000))),0)),"")</f>
        <v/>
      </c>
      <c r="DP274" s="4" t="str">
        <f t="array" ref="DP274">IFERROR(INDEX(球員狀態!L$2:L$5000,MATCH(1,(球員狀態!$A$2:$A$5000=$DF$271)*(ISNUMBER(SEARCH($DF274,球員狀態!$B$2:$B$5000))),0)),"")</f>
        <v/>
      </c>
      <c r="DQ274" s="4" t="str">
        <f t="array" ref="DQ274">IFERROR(INDEX(球員狀態!M$2:M$5000,MATCH(1,(球員狀態!$A$2:$A$5000=$DF$271)*(ISNUMBER(SEARCH($DF274,球員狀態!$B$2:$B$5000))),0)),"")</f>
        <v/>
      </c>
      <c r="DR274" s="4" t="str">
        <f t="array" ref="DR274">IFERROR(INDEX(球員狀態!N$2:N$5000,MATCH(1,(球員狀態!$A$2:$A$5000=$DF$271)*(ISNUMBER(SEARCH($DF274,球員狀態!$B$2:$B$5000))),0)),"")</f>
        <v/>
      </c>
      <c r="DS274" s="4" t="str">
        <f t="array" ref="DS274">IFERROR(INDEX(球員狀態!O$2:O$5000, MATCH(1, (球員狀態!$A$2:$A$5000=$DF$1)*(ISNUMBER(SEARCH($DF274, 球員狀態!$B$2:$B$5000))), 0)), "")</f>
        <v/>
      </c>
      <c r="DT274" s="4" t="str">
        <f t="array" ref="DT274">IFERROR(INDEX(球員狀態!P$2:P$5000, MATCH(1, (球員狀態!$A$2:$A$5000=$DF$1)*(ISNUMBER(SEARCH($DF274, 球員狀態!$B$2:$B$5000))), 0)), "")</f>
        <v/>
      </c>
      <c r="DU274" s="4" t="str">
        <f t="array" ref="DU274">IFERROR(INDEX(球員狀態!Q$2:Q$5000,MATCH(1,(球員狀態!$A$2:$A$5000=$DF$271)*(ISNUMBER(SEARCH($DF274,球員狀態!$B$2:$B$5000))),0)),"")</f>
        <v/>
      </c>
      <c r="DV274" s="4" t="str">
        <f t="array" ref="DV274">IFERROR(INDEX(球員狀態!R$2:R$5000, MATCH(1, (球員狀態!$A$2:$A$5000=$DF$1)*(ISNUMBER(SEARCH($DF274, 球員狀態!$B$2:$B$5000))), 0)), "")</f>
        <v/>
      </c>
      <c r="DW274" s="4" t="str">
        <f t="array" ref="DW274">IFERROR(INDEX(球員狀態!S$2:S$5000, MATCH(1, (球員狀態!$A$2:$A$5000=$DF$1)*(ISNUMBER(SEARCH($DF274, 球員狀態!$B$2:$B$5000))), 0)), "")</f>
        <v/>
      </c>
      <c r="DX274" s="4" t="str">
        <f t="array" ref="DX274">IFERROR(INDEX(球員狀態!T$2:T$5000,MATCH(1,(球員狀態!$A$2:$A$5000=$DF$271)*(ISNUMBER(SEARCH($DF274,球員狀態!$B$2:$B$5000))),0)),"")</f>
        <v/>
      </c>
      <c r="DY274" s="4" t="str">
        <f t="array" ref="DY274">IFERROR(INDEX(球員狀態!U$2:U$5000, MATCH(1, (球員狀態!$A$2:$A$5000=$DF$1)*(ISNUMBER(SEARCH($DF274, 球員狀態!$B$2:$B$5000))), 0)), "")</f>
        <v/>
      </c>
      <c r="DZ274" s="4" t="str">
        <f t="array" ref="DZ274">IFERROR(INDEX(球員狀態!V$2:V$5000, MATCH(1, (球員狀態!$A$2:$A$5000=$DF$1)*(ISNUMBER(SEARCH($DF274, 球員狀態!$B$2:$B$5000))), 0)), "")</f>
        <v/>
      </c>
      <c r="EA274" s="4" t="str">
        <f t="array" ref="EA274">IFERROR(INDEX(球員狀態!W$2:W$5000,MATCH(1,(球員狀態!$A$2:$A$5000=$DF$271)*(ISNUMBER(SEARCH($DF274,球員狀態!$B$2:$B$5000))),0)),"")</f>
        <v/>
      </c>
      <c r="EB274" s="4" t="str">
        <f t="array" ref="EB274">IFERROR(INDEX(球員狀態!X$2:X$5000, MATCH(1, (球員狀態!$A$2:$A$5000=$DF$1)*(ISNUMBER(SEARCH($DF274, 球員狀態!$B$2:$B$5000))), 0)), "")</f>
        <v/>
      </c>
      <c r="EC274" s="4" t="str">
        <f t="array" ref="EC274">IFERROR(INDEX(球員狀態!Y$2:Y$5000, MATCH(1, (球員狀態!$A$2:$A$5000=$DF$1)*(ISNUMBER(SEARCH($DF274, 球員狀態!$B$2:$B$5000))), 0)), "")</f>
        <v/>
      </c>
      <c r="ED274" s="4" t="str">
        <f t="array" ref="ED274">IFERROR(INDEX(球員狀態!Z$2:Z$5000,MATCH(1,(球員狀態!$A$2:$A$5000=$DF$271)*(ISNUMBER(SEARCH($DF274,球員狀態!$B$2:$B$5000))),0)),"")</f>
        <v/>
      </c>
      <c r="EE274" s="4" t="str">
        <f t="array" ref="EE274">IFERROR(INDEX(球員狀態!AA$2:AA$5000,MATCH(1,(球員狀態!$A$2:$A$5000=$DF$271)*(ISNUMBER(SEARCH($DF274,球員狀態!$B$2:$B$5000))),0)),"")</f>
        <v/>
      </c>
      <c r="EF274" s="4" t="str">
        <f t="array" ref="EF274">IFERROR(INDEX(球員狀態!AB$2:AB$5000,MATCH(1,(球員狀態!$A$2:$A$5000=$DF$271)*(ISNUMBER(SEARCH($DF274,球員狀態!$B$2:$B$5000))),0)),"")</f>
        <v/>
      </c>
      <c r="EG274" s="56"/>
      <c r="EI274" s="35" t="str">
        <f>先發名單!P$11</f>
        <v>Steven Kwan</v>
      </c>
      <c r="EJ274" s="4" t="str">
        <f t="array" ref="EJ274">IFERROR(INDEX(球員狀態!C$2:C$5000, MATCH(1, (球員狀態!$A$2:$A$5000=$EI$271)*(ISNUMBER(SEARCH($EI274, 球員狀態!$B$2:$B$5000))), 0)), "")</f>
        <v/>
      </c>
      <c r="EM274" s="4" t="str">
        <f t="array" ref="EM274">IFERROR(INDEX(球員狀態!F$2:F$5000, MATCH(1, (球員狀態!$A$2:$A$5000=$EI$271)*(ISNUMBER(SEARCH($EI274, 球員狀態!$B$2:$B$5000))), 0)), "")</f>
        <v/>
      </c>
      <c r="EN274" s="4" t="str">
        <f t="array" ref="EN274">IFERROR(INDEX(球員狀態!G$2:G$5000, MATCH(1, (球員狀態!$A$2:$A$5000=$EI$1)*(ISNUMBER(SEARCH($EI274, 球員狀態!$B$2:$B$5000))), 0)), "")</f>
        <v>23</v>
      </c>
      <c r="EO274" s="4" t="str">
        <f t="array" ref="EO274">IFERROR(INDEX(球員狀態!H$2:H$5000, MATCH(1, (球員狀態!$A$2:$A$5000=$EI$271)*(ISNUMBER(SEARCH($EI274, 球員狀態!$B$2:$B$5000))), 0)), "")</f>
        <v/>
      </c>
      <c r="EP274" s="4" t="str">
        <f t="array" ref="EP274">IFERROR(INDEX(球員狀態!I$2:I$5000, MATCH(1, (球員狀態!$A$2:$A$5000=$EI$271)*(ISNUMBER(SEARCH($EI274, 球員狀態!$B$2:$B$5000))), 0)), "")</f>
        <v/>
      </c>
      <c r="EQ274" s="4" t="str">
        <f t="array" ref="EQ274">IFERROR(INDEX(球員狀態!J$2:J$5000, MATCH(1, (球員狀態!$A$2:$A$5000=$EI$271)*(ISNUMBER(SEARCH($EI274, 球員狀態!$B$2:$B$5000))), 0)), "")</f>
        <v/>
      </c>
      <c r="ER274" s="4" t="str">
        <f t="array" ref="ER274">IFERROR(INDEX(球員狀態!K$2:K$5000, MATCH(1, (球員狀態!$A$2:$A$5000=$EI$271)*(ISNUMBER(SEARCH($EI274, 球員狀態!$B$2:$B$5000))), 0)), "")</f>
        <v/>
      </c>
      <c r="ES274" s="4" t="str">
        <f t="array" ref="ES274">IFERROR(INDEX(球員狀態!L$2:L$5000, MATCH(1, (球員狀態!$A$2:$A$5000=$EI$271)*(ISNUMBER(SEARCH($EI274, 球員狀態!$B$2:$B$5000))), 0)), "")</f>
        <v/>
      </c>
      <c r="ET274" s="4" t="str">
        <f t="array" ref="ET274">IFERROR(INDEX(球員狀態!M$2:M$5000, MATCH(1, (球員狀態!$A$2:$A$5000=$EI$271)*(ISNUMBER(SEARCH($EI274, 球員狀態!$B$2:$B$5000))), 0)), "")</f>
        <v/>
      </c>
      <c r="EU274" s="4" t="str">
        <f t="array" ref="EU274">IFERROR(INDEX(球員狀態!N$2:N$5000, MATCH(1, (球員狀態!$A$2:$A$5000=$EI$271)*(ISNUMBER(SEARCH($EI274, 球員狀態!$B$2:$B$5000))), 0)), "")</f>
        <v/>
      </c>
      <c r="EV274" s="4" t="str">
        <f t="array" ref="EV274">IFERROR(INDEX(球員狀態!O$2:O$5000, MATCH(1, (球員狀態!$A$2:$A$5000=$EI$1)*(ISNUMBER(SEARCH($EI274, 球員狀態!$B$2:$B$5000))), 0)), "")</f>
        <v>2</v>
      </c>
      <c r="EW274" s="4" t="str">
        <f t="array" ref="EW274">IFERROR(INDEX(球員狀態!P$2:P$5000, MATCH(1, (球員狀態!$A$2:$A$5000=$EI$1)*(ISNUMBER(SEARCH($EI274, 球員狀態!$B$2:$B$5000))), 0)), "")</f>
        <v>.225</v>
      </c>
      <c r="EX274" s="4" t="str">
        <f t="array" ref="EX274">IFERROR(INDEX(球員狀態!Q$2:Q$5000, MATCH(1, (球員狀態!$A$2:$A$5000=$EI$271)*(ISNUMBER(SEARCH($EI274, 球員狀態!$B$2:$B$5000))), 0)), "")</f>
        <v/>
      </c>
      <c r="EY274" s="4" t="str">
        <f t="array" ref="EY274">IFERROR(INDEX(球員狀態!R$2:R$5000, MATCH(1, (球員狀態!$A$2:$A$5000=$EI$1)*(ISNUMBER(SEARCH($EI274, 球員狀態!$B$2:$B$5000))), 0)), "")</f>
        <v>.284</v>
      </c>
      <c r="EZ274" s="4" t="str">
        <f t="array" ref="EZ274">IFERROR(INDEX(球員狀態!S$2:S$5000, MATCH(1, (球員狀態!$A$2:$A$5000=$EI$1)*(ISNUMBER(SEARCH($EI274, 球員狀態!$B$2:$B$5000))), 0)), "")</f>
        <v>.595</v>
      </c>
      <c r="FA274" s="4" t="str">
        <f t="array" ref="FA274">IFERROR(INDEX(球員狀態!T$2:T$5000, MATCH(1, (球員狀態!$A$2:$A$5000=$EI$271)*(ISNUMBER(SEARCH($EI274, 球員狀態!$B$2:$B$5000))), 0)), "")</f>
        <v/>
      </c>
      <c r="FB274" s="4" t="str">
        <f t="array" ref="FB274">IFERROR(INDEX(球員狀態!U$2:U$5000, MATCH(1, (球員狀態!$A$2:$A$5000=$EI$1)*(ISNUMBER(SEARCH($EI274, 球員狀態!$B$2:$B$5000))), 0)), "")</f>
        <v>9.2</v>
      </c>
      <c r="FC274" s="4" t="str">
        <f t="array" ref="FC274">IFERROR(INDEX(球員狀態!V$2:V$5000, MATCH(1, (球員狀態!$A$2:$A$5000=$EI$1)*(ISNUMBER(SEARCH($EI274, 球員狀態!$B$2:$B$5000))), 0)), "")</f>
        <v>2.9</v>
      </c>
      <c r="FD274" s="4" t="str">
        <f t="array" ref="FD274">IFERROR(INDEX(球員狀態!W$2:W$5000, MATCH(1, (球員狀態!$A$2:$A$5000=$EI$271)*(ISNUMBER(SEARCH($EI274, 球員狀態!$B$2:$B$5000))), 0)), "")</f>
        <v/>
      </c>
      <c r="FE274" s="4" t="str">
        <f t="array" ref="FE274">IFERROR(INDEX(球員狀態!X$2:X$5000, MATCH(1, (球員狀態!$A$2:$A$5000=$EI$1)*(ISNUMBER(SEARCH($EI274, 球員狀態!$B$2:$B$5000))), 0)), "")</f>
        <v>0.86</v>
      </c>
      <c r="FF274" s="4" t="str">
        <f t="array" ref="FF274">IFERROR(INDEX(球員狀態!Y$2:Y$5000, MATCH(1, (球員狀態!$A$2:$A$5000=$EI$1)*(ISNUMBER(SEARCH($EI274, 球員狀態!$B$2:$B$5000))), 0)), "")</f>
        <v>.059</v>
      </c>
      <c r="FG274" s="4" t="str">
        <f t="array" ref="FG274">IFERROR(INDEX(球員狀態!Z$2:Z$5000, MATCH(1, (球員狀態!$A$2:$A$5000=$EI$271)*(ISNUMBER(SEARCH($EI274, 球員狀態!$B$2:$B$5000))), 0)), "")</f>
        <v/>
      </c>
      <c r="FH274" s="4" t="str">
        <f t="array" ref="FH274">IFERROR(INDEX(球員狀態!AA$2:AA$5000, MATCH(1, (球員狀態!$A$2:$A$5000=$EI$271)*(ISNUMBER(SEARCH($EI274, 球員狀態!$B$2:$B$5000))), 0)), "")</f>
        <v/>
      </c>
      <c r="FI274" s="4" t="str">
        <f t="array" ref="FI274">IFERROR(INDEX(球員狀態!AB$2:AB$5000, MATCH(1, (球員狀態!$A$2:$A$5000=$EI$271)*(ISNUMBER(SEARCH($EI274, 球員狀態!$B$2:$B$5000))), 0)), "")</f>
        <v/>
      </c>
    </row>
    <row r="275" spans="110:165">
      <c r="DF275" s="36"/>
      <c r="DG275" s="4"/>
      <c r="DH275" s="40" t="e">
        <f>DJ275+DL275+DM275+DN275+DO275-DP275-DQ275+DR275</f>
        <v>#VALUE!</v>
      </c>
      <c r="DI275" s="42" t="e">
        <f>DU275+DX275+EA275+ED275+EE275+EF275</f>
        <v>#VALUE!</v>
      </c>
      <c r="DJ275" s="38" t="e">
        <f>VLOOKUP(DJ274*1, FK$2:FM$12, 3, TRUE)*FM$1</f>
        <v>#VALUE!</v>
      </c>
      <c r="DL275" s="38" t="e">
        <f>VLOOKUP(DL274*1, FN$2:FP$12, 3, TRUE)*FP$1</f>
        <v>#VALUE!</v>
      </c>
      <c r="DM275" s="38" t="e">
        <f>VLOOKUP(DM274*1, FQ$2:FS$12, 3, TRUE)*FS$1</f>
        <v>#VALUE!</v>
      </c>
      <c r="DN275" s="38" t="e">
        <f>VLOOKUP(DN274*1, FT$2:FV$12, 3, TRUE)*FV$1</f>
        <v>#VALUE!</v>
      </c>
      <c r="DO275" s="38" t="e">
        <f>VLOOKUP(DO274*1, FW$2:FY$12, 3, TRUE)*FY$1</f>
        <v>#VALUE!</v>
      </c>
      <c r="DP275" s="39" t="e">
        <f>VLOOKUP(DP274*1, FK$14:FM$25, 3, TRUE)*FM$14</f>
        <v>#VALUE!</v>
      </c>
      <c r="DQ275" s="39" t="e">
        <f>VLOOKUP(DQ274*1, FN$14:FP$25, 3, TRUE)*FP$14</f>
        <v>#VALUE!</v>
      </c>
      <c r="DR275" s="38" t="e">
        <f>VLOOKUP(DR274*1, FQ$14:FS$25, 3, TRUE)*FS$14</f>
        <v>#VALUE!</v>
      </c>
      <c r="DU275" s="41" t="e">
        <f>VLOOKUP(DU274*1, FK$27:FM$38, 3, TRUE)*FM$27</f>
        <v>#VALUE!</v>
      </c>
      <c r="DX275" s="41" t="e">
        <f>VLOOKUP(DX274*1, FN$27:FP$38, 3, TRUE)*FP$27</f>
        <v>#VALUE!</v>
      </c>
      <c r="EA275" s="41" t="e">
        <f>VLOOKUP(EA274*1, FQ$27:FS$38, 3, TRUE)*FS$27</f>
        <v>#VALUE!</v>
      </c>
      <c r="ED275" s="41" t="e">
        <f>VLOOKUP(ED274*1, FT$27:FV$38, 3, TRUE)*FV$27</f>
        <v>#VALUE!</v>
      </c>
      <c r="EE275" s="41" t="e">
        <f>VLOOKUP(EE274*1, FW$27:FY$38, 3, TRUE)*FY$27</f>
        <v>#VALUE!</v>
      </c>
      <c r="EF275" s="41" t="e">
        <f>VLOOKUP(EF274*1, FK$40:FM$51, 3, TRUE)*FM$40</f>
        <v>#VALUE!</v>
      </c>
      <c r="EG275" s="57"/>
      <c r="EI275" s="36"/>
      <c r="EJ275" s="4"/>
      <c r="EK275" s="40" t="e">
        <f>EM275+EO275+EP275+EQ275+ER275-ES275-ET275+EU275</f>
        <v>#VALUE!</v>
      </c>
      <c r="EL275" s="42" t="e">
        <f>EX275+FA275+FD275+FG275+FH275+FI275</f>
        <v>#VALUE!</v>
      </c>
      <c r="EM275" s="38" t="e">
        <f>VLOOKUP(EM274*1, $FK$2:$FM$12, 3, TRUE)*$FM$1</f>
        <v>#VALUE!</v>
      </c>
      <c r="EO275" s="38" t="e">
        <f>VLOOKUP(EO274*1, $FN$2:$FP$12, 3, TRUE)*$FP$1</f>
        <v>#VALUE!</v>
      </c>
      <c r="EP275" s="38" t="e">
        <f>VLOOKUP(EP274*1, $FQ$2:$FS$12, 3, TRUE)*$FS$1</f>
        <v>#VALUE!</v>
      </c>
      <c r="EQ275" s="38" t="e">
        <f>VLOOKUP(EQ274*1, $FT$2:$FV$12, 3, TRUE)*$FV$1</f>
        <v>#VALUE!</v>
      </c>
      <c r="ER275" s="38" t="e">
        <f>VLOOKUP(ER274*1, $FW$2:$FY$12, 3, TRUE)*$FY$1</f>
        <v>#VALUE!</v>
      </c>
      <c r="ES275" s="39" t="e">
        <f>VLOOKUP(ES274*1, $FK$14:$FM$25, 3, TRUE)*$FM$14</f>
        <v>#VALUE!</v>
      </c>
      <c r="ET275" s="39" t="e">
        <f>VLOOKUP(ET274*1, $FN$14:$FP$25, 3, TRUE)*$FP$14</f>
        <v>#VALUE!</v>
      </c>
      <c r="EU275" s="38" t="e">
        <f>VLOOKUP(EU274*1, $FQ$14:$FS$25, 3, TRUE)*$FS$14</f>
        <v>#VALUE!</v>
      </c>
      <c r="EX275" s="41" t="e">
        <f>VLOOKUP(EX274*1, $FK$27:$FM$38, 3, TRUE)*$FM$27</f>
        <v>#VALUE!</v>
      </c>
      <c r="FA275" s="41" t="e">
        <f>VLOOKUP(FA274*1, $FN$27:$FP$38, 3, TRUE)*$FP$27</f>
        <v>#VALUE!</v>
      </c>
      <c r="FD275" s="41" t="e">
        <f>VLOOKUP(FD274*1, $FQ$27:$FS$38, 3, TRUE)*$FS$27</f>
        <v>#VALUE!</v>
      </c>
      <c r="FG275" s="41" t="e">
        <f>VLOOKUP(FG274*1, $FT$27:$FV$38, 3, TRUE)*$FV$27</f>
        <v>#VALUE!</v>
      </c>
      <c r="FH275" s="41" t="e">
        <f>VLOOKUP(FH274*1, $FW$27:$FY$38, 3, TRUE)*$FY$27</f>
        <v>#VALUE!</v>
      </c>
      <c r="FI275" s="41" t="e">
        <f>VLOOKUP(FI274*1, $FK$40:$FM$51, 3, TRUE)*$FM$40</f>
        <v>#VALUE!</v>
      </c>
    </row>
    <row r="276" spans="110:165">
      <c r="DF276" s="35" t="str">
        <f>先發名單!G$11</f>
        <v>C. Simpson</v>
      </c>
      <c r="DG276" s="4" t="str">
        <f t="array" ref="DG276">IFERROR(INDEX(球員狀態!$C$2:$C$5000, MATCH(1, (球員狀態!$A$2:$A$5000=$DF$271)*(ISNUMBER(SEARCH($DF276, 球員狀態!$B$2:$B$5000))), 0)), "")</f>
        <v/>
      </c>
      <c r="DJ276" s="4" t="str">
        <f t="array" ref="DJ276">IFERROR(INDEX(球員狀態!$F$2:$F$5000,MATCH(1,(球員狀態!$A$2:$A$5000=$DF$271)*(ISNUMBER(SEARCH($DF276,球員狀態!$B$2:$B$5000))),0)),"")</f>
        <v/>
      </c>
      <c r="DK276" s="4" t="str">
        <f t="array" ref="DK276">IFERROR(INDEX(球員狀態!G$2:G$5000, MATCH(1, (球員狀態!$A$2:$A$5000=$DF$1)*(ISNUMBER(SEARCH($DF276, 球員狀態!$B$2:$B$5000))), 0)), "")</f>
        <v/>
      </c>
      <c r="DL276" s="4" t="str">
        <f t="array" ref="DL276">IFERROR(INDEX(球員狀態!H$2:H$5000, MATCH(1, (球員狀態!$A$2:$A$5000=$DF$271)*(ISNUMBER(SEARCH($DF276, 球員狀態!$B$2:$B$5000))), 0)), "")</f>
        <v/>
      </c>
      <c r="DM276" s="4" t="str">
        <f t="array" ref="DM276">IFERROR(INDEX(球員狀態!I$2:I$5000,MATCH(1,(球員狀態!$A$2:$A$5000=$DF$271)*(ISNUMBER(SEARCH($DF276,球員狀態!$B$2:$B$5000))),0)),"")</f>
        <v/>
      </c>
      <c r="DN276" s="4" t="str">
        <f t="array" ref="DN276">IFERROR(INDEX(球員狀態!J$2:J$5000,MATCH(1,(球員狀態!$A$2:$A$5000=$DF$271)*(ISNUMBER(SEARCH($DF276,球員狀態!$B$2:$B$5000))),0)),"")</f>
        <v/>
      </c>
      <c r="DO276" s="4" t="str">
        <f t="array" ref="DO276">IFERROR(INDEX(球員狀態!K$2:K$5000,MATCH(1,(球員狀態!$A$2:$A$5000=$DF$271)*(ISNUMBER(SEARCH($DF276,球員狀態!$B$2:$B$5000))),0)),"")</f>
        <v/>
      </c>
      <c r="DP276" s="4" t="str">
        <f t="array" ref="DP276">IFERROR(INDEX(球員狀態!L$2:L$5000,MATCH(1,(球員狀態!$A$2:$A$5000=$DF$271)*(ISNUMBER(SEARCH($DF276,球員狀態!$B$2:$B$5000))),0)),"")</f>
        <v/>
      </c>
      <c r="DQ276" s="4" t="str">
        <f t="array" ref="DQ276">IFERROR(INDEX(球員狀態!M$2:M$5000,MATCH(1,(球員狀態!$A$2:$A$5000=$DF$271)*(ISNUMBER(SEARCH($DF276,球員狀態!$B$2:$B$5000))),0)),"")</f>
        <v/>
      </c>
      <c r="DR276" s="4" t="str">
        <f t="array" ref="DR276">IFERROR(INDEX(球員狀態!N$2:N$5000,MATCH(1,(球員狀態!$A$2:$A$5000=$DF$271)*(ISNUMBER(SEARCH($DF276,球員狀態!$B$2:$B$5000))),0)),"")</f>
        <v/>
      </c>
      <c r="DS276" s="4" t="str">
        <f t="array" ref="DS276">IFERROR(INDEX(球員狀態!O$2:O$5000, MATCH(1, (球員狀態!$A$2:$A$5000=$DF$1)*(ISNUMBER(SEARCH($DF276, 球員狀態!$B$2:$B$5000))), 0)), "")</f>
        <v/>
      </c>
      <c r="DT276" s="4" t="str">
        <f t="array" ref="DT276">IFERROR(INDEX(球員狀態!P$2:P$5000, MATCH(1, (球員狀態!$A$2:$A$5000=$DF$1)*(ISNUMBER(SEARCH($DF276, 球員狀態!$B$2:$B$5000))), 0)), "")</f>
        <v/>
      </c>
      <c r="DU276" s="4" t="str">
        <f t="array" ref="DU276">IFERROR(INDEX(球員狀態!Q$2:Q$5000,MATCH(1,(球員狀態!$A$2:$A$5000=$DF$271)*(ISNUMBER(SEARCH($DF276,球員狀態!$B$2:$B$5000))),0)),"")</f>
        <v/>
      </c>
      <c r="DV276" s="4" t="str">
        <f t="array" ref="DV276">IFERROR(INDEX(球員狀態!R$2:R$5000, MATCH(1, (球員狀態!$A$2:$A$5000=$DF$1)*(ISNUMBER(SEARCH($DF276, 球員狀態!$B$2:$B$5000))), 0)), "")</f>
        <v/>
      </c>
      <c r="DW276" s="4" t="str">
        <f t="array" ref="DW276">IFERROR(INDEX(球員狀態!S$2:S$5000, MATCH(1, (球員狀態!$A$2:$A$5000=$DF$1)*(ISNUMBER(SEARCH($DF276, 球員狀態!$B$2:$B$5000))), 0)), "")</f>
        <v/>
      </c>
      <c r="DX276" s="4" t="str">
        <f t="array" ref="DX276">IFERROR(INDEX(球員狀態!T$2:T$5000,MATCH(1,(球員狀態!$A$2:$A$5000=$DF$271)*(ISNUMBER(SEARCH($DF276,球員狀態!$B$2:$B$5000))),0)),"")</f>
        <v/>
      </c>
      <c r="DY276" s="4" t="str">
        <f t="array" ref="DY276">IFERROR(INDEX(球員狀態!U$2:U$5000, MATCH(1, (球員狀態!$A$2:$A$5000=$DF$1)*(ISNUMBER(SEARCH($DF276, 球員狀態!$B$2:$B$5000))), 0)), "")</f>
        <v/>
      </c>
      <c r="DZ276" s="4" t="str">
        <f t="array" ref="DZ276">IFERROR(INDEX(球員狀態!V$2:V$5000, MATCH(1, (球員狀態!$A$2:$A$5000=$DF$1)*(ISNUMBER(SEARCH($DF276, 球員狀態!$B$2:$B$5000))), 0)), "")</f>
        <v/>
      </c>
      <c r="EA276" s="4" t="str">
        <f t="array" ref="EA276">IFERROR(INDEX(球員狀態!W$2:W$5000,MATCH(1,(球員狀態!$A$2:$A$5000=$DF$271)*(ISNUMBER(SEARCH($DF276,球員狀態!$B$2:$B$5000))),0)),"")</f>
        <v/>
      </c>
      <c r="EB276" s="4" t="str">
        <f t="array" ref="EB276">IFERROR(INDEX(球員狀態!X$2:X$5000, MATCH(1, (球員狀態!$A$2:$A$5000=$DF$1)*(ISNUMBER(SEARCH($DF276, 球員狀態!$B$2:$B$5000))), 0)), "")</f>
        <v/>
      </c>
      <c r="EC276" s="4" t="str">
        <f t="array" ref="EC276">IFERROR(INDEX(球員狀態!Y$2:Y$5000, MATCH(1, (球員狀態!$A$2:$A$5000=$DF$1)*(ISNUMBER(SEARCH($DF276, 球員狀態!$B$2:$B$5000))), 0)), "")</f>
        <v/>
      </c>
      <c r="ED276" s="4" t="str">
        <f t="array" ref="ED276">IFERROR(INDEX(球員狀態!Z$2:Z$5000,MATCH(1,(球員狀態!$A$2:$A$5000=$DF$271)*(ISNUMBER(SEARCH($DF276,球員狀態!$B$2:$B$5000))),0)),"")</f>
        <v/>
      </c>
      <c r="EE276" s="4" t="str">
        <f t="array" ref="EE276">IFERROR(INDEX(球員狀態!AA$2:AA$5000,MATCH(1,(球員狀態!$A$2:$A$5000=$DF$271)*(ISNUMBER(SEARCH($DF276,球員狀態!$B$2:$B$5000))),0)),"")</f>
        <v/>
      </c>
      <c r="EF276" s="4" t="str">
        <f t="array" ref="EF276">IFERROR(INDEX(球員狀態!AB$2:AB$5000,MATCH(1,(球員狀態!$A$2:$A$5000=$DF$271)*(ISNUMBER(SEARCH($DF276,球員狀態!$B$2:$B$5000))),0)),"")</f>
        <v/>
      </c>
      <c r="EG276" s="56"/>
      <c r="EI276" s="35" t="str">
        <f>先發名單!Q$11</f>
        <v>C. DeLauter</v>
      </c>
      <c r="EJ276" s="4" t="str">
        <f t="array" ref="EJ276">IFERROR(INDEX(球員狀態!C$2:C$5000, MATCH(1, (球員狀態!$A$2:$A$5000=$EI$271)*(ISNUMBER(SEARCH($EI276, 球員狀態!$B$2:$B$5000))), 0)), "")</f>
        <v/>
      </c>
      <c r="EM276" s="4" t="str">
        <f t="array" ref="EM276">IFERROR(INDEX(球員狀態!F$2:F$5000, MATCH(1, (球員狀態!$A$2:$A$5000=$EI$271)*(ISNUMBER(SEARCH($EI276, 球員狀態!$B$2:$B$5000))), 0)), "")</f>
        <v/>
      </c>
      <c r="EN276" s="4" t="str">
        <f t="array" ref="EN276">IFERROR(INDEX(球員狀態!G$2:G$5000, MATCH(1, (球員狀態!$A$2:$A$5000=$EI$1)*(ISNUMBER(SEARCH($EI276, 球員狀態!$B$2:$B$5000))), 0)), "")</f>
        <v/>
      </c>
      <c r="EO276" s="4" t="str">
        <f t="array" ref="EO276">IFERROR(INDEX(球員狀態!H$2:H$5000, MATCH(1, (球員狀態!$A$2:$A$5000=$EI$271)*(ISNUMBER(SEARCH($EI276, 球員狀態!$B$2:$B$5000))), 0)), "")</f>
        <v/>
      </c>
      <c r="EP276" s="4" t="str">
        <f t="array" ref="EP276">IFERROR(INDEX(球員狀態!I$2:I$5000, MATCH(1, (球員狀態!$A$2:$A$5000=$EI$271)*(ISNUMBER(SEARCH($EI276, 球員狀態!$B$2:$B$5000))), 0)), "")</f>
        <v/>
      </c>
      <c r="EQ276" s="4" t="str">
        <f t="array" ref="EQ276">IFERROR(INDEX(球員狀態!J$2:J$5000, MATCH(1, (球員狀態!$A$2:$A$5000=$EI$271)*(ISNUMBER(SEARCH($EI276, 球員狀態!$B$2:$B$5000))), 0)), "")</f>
        <v/>
      </c>
      <c r="ER276" s="4" t="str">
        <f t="array" ref="ER276">IFERROR(INDEX(球員狀態!K$2:K$5000, MATCH(1, (球員狀態!$A$2:$A$5000=$EI$271)*(ISNUMBER(SEARCH($EI276, 球員狀態!$B$2:$B$5000))), 0)), "")</f>
        <v/>
      </c>
      <c r="ES276" s="4" t="str">
        <f t="array" ref="ES276">IFERROR(INDEX(球員狀態!L$2:L$5000, MATCH(1, (球員狀態!$A$2:$A$5000=$EI$271)*(ISNUMBER(SEARCH($EI276, 球員狀態!$B$2:$B$5000))), 0)), "")</f>
        <v/>
      </c>
      <c r="ET276" s="4" t="str">
        <f t="array" ref="ET276">IFERROR(INDEX(球員狀態!M$2:M$5000, MATCH(1, (球員狀態!$A$2:$A$5000=$EI$271)*(ISNUMBER(SEARCH($EI276, 球員狀態!$B$2:$B$5000))), 0)), "")</f>
        <v/>
      </c>
      <c r="EU276" s="4" t="str">
        <f t="array" ref="EU276">IFERROR(INDEX(球員狀態!N$2:N$5000, MATCH(1, (球員狀態!$A$2:$A$5000=$EI$271)*(ISNUMBER(SEARCH($EI276, 球員狀態!$B$2:$B$5000))), 0)), "")</f>
        <v/>
      </c>
      <c r="EV276" s="4" t="str">
        <f t="array" ref="EV276">IFERROR(INDEX(球員狀態!O$2:O$5000, MATCH(1, (球員狀態!$A$2:$A$5000=$EI$1)*(ISNUMBER(SEARCH($EI276, 球員狀態!$B$2:$B$5000))), 0)), "")</f>
        <v/>
      </c>
      <c r="EW276" s="4" t="str">
        <f t="array" ref="EW276">IFERROR(INDEX(球員狀態!P$2:P$5000, MATCH(1, (球員狀態!$A$2:$A$5000=$EI$1)*(ISNUMBER(SEARCH($EI276, 球員狀態!$B$2:$B$5000))), 0)), "")</f>
        <v/>
      </c>
      <c r="EX276" s="4" t="str">
        <f t="array" ref="EX276">IFERROR(INDEX(球員狀態!Q$2:Q$5000, MATCH(1, (球員狀態!$A$2:$A$5000=$EI$271)*(ISNUMBER(SEARCH($EI276, 球員狀態!$B$2:$B$5000))), 0)), "")</f>
        <v/>
      </c>
      <c r="EY276" s="4" t="str">
        <f t="array" ref="EY276">IFERROR(INDEX(球員狀態!R$2:R$5000, MATCH(1, (球員狀態!$A$2:$A$5000=$EI$1)*(ISNUMBER(SEARCH($EI276, 球員狀態!$B$2:$B$5000))), 0)), "")</f>
        <v/>
      </c>
      <c r="EZ276" s="4" t="str">
        <f t="array" ref="EZ276">IFERROR(INDEX(球員狀態!S$2:S$5000, MATCH(1, (球員狀態!$A$2:$A$5000=$EI$1)*(ISNUMBER(SEARCH($EI276, 球員狀態!$B$2:$B$5000))), 0)), "")</f>
        <v/>
      </c>
      <c r="FA276" s="4" t="str">
        <f t="array" ref="FA276">IFERROR(INDEX(球員狀態!T$2:T$5000, MATCH(1, (球員狀態!$A$2:$A$5000=$EI$271)*(ISNUMBER(SEARCH($EI276, 球員狀態!$B$2:$B$5000))), 0)), "")</f>
        <v/>
      </c>
      <c r="FB276" s="4" t="str">
        <f t="array" ref="FB276">IFERROR(INDEX(球員狀態!U$2:U$5000, MATCH(1, (球員狀態!$A$2:$A$5000=$EI$1)*(ISNUMBER(SEARCH($EI276, 球員狀態!$B$2:$B$5000))), 0)), "")</f>
        <v/>
      </c>
      <c r="FC276" s="4" t="str">
        <f t="array" ref="FC276">IFERROR(INDEX(球員狀態!V$2:V$5000, MATCH(1, (球員狀態!$A$2:$A$5000=$EI$1)*(ISNUMBER(SEARCH($EI276, 球員狀態!$B$2:$B$5000))), 0)), "")</f>
        <v/>
      </c>
      <c r="FD276" s="4" t="str">
        <f t="array" ref="FD276">IFERROR(INDEX(球員狀態!W$2:W$5000, MATCH(1, (球員狀態!$A$2:$A$5000=$EI$271)*(ISNUMBER(SEARCH($EI276, 球員狀態!$B$2:$B$5000))), 0)), "")</f>
        <v/>
      </c>
      <c r="FE276" s="4" t="str">
        <f t="array" ref="FE276">IFERROR(INDEX(球員狀態!X$2:X$5000, MATCH(1, (球員狀態!$A$2:$A$5000=$EI$1)*(ISNUMBER(SEARCH($EI276, 球員狀態!$B$2:$B$5000))), 0)), "")</f>
        <v/>
      </c>
      <c r="FF276" s="4" t="str">
        <f t="array" ref="FF276">IFERROR(INDEX(球員狀態!Y$2:Y$5000, MATCH(1, (球員狀態!$A$2:$A$5000=$EI$1)*(ISNUMBER(SEARCH($EI276, 球員狀態!$B$2:$B$5000))), 0)), "")</f>
        <v/>
      </c>
      <c r="FG276" s="4" t="str">
        <f t="array" ref="FG276">IFERROR(INDEX(球員狀態!Z$2:Z$5000, MATCH(1, (球員狀態!$A$2:$A$5000=$EI$271)*(ISNUMBER(SEARCH($EI276, 球員狀態!$B$2:$B$5000))), 0)), "")</f>
        <v/>
      </c>
      <c r="FH276" s="4" t="str">
        <f t="array" ref="FH276">IFERROR(INDEX(球員狀態!AA$2:AA$5000, MATCH(1, (球員狀態!$A$2:$A$5000=$EI$271)*(ISNUMBER(SEARCH($EI276, 球員狀態!$B$2:$B$5000))), 0)), "")</f>
        <v/>
      </c>
      <c r="FI276" s="4" t="str">
        <f t="array" ref="FI276">IFERROR(INDEX(球員狀態!AB$2:AB$5000, MATCH(1, (球員狀態!$A$2:$A$5000=$EI$271)*(ISNUMBER(SEARCH($EI276, 球員狀態!$B$2:$B$5000))), 0)), "")</f>
        <v/>
      </c>
    </row>
    <row r="277" spans="110:165">
      <c r="DF277" s="33"/>
      <c r="DG277" s="4"/>
      <c r="DH277" s="40" t="e">
        <f>DJ277+DL277+DM277+DN277+DO277-DP277-DQ277+DR277</f>
        <v>#VALUE!</v>
      </c>
      <c r="DI277" s="42" t="e">
        <f>DU277+DX277+EA277+ED277+EE277+EF277</f>
        <v>#VALUE!</v>
      </c>
      <c r="DJ277" s="38" t="e">
        <f>VLOOKUP(DJ276*1, FK$2:FM$12, 3, TRUE)*FM$1</f>
        <v>#VALUE!</v>
      </c>
      <c r="DL277" s="38" t="e">
        <f>VLOOKUP(DL276*1, FN$2:FP$12, 3, TRUE)*FP$1</f>
        <v>#VALUE!</v>
      </c>
      <c r="DM277" s="38" t="e">
        <f>VLOOKUP(DM276*1, FQ$2:FS$12, 3, TRUE)*FS$1</f>
        <v>#VALUE!</v>
      </c>
      <c r="DN277" s="38" t="e">
        <f>VLOOKUP(DN276*1, FT$2:FV$12, 3, TRUE)*FV$1</f>
        <v>#VALUE!</v>
      </c>
      <c r="DO277" s="38" t="e">
        <f>VLOOKUP(DO276*1, FW$2:FY$12, 3, TRUE)*FY$1</f>
        <v>#VALUE!</v>
      </c>
      <c r="DP277" s="39" t="e">
        <f>VLOOKUP(DP276*1, FK$14:FM$25, 3, TRUE)*FM$14</f>
        <v>#VALUE!</v>
      </c>
      <c r="DQ277" s="39" t="e">
        <f>VLOOKUP(DQ276*1, FN$14:FP$25, 3, TRUE)*FP$14</f>
        <v>#VALUE!</v>
      </c>
      <c r="DR277" s="38" t="e">
        <f>VLOOKUP(DR276*1, FQ$14:FS$25, 3, TRUE)*FS$14</f>
        <v>#VALUE!</v>
      </c>
      <c r="DU277" s="41" t="e">
        <f>VLOOKUP(DU276*1, FK$27:FM$38, 3, TRUE)*FM$27</f>
        <v>#VALUE!</v>
      </c>
      <c r="DX277" s="41" t="e">
        <f>VLOOKUP(DX276*1, FN$27:FP$38, 3, TRUE)*FP$27</f>
        <v>#VALUE!</v>
      </c>
      <c r="EA277" s="41" t="e">
        <f>VLOOKUP(EA276*1, FQ$27:FS$38, 3, TRUE)*FS$27</f>
        <v>#VALUE!</v>
      </c>
      <c r="ED277" s="41" t="e">
        <f>VLOOKUP(ED276*1, FT$27:FV$38, 3, TRUE)*FV$27</f>
        <v>#VALUE!</v>
      </c>
      <c r="EE277" s="41" t="e">
        <f>VLOOKUP(EE276*1, FW$27:FY$38, 3, TRUE)*FY$27</f>
        <v>#VALUE!</v>
      </c>
      <c r="EF277" s="41" t="e">
        <f>VLOOKUP(EF276*1, FK$40:FM$51, 3, TRUE)*FM$40</f>
        <v>#VALUE!</v>
      </c>
      <c r="EG277" s="57"/>
      <c r="EI277" s="33"/>
      <c r="EJ277" s="4"/>
      <c r="EK277" s="40" t="e">
        <f>EM277+EO277+EP277+EQ277+ER277-ES277-ET277+EU277</f>
        <v>#VALUE!</v>
      </c>
      <c r="EL277" s="42" t="e">
        <f>EX277+FA277+FD277+FG277+FH277+FI277</f>
        <v>#VALUE!</v>
      </c>
      <c r="EM277" s="38" t="e">
        <f>VLOOKUP(EM276*1, $FK$2:$FM$12, 3, TRUE)*$FM$1</f>
        <v>#VALUE!</v>
      </c>
      <c r="EO277" s="38" t="e">
        <f>VLOOKUP(EO276*1, $FN$2:$FP$12, 3, TRUE)*$FP$1</f>
        <v>#VALUE!</v>
      </c>
      <c r="EP277" s="38" t="e">
        <f>VLOOKUP(EP276*1, $FQ$2:$FS$12, 3, TRUE)*$FS$1</f>
        <v>#VALUE!</v>
      </c>
      <c r="EQ277" s="38" t="e">
        <f>VLOOKUP(EQ276*1, $FT$2:$FV$12, 3, TRUE)*$FV$1</f>
        <v>#VALUE!</v>
      </c>
      <c r="ER277" s="38" t="e">
        <f>VLOOKUP(ER276*1, $FW$2:$FY$12, 3, TRUE)*$FY$1</f>
        <v>#VALUE!</v>
      </c>
      <c r="ES277" s="39" t="e">
        <f>VLOOKUP(ES276*1, $FK$14:$FM$25, 3, TRUE)*$FM$14</f>
        <v>#VALUE!</v>
      </c>
      <c r="ET277" s="39" t="e">
        <f>VLOOKUP(ET276*1, $FN$14:$FP$25, 3, TRUE)*$FP$14</f>
        <v>#VALUE!</v>
      </c>
      <c r="EU277" s="38" t="e">
        <f>VLOOKUP(EU276*1, $FQ$14:$FS$25, 3, TRUE)*$FS$14</f>
        <v>#VALUE!</v>
      </c>
      <c r="EX277" s="41" t="e">
        <f>VLOOKUP(EX276*1, $FK$27:$FM$38, 3, TRUE)*$FM$27</f>
        <v>#VALUE!</v>
      </c>
      <c r="FA277" s="41" t="e">
        <f>VLOOKUP(FA276*1, $FN$27:$FP$38, 3, TRUE)*$FP$27</f>
        <v>#VALUE!</v>
      </c>
      <c r="FD277" s="41" t="e">
        <f>VLOOKUP(FD276*1, $FQ$27:$FS$38, 3, TRUE)*$FS$27</f>
        <v>#VALUE!</v>
      </c>
      <c r="FG277" s="41" t="e">
        <f>VLOOKUP(FG276*1, $FT$27:$FV$38, 3, TRUE)*$FV$27</f>
        <v>#VALUE!</v>
      </c>
      <c r="FH277" s="41" t="e">
        <f>VLOOKUP(FH276*1, $FW$27:$FY$38, 3, TRUE)*$FY$27</f>
        <v>#VALUE!</v>
      </c>
      <c r="FI277" s="41" t="e">
        <f>VLOOKUP(FI276*1, $FK$40:$FM$51, 3, TRUE)*$FM$40</f>
        <v>#VALUE!</v>
      </c>
    </row>
    <row r="278" spans="110:165">
      <c r="DF278" s="35" t="str">
        <f>先發名單!H$11</f>
        <v>J. Caminero</v>
      </c>
      <c r="DG278" s="4" t="str">
        <f t="array" ref="DG278">IFERROR(INDEX(球員狀態!$C$2:$C$5000, MATCH(1, (球員狀態!$A$2:$A$5000=$DF$271)*(ISNUMBER(SEARCH($DF278, 球員狀態!$B$2:$B$5000))), 0)), "")</f>
        <v/>
      </c>
      <c r="DJ278" s="4" t="str">
        <f t="array" ref="DJ278">IFERROR(INDEX(球員狀態!$F$2:$F$5000,MATCH(1,(球員狀態!$A$2:$A$5000=$DF$271)*(ISNUMBER(SEARCH($DF278,球員狀態!$B$2:$B$5000))),0)),"")</f>
        <v/>
      </c>
      <c r="DK278" s="4" t="str">
        <f t="array" ref="DK278">IFERROR(INDEX(球員狀態!G$2:G$5000, MATCH(1, (球員狀態!$A$2:$A$5000=$DF$1)*(ISNUMBER(SEARCH($DF278, 球員狀態!$B$2:$B$5000))), 0)), "")</f>
        <v/>
      </c>
      <c r="DL278" s="4" t="str">
        <f t="array" ref="DL278">IFERROR(INDEX(球員狀態!H$2:H$5000, MATCH(1, (球員狀態!$A$2:$A$5000=$DF$271)*(ISNUMBER(SEARCH($DF278, 球員狀態!$B$2:$B$5000))), 0)), "")</f>
        <v/>
      </c>
      <c r="DM278" s="4" t="str">
        <f t="array" ref="DM278">IFERROR(INDEX(球員狀態!I$2:I$5000,MATCH(1,(球員狀態!$A$2:$A$5000=$DF$271)*(ISNUMBER(SEARCH($DF278,球員狀態!$B$2:$B$5000))),0)),"")</f>
        <v/>
      </c>
      <c r="DN278" s="4" t="str">
        <f t="array" ref="DN278">IFERROR(INDEX(球員狀態!J$2:J$5000,MATCH(1,(球員狀態!$A$2:$A$5000=$DF$271)*(ISNUMBER(SEARCH($DF278,球員狀態!$B$2:$B$5000))),0)),"")</f>
        <v/>
      </c>
      <c r="DO278" s="4" t="str">
        <f t="array" ref="DO278">IFERROR(INDEX(球員狀態!K$2:K$5000,MATCH(1,(球員狀態!$A$2:$A$5000=$DF$271)*(ISNUMBER(SEARCH($DF278,球員狀態!$B$2:$B$5000))),0)),"")</f>
        <v/>
      </c>
      <c r="DP278" s="4" t="str">
        <f t="array" ref="DP278">IFERROR(INDEX(球員狀態!L$2:L$5000,MATCH(1,(球員狀態!$A$2:$A$5000=$DF$271)*(ISNUMBER(SEARCH($DF278,球員狀態!$B$2:$B$5000))),0)),"")</f>
        <v/>
      </c>
      <c r="DQ278" s="4" t="str">
        <f t="array" ref="DQ278">IFERROR(INDEX(球員狀態!M$2:M$5000,MATCH(1,(球員狀態!$A$2:$A$5000=$DF$271)*(ISNUMBER(SEARCH($DF278,球員狀態!$B$2:$B$5000))),0)),"")</f>
        <v/>
      </c>
      <c r="DR278" s="4" t="str">
        <f t="array" ref="DR278">IFERROR(INDEX(球員狀態!N$2:N$5000,MATCH(1,(球員狀態!$A$2:$A$5000=$DF$271)*(ISNUMBER(SEARCH($DF278,球員狀態!$B$2:$B$5000))),0)),"")</f>
        <v/>
      </c>
      <c r="DS278" s="4" t="str">
        <f t="array" ref="DS278">IFERROR(INDEX(球員狀態!O$2:O$5000, MATCH(1, (球員狀態!$A$2:$A$5000=$DF$1)*(ISNUMBER(SEARCH($DF278, 球員狀態!$B$2:$B$5000))), 0)), "")</f>
        <v/>
      </c>
      <c r="DT278" s="4" t="str">
        <f t="array" ref="DT278">IFERROR(INDEX(球員狀態!P$2:P$5000, MATCH(1, (球員狀態!$A$2:$A$5000=$DF$1)*(ISNUMBER(SEARCH($DF278, 球員狀態!$B$2:$B$5000))), 0)), "")</f>
        <v/>
      </c>
      <c r="DU278" s="4" t="str">
        <f t="array" ref="DU278">IFERROR(INDEX(球員狀態!Q$2:Q$5000,MATCH(1,(球員狀態!$A$2:$A$5000=$DF$271)*(ISNUMBER(SEARCH($DF278,球員狀態!$B$2:$B$5000))),0)),"")</f>
        <v/>
      </c>
      <c r="DV278" s="4" t="str">
        <f t="array" ref="DV278">IFERROR(INDEX(球員狀態!R$2:R$5000, MATCH(1, (球員狀態!$A$2:$A$5000=$DF$1)*(ISNUMBER(SEARCH($DF278, 球員狀態!$B$2:$B$5000))), 0)), "")</f>
        <v/>
      </c>
      <c r="DW278" s="4" t="str">
        <f t="array" ref="DW278">IFERROR(INDEX(球員狀態!S$2:S$5000, MATCH(1, (球員狀態!$A$2:$A$5000=$DF$1)*(ISNUMBER(SEARCH($DF278, 球員狀態!$B$2:$B$5000))), 0)), "")</f>
        <v/>
      </c>
      <c r="DX278" s="4" t="str">
        <f t="array" ref="DX278">IFERROR(INDEX(球員狀態!T$2:T$5000,MATCH(1,(球員狀態!$A$2:$A$5000=$DF$271)*(ISNUMBER(SEARCH($DF278,球員狀態!$B$2:$B$5000))),0)),"")</f>
        <v/>
      </c>
      <c r="DY278" s="4" t="str">
        <f t="array" ref="DY278">IFERROR(INDEX(球員狀態!U$2:U$5000, MATCH(1, (球員狀態!$A$2:$A$5000=$DF$1)*(ISNUMBER(SEARCH($DF278, 球員狀態!$B$2:$B$5000))), 0)), "")</f>
        <v/>
      </c>
      <c r="DZ278" s="4" t="str">
        <f t="array" ref="DZ278">IFERROR(INDEX(球員狀態!V$2:V$5000, MATCH(1, (球員狀態!$A$2:$A$5000=$DF$1)*(ISNUMBER(SEARCH($DF278, 球員狀態!$B$2:$B$5000))), 0)), "")</f>
        <v/>
      </c>
      <c r="EA278" s="4" t="str">
        <f t="array" ref="EA278">IFERROR(INDEX(球員狀態!W$2:W$5000,MATCH(1,(球員狀態!$A$2:$A$5000=$DF$271)*(ISNUMBER(SEARCH($DF278,球員狀態!$B$2:$B$5000))),0)),"")</f>
        <v/>
      </c>
      <c r="EB278" s="4" t="str">
        <f t="array" ref="EB278">IFERROR(INDEX(球員狀態!X$2:X$5000, MATCH(1, (球員狀態!$A$2:$A$5000=$DF$1)*(ISNUMBER(SEARCH($DF278, 球員狀態!$B$2:$B$5000))), 0)), "")</f>
        <v/>
      </c>
      <c r="EC278" s="4" t="str">
        <f t="array" ref="EC278">IFERROR(INDEX(球員狀態!Y$2:Y$5000, MATCH(1, (球員狀態!$A$2:$A$5000=$DF$1)*(ISNUMBER(SEARCH($DF278, 球員狀態!$B$2:$B$5000))), 0)), "")</f>
        <v/>
      </c>
      <c r="ED278" s="4" t="str">
        <f t="array" ref="ED278">IFERROR(INDEX(球員狀態!Z$2:Z$5000,MATCH(1,(球員狀態!$A$2:$A$5000=$DF$271)*(ISNUMBER(SEARCH($DF278,球員狀態!$B$2:$B$5000))),0)),"")</f>
        <v/>
      </c>
      <c r="EE278" s="4" t="str">
        <f t="array" ref="EE278">IFERROR(INDEX(球員狀態!AA$2:AA$5000,MATCH(1,(球員狀態!$A$2:$A$5000=$DF$271)*(ISNUMBER(SEARCH($DF278,球員狀態!$B$2:$B$5000))),0)),"")</f>
        <v/>
      </c>
      <c r="EF278" s="4" t="str">
        <f t="array" ref="EF278">IFERROR(INDEX(球員狀態!AB$2:AB$5000,MATCH(1,(球員狀態!$A$2:$A$5000=$DF$271)*(ISNUMBER(SEARCH($DF278,球員狀態!$B$2:$B$5000))),0)),"")</f>
        <v/>
      </c>
      <c r="EG278" s="56"/>
      <c r="EI278" s="35" t="str">
        <f>先發名單!R$11</f>
        <v>Jose Ramirez</v>
      </c>
      <c r="EJ278" s="4" t="str">
        <f t="array" ref="EJ278">IFERROR(INDEX(球員狀態!C$2:C$5000, MATCH(1, (球員狀態!$A$2:$A$5000=$EI$271)*(ISNUMBER(SEARCH($EI278, 球員狀態!$B$2:$B$5000))), 0)), "")</f>
        <v/>
      </c>
      <c r="EM278" s="4" t="str">
        <f t="array" ref="EM278">IFERROR(INDEX(球員狀態!F$2:F$5000, MATCH(1, (球員狀態!$A$2:$A$5000=$EI$271)*(ISNUMBER(SEARCH($EI278, 球員狀態!$B$2:$B$5000))), 0)), "")</f>
        <v/>
      </c>
      <c r="EN278" s="4" t="str">
        <f t="array" ref="EN278">IFERROR(INDEX(球員狀態!G$2:G$5000, MATCH(1, (球員狀態!$A$2:$A$5000=$EI$1)*(ISNUMBER(SEARCH($EI278, 球員狀態!$B$2:$B$5000))), 0)), "")</f>
        <v>24</v>
      </c>
      <c r="EO278" s="4" t="str">
        <f t="array" ref="EO278">IFERROR(INDEX(球員狀態!H$2:H$5000, MATCH(1, (球員狀態!$A$2:$A$5000=$EI$271)*(ISNUMBER(SEARCH($EI278, 球員狀態!$B$2:$B$5000))), 0)), "")</f>
        <v/>
      </c>
      <c r="EP278" s="4" t="str">
        <f t="array" ref="EP278">IFERROR(INDEX(球員狀態!I$2:I$5000, MATCH(1, (球員狀態!$A$2:$A$5000=$EI$271)*(ISNUMBER(SEARCH($EI278, 球員狀態!$B$2:$B$5000))), 0)), "")</f>
        <v/>
      </c>
      <c r="EQ278" s="4" t="str">
        <f t="array" ref="EQ278">IFERROR(INDEX(球員狀態!J$2:J$5000, MATCH(1, (球員狀態!$A$2:$A$5000=$EI$271)*(ISNUMBER(SEARCH($EI278, 球員狀態!$B$2:$B$5000))), 0)), "")</f>
        <v/>
      </c>
      <c r="ER278" s="4" t="str">
        <f t="array" ref="ER278">IFERROR(INDEX(球員狀態!K$2:K$5000, MATCH(1, (球員狀態!$A$2:$A$5000=$EI$271)*(ISNUMBER(SEARCH($EI278, 球員狀態!$B$2:$B$5000))), 0)), "")</f>
        <v/>
      </c>
      <c r="ES278" s="4" t="str">
        <f t="array" ref="ES278">IFERROR(INDEX(球員狀態!L$2:L$5000, MATCH(1, (球員狀態!$A$2:$A$5000=$EI$271)*(ISNUMBER(SEARCH($EI278, 球員狀態!$B$2:$B$5000))), 0)), "")</f>
        <v/>
      </c>
      <c r="ET278" s="4" t="str">
        <f t="array" ref="ET278">IFERROR(INDEX(球員狀態!M$2:M$5000, MATCH(1, (球員狀態!$A$2:$A$5000=$EI$271)*(ISNUMBER(SEARCH($EI278, 球員狀態!$B$2:$B$5000))), 0)), "")</f>
        <v/>
      </c>
      <c r="EU278" s="4" t="str">
        <f t="array" ref="EU278">IFERROR(INDEX(球員狀態!N$2:N$5000, MATCH(1, (球員狀態!$A$2:$A$5000=$EI$271)*(ISNUMBER(SEARCH($EI278, 球員狀態!$B$2:$B$5000))), 0)), "")</f>
        <v/>
      </c>
      <c r="EV278" s="4" t="str">
        <f t="array" ref="EV278">IFERROR(INDEX(球員狀態!O$2:O$5000, MATCH(1, (球員狀態!$A$2:$A$5000=$EI$1)*(ISNUMBER(SEARCH($EI278, 球員狀態!$B$2:$B$5000))), 0)), "")</f>
        <v>11</v>
      </c>
      <c r="EW278" s="4" t="str">
        <f t="array" ref="EW278">IFERROR(INDEX(球員狀態!P$2:P$5000, MATCH(1, (球員狀態!$A$2:$A$5000=$EI$1)*(ISNUMBER(SEARCH($EI278, 球員狀態!$B$2:$B$5000))), 0)), "")</f>
        <v>.229</v>
      </c>
      <c r="EX278" s="4" t="str">
        <f t="array" ref="EX278">IFERROR(INDEX(球員狀態!Q$2:Q$5000, MATCH(1, (球員狀態!$A$2:$A$5000=$EI$271)*(ISNUMBER(SEARCH($EI278, 球員狀態!$B$2:$B$5000))), 0)), "")</f>
        <v/>
      </c>
      <c r="EY278" s="4" t="str">
        <f t="array" ref="EY278">IFERROR(INDEX(球員狀態!R$2:R$5000, MATCH(1, (球員狀態!$A$2:$A$5000=$EI$1)*(ISNUMBER(SEARCH($EI278, 球員狀態!$B$2:$B$5000))), 0)), "")</f>
        <v>.457</v>
      </c>
      <c r="EZ278" s="4" t="str">
        <f t="array" ref="EZ278">IFERROR(INDEX(球員狀態!S$2:S$5000, MATCH(1, (球員狀態!$A$2:$A$5000=$EI$1)*(ISNUMBER(SEARCH($EI278, 球員狀態!$B$2:$B$5000))), 0)), "")</f>
        <v>.814</v>
      </c>
      <c r="FA278" s="4" t="str">
        <f t="array" ref="FA278">IFERROR(INDEX(球員狀態!T$2:T$5000, MATCH(1, (球員狀態!$A$2:$A$5000=$EI$271)*(ISNUMBER(SEARCH($EI278, 球員狀態!$B$2:$B$5000))), 0)), "")</f>
        <v/>
      </c>
      <c r="FB278" s="4" t="str">
        <f t="array" ref="FB278">IFERROR(INDEX(球員狀態!U$2:U$5000, MATCH(1, (球員狀態!$A$2:$A$5000=$EI$1)*(ISNUMBER(SEARCH($EI278, 球員狀態!$B$2:$B$5000))), 0)), "")</f>
        <v>20.4</v>
      </c>
      <c r="FC278" s="4" t="str">
        <f t="array" ref="FC278">IFERROR(INDEX(球員狀態!V$2:V$5000, MATCH(1, (球員狀態!$A$2:$A$5000=$EI$1)*(ISNUMBER(SEARCH($EI278, 球員狀態!$B$2:$B$5000))), 0)), "")</f>
        <v>6.7</v>
      </c>
      <c r="FD278" s="4" t="str">
        <f t="array" ref="FD278">IFERROR(INDEX(球員狀態!W$2:W$5000, MATCH(1, (球員狀態!$A$2:$A$5000=$EI$271)*(ISNUMBER(SEARCH($EI278, 球員狀態!$B$2:$B$5000))), 0)), "")</f>
        <v/>
      </c>
      <c r="FE278" s="4" t="str">
        <f t="array" ref="FE278">IFERROR(INDEX(球員狀態!X$2:X$5000, MATCH(1, (球員狀態!$A$2:$A$5000=$EI$1)*(ISNUMBER(SEARCH($EI278, 球員狀態!$B$2:$B$5000))), 0)), "")</f>
        <v>1.24</v>
      </c>
      <c r="FF278" s="4" t="str">
        <f t="array" ref="FF278">IFERROR(INDEX(球員狀態!Y$2:Y$5000, MATCH(1, (球員狀態!$A$2:$A$5000=$EI$1)*(ISNUMBER(SEARCH($EI278, 球員狀態!$B$2:$B$5000))), 0)), "")</f>
        <v>.229</v>
      </c>
      <c r="FG278" s="4" t="str">
        <f t="array" ref="FG278">IFERROR(INDEX(球員狀態!Z$2:Z$5000, MATCH(1, (球員狀態!$A$2:$A$5000=$EI$271)*(ISNUMBER(SEARCH($EI278, 球員狀態!$B$2:$B$5000))), 0)), "")</f>
        <v/>
      </c>
      <c r="FH278" s="4" t="str">
        <f t="array" ref="FH278">IFERROR(INDEX(球員狀態!AA$2:AA$5000, MATCH(1, (球員狀態!$A$2:$A$5000=$EI$271)*(ISNUMBER(SEARCH($EI278, 球員狀態!$B$2:$B$5000))), 0)), "")</f>
        <v/>
      </c>
      <c r="FI278" s="4" t="str">
        <f t="array" ref="FI278">IFERROR(INDEX(球員狀態!AB$2:AB$5000, MATCH(1, (球員狀態!$A$2:$A$5000=$EI$271)*(ISNUMBER(SEARCH($EI278, 球員狀態!$B$2:$B$5000))), 0)), "")</f>
        <v/>
      </c>
    </row>
    <row r="279" spans="110:165">
      <c r="DF279" s="33"/>
      <c r="DG279" s="4"/>
      <c r="DH279" s="40" t="e">
        <f>DJ279+DL279+DM279+DN279+DO279-DP279-DQ279+DR279</f>
        <v>#VALUE!</v>
      </c>
      <c r="DI279" s="42" t="e">
        <f>DU279+DX279+EA279+ED279+EE279+EF279</f>
        <v>#VALUE!</v>
      </c>
      <c r="DJ279" s="38" t="e">
        <f>VLOOKUP(DJ278*1, FK$2:FM$12, 3, TRUE)*FM$1</f>
        <v>#VALUE!</v>
      </c>
      <c r="DL279" s="38" t="e">
        <f>VLOOKUP(DL278*1, FN$2:FP$12, 3, TRUE)*FP$1</f>
        <v>#VALUE!</v>
      </c>
      <c r="DM279" s="38" t="e">
        <f>VLOOKUP(DM278*1, FQ$2:FS$12, 3, TRUE)*FS$1</f>
        <v>#VALUE!</v>
      </c>
      <c r="DN279" s="38" t="e">
        <f>VLOOKUP(DN278*1, FT$2:FV$12, 3, TRUE)*FV$1</f>
        <v>#VALUE!</v>
      </c>
      <c r="DO279" s="38" t="e">
        <f>VLOOKUP(DO278*1, FW$2:FY$12, 3, TRUE)*FY$1</f>
        <v>#VALUE!</v>
      </c>
      <c r="DP279" s="39" t="e">
        <f>VLOOKUP(DP278*1, FK$14:FM$25, 3, TRUE)*FM$14</f>
        <v>#VALUE!</v>
      </c>
      <c r="DQ279" s="39" t="e">
        <f>VLOOKUP(DQ278*1, FN$14:FP$25, 3, TRUE)*FP$14</f>
        <v>#VALUE!</v>
      </c>
      <c r="DR279" s="38" t="e">
        <f>VLOOKUP(DR278*1, FQ$14:FS$25, 3, TRUE)*FS$14</f>
        <v>#VALUE!</v>
      </c>
      <c r="DU279" s="41" t="e">
        <f>VLOOKUP(DU278*1, FK$27:FM$38, 3, TRUE)*FM$27</f>
        <v>#VALUE!</v>
      </c>
      <c r="DX279" s="41" t="e">
        <f>VLOOKUP(DX278*1, FN$27:FP$38, 3, TRUE)*FP$27</f>
        <v>#VALUE!</v>
      </c>
      <c r="EA279" s="41" t="e">
        <f>VLOOKUP(EA278*1, FQ$27:FS$38, 3, TRUE)*FS$27</f>
        <v>#VALUE!</v>
      </c>
      <c r="ED279" s="41" t="e">
        <f>VLOOKUP(ED278*1, FT$27:FV$38, 3, TRUE)*FV$27</f>
        <v>#VALUE!</v>
      </c>
      <c r="EE279" s="41" t="e">
        <f>VLOOKUP(EE278*1, FW$27:FY$38, 3, TRUE)*FY$27</f>
        <v>#VALUE!</v>
      </c>
      <c r="EF279" s="41" t="e">
        <f>VLOOKUP(EF278*1, FK$40:FM$51, 3, TRUE)*FM$40</f>
        <v>#VALUE!</v>
      </c>
      <c r="EG279" s="57"/>
      <c r="EI279" s="33"/>
      <c r="EJ279" s="4"/>
      <c r="EK279" s="40" t="e">
        <f>EM279+EO279+EP279+EQ279+ER279-ES279-ET279+EU279</f>
        <v>#VALUE!</v>
      </c>
      <c r="EL279" s="42" t="e">
        <f>EX279+FA279+FD279+FG279+FH279+FI279</f>
        <v>#VALUE!</v>
      </c>
      <c r="EM279" s="38" t="e">
        <f>VLOOKUP(EM278*1, $FK$2:$FM$12, 3, TRUE)*$FM$1</f>
        <v>#VALUE!</v>
      </c>
      <c r="EO279" s="38" t="e">
        <f>VLOOKUP(EO278*1, $FN$2:$FP$12, 3, TRUE)*$FP$1</f>
        <v>#VALUE!</v>
      </c>
      <c r="EP279" s="38" t="e">
        <f>VLOOKUP(EP278*1, $FQ$2:$FS$12, 3, TRUE)*$FS$1</f>
        <v>#VALUE!</v>
      </c>
      <c r="EQ279" s="38" t="e">
        <f>VLOOKUP(EQ278*1, $FT$2:$FV$12, 3, TRUE)*$FV$1</f>
        <v>#VALUE!</v>
      </c>
      <c r="ER279" s="38" t="e">
        <f>VLOOKUP(ER278*1, $FW$2:$FY$12, 3, TRUE)*$FY$1</f>
        <v>#VALUE!</v>
      </c>
      <c r="ES279" s="39" t="e">
        <f>VLOOKUP(ES278*1, $FK$14:$FM$25, 3, TRUE)*$FM$14</f>
        <v>#VALUE!</v>
      </c>
      <c r="ET279" s="39" t="e">
        <f>VLOOKUP(ET278*1, $FN$14:$FP$25, 3, TRUE)*$FP$14</f>
        <v>#VALUE!</v>
      </c>
      <c r="EU279" s="38" t="e">
        <f>VLOOKUP(EU278*1, $FQ$14:$FS$25, 3, TRUE)*$FS$14</f>
        <v>#VALUE!</v>
      </c>
      <c r="EX279" s="41" t="e">
        <f>VLOOKUP(EX278*1, $FK$27:$FM$38, 3, TRUE)*$FM$27</f>
        <v>#VALUE!</v>
      </c>
      <c r="FA279" s="41" t="e">
        <f>VLOOKUP(FA278*1, $FN$27:$FP$38, 3, TRUE)*$FP$27</f>
        <v>#VALUE!</v>
      </c>
      <c r="FD279" s="41" t="e">
        <f>VLOOKUP(FD278*1, $FQ$27:$FS$38, 3, TRUE)*$FS$27</f>
        <v>#VALUE!</v>
      </c>
      <c r="FG279" s="41" t="e">
        <f>VLOOKUP(FG278*1, $FT$27:$FV$38, 3, TRUE)*$FV$27</f>
        <v>#VALUE!</v>
      </c>
      <c r="FH279" s="41" t="e">
        <f>VLOOKUP(FH278*1, $FW$27:$FY$38, 3, TRUE)*$FY$27</f>
        <v>#VALUE!</v>
      </c>
      <c r="FI279" s="41" t="e">
        <f>VLOOKUP(FI278*1, $FK$40:$FM$51, 3, TRUE)*$FM$40</f>
        <v>#VALUE!</v>
      </c>
    </row>
    <row r="280" spans="110:165">
      <c r="DF280" s="35" t="str">
        <f>先發名單!I$11</f>
        <v>J. Aranda</v>
      </c>
      <c r="DG280" s="4" t="str">
        <f t="array" ref="DG280">IFERROR(INDEX(球員狀態!$C$2:$C$5000, MATCH(1, (球員狀態!$A$2:$A$5000=$DF$271)*(ISNUMBER(SEARCH($DF280, 球員狀態!$B$2:$B$5000))), 0)), "")</f>
        <v/>
      </c>
      <c r="DJ280" s="4" t="str">
        <f t="array" ref="DJ280">IFERROR(INDEX(球員狀態!$F$2:$F$5000,MATCH(1,(球員狀態!$A$2:$A$5000=$DF$271)*(ISNUMBER(SEARCH($DF280,球員狀態!$B$2:$B$5000))),0)),"")</f>
        <v/>
      </c>
      <c r="DK280" s="4" t="str">
        <f t="array" ref="DK280">IFERROR(INDEX(球員狀態!G$2:G$5000, MATCH(1, (球員狀態!$A$2:$A$5000=$DF$1)*(ISNUMBER(SEARCH($DF280, 球員狀態!$B$2:$B$5000))), 0)), "")</f>
        <v/>
      </c>
      <c r="DL280" s="4" t="str">
        <f t="array" ref="DL280">IFERROR(INDEX(球員狀態!H$2:H$5000, MATCH(1, (球員狀態!$A$2:$A$5000=$DF$271)*(ISNUMBER(SEARCH($DF280, 球員狀態!$B$2:$B$5000))), 0)), "")</f>
        <v/>
      </c>
      <c r="DM280" s="4" t="str">
        <f t="array" ref="DM280">IFERROR(INDEX(球員狀態!I$2:I$5000,MATCH(1,(球員狀態!$A$2:$A$5000=$DF$271)*(ISNUMBER(SEARCH($DF280,球員狀態!$B$2:$B$5000))),0)),"")</f>
        <v/>
      </c>
      <c r="DN280" s="4" t="str">
        <f t="array" ref="DN280">IFERROR(INDEX(球員狀態!J$2:J$5000,MATCH(1,(球員狀態!$A$2:$A$5000=$DF$271)*(ISNUMBER(SEARCH($DF280,球員狀態!$B$2:$B$5000))),0)),"")</f>
        <v/>
      </c>
      <c r="DO280" s="4" t="str">
        <f t="array" ref="DO280">IFERROR(INDEX(球員狀態!K$2:K$5000,MATCH(1,(球員狀態!$A$2:$A$5000=$DF$271)*(ISNUMBER(SEARCH($DF280,球員狀態!$B$2:$B$5000))),0)),"")</f>
        <v/>
      </c>
      <c r="DP280" s="4" t="str">
        <f t="array" ref="DP280">IFERROR(INDEX(球員狀態!L$2:L$5000,MATCH(1,(球員狀態!$A$2:$A$5000=$DF$271)*(ISNUMBER(SEARCH($DF280,球員狀態!$B$2:$B$5000))),0)),"")</f>
        <v/>
      </c>
      <c r="DQ280" s="4" t="str">
        <f t="array" ref="DQ280">IFERROR(INDEX(球員狀態!M$2:M$5000,MATCH(1,(球員狀態!$A$2:$A$5000=$DF$271)*(ISNUMBER(SEARCH($DF280,球員狀態!$B$2:$B$5000))),0)),"")</f>
        <v/>
      </c>
      <c r="DR280" s="4" t="str">
        <f t="array" ref="DR280">IFERROR(INDEX(球員狀態!N$2:N$5000,MATCH(1,(球員狀態!$A$2:$A$5000=$DF$271)*(ISNUMBER(SEARCH($DF280,球員狀態!$B$2:$B$5000))),0)),"")</f>
        <v/>
      </c>
      <c r="DS280" s="4" t="str">
        <f t="array" ref="DS280">IFERROR(INDEX(球員狀態!O$2:O$5000, MATCH(1, (球員狀態!$A$2:$A$5000=$DF$1)*(ISNUMBER(SEARCH($DF280, 球員狀態!$B$2:$B$5000))), 0)), "")</f>
        <v/>
      </c>
      <c r="DT280" s="4" t="str">
        <f t="array" ref="DT280">IFERROR(INDEX(球員狀態!P$2:P$5000, MATCH(1, (球員狀態!$A$2:$A$5000=$DF$1)*(ISNUMBER(SEARCH($DF280, 球員狀態!$B$2:$B$5000))), 0)), "")</f>
        <v/>
      </c>
      <c r="DU280" s="4" t="str">
        <f t="array" ref="DU280">IFERROR(INDEX(球員狀態!Q$2:Q$5000,MATCH(1,(球員狀態!$A$2:$A$5000=$DF$271)*(ISNUMBER(SEARCH($DF280,球員狀態!$B$2:$B$5000))),0)),"")</f>
        <v/>
      </c>
      <c r="DV280" s="4" t="str">
        <f t="array" ref="DV280">IFERROR(INDEX(球員狀態!R$2:R$5000, MATCH(1, (球員狀態!$A$2:$A$5000=$DF$1)*(ISNUMBER(SEARCH($DF280, 球員狀態!$B$2:$B$5000))), 0)), "")</f>
        <v/>
      </c>
      <c r="DW280" s="4" t="str">
        <f t="array" ref="DW280">IFERROR(INDEX(球員狀態!S$2:S$5000, MATCH(1, (球員狀態!$A$2:$A$5000=$DF$1)*(ISNUMBER(SEARCH($DF280, 球員狀態!$B$2:$B$5000))), 0)), "")</f>
        <v/>
      </c>
      <c r="DX280" s="4" t="str">
        <f t="array" ref="DX280">IFERROR(INDEX(球員狀態!T$2:T$5000,MATCH(1,(球員狀態!$A$2:$A$5000=$DF$271)*(ISNUMBER(SEARCH($DF280,球員狀態!$B$2:$B$5000))),0)),"")</f>
        <v/>
      </c>
      <c r="DY280" s="4" t="str">
        <f t="array" ref="DY280">IFERROR(INDEX(球員狀態!U$2:U$5000, MATCH(1, (球員狀態!$A$2:$A$5000=$DF$1)*(ISNUMBER(SEARCH($DF280, 球員狀態!$B$2:$B$5000))), 0)), "")</f>
        <v/>
      </c>
      <c r="DZ280" s="4" t="str">
        <f t="array" ref="DZ280">IFERROR(INDEX(球員狀態!V$2:V$5000, MATCH(1, (球員狀態!$A$2:$A$5000=$DF$1)*(ISNUMBER(SEARCH($DF280, 球員狀態!$B$2:$B$5000))), 0)), "")</f>
        <v/>
      </c>
      <c r="EA280" s="4" t="str">
        <f t="array" ref="EA280">IFERROR(INDEX(球員狀態!W$2:W$5000,MATCH(1,(球員狀態!$A$2:$A$5000=$DF$271)*(ISNUMBER(SEARCH($DF280,球員狀態!$B$2:$B$5000))),0)),"")</f>
        <v/>
      </c>
      <c r="EB280" s="4" t="str">
        <f t="array" ref="EB280">IFERROR(INDEX(球員狀態!X$2:X$5000, MATCH(1, (球員狀態!$A$2:$A$5000=$DF$1)*(ISNUMBER(SEARCH($DF280, 球員狀態!$B$2:$B$5000))), 0)), "")</f>
        <v/>
      </c>
      <c r="EC280" s="4" t="str">
        <f t="array" ref="EC280">IFERROR(INDEX(球員狀態!Y$2:Y$5000, MATCH(1, (球員狀態!$A$2:$A$5000=$DF$1)*(ISNUMBER(SEARCH($DF280, 球員狀態!$B$2:$B$5000))), 0)), "")</f>
        <v/>
      </c>
      <c r="ED280" s="4" t="str">
        <f t="array" ref="ED280">IFERROR(INDEX(球員狀態!Z$2:Z$5000,MATCH(1,(球員狀態!$A$2:$A$5000=$DF$271)*(ISNUMBER(SEARCH($DF280,球員狀態!$B$2:$B$5000))),0)),"")</f>
        <v/>
      </c>
      <c r="EE280" s="4" t="str">
        <f t="array" ref="EE280">IFERROR(INDEX(球員狀態!AA$2:AA$5000,MATCH(1,(球員狀態!$A$2:$A$5000=$DF$271)*(ISNUMBER(SEARCH($DF280,球員狀態!$B$2:$B$5000))),0)),"")</f>
        <v/>
      </c>
      <c r="EF280" s="4" t="str">
        <f t="array" ref="EF280">IFERROR(INDEX(球員狀態!AB$2:AB$5000,MATCH(1,(球員狀態!$A$2:$A$5000=$DF$271)*(ISNUMBER(SEARCH($DF280,球員狀態!$B$2:$B$5000))),0)),"")</f>
        <v/>
      </c>
      <c r="EG280" s="56"/>
      <c r="EI280" s="35" t="str">
        <f>先發名單!S$11</f>
        <v>K. Manzardo</v>
      </c>
      <c r="EJ280" s="4" t="str">
        <f t="array" ref="EJ280">IFERROR(INDEX(球員狀態!C$2:C$5000, MATCH(1, (球員狀態!$A$2:$A$5000=$EI$271)*(ISNUMBER(SEARCH($EI280, 球員狀態!$B$2:$B$5000))), 0)), "")</f>
        <v/>
      </c>
      <c r="EM280" s="4" t="str">
        <f t="array" ref="EM280">IFERROR(INDEX(球員狀態!F$2:F$5000, MATCH(1, (球員狀態!$A$2:$A$5000=$EI$271)*(ISNUMBER(SEARCH($EI280, 球員狀態!$B$2:$B$5000))), 0)), "")</f>
        <v/>
      </c>
      <c r="EN280" s="4" t="str">
        <f t="array" ref="EN280">IFERROR(INDEX(球員狀態!G$2:G$5000, MATCH(1, (球員狀態!$A$2:$A$5000=$EI$1)*(ISNUMBER(SEARCH($EI280, 球員狀態!$B$2:$B$5000))), 0)), "")</f>
        <v/>
      </c>
      <c r="EO280" s="4" t="str">
        <f t="array" ref="EO280">IFERROR(INDEX(球員狀態!H$2:H$5000, MATCH(1, (球員狀態!$A$2:$A$5000=$EI$271)*(ISNUMBER(SEARCH($EI280, 球員狀態!$B$2:$B$5000))), 0)), "")</f>
        <v/>
      </c>
      <c r="EP280" s="4" t="str">
        <f t="array" ref="EP280">IFERROR(INDEX(球員狀態!I$2:I$5000, MATCH(1, (球員狀態!$A$2:$A$5000=$EI$271)*(ISNUMBER(SEARCH($EI280, 球員狀態!$B$2:$B$5000))), 0)), "")</f>
        <v/>
      </c>
      <c r="EQ280" s="4" t="str">
        <f t="array" ref="EQ280">IFERROR(INDEX(球員狀態!J$2:J$5000, MATCH(1, (球員狀態!$A$2:$A$5000=$EI$271)*(ISNUMBER(SEARCH($EI280, 球員狀態!$B$2:$B$5000))), 0)), "")</f>
        <v/>
      </c>
      <c r="ER280" s="4" t="str">
        <f t="array" ref="ER280">IFERROR(INDEX(球員狀態!K$2:K$5000, MATCH(1, (球員狀態!$A$2:$A$5000=$EI$271)*(ISNUMBER(SEARCH($EI280, 球員狀態!$B$2:$B$5000))), 0)), "")</f>
        <v/>
      </c>
      <c r="ES280" s="4" t="str">
        <f t="array" ref="ES280">IFERROR(INDEX(球員狀態!L$2:L$5000, MATCH(1, (球員狀態!$A$2:$A$5000=$EI$271)*(ISNUMBER(SEARCH($EI280, 球員狀態!$B$2:$B$5000))), 0)), "")</f>
        <v/>
      </c>
      <c r="ET280" s="4" t="str">
        <f t="array" ref="ET280">IFERROR(INDEX(球員狀態!M$2:M$5000, MATCH(1, (球員狀態!$A$2:$A$5000=$EI$271)*(ISNUMBER(SEARCH($EI280, 球員狀態!$B$2:$B$5000))), 0)), "")</f>
        <v/>
      </c>
      <c r="EU280" s="4" t="str">
        <f t="array" ref="EU280">IFERROR(INDEX(球員狀態!N$2:N$5000, MATCH(1, (球員狀態!$A$2:$A$5000=$EI$271)*(ISNUMBER(SEARCH($EI280, 球員狀態!$B$2:$B$5000))), 0)), "")</f>
        <v/>
      </c>
      <c r="EV280" s="4" t="str">
        <f t="array" ref="EV280">IFERROR(INDEX(球員狀態!O$2:O$5000, MATCH(1, (球員狀態!$A$2:$A$5000=$EI$1)*(ISNUMBER(SEARCH($EI280, 球員狀態!$B$2:$B$5000))), 0)), "")</f>
        <v/>
      </c>
      <c r="EW280" s="4" t="str">
        <f t="array" ref="EW280">IFERROR(INDEX(球員狀態!P$2:P$5000, MATCH(1, (球員狀態!$A$2:$A$5000=$EI$1)*(ISNUMBER(SEARCH($EI280, 球員狀態!$B$2:$B$5000))), 0)), "")</f>
        <v/>
      </c>
      <c r="EX280" s="4" t="str">
        <f t="array" ref="EX280">IFERROR(INDEX(球員狀態!Q$2:Q$5000, MATCH(1, (球員狀態!$A$2:$A$5000=$EI$271)*(ISNUMBER(SEARCH($EI280, 球員狀態!$B$2:$B$5000))), 0)), "")</f>
        <v/>
      </c>
      <c r="EY280" s="4" t="str">
        <f t="array" ref="EY280">IFERROR(INDEX(球員狀態!R$2:R$5000, MATCH(1, (球員狀態!$A$2:$A$5000=$EI$1)*(ISNUMBER(SEARCH($EI280, 球員狀態!$B$2:$B$5000))), 0)), "")</f>
        <v/>
      </c>
      <c r="EZ280" s="4" t="str">
        <f t="array" ref="EZ280">IFERROR(INDEX(球員狀態!S$2:S$5000, MATCH(1, (球員狀態!$A$2:$A$5000=$EI$1)*(ISNUMBER(SEARCH($EI280, 球員狀態!$B$2:$B$5000))), 0)), "")</f>
        <v/>
      </c>
      <c r="FA280" s="4" t="str">
        <f t="array" ref="FA280">IFERROR(INDEX(球員狀態!T$2:T$5000, MATCH(1, (球員狀態!$A$2:$A$5000=$EI$271)*(ISNUMBER(SEARCH($EI280, 球員狀態!$B$2:$B$5000))), 0)), "")</f>
        <v/>
      </c>
      <c r="FB280" s="4" t="str">
        <f t="array" ref="FB280">IFERROR(INDEX(球員狀態!U$2:U$5000, MATCH(1, (球員狀態!$A$2:$A$5000=$EI$1)*(ISNUMBER(SEARCH($EI280, 球員狀態!$B$2:$B$5000))), 0)), "")</f>
        <v/>
      </c>
      <c r="FC280" s="4" t="str">
        <f t="array" ref="FC280">IFERROR(INDEX(球員狀態!V$2:V$5000, MATCH(1, (球員狀態!$A$2:$A$5000=$EI$1)*(ISNUMBER(SEARCH($EI280, 球員狀態!$B$2:$B$5000))), 0)), "")</f>
        <v/>
      </c>
      <c r="FD280" s="4" t="str">
        <f t="array" ref="FD280">IFERROR(INDEX(球員狀態!W$2:W$5000, MATCH(1, (球員狀態!$A$2:$A$5000=$EI$271)*(ISNUMBER(SEARCH($EI280, 球員狀態!$B$2:$B$5000))), 0)), "")</f>
        <v/>
      </c>
      <c r="FE280" s="4" t="str">
        <f t="array" ref="FE280">IFERROR(INDEX(球員狀態!X$2:X$5000, MATCH(1, (球員狀態!$A$2:$A$5000=$EI$1)*(ISNUMBER(SEARCH($EI280, 球員狀態!$B$2:$B$5000))), 0)), "")</f>
        <v/>
      </c>
      <c r="FF280" s="4" t="str">
        <f t="array" ref="FF280">IFERROR(INDEX(球員狀態!Y$2:Y$5000, MATCH(1, (球員狀態!$A$2:$A$5000=$EI$1)*(ISNUMBER(SEARCH($EI280, 球員狀態!$B$2:$B$5000))), 0)), "")</f>
        <v/>
      </c>
      <c r="FG280" s="4" t="str">
        <f t="array" ref="FG280">IFERROR(INDEX(球員狀態!Z$2:Z$5000, MATCH(1, (球員狀態!$A$2:$A$5000=$EI$271)*(ISNUMBER(SEARCH($EI280, 球員狀態!$B$2:$B$5000))), 0)), "")</f>
        <v/>
      </c>
      <c r="FH280" s="4" t="str">
        <f t="array" ref="FH280">IFERROR(INDEX(球員狀態!AA$2:AA$5000, MATCH(1, (球員狀態!$A$2:$A$5000=$EI$271)*(ISNUMBER(SEARCH($EI280, 球員狀態!$B$2:$B$5000))), 0)), "")</f>
        <v/>
      </c>
      <c r="FI280" s="4" t="str">
        <f t="array" ref="FI280">IFERROR(INDEX(球員狀態!AB$2:AB$5000, MATCH(1, (球員狀態!$A$2:$A$5000=$EI$271)*(ISNUMBER(SEARCH($EI280, 球員狀態!$B$2:$B$5000))), 0)), "")</f>
        <v/>
      </c>
    </row>
    <row r="281" spans="110:165">
      <c r="DF281" s="33"/>
      <c r="DH281" s="40" t="e">
        <f>DJ281+DL281+DM281+DN281+DO281-DP281-DQ281+DR281</f>
        <v>#VALUE!</v>
      </c>
      <c r="DI281" s="42" t="e">
        <f>DU281+DX281+EA281+ED281+EE281+EF281</f>
        <v>#VALUE!</v>
      </c>
      <c r="DJ281" s="38" t="e">
        <f>VLOOKUP(DJ280*1, FK$2:FM$12, 3, TRUE)*FM$1</f>
        <v>#VALUE!</v>
      </c>
      <c r="DL281" s="38" t="e">
        <f>VLOOKUP(DL280*1, FN$2:FP$12, 3, TRUE)*FP$1</f>
        <v>#VALUE!</v>
      </c>
      <c r="DM281" s="38" t="e">
        <f>VLOOKUP(DM280*1, FQ$2:FS$12, 3, TRUE)*FS$1</f>
        <v>#VALUE!</v>
      </c>
      <c r="DN281" s="38" t="e">
        <f>VLOOKUP(DN280*1, FT$2:FV$12, 3, TRUE)*FV$1</f>
        <v>#VALUE!</v>
      </c>
      <c r="DO281" s="38" t="e">
        <f>VLOOKUP(DO280*1, FW$2:FY$12, 3, TRUE)*FY$1</f>
        <v>#VALUE!</v>
      </c>
      <c r="DP281" s="39" t="e">
        <f>VLOOKUP(DP280*1, FK$14:FM$25, 3, TRUE)*FM$14</f>
        <v>#VALUE!</v>
      </c>
      <c r="DQ281" s="39" t="e">
        <f>VLOOKUP(DQ280*1, FN$14:FP$25, 3, TRUE)*FP$14</f>
        <v>#VALUE!</v>
      </c>
      <c r="DR281" s="38" t="e">
        <f>VLOOKUP(DR280*1, FQ$14:FS$25, 3, TRUE)*FS$14</f>
        <v>#VALUE!</v>
      </c>
      <c r="DU281" s="41" t="e">
        <f>VLOOKUP(DU280*1, FK$27:FM$38, 3, TRUE)*FM$27</f>
        <v>#VALUE!</v>
      </c>
      <c r="DX281" s="41" t="e">
        <f>VLOOKUP(DX280*1, FN$27:FP$38, 3, TRUE)*FP$27</f>
        <v>#VALUE!</v>
      </c>
      <c r="EA281" s="41" t="e">
        <f>VLOOKUP(EA280*1, FQ$27:FS$38, 3, TRUE)*FS$27</f>
        <v>#VALUE!</v>
      </c>
      <c r="ED281" s="41" t="e">
        <f>VLOOKUP(ED280*1, FT$27:FV$38, 3, TRUE)*FV$27</f>
        <v>#VALUE!</v>
      </c>
      <c r="EE281" s="41" t="e">
        <f>VLOOKUP(EE280*1, FW$27:FY$38, 3, TRUE)*FY$27</f>
        <v>#VALUE!</v>
      </c>
      <c r="EF281" s="41" t="e">
        <f>VLOOKUP(EF280*1, FK$40:FM$51, 3, TRUE)*FM$40</f>
        <v>#VALUE!</v>
      </c>
      <c r="EG281" s="57"/>
      <c r="EI281" s="33"/>
      <c r="EK281" s="40" t="e">
        <f>EM281+EO281+EP281+EQ281+ER281-ES281-ET281+EU281</f>
        <v>#VALUE!</v>
      </c>
      <c r="EL281" s="42" t="e">
        <f>EX281+FA281+FD281+FG281+FH281+FI281</f>
        <v>#VALUE!</v>
      </c>
      <c r="EM281" s="38" t="e">
        <f>VLOOKUP(EM280*1, $FK$2:$FM$12, 3, TRUE)*$FM$1</f>
        <v>#VALUE!</v>
      </c>
      <c r="EO281" s="38" t="e">
        <f>VLOOKUP(EO280*1, $FN$2:$FP$12, 3, TRUE)*$FP$1</f>
        <v>#VALUE!</v>
      </c>
      <c r="EP281" s="38" t="e">
        <f>VLOOKUP(EP280*1, $FQ$2:$FS$12, 3, TRUE)*$FS$1</f>
        <v>#VALUE!</v>
      </c>
      <c r="EQ281" s="38" t="e">
        <f>VLOOKUP(EQ280*1, $FT$2:$FV$12, 3, TRUE)*$FV$1</f>
        <v>#VALUE!</v>
      </c>
      <c r="ER281" s="38" t="e">
        <f>VLOOKUP(ER280*1, $FW$2:$FY$12, 3, TRUE)*$FY$1</f>
        <v>#VALUE!</v>
      </c>
      <c r="ES281" s="39" t="e">
        <f>VLOOKUP(ES280*1, $FK$14:$FM$25, 3, TRUE)*$FM$14</f>
        <v>#VALUE!</v>
      </c>
      <c r="ET281" s="39" t="e">
        <f>VLOOKUP(ET280*1, $FN$14:$FP$25, 3, TRUE)*$FP$14</f>
        <v>#VALUE!</v>
      </c>
      <c r="EU281" s="38" t="e">
        <f>VLOOKUP(EU280*1, $FQ$14:$FS$25, 3, TRUE)*$FS$14</f>
        <v>#VALUE!</v>
      </c>
      <c r="EX281" s="41" t="e">
        <f>VLOOKUP(EX280*1, $FK$27:$FM$38, 3, TRUE)*$FM$27</f>
        <v>#VALUE!</v>
      </c>
      <c r="FA281" s="41" t="e">
        <f>VLOOKUP(FA280*1, $FN$27:$FP$38, 3, TRUE)*$FP$27</f>
        <v>#VALUE!</v>
      </c>
      <c r="FD281" s="41" t="e">
        <f>VLOOKUP(FD280*1, $FQ$27:$FS$38, 3, TRUE)*$FS$27</f>
        <v>#VALUE!</v>
      </c>
      <c r="FG281" s="41" t="e">
        <f>VLOOKUP(FG280*1, $FT$27:$FV$38, 3, TRUE)*$FV$27</f>
        <v>#VALUE!</v>
      </c>
      <c r="FH281" s="41" t="e">
        <f>VLOOKUP(FH280*1, $FW$27:$FY$38, 3, TRUE)*$FY$27</f>
        <v>#VALUE!</v>
      </c>
      <c r="FI281" s="41" t="e">
        <f>VLOOKUP(FI280*1, $FK$40:$FM$51, 3, TRUE)*$FM$40</f>
        <v>#VALUE!</v>
      </c>
    </row>
    <row r="282" spans="110:165">
      <c r="DF282" s="37" t="str">
        <f>先發名單!J$11</f>
        <v>Yandy Diaz</v>
      </c>
      <c r="DG282" s="4" t="str">
        <f t="array" ref="DG282">IFERROR(INDEX(球員狀態!$C$2:$C$5000, MATCH(1, (球員狀態!$A$2:$A$5000=$DF$271)*(ISNUMBER(SEARCH($DF282, 球員狀態!$B$2:$B$5000))), 0)), "")</f>
        <v/>
      </c>
      <c r="DJ282" s="4" t="str">
        <f t="array" ref="DJ282">IFERROR(INDEX(球員狀態!$F$2:$F$5000,MATCH(1,(球員狀態!$A$2:$A$5000=$DF$271)*(ISNUMBER(SEARCH($DF282,球員狀態!$B$2:$B$5000))),0)),"")</f>
        <v/>
      </c>
      <c r="DK282" s="4" t="str">
        <f t="array" ref="DK282">IFERROR(INDEX(球員狀態!G$2:G$5000, MATCH(1, (球員狀態!$A$2:$A$5000=$DF$1)*(ISNUMBER(SEARCH($DF282, 球員狀態!$B$2:$B$5000))), 0)), "")</f>
        <v>35</v>
      </c>
      <c r="DL282" s="4" t="str">
        <f t="array" ref="DL282">IFERROR(INDEX(球員狀態!H$2:H$5000, MATCH(1, (球員狀態!$A$2:$A$5000=$DF$271)*(ISNUMBER(SEARCH($DF282, 球員狀態!$B$2:$B$5000))), 0)), "")</f>
        <v/>
      </c>
      <c r="DM282" s="4" t="str">
        <f t="array" ref="DM282">IFERROR(INDEX(球員狀態!I$2:I$5000,MATCH(1,(球員狀態!$A$2:$A$5000=$DF$271)*(ISNUMBER(SEARCH($DF282,球員狀態!$B$2:$B$5000))),0)),"")</f>
        <v/>
      </c>
      <c r="DN282" s="4" t="str">
        <f t="array" ref="DN282">IFERROR(INDEX(球員狀態!J$2:J$5000,MATCH(1,(球員狀態!$A$2:$A$5000=$DF$271)*(ISNUMBER(SEARCH($DF282,球員狀態!$B$2:$B$5000))),0)),"")</f>
        <v/>
      </c>
      <c r="DO282" s="4" t="str">
        <f t="array" ref="DO282">IFERROR(INDEX(球員狀態!K$2:K$5000,MATCH(1,(球員狀態!$A$2:$A$5000=$DF$271)*(ISNUMBER(SEARCH($DF282,球員狀態!$B$2:$B$5000))),0)),"")</f>
        <v/>
      </c>
      <c r="DP282" s="4" t="str">
        <f t="array" ref="DP282">IFERROR(INDEX(球員狀態!L$2:L$5000,MATCH(1,(球員狀態!$A$2:$A$5000=$DF$271)*(ISNUMBER(SEARCH($DF282,球員狀態!$B$2:$B$5000))),0)),"")</f>
        <v/>
      </c>
      <c r="DQ282" s="4" t="str">
        <f t="array" ref="DQ282">IFERROR(INDEX(球員狀態!M$2:M$5000,MATCH(1,(球員狀態!$A$2:$A$5000=$DF$271)*(ISNUMBER(SEARCH($DF282,球員狀態!$B$2:$B$5000))),0)),"")</f>
        <v/>
      </c>
      <c r="DR282" s="4" t="str">
        <f t="array" ref="DR282">IFERROR(INDEX(球員狀態!N$2:N$5000,MATCH(1,(球員狀態!$A$2:$A$5000=$DF$271)*(ISNUMBER(SEARCH($DF282,球員狀態!$B$2:$B$5000))),0)),"")</f>
        <v/>
      </c>
      <c r="DS282" s="4" t="str">
        <f t="array" ref="DS282">IFERROR(INDEX(球員狀態!O$2:O$5000, MATCH(1, (球員狀態!$A$2:$A$5000=$DF$1)*(ISNUMBER(SEARCH($DF282, 球員狀態!$B$2:$B$5000))), 0)), "")</f>
        <v>1</v>
      </c>
      <c r="DT282" s="4" t="str">
        <f t="array" ref="DT282">IFERROR(INDEX(球員狀態!P$2:P$5000, MATCH(1, (球員狀態!$A$2:$A$5000=$DF$1)*(ISNUMBER(SEARCH($DF282, 球員狀態!$B$2:$B$5000))), 0)), "")</f>
        <v>.337</v>
      </c>
      <c r="DU282" s="4" t="str">
        <f t="array" ref="DU282">IFERROR(INDEX(球員狀態!Q$2:Q$5000,MATCH(1,(球員狀態!$A$2:$A$5000=$DF$271)*(ISNUMBER(SEARCH($DF282,球員狀態!$B$2:$B$5000))),0)),"")</f>
        <v/>
      </c>
      <c r="DV282" s="4" t="str">
        <f t="array" ref="DV282">IFERROR(INDEX(球員狀態!R$2:R$5000, MATCH(1, (球員狀態!$A$2:$A$5000=$DF$1)*(ISNUMBER(SEARCH($DF282, 球員狀態!$B$2:$B$5000))), 0)), "")</f>
        <v>.500</v>
      </c>
      <c r="DW282" s="4" t="str">
        <f t="array" ref="DW282">IFERROR(INDEX(球員狀態!S$2:S$5000, MATCH(1, (球員狀態!$A$2:$A$5000=$DF$1)*(ISNUMBER(SEARCH($DF282, 球員狀態!$B$2:$B$5000))), 0)), "")</f>
        <v>.925</v>
      </c>
      <c r="DX282" s="4" t="str">
        <f t="array" ref="DX282">IFERROR(INDEX(球員狀態!T$2:T$5000,MATCH(1,(球員狀態!$A$2:$A$5000=$DF$271)*(ISNUMBER(SEARCH($DF282,球員狀態!$B$2:$B$5000))),0)),"")</f>
        <v/>
      </c>
      <c r="DY282" s="4" t="str">
        <f t="array" ref="DY282">IFERROR(INDEX(球員狀態!U$2:U$5000, MATCH(1, (球員狀態!$A$2:$A$5000=$DF$1)*(ISNUMBER(SEARCH($DF282, 球員狀態!$B$2:$B$5000))), 0)), "")</f>
        <v>21.9</v>
      </c>
      <c r="DZ282" s="4" t="str">
        <f t="array" ref="DZ282">IFERROR(INDEX(球員狀態!V$2:V$5000, MATCH(1, (球員狀態!$A$2:$A$5000=$DF$1)*(ISNUMBER(SEARCH($DF282, 球員狀態!$B$2:$B$5000))), 0)), "")</f>
        <v>8.3</v>
      </c>
      <c r="EA282" s="4" t="str">
        <f t="array" ref="EA282">IFERROR(INDEX(球員狀態!W$2:W$5000,MATCH(1,(球員狀態!$A$2:$A$5000=$DF$271)*(ISNUMBER(SEARCH($DF282,球員狀態!$B$2:$B$5000))),0)),"")</f>
        <v/>
      </c>
      <c r="EB282" s="4" t="str">
        <f t="array" ref="EB282">IFERROR(INDEX(球員狀態!X$2:X$5000, MATCH(1, (球員狀態!$A$2:$A$5000=$DF$1)*(ISNUMBER(SEARCH($DF282, 球員狀態!$B$2:$B$5000))), 0)), "")</f>
        <v>0.79</v>
      </c>
      <c r="EC282" s="4" t="str">
        <f t="array" ref="EC282">IFERROR(INDEX(球員狀態!Y$2:Y$5000, MATCH(1, (球員狀態!$A$2:$A$5000=$DF$1)*(ISNUMBER(SEARCH($DF282, 球員狀態!$B$2:$B$5000))), 0)), "")</f>
        <v>.163</v>
      </c>
      <c r="ED282" s="4" t="str">
        <f t="array" ref="ED282">IFERROR(INDEX(球員狀態!Z$2:Z$5000,MATCH(1,(球員狀態!$A$2:$A$5000=$DF$271)*(ISNUMBER(SEARCH($DF282,球員狀態!$B$2:$B$5000))),0)),"")</f>
        <v/>
      </c>
      <c r="EE282" s="4" t="str">
        <f t="array" ref="EE282">IFERROR(INDEX(球員狀態!AA$2:AA$5000,MATCH(1,(球員狀態!$A$2:$A$5000=$DF$271)*(ISNUMBER(SEARCH($DF282,球員狀態!$B$2:$B$5000))),0)),"")</f>
        <v/>
      </c>
      <c r="EF282" s="4" t="str">
        <f t="array" ref="EF282">IFERROR(INDEX(球員狀態!AB$2:AB$5000,MATCH(1,(球員狀態!$A$2:$A$5000=$DF$271)*(ISNUMBER(SEARCH($DF282,球員狀態!$B$2:$B$5000))),0)),"")</f>
        <v/>
      </c>
      <c r="EG282" s="56"/>
      <c r="EI282" s="37" t="str">
        <f>先發名單!T$11</f>
        <v>G. Valera</v>
      </c>
      <c r="EJ282" s="4" t="str">
        <f t="array" ref="EJ282">IFERROR(INDEX(球員狀態!C$2:C$5000, MATCH(1, (球員狀態!$A$2:$A$5000=$EI$271)*(ISNUMBER(SEARCH($EI282, 球員狀態!$B$2:$B$5000))), 0)), "")</f>
        <v/>
      </c>
      <c r="EM282" s="4" t="str">
        <f t="array" ref="EM282">IFERROR(INDEX(球員狀態!F$2:F$5000, MATCH(1, (球員狀態!$A$2:$A$5000=$EI$271)*(ISNUMBER(SEARCH($EI282, 球員狀態!$B$2:$B$5000))), 0)), "")</f>
        <v/>
      </c>
      <c r="EN282" s="4" t="str">
        <f t="array" ref="EN282">IFERROR(INDEX(球員狀態!G$2:G$5000, MATCH(1, (球員狀態!$A$2:$A$5000=$EI$1)*(ISNUMBER(SEARCH($EI282, 球員狀態!$B$2:$B$5000))), 0)), "")</f>
        <v/>
      </c>
      <c r="EO282" s="4" t="str">
        <f t="array" ref="EO282">IFERROR(INDEX(球員狀態!H$2:H$5000, MATCH(1, (球員狀態!$A$2:$A$5000=$EI$271)*(ISNUMBER(SEARCH($EI282, 球員狀態!$B$2:$B$5000))), 0)), "")</f>
        <v/>
      </c>
      <c r="EP282" s="4" t="str">
        <f t="array" ref="EP282">IFERROR(INDEX(球員狀態!I$2:I$5000, MATCH(1, (球員狀態!$A$2:$A$5000=$EI$271)*(ISNUMBER(SEARCH($EI282, 球員狀態!$B$2:$B$5000))), 0)), "")</f>
        <v/>
      </c>
      <c r="EQ282" s="4" t="str">
        <f t="array" ref="EQ282">IFERROR(INDEX(球員狀態!J$2:J$5000, MATCH(1, (球員狀態!$A$2:$A$5000=$EI$271)*(ISNUMBER(SEARCH($EI282, 球員狀態!$B$2:$B$5000))), 0)), "")</f>
        <v/>
      </c>
      <c r="ER282" s="4" t="str">
        <f t="array" ref="ER282">IFERROR(INDEX(球員狀態!K$2:K$5000, MATCH(1, (球員狀態!$A$2:$A$5000=$EI$271)*(ISNUMBER(SEARCH($EI282, 球員狀態!$B$2:$B$5000))), 0)), "")</f>
        <v/>
      </c>
      <c r="ES282" s="4" t="str">
        <f t="array" ref="ES282">IFERROR(INDEX(球員狀態!L$2:L$5000, MATCH(1, (球員狀態!$A$2:$A$5000=$EI$271)*(ISNUMBER(SEARCH($EI282, 球員狀態!$B$2:$B$5000))), 0)), "")</f>
        <v/>
      </c>
      <c r="ET282" s="4" t="str">
        <f t="array" ref="ET282">IFERROR(INDEX(球員狀態!M$2:M$5000, MATCH(1, (球員狀態!$A$2:$A$5000=$EI$271)*(ISNUMBER(SEARCH($EI282, 球員狀態!$B$2:$B$5000))), 0)), "")</f>
        <v/>
      </c>
      <c r="EU282" s="4" t="str">
        <f t="array" ref="EU282">IFERROR(INDEX(球員狀態!N$2:N$5000, MATCH(1, (球員狀態!$A$2:$A$5000=$EI$271)*(ISNUMBER(SEARCH($EI282, 球員狀態!$B$2:$B$5000))), 0)), "")</f>
        <v/>
      </c>
      <c r="EV282" s="4" t="str">
        <f t="array" ref="EV282">IFERROR(INDEX(球員狀態!O$2:O$5000, MATCH(1, (球員狀態!$A$2:$A$5000=$EI$1)*(ISNUMBER(SEARCH($EI282, 球員狀態!$B$2:$B$5000))), 0)), "")</f>
        <v/>
      </c>
      <c r="EW282" s="4" t="str">
        <f t="array" ref="EW282">IFERROR(INDEX(球員狀態!P$2:P$5000, MATCH(1, (球員狀態!$A$2:$A$5000=$EI$1)*(ISNUMBER(SEARCH($EI282, 球員狀態!$B$2:$B$5000))), 0)), "")</f>
        <v/>
      </c>
      <c r="EX282" s="4" t="str">
        <f t="array" ref="EX282">IFERROR(INDEX(球員狀態!Q$2:Q$5000, MATCH(1, (球員狀態!$A$2:$A$5000=$EI$271)*(ISNUMBER(SEARCH($EI282, 球員狀態!$B$2:$B$5000))), 0)), "")</f>
        <v/>
      </c>
      <c r="EY282" s="4" t="str">
        <f t="array" ref="EY282">IFERROR(INDEX(球員狀態!R$2:R$5000, MATCH(1, (球員狀態!$A$2:$A$5000=$EI$1)*(ISNUMBER(SEARCH($EI282, 球員狀態!$B$2:$B$5000))), 0)), "")</f>
        <v/>
      </c>
      <c r="EZ282" s="4" t="str">
        <f t="array" ref="EZ282">IFERROR(INDEX(球員狀態!S$2:S$5000, MATCH(1, (球員狀態!$A$2:$A$5000=$EI$1)*(ISNUMBER(SEARCH($EI282, 球員狀態!$B$2:$B$5000))), 0)), "")</f>
        <v/>
      </c>
      <c r="FA282" s="4" t="str">
        <f t="array" ref="FA282">IFERROR(INDEX(球員狀態!T$2:T$5000, MATCH(1, (球員狀態!$A$2:$A$5000=$EI$271)*(ISNUMBER(SEARCH($EI282, 球員狀態!$B$2:$B$5000))), 0)), "")</f>
        <v/>
      </c>
      <c r="FB282" s="4" t="str">
        <f t="array" ref="FB282">IFERROR(INDEX(球員狀態!U$2:U$5000, MATCH(1, (球員狀態!$A$2:$A$5000=$EI$1)*(ISNUMBER(SEARCH($EI282, 球員狀態!$B$2:$B$5000))), 0)), "")</f>
        <v/>
      </c>
      <c r="FC282" s="4" t="str">
        <f t="array" ref="FC282">IFERROR(INDEX(球員狀態!V$2:V$5000, MATCH(1, (球員狀態!$A$2:$A$5000=$EI$1)*(ISNUMBER(SEARCH($EI282, 球員狀態!$B$2:$B$5000))), 0)), "")</f>
        <v/>
      </c>
      <c r="FD282" s="4" t="str">
        <f t="array" ref="FD282">IFERROR(INDEX(球員狀態!W$2:W$5000, MATCH(1, (球員狀態!$A$2:$A$5000=$EI$271)*(ISNUMBER(SEARCH($EI282, 球員狀態!$B$2:$B$5000))), 0)), "")</f>
        <v/>
      </c>
      <c r="FE282" s="4" t="str">
        <f t="array" ref="FE282">IFERROR(INDEX(球員狀態!X$2:X$5000, MATCH(1, (球員狀態!$A$2:$A$5000=$EI$1)*(ISNUMBER(SEARCH($EI282, 球員狀態!$B$2:$B$5000))), 0)), "")</f>
        <v/>
      </c>
      <c r="FF282" s="4" t="str">
        <f t="array" ref="FF282">IFERROR(INDEX(球員狀態!Y$2:Y$5000, MATCH(1, (球員狀態!$A$2:$A$5000=$EI$1)*(ISNUMBER(SEARCH($EI282, 球員狀態!$B$2:$B$5000))), 0)), "")</f>
        <v/>
      </c>
      <c r="FG282" s="4" t="str">
        <f t="array" ref="FG282">IFERROR(INDEX(球員狀態!Z$2:Z$5000, MATCH(1, (球員狀態!$A$2:$A$5000=$EI$271)*(ISNUMBER(SEARCH($EI282, 球員狀態!$B$2:$B$5000))), 0)), "")</f>
        <v/>
      </c>
      <c r="FH282" s="4" t="str">
        <f t="array" ref="FH282">IFERROR(INDEX(球員狀態!AA$2:AA$5000, MATCH(1, (球員狀態!$A$2:$A$5000=$EI$271)*(ISNUMBER(SEARCH($EI282, 球員狀態!$B$2:$B$5000))), 0)), "")</f>
        <v/>
      </c>
      <c r="FI282" s="4" t="str">
        <f t="array" ref="FI282">IFERROR(INDEX(球員狀態!AB$2:AB$5000, MATCH(1, (球員狀態!$A$2:$A$5000=$EI$271)*(ISNUMBER(SEARCH($EI282, 球員狀態!$B$2:$B$5000))), 0)), "")</f>
        <v/>
      </c>
    </row>
    <row r="283" spans="110:165">
      <c r="DF283" s="33"/>
      <c r="DH283" s="40" t="e">
        <f>DJ283+DL283+DM283+DN283+DO283-DP283-DQ283+DR283</f>
        <v>#VALUE!</v>
      </c>
      <c r="DI283" s="42" t="e">
        <f>DU283+DX283+EA283+ED283+EE283+EF283</f>
        <v>#VALUE!</v>
      </c>
      <c r="DJ283" s="38" t="e">
        <f>VLOOKUP(DJ282*1, FK$2:FM$12, 3, TRUE)*FM$1</f>
        <v>#VALUE!</v>
      </c>
      <c r="DL283" s="38" t="e">
        <f>VLOOKUP(DL282*1, FN$2:FP$12, 3, TRUE)*FP$1</f>
        <v>#VALUE!</v>
      </c>
      <c r="DM283" s="38" t="e">
        <f>VLOOKUP(DM282*1, FQ$2:FS$12, 3, TRUE)*FS$1</f>
        <v>#VALUE!</v>
      </c>
      <c r="DN283" s="38" t="e">
        <f>VLOOKUP(DN282*1, FT$2:FV$12, 3, TRUE)*FV$1</f>
        <v>#VALUE!</v>
      </c>
      <c r="DO283" s="38" t="e">
        <f>VLOOKUP(DO282*1, FW$2:FY$12, 3, TRUE)*FY$1</f>
        <v>#VALUE!</v>
      </c>
      <c r="DP283" s="39" t="e">
        <f>VLOOKUP(DP282*1, FK$14:FM$25, 3, TRUE)*FM$14</f>
        <v>#VALUE!</v>
      </c>
      <c r="DQ283" s="39" t="e">
        <f>VLOOKUP(DQ282*1, FN$14:FP$25, 3, TRUE)*FP$14</f>
        <v>#VALUE!</v>
      </c>
      <c r="DR283" s="38" t="e">
        <f>VLOOKUP(DR282*1, FQ$14:FS$25, 3, TRUE)*FS$14</f>
        <v>#VALUE!</v>
      </c>
      <c r="DU283" s="41" t="e">
        <f>VLOOKUP(DU282*1, FK$27:FM$38, 3, TRUE)*FM$27</f>
        <v>#VALUE!</v>
      </c>
      <c r="DX283" s="41" t="e">
        <f>VLOOKUP(DX282*1, FN$27:FP$38, 3, TRUE)*FP$27</f>
        <v>#VALUE!</v>
      </c>
      <c r="EA283" s="41" t="e">
        <f>VLOOKUP(EA282*1, FQ$27:FS$38, 3, TRUE)*FS$27</f>
        <v>#VALUE!</v>
      </c>
      <c r="ED283" s="41" t="e">
        <f>VLOOKUP(ED282*1, FT$27:FV$38, 3, TRUE)*FV$27</f>
        <v>#VALUE!</v>
      </c>
      <c r="EE283" s="41" t="e">
        <f>VLOOKUP(EE282*1, FW$27:FY$38, 3, TRUE)*FY$27</f>
        <v>#VALUE!</v>
      </c>
      <c r="EF283" s="41" t="e">
        <f>VLOOKUP(EF282*1, FK$40:FM$51, 3, TRUE)*FM$40</f>
        <v>#VALUE!</v>
      </c>
      <c r="EG283" s="57"/>
      <c r="EI283" s="33"/>
      <c r="EK283" s="40" t="e">
        <f>EM283+EO283+EP283+EQ283+ER283-ES283-ET283+EU283</f>
        <v>#VALUE!</v>
      </c>
      <c r="EL283" s="42" t="e">
        <f>EX283+FA283+FD283+FG283+FH283+FI283</f>
        <v>#VALUE!</v>
      </c>
      <c r="EM283" s="38" t="e">
        <f>VLOOKUP(EM282*1, $FK$2:$FM$12, 3, TRUE)*$FM$1</f>
        <v>#VALUE!</v>
      </c>
      <c r="EO283" s="38" t="e">
        <f>VLOOKUP(EO282*1, $FN$2:$FP$12, 3, TRUE)*$FP$1</f>
        <v>#VALUE!</v>
      </c>
      <c r="EP283" s="38" t="e">
        <f>VLOOKUP(EP282*1, $FQ$2:$FS$12, 3, TRUE)*$FS$1</f>
        <v>#VALUE!</v>
      </c>
      <c r="EQ283" s="38" t="e">
        <f>VLOOKUP(EQ282*1, $FT$2:$FV$12, 3, TRUE)*$FV$1</f>
        <v>#VALUE!</v>
      </c>
      <c r="ER283" s="38" t="e">
        <f>VLOOKUP(ER282*1, $FW$2:$FY$12, 3, TRUE)*$FY$1</f>
        <v>#VALUE!</v>
      </c>
      <c r="ES283" s="39" t="e">
        <f>VLOOKUP(ES282*1, $FK$14:$FM$25, 3, TRUE)*$FM$14</f>
        <v>#VALUE!</v>
      </c>
      <c r="ET283" s="39" t="e">
        <f>VLOOKUP(ET282*1, $FN$14:$FP$25, 3, TRUE)*$FP$14</f>
        <v>#VALUE!</v>
      </c>
      <c r="EU283" s="38" t="e">
        <f>VLOOKUP(EU282*1, $FQ$14:$FS$25, 3, TRUE)*$FS$14</f>
        <v>#VALUE!</v>
      </c>
      <c r="EX283" s="41" t="e">
        <f>VLOOKUP(EX282*1, $FK$27:$FM$38, 3, TRUE)*$FM$27</f>
        <v>#VALUE!</v>
      </c>
      <c r="FA283" s="41" t="e">
        <f>VLOOKUP(FA282*1, $FN$27:$FP$38, 3, TRUE)*$FP$27</f>
        <v>#VALUE!</v>
      </c>
      <c r="FD283" s="41" t="e">
        <f>VLOOKUP(FD282*1, $FQ$27:$FS$38, 3, TRUE)*$FS$27</f>
        <v>#VALUE!</v>
      </c>
      <c r="FG283" s="41" t="e">
        <f>VLOOKUP(FG282*1, $FT$27:$FV$38, 3, TRUE)*$FV$27</f>
        <v>#VALUE!</v>
      </c>
      <c r="FH283" s="41" t="e">
        <f>VLOOKUP(FH282*1, $FW$27:$FY$38, 3, TRUE)*$FY$27</f>
        <v>#VALUE!</v>
      </c>
      <c r="FI283" s="41" t="e">
        <f>VLOOKUP(FI282*1, $FK$40:$FM$51, 3, TRUE)*$FM$40</f>
        <v>#VALUE!</v>
      </c>
    </row>
    <row r="284" spans="110:165">
      <c r="DF284" s="37" t="str">
        <f>先發名單!K$11</f>
        <v>Jake Fraley</v>
      </c>
      <c r="DG284" s="4" t="str">
        <f t="array" ref="DG284">IFERROR(INDEX(球員狀態!$C$2:$C$5000, MATCH(1, (球員狀態!$A$2:$A$5000=$DF$271)*(ISNUMBER(SEARCH($DF284, 球員狀態!$B$2:$B$5000))), 0)), "")</f>
        <v/>
      </c>
      <c r="DJ284" s="4" t="str">
        <f t="array" ref="DJ284">IFERROR(INDEX(球員狀態!$F$2:$F$5000,MATCH(1,(球員狀態!$A$2:$A$5000=$DF$271)*(ISNUMBER(SEARCH($DF284,球員狀態!$B$2:$B$5000))),0)),"")</f>
        <v/>
      </c>
      <c r="DK284" s="4" t="str">
        <f t="array" ref="DK284">IFERROR(INDEX(球員狀態!G$2:G$5000, MATCH(1, (球員狀態!$A$2:$A$5000=$DF$1)*(ISNUMBER(SEARCH($DF284, 球員狀態!$B$2:$B$5000))), 0)), "")</f>
        <v>13</v>
      </c>
      <c r="DL284" s="4" t="str">
        <f t="array" ref="DL284">IFERROR(INDEX(球員狀態!H$2:H$5000, MATCH(1, (球員狀態!$A$2:$A$5000=$DF$271)*(ISNUMBER(SEARCH($DF284, 球員狀態!$B$2:$B$5000))), 0)), "")</f>
        <v/>
      </c>
      <c r="DM284" s="4" t="str">
        <f t="array" ref="DM284">IFERROR(INDEX(球員狀態!I$2:I$5000,MATCH(1,(球員狀態!$A$2:$A$5000=$DF$271)*(ISNUMBER(SEARCH($DF284,球員狀態!$B$2:$B$5000))),0)),"")</f>
        <v/>
      </c>
      <c r="DN284" s="4" t="str">
        <f t="array" ref="DN284">IFERROR(INDEX(球員狀態!J$2:J$5000,MATCH(1,(球員狀態!$A$2:$A$5000=$DF$271)*(ISNUMBER(SEARCH($DF284,球員狀態!$B$2:$B$5000))),0)),"")</f>
        <v/>
      </c>
      <c r="DO284" s="4" t="str">
        <f t="array" ref="DO284">IFERROR(INDEX(球員狀態!K$2:K$5000,MATCH(1,(球員狀態!$A$2:$A$5000=$DF$271)*(ISNUMBER(SEARCH($DF284,球員狀態!$B$2:$B$5000))),0)),"")</f>
        <v/>
      </c>
      <c r="DP284" s="4" t="str">
        <f t="array" ref="DP284">IFERROR(INDEX(球員狀態!L$2:L$5000,MATCH(1,(球員狀態!$A$2:$A$5000=$DF$271)*(ISNUMBER(SEARCH($DF284,球員狀態!$B$2:$B$5000))),0)),"")</f>
        <v/>
      </c>
      <c r="DQ284" s="4" t="str">
        <f t="array" ref="DQ284">IFERROR(INDEX(球員狀態!M$2:M$5000,MATCH(1,(球員狀態!$A$2:$A$5000=$DF$271)*(ISNUMBER(SEARCH($DF284,球員狀態!$B$2:$B$5000))),0)),"")</f>
        <v/>
      </c>
      <c r="DR284" s="4" t="str">
        <f t="array" ref="DR284">IFERROR(INDEX(球員狀態!N$2:N$5000,MATCH(1,(球員狀態!$A$2:$A$5000=$DF$271)*(ISNUMBER(SEARCH($DF284,球員狀態!$B$2:$B$5000))),0)),"")</f>
        <v/>
      </c>
      <c r="DS284" s="4" t="str">
        <f t="array" ref="DS284">IFERROR(INDEX(球員狀態!O$2:O$5000, MATCH(1, (球員狀態!$A$2:$A$5000=$DF$1)*(ISNUMBER(SEARCH($DF284, 球員狀態!$B$2:$B$5000))), 0)), "")</f>
        <v>2</v>
      </c>
      <c r="DT284" s="4" t="str">
        <f t="array" ref="DT284">IFERROR(INDEX(球員狀態!P$2:P$5000, MATCH(1, (球員狀態!$A$2:$A$5000=$DF$1)*(ISNUMBER(SEARCH($DF284, 球員狀態!$B$2:$B$5000))), 0)), "")</f>
        <v>.245</v>
      </c>
      <c r="DU284" s="4" t="str">
        <f t="array" ref="DU284">IFERROR(INDEX(球員狀態!Q$2:Q$5000,MATCH(1,(球員狀態!$A$2:$A$5000=$DF$271)*(ISNUMBER(SEARCH($DF284,球員狀態!$B$2:$B$5000))),0)),"")</f>
        <v/>
      </c>
      <c r="DV284" s="4" t="str">
        <f t="array" ref="DV284">IFERROR(INDEX(球員狀態!R$2:R$5000, MATCH(1, (球員狀態!$A$2:$A$5000=$DF$1)*(ISNUMBER(SEARCH($DF284, 球員狀態!$B$2:$B$5000))), 0)), "")</f>
        <v>.453</v>
      </c>
      <c r="DW284" s="4" t="str">
        <f t="array" ref="DW284">IFERROR(INDEX(球員狀態!S$2:S$5000, MATCH(1, (球員狀態!$A$2:$A$5000=$DF$1)*(ISNUMBER(SEARCH($DF284, 球員狀態!$B$2:$B$5000))), 0)), "")</f>
        <v>.775</v>
      </c>
      <c r="DX284" s="4" t="str">
        <f t="array" ref="DX284">IFERROR(INDEX(球員狀態!T$2:T$5000,MATCH(1,(球員狀態!$A$2:$A$5000=$DF$271)*(ISNUMBER(SEARCH($DF284,球員狀態!$B$2:$B$5000))),0)),"")</f>
        <v/>
      </c>
      <c r="DY284" s="4" t="str">
        <f t="array" ref="DY284">IFERROR(INDEX(球員狀態!U$2:U$5000, MATCH(1, (球員狀態!$A$2:$A$5000=$DF$1)*(ISNUMBER(SEARCH($DF284, 球員狀態!$B$2:$B$5000))), 0)), "")</f>
        <v>8.0</v>
      </c>
      <c r="DZ284" s="4" t="str">
        <f t="array" ref="DZ284">IFERROR(INDEX(球員狀態!V$2:V$5000, MATCH(1, (球員狀態!$A$2:$A$5000=$DF$1)*(ISNUMBER(SEARCH($DF284, 球員狀態!$B$2:$B$5000))), 0)), "")</f>
        <v>5.3</v>
      </c>
      <c r="EA284" s="4" t="str">
        <f t="array" ref="EA284">IFERROR(INDEX(球員狀態!W$2:W$5000,MATCH(1,(球員狀態!$A$2:$A$5000=$DF$271)*(ISNUMBER(SEARCH($DF284,球員狀態!$B$2:$B$5000))),0)),"")</f>
        <v/>
      </c>
      <c r="EB284" s="4" t="str">
        <f t="array" ref="EB284">IFERROR(INDEX(球員狀態!X$2:X$5000, MATCH(1, (球員狀態!$A$2:$A$5000=$DF$1)*(ISNUMBER(SEARCH($DF284, 球員狀態!$B$2:$B$5000))), 0)), "")</f>
        <v>0.43</v>
      </c>
      <c r="EC284" s="4" t="str">
        <f t="array" ref="EC284">IFERROR(INDEX(球員狀態!Y$2:Y$5000, MATCH(1, (球員狀態!$A$2:$A$5000=$DF$1)*(ISNUMBER(SEARCH($DF284, 球員狀態!$B$2:$B$5000))), 0)), "")</f>
        <v>.208</v>
      </c>
      <c r="ED284" s="4" t="str">
        <f t="array" ref="ED284">IFERROR(INDEX(球員狀態!Z$2:Z$5000,MATCH(1,(球員狀態!$A$2:$A$5000=$DF$271)*(ISNUMBER(SEARCH($DF284,球員狀態!$B$2:$B$5000))),0)),"")</f>
        <v/>
      </c>
      <c r="EE284" s="4" t="str">
        <f t="array" ref="EE284">IFERROR(INDEX(球員狀態!AA$2:AA$5000,MATCH(1,(球員狀態!$A$2:$A$5000=$DF$271)*(ISNUMBER(SEARCH($DF284,球員狀態!$B$2:$B$5000))),0)),"")</f>
        <v/>
      </c>
      <c r="EF284" s="4" t="str">
        <f t="array" ref="EF284">IFERROR(INDEX(球員狀態!AB$2:AB$5000,MATCH(1,(球員狀態!$A$2:$A$5000=$DF$271)*(ISNUMBER(SEARCH($DF284,球員狀態!$B$2:$B$5000))),0)),"")</f>
        <v/>
      </c>
      <c r="EG284" s="56"/>
      <c r="EI284" s="37" t="str">
        <f>先發名單!U$11</f>
        <v>D. Schneemann</v>
      </c>
      <c r="EJ284" s="4" t="str">
        <f t="array" ref="EJ284">IFERROR(INDEX(球員狀態!C$2:C$5000, MATCH(1, (球員狀態!$A$2:$A$5000=$EI$271)*(ISNUMBER(SEARCH($EI284, 球員狀態!$B$2:$B$5000))), 0)), "")</f>
        <v/>
      </c>
      <c r="EM284" s="4" t="str">
        <f t="array" ref="EM284">IFERROR(INDEX(球員狀態!F$2:F$5000, MATCH(1, (球員狀態!$A$2:$A$5000=$EI$271)*(ISNUMBER(SEARCH($EI284, 球員狀態!$B$2:$B$5000))), 0)), "")</f>
        <v/>
      </c>
      <c r="EN284" s="4" t="str">
        <f t="array" ref="EN284">IFERROR(INDEX(球員狀態!G$2:G$5000, MATCH(1, (球員狀態!$A$2:$A$5000=$EI$1)*(ISNUMBER(SEARCH($EI284, 球員狀態!$B$2:$B$5000))), 0)), "")</f>
        <v/>
      </c>
      <c r="EO284" s="4" t="str">
        <f t="array" ref="EO284">IFERROR(INDEX(球員狀態!H$2:H$5000, MATCH(1, (球員狀態!$A$2:$A$5000=$EI$271)*(ISNUMBER(SEARCH($EI284, 球員狀態!$B$2:$B$5000))), 0)), "")</f>
        <v/>
      </c>
      <c r="EP284" s="4" t="str">
        <f t="array" ref="EP284">IFERROR(INDEX(球員狀態!I$2:I$5000, MATCH(1, (球員狀態!$A$2:$A$5000=$EI$271)*(ISNUMBER(SEARCH($EI284, 球員狀態!$B$2:$B$5000))), 0)), "")</f>
        <v/>
      </c>
      <c r="EQ284" s="4" t="str">
        <f t="array" ref="EQ284">IFERROR(INDEX(球員狀態!J$2:J$5000, MATCH(1, (球員狀態!$A$2:$A$5000=$EI$271)*(ISNUMBER(SEARCH($EI284, 球員狀態!$B$2:$B$5000))), 0)), "")</f>
        <v/>
      </c>
      <c r="ER284" s="4" t="str">
        <f t="array" ref="ER284">IFERROR(INDEX(球員狀態!K$2:K$5000, MATCH(1, (球員狀態!$A$2:$A$5000=$EI$271)*(ISNUMBER(SEARCH($EI284, 球員狀態!$B$2:$B$5000))), 0)), "")</f>
        <v/>
      </c>
      <c r="ES284" s="4" t="str">
        <f t="array" ref="ES284">IFERROR(INDEX(球員狀態!L$2:L$5000, MATCH(1, (球員狀態!$A$2:$A$5000=$EI$271)*(ISNUMBER(SEARCH($EI284, 球員狀態!$B$2:$B$5000))), 0)), "")</f>
        <v/>
      </c>
      <c r="ET284" s="4" t="str">
        <f t="array" ref="ET284">IFERROR(INDEX(球員狀態!M$2:M$5000, MATCH(1, (球員狀態!$A$2:$A$5000=$EI$271)*(ISNUMBER(SEARCH($EI284, 球員狀態!$B$2:$B$5000))), 0)), "")</f>
        <v/>
      </c>
      <c r="EU284" s="4" t="str">
        <f t="array" ref="EU284">IFERROR(INDEX(球員狀態!N$2:N$5000, MATCH(1, (球員狀態!$A$2:$A$5000=$EI$271)*(ISNUMBER(SEARCH($EI284, 球員狀態!$B$2:$B$5000))), 0)), "")</f>
        <v/>
      </c>
      <c r="EV284" s="4" t="str">
        <f t="array" ref="EV284">IFERROR(INDEX(球員狀態!O$2:O$5000, MATCH(1, (球員狀態!$A$2:$A$5000=$EI$1)*(ISNUMBER(SEARCH($EI284, 球員狀態!$B$2:$B$5000))), 0)), "")</f>
        <v/>
      </c>
      <c r="EW284" s="4" t="str">
        <f t="array" ref="EW284">IFERROR(INDEX(球員狀態!P$2:P$5000, MATCH(1, (球員狀態!$A$2:$A$5000=$EI$1)*(ISNUMBER(SEARCH($EI284, 球員狀態!$B$2:$B$5000))), 0)), "")</f>
        <v/>
      </c>
      <c r="EX284" s="4" t="str">
        <f t="array" ref="EX284">IFERROR(INDEX(球員狀態!Q$2:Q$5000, MATCH(1, (球員狀態!$A$2:$A$5000=$EI$271)*(ISNUMBER(SEARCH($EI284, 球員狀態!$B$2:$B$5000))), 0)), "")</f>
        <v/>
      </c>
      <c r="EY284" s="4" t="str">
        <f t="array" ref="EY284">IFERROR(INDEX(球員狀態!R$2:R$5000, MATCH(1, (球員狀態!$A$2:$A$5000=$EI$1)*(ISNUMBER(SEARCH($EI284, 球員狀態!$B$2:$B$5000))), 0)), "")</f>
        <v/>
      </c>
      <c r="EZ284" s="4" t="str">
        <f t="array" ref="EZ284">IFERROR(INDEX(球員狀態!S$2:S$5000, MATCH(1, (球員狀態!$A$2:$A$5000=$EI$1)*(ISNUMBER(SEARCH($EI284, 球員狀態!$B$2:$B$5000))), 0)), "")</f>
        <v/>
      </c>
      <c r="FA284" s="4" t="str">
        <f t="array" ref="FA284">IFERROR(INDEX(球員狀態!T$2:T$5000, MATCH(1, (球員狀態!$A$2:$A$5000=$EI$271)*(ISNUMBER(SEARCH($EI284, 球員狀態!$B$2:$B$5000))), 0)), "")</f>
        <v/>
      </c>
      <c r="FB284" s="4" t="str">
        <f t="array" ref="FB284">IFERROR(INDEX(球員狀態!U$2:U$5000, MATCH(1, (球員狀態!$A$2:$A$5000=$EI$1)*(ISNUMBER(SEARCH($EI284, 球員狀態!$B$2:$B$5000))), 0)), "")</f>
        <v/>
      </c>
      <c r="FC284" s="4" t="str">
        <f t="array" ref="FC284">IFERROR(INDEX(球員狀態!V$2:V$5000, MATCH(1, (球員狀態!$A$2:$A$5000=$EI$1)*(ISNUMBER(SEARCH($EI284, 球員狀態!$B$2:$B$5000))), 0)), "")</f>
        <v/>
      </c>
      <c r="FD284" s="4" t="str">
        <f t="array" ref="FD284">IFERROR(INDEX(球員狀態!W$2:W$5000, MATCH(1, (球員狀態!$A$2:$A$5000=$EI$271)*(ISNUMBER(SEARCH($EI284, 球員狀態!$B$2:$B$5000))), 0)), "")</f>
        <v/>
      </c>
      <c r="FE284" s="4" t="str">
        <f t="array" ref="FE284">IFERROR(INDEX(球員狀態!X$2:X$5000, MATCH(1, (球員狀態!$A$2:$A$5000=$EI$1)*(ISNUMBER(SEARCH($EI284, 球員狀態!$B$2:$B$5000))), 0)), "")</f>
        <v/>
      </c>
      <c r="FF284" s="4" t="str">
        <f t="array" ref="FF284">IFERROR(INDEX(球員狀態!Y$2:Y$5000, MATCH(1, (球員狀態!$A$2:$A$5000=$EI$1)*(ISNUMBER(SEARCH($EI284, 球員狀態!$B$2:$B$5000))), 0)), "")</f>
        <v/>
      </c>
      <c r="FG284" s="4" t="str">
        <f t="array" ref="FG284">IFERROR(INDEX(球員狀態!Z$2:Z$5000, MATCH(1, (球員狀態!$A$2:$A$5000=$EI$271)*(ISNUMBER(SEARCH($EI284, 球員狀態!$B$2:$B$5000))), 0)), "")</f>
        <v/>
      </c>
      <c r="FH284" s="4" t="str">
        <f t="array" ref="FH284">IFERROR(INDEX(球員狀態!AA$2:AA$5000, MATCH(1, (球員狀態!$A$2:$A$5000=$EI$271)*(ISNUMBER(SEARCH($EI284, 球員狀態!$B$2:$B$5000))), 0)), "")</f>
        <v/>
      </c>
      <c r="FI284" s="4" t="str">
        <f t="array" ref="FI284">IFERROR(INDEX(球員狀態!AB$2:AB$5000, MATCH(1, (球員狀態!$A$2:$A$5000=$EI$271)*(ISNUMBER(SEARCH($EI284, 球員狀態!$B$2:$B$5000))), 0)), "")</f>
        <v/>
      </c>
    </row>
    <row r="285" spans="110:165">
      <c r="DH285" s="40" t="e">
        <f>DJ285+DL285+DM285+DN285+DO285-DP285-DQ285+DR285</f>
        <v>#VALUE!</v>
      </c>
      <c r="DI285" s="42" t="e">
        <f>DU285+DX285+EA285+ED285+EE285+EF285</f>
        <v>#VALUE!</v>
      </c>
      <c r="DJ285" s="38" t="e">
        <f>VLOOKUP(DJ284*1, FK$2:FM$12, 3, TRUE)*FM$1</f>
        <v>#VALUE!</v>
      </c>
      <c r="DL285" s="38" t="e">
        <f>VLOOKUP(DL284*1, FN$2:FP$12, 3, TRUE)*FP$1</f>
        <v>#VALUE!</v>
      </c>
      <c r="DM285" s="38" t="e">
        <f>VLOOKUP(DM284*1, FQ$2:FS$12, 3, TRUE)*FS$1</f>
        <v>#VALUE!</v>
      </c>
      <c r="DN285" s="38" t="e">
        <f>VLOOKUP(DN284*1, FT$2:FV$12, 3, TRUE)*FV$1</f>
        <v>#VALUE!</v>
      </c>
      <c r="DO285" s="38" t="e">
        <f>VLOOKUP(DO284*1, FW$2:FY$12, 3, TRUE)*FY$1</f>
        <v>#VALUE!</v>
      </c>
      <c r="DP285" s="39" t="e">
        <f>VLOOKUP(DP284*1, FK$14:FM$25, 3, TRUE)*FM$14</f>
        <v>#VALUE!</v>
      </c>
      <c r="DQ285" s="39" t="e">
        <f>VLOOKUP(DQ284*1, FN$14:FP$25, 3, TRUE)*FP$14</f>
        <v>#VALUE!</v>
      </c>
      <c r="DR285" s="38" t="e">
        <f>VLOOKUP(DR284*1, FQ$14:FS$25, 3, TRUE)*FS$14</f>
        <v>#VALUE!</v>
      </c>
      <c r="DU285" s="41" t="e">
        <f>VLOOKUP(DU284*1, FK$27:FM$38, 3, TRUE)*FM$27</f>
        <v>#VALUE!</v>
      </c>
      <c r="DX285" s="41" t="e">
        <f>VLOOKUP(DX284*1, FN$27:FP$38, 3, TRUE)*FP$27</f>
        <v>#VALUE!</v>
      </c>
      <c r="EA285" s="41" t="e">
        <f>VLOOKUP(EA284*1, FQ$27:FS$38, 3, TRUE)*FS$27</f>
        <v>#VALUE!</v>
      </c>
      <c r="ED285" s="41" t="e">
        <f>VLOOKUP(ED284*1, FT$27:FV$38, 3, TRUE)*FV$27</f>
        <v>#VALUE!</v>
      </c>
      <c r="EE285" s="41" t="e">
        <f>VLOOKUP(EE284*1, FW$27:FY$38, 3, TRUE)*FY$27</f>
        <v>#VALUE!</v>
      </c>
      <c r="EF285" s="41" t="e">
        <f>VLOOKUP(EF284*1, FK$40:FM$51, 3, TRUE)*FM$40</f>
        <v>#VALUE!</v>
      </c>
      <c r="EG285" s="57"/>
      <c r="EK285" s="40" t="e">
        <f>EM285+EO285+EP285+EQ285+ER285-ES285-ET285+EU285</f>
        <v>#VALUE!</v>
      </c>
      <c r="EL285" s="42" t="e">
        <f>EX285+FA285+FD285+FG285+FH285+FI285</f>
        <v>#VALUE!</v>
      </c>
      <c r="EM285" s="38" t="e">
        <f>VLOOKUP(EM284*1, $FK$2:$FM$12, 3, TRUE)*$FM$1</f>
        <v>#VALUE!</v>
      </c>
      <c r="EO285" s="38" t="e">
        <f>VLOOKUP(EO284*1, $FN$2:$FP$12, 3, TRUE)*$FP$1</f>
        <v>#VALUE!</v>
      </c>
      <c r="EP285" s="38" t="e">
        <f>VLOOKUP(EP284*1, $FQ$2:$FS$12, 3, TRUE)*$FS$1</f>
        <v>#VALUE!</v>
      </c>
      <c r="EQ285" s="38" t="e">
        <f>VLOOKUP(EQ284*1, $FT$2:$FV$12, 3, TRUE)*$FV$1</f>
        <v>#VALUE!</v>
      </c>
      <c r="ER285" s="38" t="e">
        <f>VLOOKUP(ER284*1, $FW$2:$FY$12, 3, TRUE)*$FY$1</f>
        <v>#VALUE!</v>
      </c>
      <c r="ES285" s="39" t="e">
        <f>VLOOKUP(ES284*1, $FK$14:$FM$25, 3, TRUE)*$FM$14</f>
        <v>#VALUE!</v>
      </c>
      <c r="ET285" s="39" t="e">
        <f>VLOOKUP(ET284*1, $FN$14:$FP$25, 3, TRUE)*$FP$14</f>
        <v>#VALUE!</v>
      </c>
      <c r="EU285" s="38" t="e">
        <f>VLOOKUP(EU284*1, $FQ$14:$FS$25, 3, TRUE)*$FS$14</f>
        <v>#VALUE!</v>
      </c>
      <c r="EX285" s="41" t="e">
        <f>VLOOKUP(EX284*1, $FK$27:$FM$38, 3, TRUE)*$FM$27</f>
        <v>#VALUE!</v>
      </c>
      <c r="FA285" s="41" t="e">
        <f>VLOOKUP(FA284*1, $FN$27:$FP$38, 3, TRUE)*$FP$27</f>
        <v>#VALUE!</v>
      </c>
      <c r="FD285" s="41" t="e">
        <f>VLOOKUP(FD284*1, $FQ$27:$FS$38, 3, TRUE)*$FS$27</f>
        <v>#VALUE!</v>
      </c>
      <c r="FG285" s="41" t="e">
        <f>VLOOKUP(FG284*1, $FT$27:$FV$38, 3, TRUE)*$FV$27</f>
        <v>#VALUE!</v>
      </c>
      <c r="FH285" s="41" t="e">
        <f>VLOOKUP(FH284*1, $FW$27:$FY$38, 3, TRUE)*$FY$27</f>
        <v>#VALUE!</v>
      </c>
      <c r="FI285" s="41" t="e">
        <f>VLOOKUP(FI284*1, $FK$40:$FM$51, 3, TRUE)*$FM$40</f>
        <v>#VALUE!</v>
      </c>
    </row>
    <row r="286" spans="110:165">
      <c r="DF286" s="37" t="str">
        <f>先發名單!L$11</f>
        <v>C. Mullins</v>
      </c>
      <c r="DG286" s="4" t="str">
        <f t="array" ref="DG286">IFERROR(INDEX(球員狀態!$C$2:$C$5000, MATCH(1, (球員狀態!$A$2:$A$5000=$DF$271)*(ISNUMBER(SEARCH($DF286, 球員狀態!$B$2:$B$5000))), 0)), "")</f>
        <v/>
      </c>
      <c r="DJ286" s="4" t="str">
        <f t="array" ref="DJ286">IFERROR(INDEX(球員狀態!$F$2:$F$5000,MATCH(1,(球員狀態!$A$2:$A$5000=$DF$271)*(ISNUMBER(SEARCH($DF286,球員狀態!$B$2:$B$5000))),0)),"")</f>
        <v/>
      </c>
      <c r="DK286" s="4" t="str">
        <f t="array" ref="DK286">IFERROR(INDEX(球員狀態!G$2:G$5000, MATCH(1, (球員狀態!$A$2:$A$5000=$DF$1)*(ISNUMBER(SEARCH($DF286, 球員狀態!$B$2:$B$5000))), 0)), "")</f>
        <v/>
      </c>
      <c r="DL286" s="4" t="str">
        <f t="array" ref="DL286">IFERROR(INDEX(球員狀態!H$2:H$5000, MATCH(1, (球員狀態!$A$2:$A$5000=$DF$271)*(ISNUMBER(SEARCH($DF286, 球員狀態!$B$2:$B$5000))), 0)), "")</f>
        <v/>
      </c>
      <c r="DM286" s="4" t="str">
        <f t="array" ref="DM286">IFERROR(INDEX(球員狀態!I$2:I$5000,MATCH(1,(球員狀態!$A$2:$A$5000=$DF$271)*(ISNUMBER(SEARCH($DF286,球員狀態!$B$2:$B$5000))),0)),"")</f>
        <v/>
      </c>
      <c r="DN286" s="4" t="str">
        <f t="array" ref="DN286">IFERROR(INDEX(球員狀態!J$2:J$5000,MATCH(1,(球員狀態!$A$2:$A$5000=$DF$271)*(ISNUMBER(SEARCH($DF286,球員狀態!$B$2:$B$5000))),0)),"")</f>
        <v/>
      </c>
      <c r="DO286" s="4" t="str">
        <f t="array" ref="DO286">IFERROR(INDEX(球員狀態!K$2:K$5000,MATCH(1,(球員狀態!$A$2:$A$5000=$DF$271)*(ISNUMBER(SEARCH($DF286,球員狀態!$B$2:$B$5000))),0)),"")</f>
        <v/>
      </c>
      <c r="DP286" s="4" t="str">
        <f t="array" ref="DP286">IFERROR(INDEX(球員狀態!L$2:L$5000,MATCH(1,(球員狀態!$A$2:$A$5000=$DF$271)*(ISNUMBER(SEARCH($DF286,球員狀態!$B$2:$B$5000))),0)),"")</f>
        <v/>
      </c>
      <c r="DQ286" s="4" t="str">
        <f t="array" ref="DQ286">IFERROR(INDEX(球員狀態!M$2:M$5000,MATCH(1,(球員狀態!$A$2:$A$5000=$DF$271)*(ISNUMBER(SEARCH($DF286,球員狀態!$B$2:$B$5000))),0)),"")</f>
        <v/>
      </c>
      <c r="DR286" s="4" t="str">
        <f t="array" ref="DR286">IFERROR(INDEX(球員狀態!N$2:N$5000,MATCH(1,(球員狀態!$A$2:$A$5000=$DF$271)*(ISNUMBER(SEARCH($DF286,球員狀態!$B$2:$B$5000))),0)),"")</f>
        <v/>
      </c>
      <c r="DS286" s="4" t="str">
        <f t="array" ref="DS286">IFERROR(INDEX(球員狀態!O$2:O$5000, MATCH(1, (球員狀態!$A$2:$A$5000=$DF$1)*(ISNUMBER(SEARCH($DF286, 球員狀態!$B$2:$B$5000))), 0)), "")</f>
        <v/>
      </c>
      <c r="DT286" s="4" t="str">
        <f t="array" ref="DT286">IFERROR(INDEX(球員狀態!P$2:P$5000, MATCH(1, (球員狀態!$A$2:$A$5000=$DF$1)*(ISNUMBER(SEARCH($DF286, 球員狀態!$B$2:$B$5000))), 0)), "")</f>
        <v/>
      </c>
      <c r="DU286" s="4" t="str">
        <f t="array" ref="DU286">IFERROR(INDEX(球員狀態!Q$2:Q$5000,MATCH(1,(球員狀態!$A$2:$A$5000=$DF$271)*(ISNUMBER(SEARCH($DF286,球員狀態!$B$2:$B$5000))),0)),"")</f>
        <v/>
      </c>
      <c r="DV286" s="4" t="str">
        <f t="array" ref="DV286">IFERROR(INDEX(球員狀態!R$2:R$5000, MATCH(1, (球員狀態!$A$2:$A$5000=$DF$1)*(ISNUMBER(SEARCH($DF286, 球員狀態!$B$2:$B$5000))), 0)), "")</f>
        <v/>
      </c>
      <c r="DW286" s="4" t="str">
        <f t="array" ref="DW286">IFERROR(INDEX(球員狀態!S$2:S$5000, MATCH(1, (球員狀態!$A$2:$A$5000=$DF$1)*(ISNUMBER(SEARCH($DF286, 球員狀態!$B$2:$B$5000))), 0)), "")</f>
        <v/>
      </c>
      <c r="DX286" s="4" t="str">
        <f t="array" ref="DX286">IFERROR(INDEX(球員狀態!T$2:T$5000,MATCH(1,(球員狀態!$A$2:$A$5000=$DF$271)*(ISNUMBER(SEARCH($DF286,球員狀態!$B$2:$B$5000))),0)),"")</f>
        <v/>
      </c>
      <c r="DY286" s="4" t="str">
        <f t="array" ref="DY286">IFERROR(INDEX(球員狀態!U$2:U$5000, MATCH(1, (球員狀態!$A$2:$A$5000=$DF$1)*(ISNUMBER(SEARCH($DF286, 球員狀態!$B$2:$B$5000))), 0)), "")</f>
        <v/>
      </c>
      <c r="DZ286" s="4" t="str">
        <f t="array" ref="DZ286">IFERROR(INDEX(球員狀態!V$2:V$5000, MATCH(1, (球員狀態!$A$2:$A$5000=$DF$1)*(ISNUMBER(SEARCH($DF286, 球員狀態!$B$2:$B$5000))), 0)), "")</f>
        <v/>
      </c>
      <c r="EA286" s="4" t="str">
        <f t="array" ref="EA286">IFERROR(INDEX(球員狀態!W$2:W$5000,MATCH(1,(球員狀態!$A$2:$A$5000=$DF$271)*(ISNUMBER(SEARCH($DF286,球員狀態!$B$2:$B$5000))),0)),"")</f>
        <v/>
      </c>
      <c r="EB286" s="4" t="str">
        <f t="array" ref="EB286">IFERROR(INDEX(球員狀態!X$2:X$5000, MATCH(1, (球員狀態!$A$2:$A$5000=$DF$1)*(ISNUMBER(SEARCH($DF286, 球員狀態!$B$2:$B$5000))), 0)), "")</f>
        <v/>
      </c>
      <c r="EC286" s="4" t="str">
        <f t="array" ref="EC286">IFERROR(INDEX(球員狀態!Y$2:Y$5000, MATCH(1, (球員狀態!$A$2:$A$5000=$DF$1)*(ISNUMBER(SEARCH($DF286, 球員狀態!$B$2:$B$5000))), 0)), "")</f>
        <v/>
      </c>
      <c r="ED286" s="4" t="str">
        <f t="array" ref="ED286">IFERROR(INDEX(球員狀態!Z$2:Z$5000,MATCH(1,(球員狀態!$A$2:$A$5000=$DF$271)*(ISNUMBER(SEARCH($DF286,球員狀態!$B$2:$B$5000))),0)),"")</f>
        <v/>
      </c>
      <c r="EE286" s="4" t="str">
        <f t="array" ref="EE286">IFERROR(INDEX(球員狀態!AA$2:AA$5000,MATCH(1,(球員狀態!$A$2:$A$5000=$DF$271)*(ISNUMBER(SEARCH($DF286,球員狀態!$B$2:$B$5000))),0)),"")</f>
        <v/>
      </c>
      <c r="EF286" s="4" t="str">
        <f t="array" ref="EF286">IFERROR(INDEX(球員狀態!AB$2:AB$5000,MATCH(1,(球員狀態!$A$2:$A$5000=$DF$271)*(ISNUMBER(SEARCH($DF286,球員狀態!$B$2:$B$5000))),0)),"")</f>
        <v/>
      </c>
      <c r="EG286" s="56"/>
      <c r="EI286" s="37" t="str">
        <f>先發名單!V$11</f>
        <v>Juan Brito</v>
      </c>
      <c r="EJ286" s="4" t="str">
        <f t="array" ref="EJ286">IFERROR(INDEX(球員狀態!C$2:C$5000, MATCH(1, (球員狀態!$A$2:$A$5000=$EI$271)*(ISNUMBER(SEARCH($EI286, 球員狀態!$B$2:$B$5000))), 0)), "")</f>
        <v/>
      </c>
      <c r="EM286" s="4" t="str">
        <f t="array" ref="EM286">IFERROR(INDEX(球員狀態!F$2:F$5000, MATCH(1, (球員狀態!$A$2:$A$5000=$EI$271)*(ISNUMBER(SEARCH($EI286, 球員狀態!$B$2:$B$5000))), 0)), "")</f>
        <v/>
      </c>
      <c r="EN286" s="4" t="str">
        <f t="array" ref="EN286">IFERROR(INDEX(球員狀態!G$2:G$5000, MATCH(1, (球員狀態!$A$2:$A$5000=$EI$1)*(ISNUMBER(SEARCH($EI286, 球員狀態!$B$2:$B$5000))), 0)), "")</f>
        <v>9</v>
      </c>
      <c r="EO286" s="4" t="str">
        <f t="array" ref="EO286">IFERROR(INDEX(球員狀態!H$2:H$5000, MATCH(1, (球員狀態!$A$2:$A$5000=$EI$271)*(ISNUMBER(SEARCH($EI286, 球員狀態!$B$2:$B$5000))), 0)), "")</f>
        <v/>
      </c>
      <c r="EP286" s="4" t="str">
        <f t="array" ref="EP286">IFERROR(INDEX(球員狀態!I$2:I$5000, MATCH(1, (球員狀態!$A$2:$A$5000=$EI$271)*(ISNUMBER(SEARCH($EI286, 球員狀態!$B$2:$B$5000))), 0)), "")</f>
        <v/>
      </c>
      <c r="EQ286" s="4" t="str">
        <f t="array" ref="EQ286">IFERROR(INDEX(球員狀態!J$2:J$5000, MATCH(1, (球員狀態!$A$2:$A$5000=$EI$271)*(ISNUMBER(SEARCH($EI286, 球員狀態!$B$2:$B$5000))), 0)), "")</f>
        <v/>
      </c>
      <c r="ER286" s="4" t="str">
        <f t="array" ref="ER286">IFERROR(INDEX(球員狀態!K$2:K$5000, MATCH(1, (球員狀態!$A$2:$A$5000=$EI$271)*(ISNUMBER(SEARCH($EI286, 球員狀態!$B$2:$B$5000))), 0)), "")</f>
        <v/>
      </c>
      <c r="ES286" s="4" t="str">
        <f t="array" ref="ES286">IFERROR(INDEX(球員狀態!L$2:L$5000, MATCH(1, (球員狀態!$A$2:$A$5000=$EI$271)*(ISNUMBER(SEARCH($EI286, 球員狀態!$B$2:$B$5000))), 0)), "")</f>
        <v/>
      </c>
      <c r="ET286" s="4" t="str">
        <f t="array" ref="ET286">IFERROR(INDEX(球員狀態!M$2:M$5000, MATCH(1, (球員狀態!$A$2:$A$5000=$EI$271)*(ISNUMBER(SEARCH($EI286, 球員狀態!$B$2:$B$5000))), 0)), "")</f>
        <v/>
      </c>
      <c r="EU286" s="4" t="str">
        <f t="array" ref="EU286">IFERROR(INDEX(球員狀態!N$2:N$5000, MATCH(1, (球員狀態!$A$2:$A$5000=$EI$271)*(ISNUMBER(SEARCH($EI286, 球員狀態!$B$2:$B$5000))), 0)), "")</f>
        <v/>
      </c>
      <c r="EV286" s="4" t="str">
        <f t="array" ref="EV286">IFERROR(INDEX(球員狀態!O$2:O$5000, MATCH(1, (球員狀態!$A$2:$A$5000=$EI$1)*(ISNUMBER(SEARCH($EI286, 球員狀態!$B$2:$B$5000))), 0)), "")</f>
        <v>0</v>
      </c>
      <c r="EW286" s="4" t="str">
        <f t="array" ref="EW286">IFERROR(INDEX(球員狀態!P$2:P$5000, MATCH(1, (球員狀態!$A$2:$A$5000=$EI$1)*(ISNUMBER(SEARCH($EI286, 球員狀態!$B$2:$B$5000))), 0)), "")</f>
        <v>.176</v>
      </c>
      <c r="EX286" s="4" t="str">
        <f t="array" ref="EX286">IFERROR(INDEX(球員狀態!Q$2:Q$5000, MATCH(1, (球員狀態!$A$2:$A$5000=$EI$271)*(ISNUMBER(SEARCH($EI286, 球員狀態!$B$2:$B$5000))), 0)), "")</f>
        <v/>
      </c>
      <c r="EY286" s="4" t="str">
        <f t="array" ref="EY286">IFERROR(INDEX(球員狀態!R$2:R$5000, MATCH(1, (球員狀態!$A$2:$A$5000=$EI$1)*(ISNUMBER(SEARCH($EI286, 球員狀態!$B$2:$B$5000))), 0)), "")</f>
        <v>.255</v>
      </c>
      <c r="EZ286" s="4" t="str">
        <f t="array" ref="EZ286">IFERROR(INDEX(球員狀態!S$2:S$5000, MATCH(1, (球員狀態!$A$2:$A$5000=$EI$1)*(ISNUMBER(SEARCH($EI286, 球員狀態!$B$2:$B$5000))), 0)), "")</f>
        <v>.505</v>
      </c>
      <c r="FA286" s="4" t="str">
        <f t="array" ref="FA286">IFERROR(INDEX(球員狀態!T$2:T$5000, MATCH(1, (球員狀態!$A$2:$A$5000=$EI$271)*(ISNUMBER(SEARCH($EI286, 球員狀態!$B$2:$B$5000))), 0)), "")</f>
        <v/>
      </c>
      <c r="FB286" s="4" t="str">
        <f t="array" ref="FB286">IFERROR(INDEX(球員狀態!U$2:U$5000, MATCH(1, (球員狀態!$A$2:$A$5000=$EI$1)*(ISNUMBER(SEARCH($EI286, 球員狀態!$B$2:$B$5000))), 0)), "")</f>
        <v>2.8</v>
      </c>
      <c r="FC286" s="4" t="str">
        <f t="array" ref="FC286">IFERROR(INDEX(球員狀態!V$2:V$5000, MATCH(1, (球員狀態!$A$2:$A$5000=$EI$1)*(ISNUMBER(SEARCH($EI286, 球員狀態!$B$2:$B$5000))), 0)), "")</f>
        <v>1.7</v>
      </c>
      <c r="FD286" s="4" t="str">
        <f t="array" ref="FD286">IFERROR(INDEX(球員狀態!W$2:W$5000, MATCH(1, (球員狀態!$A$2:$A$5000=$EI$271)*(ISNUMBER(SEARCH($EI286, 球員狀態!$B$2:$B$5000))), 0)), "")</f>
        <v/>
      </c>
      <c r="FE286" s="4" t="str">
        <f t="array" ref="FE286">IFERROR(INDEX(球員狀態!X$2:X$5000, MATCH(1, (球員狀態!$A$2:$A$5000=$EI$1)*(ISNUMBER(SEARCH($EI286, 球員狀態!$B$2:$B$5000))), 0)), "")</f>
        <v>0.24</v>
      </c>
      <c r="FF286" s="4" t="str">
        <f t="array" ref="FF286">IFERROR(INDEX(球員狀態!Y$2:Y$5000, MATCH(1, (球員狀態!$A$2:$A$5000=$EI$1)*(ISNUMBER(SEARCH($EI286, 球員狀態!$B$2:$B$5000))), 0)), "")</f>
        <v>.078</v>
      </c>
      <c r="FG286" s="4" t="str">
        <f t="array" ref="FG286">IFERROR(INDEX(球員狀態!Z$2:Z$5000, MATCH(1, (球員狀態!$A$2:$A$5000=$EI$271)*(ISNUMBER(SEARCH($EI286, 球員狀態!$B$2:$B$5000))), 0)), "")</f>
        <v/>
      </c>
      <c r="FH286" s="4" t="str">
        <f t="array" ref="FH286">IFERROR(INDEX(球員狀態!AA$2:AA$5000, MATCH(1, (球員狀態!$A$2:$A$5000=$EI$271)*(ISNUMBER(SEARCH($EI286, 球員狀態!$B$2:$B$5000))), 0)), "")</f>
        <v/>
      </c>
      <c r="FI286" s="4" t="str">
        <f t="array" ref="FI286">IFERROR(INDEX(球員狀態!AB$2:AB$5000, MATCH(1, (球員狀態!$A$2:$A$5000=$EI$271)*(ISNUMBER(SEARCH($EI286, 球員狀態!$B$2:$B$5000))), 0)), "")</f>
        <v/>
      </c>
    </row>
    <row r="287" spans="110:165">
      <c r="DH287" s="40" t="e">
        <f>DJ287+DL287+DM287+DN287+DO287-DP287-DQ287+DR287</f>
        <v>#VALUE!</v>
      </c>
      <c r="DI287" s="42" t="e">
        <f>DU287+DX287+EA287+ED287+EE287+EF287</f>
        <v>#VALUE!</v>
      </c>
      <c r="DJ287" s="38" t="e">
        <f>VLOOKUP(DJ286*1, FK$2:FM$12, 3, TRUE)*FM$1</f>
        <v>#VALUE!</v>
      </c>
      <c r="DL287" s="38" t="e">
        <f>VLOOKUP(DL286*1, FN$2:FP$12, 3, TRUE)*FP$1</f>
        <v>#VALUE!</v>
      </c>
      <c r="DM287" s="38" t="e">
        <f>VLOOKUP(DM286*1, FQ$2:FS$12, 3, TRUE)*FS$1</f>
        <v>#VALUE!</v>
      </c>
      <c r="DN287" s="38" t="e">
        <f>VLOOKUP(DN286*1, FT$2:FV$12, 3, TRUE)*FV$1</f>
        <v>#VALUE!</v>
      </c>
      <c r="DO287" s="38" t="e">
        <f>VLOOKUP(DO286*1, FW$2:FY$12, 3, TRUE)*FY$1</f>
        <v>#VALUE!</v>
      </c>
      <c r="DP287" s="39" t="e">
        <f>VLOOKUP(DP286*1, FK$14:FM$25, 3, TRUE)*FM$14</f>
        <v>#VALUE!</v>
      </c>
      <c r="DQ287" s="39" t="e">
        <f>VLOOKUP(DQ286*1, FN$14:FP$25, 3, TRUE)*FP$14</f>
        <v>#VALUE!</v>
      </c>
      <c r="DR287" s="38" t="e">
        <f>VLOOKUP(DR286*1, FQ$14:FS$25, 3, TRUE)*FS$14</f>
        <v>#VALUE!</v>
      </c>
      <c r="DU287" s="41" t="e">
        <f>VLOOKUP(DU286*1, FK$27:FM$38, 3, TRUE)*FM$27</f>
        <v>#VALUE!</v>
      </c>
      <c r="DX287" s="41" t="e">
        <f>VLOOKUP(DX286*1, FN$27:FP$38, 3, TRUE)*FP$27</f>
        <v>#VALUE!</v>
      </c>
      <c r="EA287" s="41" t="e">
        <f>VLOOKUP(EA286*1, FQ$27:FS$38, 3, TRUE)*FS$27</f>
        <v>#VALUE!</v>
      </c>
      <c r="ED287" s="41" t="e">
        <f>VLOOKUP(ED286*1, FT$27:FV$38, 3, TRUE)*FV$27</f>
        <v>#VALUE!</v>
      </c>
      <c r="EE287" s="41" t="e">
        <f>VLOOKUP(EE286*1, FW$27:FY$38, 3, TRUE)*FY$27</f>
        <v>#VALUE!</v>
      </c>
      <c r="EF287" s="41" t="e">
        <f>VLOOKUP(EF286*1, FK$40:FM$51, 3, TRUE)*FM$40</f>
        <v>#VALUE!</v>
      </c>
      <c r="EG287" s="57"/>
      <c r="EK287" s="40" t="e">
        <f>EM287+EO287+EP287+EQ287+ER287-ES287-ET287+EU287</f>
        <v>#VALUE!</v>
      </c>
      <c r="EL287" s="42" t="e">
        <f>EX287+FA287+FD287+FG287+FH287+FI287</f>
        <v>#VALUE!</v>
      </c>
      <c r="EM287" s="38" t="e">
        <f>VLOOKUP(EM286*1, $FK$2:$FM$12, 3, TRUE)*$FM$1</f>
        <v>#VALUE!</v>
      </c>
      <c r="EO287" s="38" t="e">
        <f>VLOOKUP(EO286*1, $FN$2:$FP$12, 3, TRUE)*$FP$1</f>
        <v>#VALUE!</v>
      </c>
      <c r="EP287" s="38" t="e">
        <f>VLOOKUP(EP286*1, $FQ$2:$FS$12, 3, TRUE)*$FS$1</f>
        <v>#VALUE!</v>
      </c>
      <c r="EQ287" s="38" t="e">
        <f>VLOOKUP(EQ286*1, $FT$2:$FV$12, 3, TRUE)*$FV$1</f>
        <v>#VALUE!</v>
      </c>
      <c r="ER287" s="38" t="e">
        <f>VLOOKUP(ER286*1, $FW$2:$FY$12, 3, TRUE)*$FY$1</f>
        <v>#VALUE!</v>
      </c>
      <c r="ES287" s="39" t="e">
        <f>VLOOKUP(ES286*1, $FK$14:$FM$25, 3, TRUE)*$FM$14</f>
        <v>#VALUE!</v>
      </c>
      <c r="ET287" s="39" t="e">
        <f>VLOOKUP(ET286*1, $FN$14:$FP$25, 3, TRUE)*$FP$14</f>
        <v>#VALUE!</v>
      </c>
      <c r="EU287" s="38" t="e">
        <f>VLOOKUP(EU286*1, $FQ$14:$FS$25, 3, TRUE)*$FS$14</f>
        <v>#VALUE!</v>
      </c>
      <c r="EX287" s="41" t="e">
        <f>VLOOKUP(EX286*1, $FK$27:$FM$38, 3, TRUE)*$FM$27</f>
        <v>#VALUE!</v>
      </c>
      <c r="FA287" s="41" t="e">
        <f>VLOOKUP(FA286*1, $FN$27:$FP$38, 3, TRUE)*$FP$27</f>
        <v>#VALUE!</v>
      </c>
      <c r="FD287" s="41" t="e">
        <f>VLOOKUP(FD286*1, $FQ$27:$FS$38, 3, TRUE)*$FS$27</f>
        <v>#VALUE!</v>
      </c>
      <c r="FG287" s="41" t="e">
        <f>VLOOKUP(FG286*1, $FT$27:$FV$38, 3, TRUE)*$FV$27</f>
        <v>#VALUE!</v>
      </c>
      <c r="FH287" s="41" t="e">
        <f>VLOOKUP(FH286*1, $FW$27:$FY$38, 3, TRUE)*$FY$27</f>
        <v>#VALUE!</v>
      </c>
      <c r="FI287" s="41" t="e">
        <f>VLOOKUP(FI286*1, $FK$40:$FM$51, 3, TRUE)*$FM$40</f>
        <v>#VALUE!</v>
      </c>
    </row>
    <row r="288" spans="110:165">
      <c r="DF288" s="37" t="str">
        <f>先發名單!M$11</f>
        <v>Nick Fortes</v>
      </c>
      <c r="DG288" s="4" t="str">
        <f t="array" ref="DG288">IFERROR(INDEX(球員狀態!$C$2:$C$5000, MATCH(1, (球員狀態!$A$2:$A$5000=$DF$271)*(ISNUMBER(SEARCH($DF288, 球員狀態!$B$2:$B$5000))), 0)), "")</f>
        <v/>
      </c>
      <c r="DJ288" s="4" t="str">
        <f t="array" ref="DJ288">IFERROR(INDEX(球員狀態!$F$2:$F$5000,MATCH(1,(球員狀態!$A$2:$A$5000=$DF$271)*(ISNUMBER(SEARCH($DF288,球員狀態!$B$2:$B$5000))),0)),"")</f>
        <v/>
      </c>
      <c r="DK288" s="4" t="str">
        <f t="array" ref="DK288">IFERROR(INDEX(球員狀態!G$2:G$5000, MATCH(1, (球員狀態!$A$2:$A$5000=$DF$1)*(ISNUMBER(SEARCH($DF288, 球員狀態!$B$2:$B$5000))), 0)), "")</f>
        <v>20</v>
      </c>
      <c r="DL288" s="4" t="str">
        <f t="array" ref="DL288">IFERROR(INDEX(球員狀態!H$2:H$5000, MATCH(1, (球員狀態!$A$2:$A$5000=$DF$271)*(ISNUMBER(SEARCH($DF288, 球員狀態!$B$2:$B$5000))), 0)), "")</f>
        <v/>
      </c>
      <c r="DM288" s="4" t="str">
        <f t="array" ref="DM288">IFERROR(INDEX(球員狀態!I$2:I$5000,MATCH(1,(球員狀態!$A$2:$A$5000=$DF$271)*(ISNUMBER(SEARCH($DF288,球員狀態!$B$2:$B$5000))),0)),"")</f>
        <v/>
      </c>
      <c r="DN288" s="4" t="str">
        <f t="array" ref="DN288">IFERROR(INDEX(球員狀態!J$2:J$5000,MATCH(1,(球員狀態!$A$2:$A$5000=$DF$271)*(ISNUMBER(SEARCH($DF288,球員狀態!$B$2:$B$5000))),0)),"")</f>
        <v/>
      </c>
      <c r="DO288" s="4" t="str">
        <f t="array" ref="DO288">IFERROR(INDEX(球員狀態!K$2:K$5000,MATCH(1,(球員狀態!$A$2:$A$5000=$DF$271)*(ISNUMBER(SEARCH($DF288,球員狀態!$B$2:$B$5000))),0)),"")</f>
        <v/>
      </c>
      <c r="DP288" s="4" t="str">
        <f t="array" ref="DP288">IFERROR(INDEX(球員狀態!L$2:L$5000,MATCH(1,(球員狀態!$A$2:$A$5000=$DF$271)*(ISNUMBER(SEARCH($DF288,球員狀態!$B$2:$B$5000))),0)),"")</f>
        <v/>
      </c>
      <c r="DQ288" s="4" t="str">
        <f t="array" ref="DQ288">IFERROR(INDEX(球員狀態!M$2:M$5000,MATCH(1,(球員狀態!$A$2:$A$5000=$DF$271)*(ISNUMBER(SEARCH($DF288,球員狀態!$B$2:$B$5000))),0)),"")</f>
        <v/>
      </c>
      <c r="DR288" s="4" t="str">
        <f t="array" ref="DR288">IFERROR(INDEX(球員狀態!N$2:N$5000,MATCH(1,(球員狀態!$A$2:$A$5000=$DF$271)*(ISNUMBER(SEARCH($DF288,球員狀態!$B$2:$B$5000))),0)),"")</f>
        <v/>
      </c>
      <c r="DS288" s="4" t="str">
        <f t="array" ref="DS288">IFERROR(INDEX(球員狀態!O$2:O$5000, MATCH(1, (球員狀態!$A$2:$A$5000=$DF$1)*(ISNUMBER(SEARCH($DF288, 球員狀態!$B$2:$B$5000))), 0)), "")</f>
        <v>0</v>
      </c>
      <c r="DT288" s="4" t="str">
        <f t="array" ref="DT288">IFERROR(INDEX(球員狀態!P$2:P$5000, MATCH(1, (球員狀態!$A$2:$A$5000=$DF$1)*(ISNUMBER(SEARCH($DF288, 球員狀態!$B$2:$B$5000))), 0)), "")</f>
        <v>.290</v>
      </c>
      <c r="DU288" s="4" t="str">
        <f t="array" ref="DU288">IFERROR(INDEX(球員狀態!Q$2:Q$5000,MATCH(1,(球員狀態!$A$2:$A$5000=$DF$271)*(ISNUMBER(SEARCH($DF288,球員狀態!$B$2:$B$5000))),0)),"")</f>
        <v/>
      </c>
      <c r="DV288" s="4" t="str">
        <f t="array" ref="DV288">IFERROR(INDEX(球員狀態!R$2:R$5000, MATCH(1, (球員狀態!$A$2:$A$5000=$DF$1)*(ISNUMBER(SEARCH($DF288, 球員狀態!$B$2:$B$5000))), 0)), "")</f>
        <v>.406</v>
      </c>
      <c r="DW288" s="4" t="str">
        <f t="array" ref="DW288">IFERROR(INDEX(球員狀態!S$2:S$5000, MATCH(1, (球員狀態!$A$2:$A$5000=$DF$1)*(ISNUMBER(SEARCH($DF288, 球員狀態!$B$2:$B$5000))), 0)), "")</f>
        <v>.744</v>
      </c>
      <c r="DX288" s="4" t="str">
        <f t="array" ref="DX288">IFERROR(INDEX(球員狀態!T$2:T$5000,MATCH(1,(球員狀態!$A$2:$A$5000=$DF$271)*(ISNUMBER(SEARCH($DF288,球員狀態!$B$2:$B$5000))),0)),"")</f>
        <v/>
      </c>
      <c r="DY288" s="4" t="str">
        <f t="array" ref="DY288">IFERROR(INDEX(球員狀態!U$2:U$5000, MATCH(1, (球員狀態!$A$2:$A$5000=$DF$1)*(ISNUMBER(SEARCH($DF288, 球員狀態!$B$2:$B$5000))), 0)), "")</f>
        <v>8.3</v>
      </c>
      <c r="DZ288" s="4" t="str">
        <f t="array" ref="DZ288">IFERROR(INDEX(球員狀態!V$2:V$5000, MATCH(1, (球員狀態!$A$2:$A$5000=$DF$1)*(ISNUMBER(SEARCH($DF288, 球員狀態!$B$2:$B$5000))), 0)), "")</f>
        <v>4.2</v>
      </c>
      <c r="EA288" s="4" t="str">
        <f t="array" ref="EA288">IFERROR(INDEX(球員狀態!W$2:W$5000,MATCH(1,(球員狀態!$A$2:$A$5000=$DF$271)*(ISNUMBER(SEARCH($DF288,球員狀態!$B$2:$B$5000))),0)),"")</f>
        <v/>
      </c>
      <c r="EB288" s="4" t="str">
        <f t="array" ref="EB288">IFERROR(INDEX(球員狀態!X$2:X$5000, MATCH(1, (球員狀態!$A$2:$A$5000=$DF$1)*(ISNUMBER(SEARCH($DF288, 球員狀態!$B$2:$B$5000))), 0)), "")</f>
        <v>0.22</v>
      </c>
      <c r="EC288" s="4" t="str">
        <f t="array" ref="EC288">IFERROR(INDEX(球員狀態!Y$2:Y$5000, MATCH(1, (球員狀態!$A$2:$A$5000=$DF$1)*(ISNUMBER(SEARCH($DF288, 球員狀態!$B$2:$B$5000))), 0)), "")</f>
        <v>.116</v>
      </c>
      <c r="ED288" s="4" t="str">
        <f t="array" ref="ED288">IFERROR(INDEX(球員狀態!Z$2:Z$5000,MATCH(1,(球員狀態!$A$2:$A$5000=$DF$271)*(ISNUMBER(SEARCH($DF288,球員狀態!$B$2:$B$5000))),0)),"")</f>
        <v/>
      </c>
      <c r="EE288" s="4" t="str">
        <f t="array" ref="EE288">IFERROR(INDEX(球員狀態!AA$2:AA$5000,MATCH(1,(球員狀態!$A$2:$A$5000=$DF$271)*(ISNUMBER(SEARCH($DF288,球員狀態!$B$2:$B$5000))),0)),"")</f>
        <v/>
      </c>
      <c r="EF288" s="4" t="str">
        <f t="array" ref="EF288">IFERROR(INDEX(球員狀態!AB$2:AB$5000,MATCH(1,(球員狀態!$A$2:$A$5000=$DF$271)*(ISNUMBER(SEARCH($DF288,球員狀態!$B$2:$B$5000))),0)),"")</f>
        <v/>
      </c>
      <c r="EG288" s="56"/>
      <c r="EI288" s="37" t="str">
        <f>先發名單!W$11</f>
        <v>Bo Naylor</v>
      </c>
      <c r="EJ288" s="4" t="str">
        <f t="array" ref="EJ288">IFERROR(INDEX(球員狀態!C$2:C$5000, MATCH(1, (球員狀態!$A$2:$A$5000=$EI$271)*(ISNUMBER(SEARCH($EI288, 球員狀態!$B$2:$B$5000))), 0)), "")</f>
        <v/>
      </c>
      <c r="EM288" s="4" t="str">
        <f t="array" ref="EM288">IFERROR(INDEX(球員狀態!F$2:F$5000, MATCH(1, (球員狀態!$A$2:$A$5000=$EI$271)*(ISNUMBER(SEARCH($EI288, 球員狀態!$B$2:$B$5000))), 0)), "")</f>
        <v/>
      </c>
      <c r="EN288" s="4" t="str">
        <f t="array" ref="EN288">IFERROR(INDEX(球員狀態!G$2:G$5000, MATCH(1, (球員狀態!$A$2:$A$5000=$EI$1)*(ISNUMBER(SEARCH($EI288, 球員狀態!$B$2:$B$5000))), 0)), "")</f>
        <v>8</v>
      </c>
      <c r="EO288" s="4" t="str">
        <f t="array" ref="EO288">IFERROR(INDEX(球員狀態!H$2:H$5000, MATCH(1, (球員狀態!$A$2:$A$5000=$EI$271)*(ISNUMBER(SEARCH($EI288, 球員狀態!$B$2:$B$5000))), 0)), "")</f>
        <v/>
      </c>
      <c r="EP288" s="4" t="str">
        <f t="array" ref="EP288">IFERROR(INDEX(球員狀態!I$2:I$5000, MATCH(1, (球員狀態!$A$2:$A$5000=$EI$271)*(ISNUMBER(SEARCH($EI288, 球員狀態!$B$2:$B$5000))), 0)), "")</f>
        <v/>
      </c>
      <c r="EQ288" s="4" t="str">
        <f t="array" ref="EQ288">IFERROR(INDEX(球員狀態!J$2:J$5000, MATCH(1, (球員狀態!$A$2:$A$5000=$EI$271)*(ISNUMBER(SEARCH($EI288, 球員狀態!$B$2:$B$5000))), 0)), "")</f>
        <v/>
      </c>
      <c r="ER288" s="4" t="str">
        <f t="array" ref="ER288">IFERROR(INDEX(球員狀態!K$2:K$5000, MATCH(1, (球員狀態!$A$2:$A$5000=$EI$271)*(ISNUMBER(SEARCH($EI288, 球員狀態!$B$2:$B$5000))), 0)), "")</f>
        <v/>
      </c>
      <c r="ES288" s="4" t="str">
        <f t="array" ref="ES288">IFERROR(INDEX(球員狀態!L$2:L$5000, MATCH(1, (球員狀態!$A$2:$A$5000=$EI$271)*(ISNUMBER(SEARCH($EI288, 球員狀態!$B$2:$B$5000))), 0)), "")</f>
        <v/>
      </c>
      <c r="ET288" s="4" t="str">
        <f t="array" ref="ET288">IFERROR(INDEX(球員狀態!M$2:M$5000, MATCH(1, (球員狀態!$A$2:$A$5000=$EI$271)*(ISNUMBER(SEARCH($EI288, 球員狀態!$B$2:$B$5000))), 0)), "")</f>
        <v/>
      </c>
      <c r="EU288" s="4" t="str">
        <f t="array" ref="EU288">IFERROR(INDEX(球員狀態!N$2:N$5000, MATCH(1, (球員狀態!$A$2:$A$5000=$EI$271)*(ISNUMBER(SEARCH($EI288, 球員狀態!$B$2:$B$5000))), 0)), "")</f>
        <v/>
      </c>
      <c r="EV288" s="4" t="str">
        <f t="array" ref="EV288">IFERROR(INDEX(球員狀態!O$2:O$5000, MATCH(1, (球員狀態!$A$2:$A$5000=$EI$1)*(ISNUMBER(SEARCH($EI288, 球員狀態!$B$2:$B$5000))), 0)), "")</f>
        <v>0</v>
      </c>
      <c r="EW288" s="4" t="str">
        <f t="array" ref="EW288">IFERROR(INDEX(球員狀態!P$2:P$5000, MATCH(1, (球員狀態!$A$2:$A$5000=$EI$1)*(ISNUMBER(SEARCH($EI288, 球員狀態!$B$2:$B$5000))), 0)), "")</f>
        <v>.129</v>
      </c>
      <c r="EX288" s="4" t="str">
        <f t="array" ref="EX288">IFERROR(INDEX(球員狀態!Q$2:Q$5000, MATCH(1, (球員狀態!$A$2:$A$5000=$EI$271)*(ISNUMBER(SEARCH($EI288, 球員狀態!$B$2:$B$5000))), 0)), "")</f>
        <v/>
      </c>
      <c r="EY288" s="4" t="str">
        <f t="array" ref="EY288">IFERROR(INDEX(球員狀態!R$2:R$5000, MATCH(1, (球員狀態!$A$2:$A$5000=$EI$1)*(ISNUMBER(SEARCH($EI288, 球員狀態!$B$2:$B$5000))), 0)), "")</f>
        <v>.194</v>
      </c>
      <c r="EZ288" s="4" t="str">
        <f t="array" ref="EZ288">IFERROR(INDEX(球員狀態!S$2:S$5000, MATCH(1, (球員狀態!$A$2:$A$5000=$EI$1)*(ISNUMBER(SEARCH($EI288, 球員狀態!$B$2:$B$5000))), 0)), "")</f>
        <v>.388</v>
      </c>
      <c r="FA288" s="4" t="str">
        <f t="array" ref="FA288">IFERROR(INDEX(球員狀態!T$2:T$5000, MATCH(1, (球員狀態!$A$2:$A$5000=$EI$271)*(ISNUMBER(SEARCH($EI288, 球員狀態!$B$2:$B$5000))), 0)), "")</f>
        <v/>
      </c>
      <c r="FB288" s="4" t="str">
        <f t="array" ref="FB288">IFERROR(INDEX(球員狀態!U$2:U$5000, MATCH(1, (球員狀態!$A$2:$A$5000=$EI$1)*(ISNUMBER(SEARCH($EI288, 球員狀態!$B$2:$B$5000))), 0)), "")</f>
        <v>0.6</v>
      </c>
      <c r="FC288" s="4" t="str">
        <f t="array" ref="FC288">IFERROR(INDEX(球員狀態!V$2:V$5000, MATCH(1, (球員狀態!$A$2:$A$5000=$EI$1)*(ISNUMBER(SEARCH($EI288, 球員狀態!$B$2:$B$5000))), 0)), "")</f>
        <v>0.3</v>
      </c>
      <c r="FD288" s="4" t="str">
        <f t="array" ref="FD288">IFERROR(INDEX(球員狀態!W$2:W$5000, MATCH(1, (球員狀態!$A$2:$A$5000=$EI$271)*(ISNUMBER(SEARCH($EI288, 球員狀態!$B$2:$B$5000))), 0)), "")</f>
        <v/>
      </c>
      <c r="FE288" s="4" t="str">
        <f t="array" ref="FE288">IFERROR(INDEX(球員狀態!X$2:X$5000, MATCH(1, (球員狀態!$A$2:$A$5000=$EI$1)*(ISNUMBER(SEARCH($EI288, 球員狀態!$B$2:$B$5000))), 0)), "")</f>
        <v>0.31</v>
      </c>
      <c r="FF288" s="4" t="str">
        <f t="array" ref="FF288">IFERROR(INDEX(球員狀態!Y$2:Y$5000, MATCH(1, (球員狀態!$A$2:$A$5000=$EI$1)*(ISNUMBER(SEARCH($EI288, 球員狀態!$B$2:$B$5000))), 0)), "")</f>
        <v>.065</v>
      </c>
      <c r="FG288" s="4" t="str">
        <f t="array" ref="FG288">IFERROR(INDEX(球員狀態!Z$2:Z$5000, MATCH(1, (球員狀態!$A$2:$A$5000=$EI$271)*(ISNUMBER(SEARCH($EI288, 球員狀態!$B$2:$B$5000))), 0)), "")</f>
        <v/>
      </c>
      <c r="FH288" s="4" t="str">
        <f t="array" ref="FH288">IFERROR(INDEX(球員狀態!AA$2:AA$5000, MATCH(1, (球員狀態!$A$2:$A$5000=$EI$271)*(ISNUMBER(SEARCH($EI288, 球員狀態!$B$2:$B$5000))), 0)), "")</f>
        <v/>
      </c>
      <c r="FI288" s="4" t="str">
        <f t="array" ref="FI288">IFERROR(INDEX(球員狀態!AB$2:AB$5000, MATCH(1, (球員狀態!$A$2:$A$5000=$EI$271)*(ISNUMBER(SEARCH($EI288, 球員狀態!$B$2:$B$5000))), 0)), "")</f>
        <v/>
      </c>
    </row>
    <row r="289" spans="110:165">
      <c r="DH289" s="40" t="e">
        <f>DJ289+DL289+DM289+DN289+DO289-DP289-DQ289+DR289</f>
        <v>#VALUE!</v>
      </c>
      <c r="DI289" s="42" t="e">
        <f>DU289+DX289+EA289+ED289+EE289+EF289</f>
        <v>#VALUE!</v>
      </c>
      <c r="DJ289" s="38" t="e">
        <f>VLOOKUP(DJ288*1, FK$2:FM$12, 3, TRUE)*FM$1</f>
        <v>#VALUE!</v>
      </c>
      <c r="DL289" s="38" t="e">
        <f>VLOOKUP(DL288*1, FN$2:FP$12, 3, TRUE)*FP$1</f>
        <v>#VALUE!</v>
      </c>
      <c r="DM289" s="38" t="e">
        <f>VLOOKUP(DM288*1, FQ$2:FS$12, 3, TRUE)*FS$1</f>
        <v>#VALUE!</v>
      </c>
      <c r="DN289" s="38" t="e">
        <f>VLOOKUP(DN288*1, FT$2:FV$12, 3, TRUE)*FV$1</f>
        <v>#VALUE!</v>
      </c>
      <c r="DO289" s="38" t="e">
        <f>VLOOKUP(DO288*1, FW$2:FY$12, 3, TRUE)*FY$1</f>
        <v>#VALUE!</v>
      </c>
      <c r="DP289" s="39" t="e">
        <f>VLOOKUP(DP288*1, FK$14:FM$25, 3, TRUE)*FM$14</f>
        <v>#VALUE!</v>
      </c>
      <c r="DQ289" s="39" t="e">
        <f>VLOOKUP(DQ288*1, FN$14:FP$25, 3, TRUE)*FP$14</f>
        <v>#VALUE!</v>
      </c>
      <c r="DR289" s="38" t="e">
        <f>VLOOKUP(DR288*1, FQ$14:FS$25, 3, TRUE)*FS$14</f>
        <v>#VALUE!</v>
      </c>
      <c r="DU289" s="41" t="e">
        <f>VLOOKUP(DU288*1, FK$27:FM$38, 3, TRUE)*FM$27</f>
        <v>#VALUE!</v>
      </c>
      <c r="DX289" s="41" t="e">
        <f>VLOOKUP(DX288*1, FN$27:FP$38, 3, TRUE)*FP$27</f>
        <v>#VALUE!</v>
      </c>
      <c r="EA289" s="41" t="e">
        <f>VLOOKUP(EA288*1, FQ$27:FS$38, 3, TRUE)*FS$27</f>
        <v>#VALUE!</v>
      </c>
      <c r="ED289" s="41" t="e">
        <f>VLOOKUP(ED288*1, FT$27:FV$38, 3, TRUE)*FV$27</f>
        <v>#VALUE!</v>
      </c>
      <c r="EE289" s="41" t="e">
        <f>VLOOKUP(EE288*1, FW$27:FY$38, 3, TRUE)*FY$27</f>
        <v>#VALUE!</v>
      </c>
      <c r="EF289" s="41" t="e">
        <f>VLOOKUP(EF288*1, FK$40:FM$51, 3, TRUE)*FM$40</f>
        <v>#VALUE!</v>
      </c>
      <c r="EG289" s="57"/>
      <c r="EK289" s="40" t="e">
        <f>EM289+EO289+EP289+EQ289+ER289-ES289-ET289+EU289</f>
        <v>#VALUE!</v>
      </c>
      <c r="EL289" s="42" t="e">
        <f>EX289+FA289+FD289+FG289+FH289+FI289</f>
        <v>#VALUE!</v>
      </c>
      <c r="EM289" s="38" t="e">
        <f>VLOOKUP(EM288*1, $FK$2:$FM$12, 3, TRUE)*$FM$1</f>
        <v>#VALUE!</v>
      </c>
      <c r="EO289" s="38" t="e">
        <f>VLOOKUP(EO288*1, $FN$2:$FP$12, 3, TRUE)*$FP$1</f>
        <v>#VALUE!</v>
      </c>
      <c r="EP289" s="38" t="e">
        <f>VLOOKUP(EP288*1, $FQ$2:$FS$12, 3, TRUE)*$FS$1</f>
        <v>#VALUE!</v>
      </c>
      <c r="EQ289" s="38" t="e">
        <f>VLOOKUP(EQ288*1, $FT$2:$FV$12, 3, TRUE)*$FV$1</f>
        <v>#VALUE!</v>
      </c>
      <c r="ER289" s="38" t="e">
        <f>VLOOKUP(ER288*1, $FW$2:$FY$12, 3, TRUE)*$FY$1</f>
        <v>#VALUE!</v>
      </c>
      <c r="ES289" s="39" t="e">
        <f>VLOOKUP(ES288*1, $FK$14:$FM$25, 3, TRUE)*$FM$14</f>
        <v>#VALUE!</v>
      </c>
      <c r="ET289" s="39" t="e">
        <f>VLOOKUP(ET288*1, $FN$14:$FP$25, 3, TRUE)*$FP$14</f>
        <v>#VALUE!</v>
      </c>
      <c r="EU289" s="38" t="e">
        <f>VLOOKUP(EU288*1, $FQ$14:$FS$25, 3, TRUE)*$FS$14</f>
        <v>#VALUE!</v>
      </c>
      <c r="EX289" s="41" t="e">
        <f>VLOOKUP(EX288*1, $FK$27:$FM$38, 3, TRUE)*$FM$27</f>
        <v>#VALUE!</v>
      </c>
      <c r="FA289" s="41" t="e">
        <f>VLOOKUP(FA288*1, $FN$27:$FP$38, 3, TRUE)*$FP$27</f>
        <v>#VALUE!</v>
      </c>
      <c r="FD289" s="41" t="e">
        <f>VLOOKUP(FD288*1, $FQ$27:$FS$38, 3, TRUE)*$FS$27</f>
        <v>#VALUE!</v>
      </c>
      <c r="FG289" s="41" t="e">
        <f>VLOOKUP(FG288*1, $FT$27:$FV$38, 3, TRUE)*$FV$27</f>
        <v>#VALUE!</v>
      </c>
      <c r="FH289" s="41" t="e">
        <f>VLOOKUP(FH288*1, $FW$27:$FY$38, 3, TRUE)*$FY$27</f>
        <v>#VALUE!</v>
      </c>
      <c r="FI289" s="41" t="e">
        <f>VLOOKUP(FI288*1, $FK$40:$FM$51, 3, TRUE)*$FM$40</f>
        <v>#VALUE!</v>
      </c>
    </row>
    <row r="290" spans="110:165">
      <c r="DF290" s="37" t="e">
        <f>先發名單!#REF!</f>
        <v>#REF!</v>
      </c>
      <c r="DG290" s="4" t="str">
        <f t="array" ref="DG290">IFERROR(INDEX(球員狀態!$C$2:$C$5000, MATCH(1, (球員狀態!$A$2:$A$5000=$DF$271)*(ISNUMBER(SEARCH($DF290, 球員狀態!$B$2:$B$5000))), 0)), "")</f>
        <v/>
      </c>
      <c r="DJ290" s="4" t="str">
        <f t="array" ref="DJ290">IFERROR(INDEX(球員狀態!$F$2:$F$5000,MATCH(1,(球員狀態!$A$2:$A$5000=$DF$271)*(ISNUMBER(SEARCH($DF290,球員狀態!$B$2:$B$5000))),0)),"")</f>
        <v/>
      </c>
      <c r="DK290" s="4" t="str">
        <f t="array" ref="DK290">IFERROR(INDEX(球員狀態!G$2:G$5000, MATCH(1, (球員狀態!$A$2:$A$5000=$DF$1)*(ISNUMBER(SEARCH($DF290, 球員狀態!$B$2:$B$5000))), 0)), "")</f>
        <v/>
      </c>
      <c r="DL290" s="4" t="str">
        <f t="array" ref="DL290">IFERROR(INDEX(球員狀態!H$2:H$5000, MATCH(1, (球員狀態!$A$2:$A$5000=$DF$271)*(ISNUMBER(SEARCH($DF290, 球員狀態!$B$2:$B$5000))), 0)), "")</f>
        <v/>
      </c>
      <c r="DM290" s="4" t="str">
        <f t="array" ref="DM290">IFERROR(INDEX(球員狀態!I$2:I$5000,MATCH(1,(球員狀態!$A$2:$A$5000=$DF$271)*(ISNUMBER(SEARCH($DF290,球員狀態!$B$2:$B$5000))),0)),"")</f>
        <v/>
      </c>
      <c r="DN290" s="4" t="str">
        <f t="array" ref="DN290">IFERROR(INDEX(球員狀態!J$2:J$5000,MATCH(1,(球員狀態!$A$2:$A$5000=$DF$271)*(ISNUMBER(SEARCH($DF290,球員狀態!$B$2:$B$5000))),0)),"")</f>
        <v/>
      </c>
      <c r="DO290" s="4" t="str">
        <f t="array" ref="DO290">IFERROR(INDEX(球員狀態!K$2:K$5000,MATCH(1,(球員狀態!$A$2:$A$5000=$DF$271)*(ISNUMBER(SEARCH($DF290,球員狀態!$B$2:$B$5000))),0)),"")</f>
        <v/>
      </c>
      <c r="DP290" s="4" t="str">
        <f t="array" ref="DP290">IFERROR(INDEX(球員狀態!L$2:L$5000,MATCH(1,(球員狀態!$A$2:$A$5000=$DF$271)*(ISNUMBER(SEARCH($DF290,球員狀態!$B$2:$B$5000))),0)),"")</f>
        <v/>
      </c>
      <c r="DQ290" s="4" t="str">
        <f t="array" ref="DQ290">IFERROR(INDEX(球員狀態!M$2:M$5000,MATCH(1,(球員狀態!$A$2:$A$5000=$DF$271)*(ISNUMBER(SEARCH($DF290,球員狀態!$B$2:$B$5000))),0)),"")</f>
        <v/>
      </c>
      <c r="DR290" s="4" t="str">
        <f t="array" ref="DR290">IFERROR(INDEX(球員狀態!N$2:N$5000,MATCH(1,(球員狀態!$A$2:$A$5000=$DF$271)*(ISNUMBER(SEARCH($DF290,球員狀態!$B$2:$B$5000))),0)),"")</f>
        <v/>
      </c>
      <c r="DS290" s="4" t="str">
        <f t="array" ref="DS290">IFERROR(INDEX(球員狀態!O$2:O$5000, MATCH(1, (球員狀態!$A$2:$A$5000=$DF$1)*(ISNUMBER(SEARCH($DF290, 球員狀態!$B$2:$B$5000))), 0)), "")</f>
        <v/>
      </c>
      <c r="DT290" s="4" t="str">
        <f t="array" ref="DT290">IFERROR(INDEX(球員狀態!P$2:P$5000, MATCH(1, (球員狀態!$A$2:$A$5000=$DF$1)*(ISNUMBER(SEARCH($DF290, 球員狀態!$B$2:$B$5000))), 0)), "")</f>
        <v/>
      </c>
      <c r="DU290" s="4" t="str">
        <f t="array" ref="DU290">IFERROR(INDEX(球員狀態!Q$2:Q$5000,MATCH(1,(球員狀態!$A$2:$A$5000=$DF$271)*(ISNUMBER(SEARCH($DF290,球員狀態!$B$2:$B$5000))),0)),"")</f>
        <v/>
      </c>
      <c r="DV290" s="4" t="str">
        <f t="array" ref="DV290">IFERROR(INDEX(球員狀態!R$2:R$5000, MATCH(1, (球員狀態!$A$2:$A$5000=$DF$1)*(ISNUMBER(SEARCH($DF290, 球員狀態!$B$2:$B$5000))), 0)), "")</f>
        <v/>
      </c>
      <c r="DW290" s="4" t="str">
        <f t="array" ref="DW290">IFERROR(INDEX(球員狀態!S$2:S$5000, MATCH(1, (球員狀態!$A$2:$A$5000=$DF$1)*(ISNUMBER(SEARCH($DF290, 球員狀態!$B$2:$B$5000))), 0)), "")</f>
        <v/>
      </c>
      <c r="DX290" s="4" t="str">
        <f t="array" ref="DX290">IFERROR(INDEX(球員狀態!T$2:T$5000,MATCH(1,(球員狀態!$A$2:$A$5000=$DF$271)*(ISNUMBER(SEARCH($DF290,球員狀態!$B$2:$B$5000))),0)),"")</f>
        <v/>
      </c>
      <c r="DY290" s="4" t="str">
        <f t="array" ref="DY290">IFERROR(INDEX(球員狀態!U$2:U$5000, MATCH(1, (球員狀態!$A$2:$A$5000=$DF$1)*(ISNUMBER(SEARCH($DF290, 球員狀態!$B$2:$B$5000))), 0)), "")</f>
        <v/>
      </c>
      <c r="DZ290" s="4" t="str">
        <f t="array" ref="DZ290">IFERROR(INDEX(球員狀態!V$2:V$5000, MATCH(1, (球員狀態!$A$2:$A$5000=$DF$1)*(ISNUMBER(SEARCH($DF290, 球員狀態!$B$2:$B$5000))), 0)), "")</f>
        <v/>
      </c>
      <c r="EA290" s="4" t="str">
        <f t="array" ref="EA290">IFERROR(INDEX(球員狀態!W$2:W$5000,MATCH(1,(球員狀態!$A$2:$A$5000=$DF$271)*(ISNUMBER(SEARCH($DF290,球員狀態!$B$2:$B$5000))),0)),"")</f>
        <v/>
      </c>
      <c r="EB290" s="4" t="str">
        <f t="array" ref="EB290">IFERROR(INDEX(球員狀態!X$2:X$5000, MATCH(1, (球員狀態!$A$2:$A$5000=$DF$1)*(ISNUMBER(SEARCH($DF290, 球員狀態!$B$2:$B$5000))), 0)), "")</f>
        <v/>
      </c>
      <c r="EC290" s="4" t="str">
        <f t="array" ref="EC290">IFERROR(INDEX(球員狀態!Y$2:Y$5000, MATCH(1, (球員狀態!$A$2:$A$5000=$DF$1)*(ISNUMBER(SEARCH($DF290, 球員狀態!$B$2:$B$5000))), 0)), "")</f>
        <v/>
      </c>
      <c r="ED290" s="4" t="str">
        <f t="array" ref="ED290">IFERROR(INDEX(球員狀態!Z$2:Z$5000,MATCH(1,(球員狀態!$A$2:$A$5000=$DF$271)*(ISNUMBER(SEARCH($DF290,球員狀態!$B$2:$B$5000))),0)),"")</f>
        <v/>
      </c>
      <c r="EE290" s="4" t="str">
        <f t="array" ref="EE290">IFERROR(INDEX(球員狀態!AA$2:AA$5000,MATCH(1,(球員狀態!$A$2:$A$5000=$DF$271)*(ISNUMBER(SEARCH($DF290,球員狀態!$B$2:$B$5000))),0)),"")</f>
        <v/>
      </c>
      <c r="EF290" s="4" t="str">
        <f t="array" ref="EF290">IFERROR(INDEX(球員狀態!AB$2:AB$5000,MATCH(1,(球員狀態!$A$2:$A$5000=$DF$271)*(ISNUMBER(SEARCH($DF290,球員狀態!$B$2:$B$5000))),0)),"")</f>
        <v/>
      </c>
      <c r="EG290" s="56"/>
      <c r="EI290" s="37" t="str">
        <f>先發名單!X$11</f>
        <v>B. Rocchio</v>
      </c>
      <c r="EJ290" s="4" t="str">
        <f t="array" ref="EJ290">IFERROR(INDEX(球員狀態!C$2:C$5000, MATCH(1, (球員狀態!$A$2:$A$5000=$EI$271)*(ISNUMBER(SEARCH($EI290, 球員狀態!$B$2:$B$5000))), 0)), "")</f>
        <v/>
      </c>
      <c r="EM290" s="4" t="str">
        <f t="array" ref="EM290">IFERROR(INDEX(球員狀態!F$2:F$5000, MATCH(1, (球員狀態!$A$2:$A$5000=$EI$271)*(ISNUMBER(SEARCH($EI290, 球員狀態!$B$2:$B$5000))), 0)), "")</f>
        <v/>
      </c>
      <c r="EN290" s="4" t="str">
        <f t="array" ref="EN290">IFERROR(INDEX(球員狀態!G$2:G$5000, MATCH(1, (球員狀態!$A$2:$A$5000=$EI$1)*(ISNUMBER(SEARCH($EI290, 球員狀態!$B$2:$B$5000))), 0)), "")</f>
        <v/>
      </c>
      <c r="EO290" s="4" t="str">
        <f t="array" ref="EO290">IFERROR(INDEX(球員狀態!H$2:H$5000, MATCH(1, (球員狀態!$A$2:$A$5000=$EI$271)*(ISNUMBER(SEARCH($EI290, 球員狀態!$B$2:$B$5000))), 0)), "")</f>
        <v/>
      </c>
      <c r="EP290" s="4" t="str">
        <f t="array" ref="EP290">IFERROR(INDEX(球員狀態!I$2:I$5000, MATCH(1, (球員狀態!$A$2:$A$5000=$EI$271)*(ISNUMBER(SEARCH($EI290, 球員狀態!$B$2:$B$5000))), 0)), "")</f>
        <v/>
      </c>
      <c r="EQ290" s="4" t="str">
        <f t="array" ref="EQ290">IFERROR(INDEX(球員狀態!J$2:J$5000, MATCH(1, (球員狀態!$A$2:$A$5000=$EI$271)*(ISNUMBER(SEARCH($EI290, 球員狀態!$B$2:$B$5000))), 0)), "")</f>
        <v/>
      </c>
      <c r="ER290" s="4" t="str">
        <f t="array" ref="ER290">IFERROR(INDEX(球員狀態!K$2:K$5000, MATCH(1, (球員狀態!$A$2:$A$5000=$EI$271)*(ISNUMBER(SEARCH($EI290, 球員狀態!$B$2:$B$5000))), 0)), "")</f>
        <v/>
      </c>
      <c r="ES290" s="4" t="str">
        <f t="array" ref="ES290">IFERROR(INDEX(球員狀態!L$2:L$5000, MATCH(1, (球員狀態!$A$2:$A$5000=$EI$271)*(ISNUMBER(SEARCH($EI290, 球員狀態!$B$2:$B$5000))), 0)), "")</f>
        <v/>
      </c>
      <c r="ET290" s="4" t="str">
        <f t="array" ref="ET290">IFERROR(INDEX(球員狀態!M$2:M$5000, MATCH(1, (球員狀態!$A$2:$A$5000=$EI$271)*(ISNUMBER(SEARCH($EI290, 球員狀態!$B$2:$B$5000))), 0)), "")</f>
        <v/>
      </c>
      <c r="EU290" s="4" t="str">
        <f t="array" ref="EU290">IFERROR(INDEX(球員狀態!N$2:N$5000, MATCH(1, (球員狀態!$A$2:$A$5000=$EI$271)*(ISNUMBER(SEARCH($EI290, 球員狀態!$B$2:$B$5000))), 0)), "")</f>
        <v/>
      </c>
      <c r="EV290" s="4" t="str">
        <f t="array" ref="EV290">IFERROR(INDEX(球員狀態!O$2:O$5000, MATCH(1, (球員狀態!$A$2:$A$5000=$EI$1)*(ISNUMBER(SEARCH($EI290, 球員狀態!$B$2:$B$5000))), 0)), "")</f>
        <v/>
      </c>
      <c r="EW290" s="4" t="str">
        <f t="array" ref="EW290">IFERROR(INDEX(球員狀態!P$2:P$5000, MATCH(1, (球員狀態!$A$2:$A$5000=$EI$1)*(ISNUMBER(SEARCH($EI290, 球員狀態!$B$2:$B$5000))), 0)), "")</f>
        <v/>
      </c>
      <c r="EX290" s="4" t="str">
        <f t="array" ref="EX290">IFERROR(INDEX(球員狀態!Q$2:Q$5000, MATCH(1, (球員狀態!$A$2:$A$5000=$EI$271)*(ISNUMBER(SEARCH($EI290, 球員狀態!$B$2:$B$5000))), 0)), "")</f>
        <v/>
      </c>
      <c r="EY290" s="4" t="str">
        <f t="array" ref="EY290">IFERROR(INDEX(球員狀態!R$2:R$5000, MATCH(1, (球員狀態!$A$2:$A$5000=$EI$1)*(ISNUMBER(SEARCH($EI290, 球員狀態!$B$2:$B$5000))), 0)), "")</f>
        <v/>
      </c>
      <c r="EZ290" s="4" t="str">
        <f t="array" ref="EZ290">IFERROR(INDEX(球員狀態!S$2:S$5000, MATCH(1, (球員狀態!$A$2:$A$5000=$EI$1)*(ISNUMBER(SEARCH($EI290, 球員狀態!$B$2:$B$5000))), 0)), "")</f>
        <v/>
      </c>
      <c r="FA290" s="4" t="str">
        <f t="array" ref="FA290">IFERROR(INDEX(球員狀態!T$2:T$5000, MATCH(1, (球員狀態!$A$2:$A$5000=$EI$271)*(ISNUMBER(SEARCH($EI290, 球員狀態!$B$2:$B$5000))), 0)), "")</f>
        <v/>
      </c>
      <c r="FB290" s="4" t="str">
        <f t="array" ref="FB290">IFERROR(INDEX(球員狀態!U$2:U$5000, MATCH(1, (球員狀態!$A$2:$A$5000=$EI$1)*(ISNUMBER(SEARCH($EI290, 球員狀態!$B$2:$B$5000))), 0)), "")</f>
        <v/>
      </c>
      <c r="FC290" s="4" t="str">
        <f t="array" ref="FC290">IFERROR(INDEX(球員狀態!V$2:V$5000, MATCH(1, (球員狀態!$A$2:$A$5000=$EI$1)*(ISNUMBER(SEARCH($EI290, 球員狀態!$B$2:$B$5000))), 0)), "")</f>
        <v/>
      </c>
      <c r="FD290" s="4" t="str">
        <f t="array" ref="FD290">IFERROR(INDEX(球員狀態!W$2:W$5000, MATCH(1, (球員狀態!$A$2:$A$5000=$EI$271)*(ISNUMBER(SEARCH($EI290, 球員狀態!$B$2:$B$5000))), 0)), "")</f>
        <v/>
      </c>
      <c r="FE290" s="4" t="str">
        <f t="array" ref="FE290">IFERROR(INDEX(球員狀態!X$2:X$5000, MATCH(1, (球員狀態!$A$2:$A$5000=$EI$1)*(ISNUMBER(SEARCH($EI290, 球員狀態!$B$2:$B$5000))), 0)), "")</f>
        <v/>
      </c>
      <c r="FF290" s="4" t="str">
        <f t="array" ref="FF290">IFERROR(INDEX(球員狀態!Y$2:Y$5000, MATCH(1, (球員狀態!$A$2:$A$5000=$EI$1)*(ISNUMBER(SEARCH($EI290, 球員狀態!$B$2:$B$5000))), 0)), "")</f>
        <v/>
      </c>
      <c r="FG290" s="4" t="str">
        <f t="array" ref="FG290">IFERROR(INDEX(球員狀態!Z$2:Z$5000, MATCH(1, (球員狀態!$A$2:$A$5000=$EI$271)*(ISNUMBER(SEARCH($EI290, 球員狀態!$B$2:$B$5000))), 0)), "")</f>
        <v/>
      </c>
      <c r="FH290" s="4" t="str">
        <f t="array" ref="FH290">IFERROR(INDEX(球員狀態!AA$2:AA$5000, MATCH(1, (球員狀態!$A$2:$A$5000=$EI$271)*(ISNUMBER(SEARCH($EI290, 球員狀態!$B$2:$B$5000))), 0)), "")</f>
        <v/>
      </c>
      <c r="FI290" s="4" t="str">
        <f t="array" ref="FI290">IFERROR(INDEX(球員狀態!AB$2:AB$5000, MATCH(1, (球員狀態!$A$2:$A$5000=$EI$271)*(ISNUMBER(SEARCH($EI290, 球員狀態!$B$2:$B$5000))), 0)), "")</f>
        <v/>
      </c>
    </row>
    <row r="291" spans="110:165">
      <c r="DH291" s="40" t="e">
        <f>DJ291+DL291+DM291+DN291+DO291-DP291-DQ291+DR291</f>
        <v>#VALUE!</v>
      </c>
      <c r="DI291" s="42" t="e">
        <f>DU291+DX291+EA291+ED291+EE291+EF291</f>
        <v>#VALUE!</v>
      </c>
      <c r="DJ291" s="38" t="e">
        <f>VLOOKUP(DJ290*1, FK$2:FM$12, 3, TRUE)*FM$1</f>
        <v>#VALUE!</v>
      </c>
      <c r="DL291" s="38" t="e">
        <f>VLOOKUP(DL290*1, FN$2:FP$12, 3, TRUE)*FP$1</f>
        <v>#VALUE!</v>
      </c>
      <c r="DM291" s="38" t="e">
        <f>VLOOKUP(DM290*1, FQ$2:FS$12, 3, TRUE)*FS$1</f>
        <v>#VALUE!</v>
      </c>
      <c r="DN291" s="38" t="e">
        <f>VLOOKUP(DN290*1, FT$2:FV$12, 3, TRUE)*FV$1</f>
        <v>#VALUE!</v>
      </c>
      <c r="DO291" s="38" t="e">
        <f>VLOOKUP(DO290*1, FW$2:FY$12, 3, TRUE)*FY$1</f>
        <v>#VALUE!</v>
      </c>
      <c r="DP291" s="39" t="e">
        <f>VLOOKUP(DP290*1, FK$14:FM$25, 3, TRUE)*FM$14</f>
        <v>#VALUE!</v>
      </c>
      <c r="DQ291" s="39" t="e">
        <f>VLOOKUP(DQ290*1, FN$14:FP$25, 3, TRUE)*FP$14</f>
        <v>#VALUE!</v>
      </c>
      <c r="DR291" s="38" t="e">
        <f>VLOOKUP(DR290*1, FQ$14:FS$25, 3, TRUE)*FS$14</f>
        <v>#VALUE!</v>
      </c>
      <c r="DU291" s="41" t="e">
        <f>VLOOKUP(DU290*1, FK$27:FM$38, 3, TRUE)*FM$27</f>
        <v>#VALUE!</v>
      </c>
      <c r="DX291" s="41" t="e">
        <f>VLOOKUP(DX290*1, FN$27:FP$38, 3, TRUE)*FP$27</f>
        <v>#VALUE!</v>
      </c>
      <c r="EA291" s="41" t="e">
        <f>VLOOKUP(EA290*1, FQ$27:FS$38, 3, TRUE)*FS$27</f>
        <v>#VALUE!</v>
      </c>
      <c r="ED291" s="41" t="e">
        <f>VLOOKUP(ED290*1, FT$27:FV$38, 3, TRUE)*FV$27</f>
        <v>#VALUE!</v>
      </c>
      <c r="EE291" s="41" t="e">
        <f>VLOOKUP(EE290*1, FW$27:FY$38, 3, TRUE)*FY$27</f>
        <v>#VALUE!</v>
      </c>
      <c r="EF291" s="41" t="e">
        <f>VLOOKUP(EF290*1, FK$40:FM$51, 3, TRUE)*FM$40</f>
        <v>#VALUE!</v>
      </c>
      <c r="EG291" s="57"/>
      <c r="EK291" s="40" t="e">
        <f>EM291+EO291+EP291+EQ291+ER291-ES291-ET291+EU291</f>
        <v>#VALUE!</v>
      </c>
      <c r="EL291" s="42" t="e">
        <f>EX291+FA291+FD291+FG291+FH291+FI291</f>
        <v>#VALUE!</v>
      </c>
      <c r="EM291" s="38" t="e">
        <f>VLOOKUP(EM290*1, $FK$2:$FM$12, 3, TRUE)*$FM$1</f>
        <v>#VALUE!</v>
      </c>
      <c r="EO291" s="38" t="e">
        <f>VLOOKUP(EO290*1, $FN$2:$FP$12, 3, TRUE)*$FP$1</f>
        <v>#VALUE!</v>
      </c>
      <c r="EP291" s="38" t="e">
        <f>VLOOKUP(EP290*1, $FQ$2:$FS$12, 3, TRUE)*$FS$1</f>
        <v>#VALUE!</v>
      </c>
      <c r="EQ291" s="38" t="e">
        <f>VLOOKUP(EQ290*1, $FT$2:$FV$12, 3, TRUE)*$FV$1</f>
        <v>#VALUE!</v>
      </c>
      <c r="ER291" s="38" t="e">
        <f>VLOOKUP(ER290*1, $FW$2:$FY$12, 3, TRUE)*$FY$1</f>
        <v>#VALUE!</v>
      </c>
      <c r="ES291" s="39" t="e">
        <f>VLOOKUP(ES290*1, $FK$14:$FM$25, 3, TRUE)*$FM$14</f>
        <v>#VALUE!</v>
      </c>
      <c r="ET291" s="39" t="e">
        <f>VLOOKUP(ET290*1, $FN$14:$FP$25, 3, TRUE)*$FP$14</f>
        <v>#VALUE!</v>
      </c>
      <c r="EU291" s="38" t="e">
        <f>VLOOKUP(EU290*1, $FQ$14:$FS$25, 3, TRUE)*$FS$14</f>
        <v>#VALUE!</v>
      </c>
      <c r="EX291" s="41" t="e">
        <f>VLOOKUP(EX290*1, $FK$27:$FM$38, 3, TRUE)*$FM$27</f>
        <v>#VALUE!</v>
      </c>
      <c r="FA291" s="41" t="e">
        <f>VLOOKUP(FA290*1, $FN$27:$FP$38, 3, TRUE)*$FP$27</f>
        <v>#VALUE!</v>
      </c>
      <c r="FD291" s="41" t="e">
        <f>VLOOKUP(FD290*1, $FQ$27:$FS$38, 3, TRUE)*$FS$27</f>
        <v>#VALUE!</v>
      </c>
      <c r="FG291" s="41" t="e">
        <f>VLOOKUP(FG290*1, $FT$27:$FV$38, 3, TRUE)*$FV$27</f>
        <v>#VALUE!</v>
      </c>
      <c r="FH291" s="41" t="e">
        <f>VLOOKUP(FH290*1, $FW$27:$FY$38, 3, TRUE)*$FY$27</f>
        <v>#VALUE!</v>
      </c>
      <c r="FI291" s="41" t="e">
        <f>VLOOKUP(FI290*1, $FK$40:$FM$51, 3, TRUE)*$FM$40</f>
        <v>#VALUE!</v>
      </c>
    </row>
    <row r="292" spans="110:165">
      <c r="DF292" s="37" t="e">
        <f>先發名單!#REF!</f>
        <v>#REF!</v>
      </c>
      <c r="DG292" s="4" t="str">
        <f t="array" ref="DG292">IFERROR(INDEX(球員狀態!$C$2:$C$5000, MATCH(1, (球員狀態!$A$2:$A$5000=$DF$271)*(ISNUMBER(SEARCH($DF292, 球員狀態!$B$2:$B$5000))), 0)), "")</f>
        <v/>
      </c>
      <c r="DJ292" s="4" t="str">
        <f t="array" ref="DJ292">IFERROR(INDEX(球員狀態!$F$2:$F$5000,MATCH(1,(球員狀態!$A$2:$A$5000=$DF$271)*(ISNUMBER(SEARCH($DF292,球員狀態!$B$2:$B$5000))),0)),"")</f>
        <v/>
      </c>
      <c r="DK292" s="4" t="str">
        <f t="array" ref="DK292">IFERROR(INDEX(球員狀態!G$2:G$5000, MATCH(1, (球員狀態!$A$2:$A$5000=$DF$1)*(ISNUMBER(SEARCH($DF292, 球員狀態!$B$2:$B$5000))), 0)), "")</f>
        <v/>
      </c>
      <c r="DL292" s="4" t="str">
        <f t="array" ref="DL292">IFERROR(INDEX(球員狀態!H$2:H$5000, MATCH(1, (球員狀態!$A$2:$A$5000=$DF$271)*(ISNUMBER(SEARCH($DF292, 球員狀態!$B$2:$B$5000))), 0)), "")</f>
        <v/>
      </c>
      <c r="DM292" s="4" t="str">
        <f t="array" ref="DM292">IFERROR(INDEX(球員狀態!I$2:I$5000,MATCH(1,(球員狀態!$A$2:$A$5000=$DF$271)*(ISNUMBER(SEARCH($DF292,球員狀態!$B$2:$B$5000))),0)),"")</f>
        <v/>
      </c>
      <c r="DN292" s="4" t="str">
        <f t="array" ref="DN292">IFERROR(INDEX(球員狀態!J$2:J$5000,MATCH(1,(球員狀態!$A$2:$A$5000=$DF$271)*(ISNUMBER(SEARCH($DF292,球員狀態!$B$2:$B$5000))),0)),"")</f>
        <v/>
      </c>
      <c r="DO292" s="4" t="str">
        <f t="array" ref="DO292">IFERROR(INDEX(球員狀態!K$2:K$5000,MATCH(1,(球員狀態!$A$2:$A$5000=$DF$271)*(ISNUMBER(SEARCH($DF292,球員狀態!$B$2:$B$5000))),0)),"")</f>
        <v/>
      </c>
      <c r="DP292" s="4" t="str">
        <f t="array" ref="DP292">IFERROR(INDEX(球員狀態!L$2:L$5000,MATCH(1,(球員狀態!$A$2:$A$5000=$DF$271)*(ISNUMBER(SEARCH($DF292,球員狀態!$B$2:$B$5000))),0)),"")</f>
        <v/>
      </c>
      <c r="DQ292" s="4" t="str">
        <f t="array" ref="DQ292">IFERROR(INDEX(球員狀態!M$2:M$5000,MATCH(1,(球員狀態!$A$2:$A$5000=$DF$271)*(ISNUMBER(SEARCH($DF292,球員狀態!$B$2:$B$5000))),0)),"")</f>
        <v/>
      </c>
      <c r="DR292" s="4" t="str">
        <f t="array" ref="DR292">IFERROR(INDEX(球員狀態!N$2:N$5000,MATCH(1,(球員狀態!$A$2:$A$5000=$DF$271)*(ISNUMBER(SEARCH($DF292,球員狀態!$B$2:$B$5000))),0)),"")</f>
        <v/>
      </c>
      <c r="DS292" s="4" t="str">
        <f t="array" ref="DS292">IFERROR(INDEX(球員狀態!O$2:O$5000, MATCH(1, (球員狀態!$A$2:$A$5000=$DF$1)*(ISNUMBER(SEARCH($DF292, 球員狀態!$B$2:$B$5000))), 0)), "")</f>
        <v/>
      </c>
      <c r="DT292" s="4" t="str">
        <f t="array" ref="DT292">IFERROR(INDEX(球員狀態!P$2:P$5000, MATCH(1, (球員狀態!$A$2:$A$5000=$DF$1)*(ISNUMBER(SEARCH($DF292, 球員狀態!$B$2:$B$5000))), 0)), "")</f>
        <v/>
      </c>
      <c r="DU292" s="4" t="str">
        <f t="array" ref="DU292">IFERROR(INDEX(球員狀態!Q$2:Q$5000,MATCH(1,(球員狀態!$A$2:$A$5000=$DF$271)*(ISNUMBER(SEARCH($DF292,球員狀態!$B$2:$B$5000))),0)),"")</f>
        <v/>
      </c>
      <c r="DV292" s="4" t="str">
        <f t="array" ref="DV292">IFERROR(INDEX(球員狀態!R$2:R$5000, MATCH(1, (球員狀態!$A$2:$A$5000=$DF$1)*(ISNUMBER(SEARCH($DF292, 球員狀態!$B$2:$B$5000))), 0)), "")</f>
        <v/>
      </c>
      <c r="DW292" s="4" t="str">
        <f t="array" ref="DW292">IFERROR(INDEX(球員狀態!S$2:S$5000, MATCH(1, (球員狀態!$A$2:$A$5000=$DF$1)*(ISNUMBER(SEARCH($DF292, 球員狀態!$B$2:$B$5000))), 0)), "")</f>
        <v/>
      </c>
      <c r="DX292" s="4" t="str">
        <f t="array" ref="DX292">IFERROR(INDEX(球員狀態!T$2:T$5000,MATCH(1,(球員狀態!$A$2:$A$5000=$DF$271)*(ISNUMBER(SEARCH($DF292,球員狀態!$B$2:$B$5000))),0)),"")</f>
        <v/>
      </c>
      <c r="DY292" s="4" t="str">
        <f t="array" ref="DY292">IFERROR(INDEX(球員狀態!U$2:U$5000, MATCH(1, (球員狀態!$A$2:$A$5000=$DF$1)*(ISNUMBER(SEARCH($DF292, 球員狀態!$B$2:$B$5000))), 0)), "")</f>
        <v/>
      </c>
      <c r="DZ292" s="4" t="str">
        <f t="array" ref="DZ292">IFERROR(INDEX(球員狀態!V$2:V$5000, MATCH(1, (球員狀態!$A$2:$A$5000=$DF$1)*(ISNUMBER(SEARCH($DF292, 球員狀態!$B$2:$B$5000))), 0)), "")</f>
        <v/>
      </c>
      <c r="EA292" s="4" t="str">
        <f t="array" ref="EA292">IFERROR(INDEX(球員狀態!W$2:W$5000,MATCH(1,(球員狀態!$A$2:$A$5000=$DF$271)*(ISNUMBER(SEARCH($DF292,球員狀態!$B$2:$B$5000))),0)),"")</f>
        <v/>
      </c>
      <c r="EB292" s="4" t="str">
        <f t="array" ref="EB292">IFERROR(INDEX(球員狀態!X$2:X$5000, MATCH(1, (球員狀態!$A$2:$A$5000=$DF$1)*(ISNUMBER(SEARCH($DF292, 球員狀態!$B$2:$B$5000))), 0)), "")</f>
        <v/>
      </c>
      <c r="EC292" s="4" t="str">
        <f t="array" ref="EC292">IFERROR(INDEX(球員狀態!Y$2:Y$5000, MATCH(1, (球員狀態!$A$2:$A$5000=$DF$1)*(ISNUMBER(SEARCH($DF292, 球員狀態!$B$2:$B$5000))), 0)), "")</f>
        <v/>
      </c>
      <c r="ED292" s="4" t="str">
        <f t="array" ref="ED292">IFERROR(INDEX(球員狀態!Z$2:Z$5000,MATCH(1,(球員狀態!$A$2:$A$5000=$DF$271)*(ISNUMBER(SEARCH($DF292,球員狀態!$B$2:$B$5000))),0)),"")</f>
        <v/>
      </c>
      <c r="EE292" s="4" t="str">
        <f t="array" ref="EE292">IFERROR(INDEX(球員狀態!AA$2:AA$5000,MATCH(1,(球員狀態!$A$2:$A$5000=$DF$271)*(ISNUMBER(SEARCH($DF292,球員狀態!$B$2:$B$5000))),0)),"")</f>
        <v/>
      </c>
      <c r="EF292" s="4" t="str">
        <f t="array" ref="EF292">IFERROR(INDEX(球員狀態!AB$2:AB$5000,MATCH(1,(球員狀態!$A$2:$A$5000=$DF$271)*(ISNUMBER(SEARCH($DF292,球員狀態!$B$2:$B$5000))),0)),"")</f>
        <v/>
      </c>
      <c r="EG292" s="56"/>
      <c r="EI292" s="37">
        <f>先發名單!Y$11</f>
        <v>0</v>
      </c>
      <c r="EJ292" s="4" t="str">
        <f t="array" ref="EJ292">IFERROR(INDEX(球員狀態!C$2:C$5000, MATCH(1, (球員狀態!$A$2:$A$5000=$EI$271)*(ISNUMBER(SEARCH($EI292, 球員狀態!$B$2:$B$5000))), 0)), "")</f>
        <v/>
      </c>
      <c r="EM292" s="4" t="str">
        <f t="array" ref="EM292">IFERROR(INDEX(球員狀態!F$2:F$5000, MATCH(1, (球員狀態!$A$2:$A$5000=$EI$271)*(ISNUMBER(SEARCH($EI292, 球員狀態!$B$2:$B$5000))), 0)), "")</f>
        <v/>
      </c>
      <c r="EN292" s="4" t="str">
        <f t="array" ref="EN292">IFERROR(INDEX(球員狀態!G$2:G$5000, MATCH(1, (球員狀態!$A$2:$A$5000=$EI$1)*(ISNUMBER(SEARCH($EI292, 球員狀態!$B$2:$B$5000))), 0)), "")</f>
        <v/>
      </c>
      <c r="EO292" s="4" t="str">
        <f t="array" ref="EO292">IFERROR(INDEX(球員狀態!H$2:H$5000, MATCH(1, (球員狀態!$A$2:$A$5000=$EI$271)*(ISNUMBER(SEARCH($EI292, 球員狀態!$B$2:$B$5000))), 0)), "")</f>
        <v/>
      </c>
      <c r="EP292" s="4" t="str">
        <f t="array" ref="EP292">IFERROR(INDEX(球員狀態!I$2:I$5000, MATCH(1, (球員狀態!$A$2:$A$5000=$EI$271)*(ISNUMBER(SEARCH($EI292, 球員狀態!$B$2:$B$5000))), 0)), "")</f>
        <v/>
      </c>
      <c r="EQ292" s="4" t="str">
        <f t="array" ref="EQ292">IFERROR(INDEX(球員狀態!J$2:J$5000, MATCH(1, (球員狀態!$A$2:$A$5000=$EI$271)*(ISNUMBER(SEARCH($EI292, 球員狀態!$B$2:$B$5000))), 0)), "")</f>
        <v/>
      </c>
      <c r="ER292" s="4" t="str">
        <f t="array" ref="ER292">IFERROR(INDEX(球員狀態!K$2:K$5000, MATCH(1, (球員狀態!$A$2:$A$5000=$EI$271)*(ISNUMBER(SEARCH($EI292, 球員狀態!$B$2:$B$5000))), 0)), "")</f>
        <v/>
      </c>
      <c r="ES292" s="4" t="str">
        <f t="array" ref="ES292">IFERROR(INDEX(球員狀態!L$2:L$5000, MATCH(1, (球員狀態!$A$2:$A$5000=$EI$271)*(ISNUMBER(SEARCH($EI292, 球員狀態!$B$2:$B$5000))), 0)), "")</f>
        <v/>
      </c>
      <c r="ET292" s="4" t="str">
        <f t="array" ref="ET292">IFERROR(INDEX(球員狀態!M$2:M$5000, MATCH(1, (球員狀態!$A$2:$A$5000=$EI$271)*(ISNUMBER(SEARCH($EI292, 球員狀態!$B$2:$B$5000))), 0)), "")</f>
        <v/>
      </c>
      <c r="EU292" s="4" t="str">
        <f t="array" ref="EU292">IFERROR(INDEX(球員狀態!N$2:N$5000, MATCH(1, (球員狀態!$A$2:$A$5000=$EI$271)*(ISNUMBER(SEARCH($EI292, 球員狀態!$B$2:$B$5000))), 0)), "")</f>
        <v/>
      </c>
      <c r="EV292" s="4" t="str">
        <f t="array" ref="EV292">IFERROR(INDEX(球員狀態!O$2:O$5000, MATCH(1, (球員狀態!$A$2:$A$5000=$EI$1)*(ISNUMBER(SEARCH($EI292, 球員狀態!$B$2:$B$5000))), 0)), "")</f>
        <v/>
      </c>
      <c r="EW292" s="4" t="str">
        <f t="array" ref="EW292">IFERROR(INDEX(球員狀態!P$2:P$5000, MATCH(1, (球員狀態!$A$2:$A$5000=$EI$1)*(ISNUMBER(SEARCH($EI292, 球員狀態!$B$2:$B$5000))), 0)), "")</f>
        <v/>
      </c>
      <c r="EX292" s="4" t="str">
        <f t="array" ref="EX292">IFERROR(INDEX(球員狀態!Q$2:Q$5000, MATCH(1, (球員狀態!$A$2:$A$5000=$EI$271)*(ISNUMBER(SEARCH($EI292, 球員狀態!$B$2:$B$5000))), 0)), "")</f>
        <v/>
      </c>
      <c r="EY292" s="4" t="str">
        <f t="array" ref="EY292">IFERROR(INDEX(球員狀態!R$2:R$5000, MATCH(1, (球員狀態!$A$2:$A$5000=$EI$1)*(ISNUMBER(SEARCH($EI292, 球員狀態!$B$2:$B$5000))), 0)), "")</f>
        <v/>
      </c>
      <c r="EZ292" s="4" t="str">
        <f t="array" ref="EZ292">IFERROR(INDEX(球員狀態!S$2:S$5000, MATCH(1, (球員狀態!$A$2:$A$5000=$EI$1)*(ISNUMBER(SEARCH($EI292, 球員狀態!$B$2:$B$5000))), 0)), "")</f>
        <v/>
      </c>
      <c r="FA292" s="4" t="str">
        <f t="array" ref="FA292">IFERROR(INDEX(球員狀態!T$2:T$5000, MATCH(1, (球員狀態!$A$2:$A$5000=$EI$271)*(ISNUMBER(SEARCH($EI292, 球員狀態!$B$2:$B$5000))), 0)), "")</f>
        <v/>
      </c>
      <c r="FB292" s="4" t="str">
        <f t="array" ref="FB292">IFERROR(INDEX(球員狀態!U$2:U$5000, MATCH(1, (球員狀態!$A$2:$A$5000=$EI$1)*(ISNUMBER(SEARCH($EI292, 球員狀態!$B$2:$B$5000))), 0)), "")</f>
        <v/>
      </c>
      <c r="FC292" s="4" t="str">
        <f t="array" ref="FC292">IFERROR(INDEX(球員狀態!V$2:V$5000, MATCH(1, (球員狀態!$A$2:$A$5000=$EI$1)*(ISNUMBER(SEARCH($EI292, 球員狀態!$B$2:$B$5000))), 0)), "")</f>
        <v/>
      </c>
      <c r="FD292" s="4" t="str">
        <f t="array" ref="FD292">IFERROR(INDEX(球員狀態!W$2:W$5000, MATCH(1, (球員狀態!$A$2:$A$5000=$EI$271)*(ISNUMBER(SEARCH($EI292, 球員狀態!$B$2:$B$5000))), 0)), "")</f>
        <v/>
      </c>
      <c r="FE292" s="4" t="str">
        <f t="array" ref="FE292">IFERROR(INDEX(球員狀態!X$2:X$5000, MATCH(1, (球員狀態!$A$2:$A$5000=$EI$1)*(ISNUMBER(SEARCH($EI292, 球員狀態!$B$2:$B$5000))), 0)), "")</f>
        <v/>
      </c>
      <c r="FF292" s="4" t="str">
        <f t="array" ref="FF292">IFERROR(INDEX(球員狀態!Y$2:Y$5000, MATCH(1, (球員狀態!$A$2:$A$5000=$EI$1)*(ISNUMBER(SEARCH($EI292, 球員狀態!$B$2:$B$5000))), 0)), "")</f>
        <v/>
      </c>
      <c r="FG292" s="4" t="str">
        <f t="array" ref="FG292">IFERROR(INDEX(球員狀態!Z$2:Z$5000, MATCH(1, (球員狀態!$A$2:$A$5000=$EI$271)*(ISNUMBER(SEARCH($EI292, 球員狀態!$B$2:$B$5000))), 0)), "")</f>
        <v/>
      </c>
      <c r="FH292" s="4" t="str">
        <f t="array" ref="FH292">IFERROR(INDEX(球員狀態!AA$2:AA$5000, MATCH(1, (球員狀態!$A$2:$A$5000=$EI$271)*(ISNUMBER(SEARCH($EI292, 球員狀態!$B$2:$B$5000))), 0)), "")</f>
        <v/>
      </c>
      <c r="FI292" s="4" t="str">
        <f t="array" ref="FI292">IFERROR(INDEX(球員狀態!AB$2:AB$5000, MATCH(1, (球員狀態!$A$2:$A$5000=$EI$271)*(ISNUMBER(SEARCH($EI292, 球員狀態!$B$2:$B$5000))), 0)), "")</f>
        <v/>
      </c>
    </row>
    <row r="293" spans="110:165">
      <c r="DH293" s="40" t="e">
        <f>DJ293+DL293+DM293+DN293+DO293-DP293-DQ293+DR293</f>
        <v>#VALUE!</v>
      </c>
      <c r="DI293" s="42" t="e">
        <f>DU293+DX293+EA293+ED293+EE293+EF293</f>
        <v>#VALUE!</v>
      </c>
      <c r="DJ293" s="38" t="e">
        <f>VLOOKUP(DJ292*1, FK$2:FM$12, 3, TRUE)*FM$1</f>
        <v>#VALUE!</v>
      </c>
      <c r="DL293" s="38" t="e">
        <f>VLOOKUP(DL292*1, FN$2:FP$12, 3, TRUE)*FP$1</f>
        <v>#VALUE!</v>
      </c>
      <c r="DM293" s="38" t="e">
        <f>VLOOKUP(DM292*1, FQ$2:FS$12, 3, TRUE)*FS$1</f>
        <v>#VALUE!</v>
      </c>
      <c r="DN293" s="38" t="e">
        <f>VLOOKUP(DN292*1, FT$2:FV$12, 3, TRUE)*FV$1</f>
        <v>#VALUE!</v>
      </c>
      <c r="DO293" s="38" t="e">
        <f>VLOOKUP(DO292*1, FW$2:FY$12, 3, TRUE)*FY$1</f>
        <v>#VALUE!</v>
      </c>
      <c r="DP293" s="39" t="e">
        <f>VLOOKUP(DP292*1, FK$14:FM$25, 3, TRUE)*FM$14</f>
        <v>#VALUE!</v>
      </c>
      <c r="DQ293" s="39" t="e">
        <f>VLOOKUP(DQ292*1, FN$14:FP$25, 3, TRUE)*FP$14</f>
        <v>#VALUE!</v>
      </c>
      <c r="DR293" s="38" t="e">
        <f>VLOOKUP(DR292*1, FQ$14:FS$25, 3, TRUE)*FS$14</f>
        <v>#VALUE!</v>
      </c>
      <c r="DU293" s="41" t="e">
        <f>VLOOKUP(DU292*1, FK$27:FM$38, 3, TRUE)*FM$27</f>
        <v>#VALUE!</v>
      </c>
      <c r="DX293" s="41" t="e">
        <f>VLOOKUP(DX292*1, FN$27:FP$38, 3, TRUE)*FP$27</f>
        <v>#VALUE!</v>
      </c>
      <c r="EA293" s="41" t="e">
        <f>VLOOKUP(EA292*1, FQ$27:FS$38, 3, TRUE)*FS$27</f>
        <v>#VALUE!</v>
      </c>
      <c r="ED293" s="41" t="e">
        <f>VLOOKUP(ED292*1, FT$27:FV$38, 3, TRUE)*FV$27</f>
        <v>#VALUE!</v>
      </c>
      <c r="EE293" s="41" t="e">
        <f>VLOOKUP(EE292*1, FW$27:FY$38, 3, TRUE)*FY$27</f>
        <v>#VALUE!</v>
      </c>
      <c r="EF293" s="41" t="e">
        <f>VLOOKUP(EF292*1, FK$40:FM$51, 3, TRUE)*FM$40</f>
        <v>#VALUE!</v>
      </c>
      <c r="EG293" s="57"/>
      <c r="EK293" s="40" t="e">
        <f>EM293+EO293+EP293+EQ293+ER293-ES293-ET293+EU293</f>
        <v>#VALUE!</v>
      </c>
      <c r="EL293" s="42" t="e">
        <f>EX293+FA293+FD293+FG293+FH293+FI293</f>
        <v>#VALUE!</v>
      </c>
      <c r="EM293" s="38" t="e">
        <f>VLOOKUP(EM292*1, $FK$2:$FM$12, 3, TRUE)*$FM$1</f>
        <v>#VALUE!</v>
      </c>
      <c r="EO293" s="38" t="e">
        <f>VLOOKUP(EO292*1, $FN$2:$FP$12, 3, TRUE)*$FP$1</f>
        <v>#VALUE!</v>
      </c>
      <c r="EP293" s="38" t="e">
        <f>VLOOKUP(EP292*1, $FQ$2:$FS$12, 3, TRUE)*$FS$1</f>
        <v>#VALUE!</v>
      </c>
      <c r="EQ293" s="38" t="e">
        <f>VLOOKUP(EQ292*1, $FT$2:$FV$12, 3, TRUE)*$FV$1</f>
        <v>#VALUE!</v>
      </c>
      <c r="ER293" s="38" t="e">
        <f>VLOOKUP(ER292*1, $FW$2:$FY$12, 3, TRUE)*$FY$1</f>
        <v>#VALUE!</v>
      </c>
      <c r="ES293" s="39" t="e">
        <f>VLOOKUP(ES292*1, $FK$14:$FM$25, 3, TRUE)*$FM$14</f>
        <v>#VALUE!</v>
      </c>
      <c r="ET293" s="39" t="e">
        <f>VLOOKUP(ET292*1, $FN$14:$FP$25, 3, TRUE)*$FP$14</f>
        <v>#VALUE!</v>
      </c>
      <c r="EU293" s="38" t="e">
        <f>VLOOKUP(EU292*1, $FQ$14:$FS$25, 3, TRUE)*$FS$14</f>
        <v>#VALUE!</v>
      </c>
      <c r="EX293" s="41" t="e">
        <f>VLOOKUP(EX292*1, $FK$27:$FM$38, 3, TRUE)*$FM$27</f>
        <v>#VALUE!</v>
      </c>
      <c r="FA293" s="41" t="e">
        <f>VLOOKUP(FA292*1, $FN$27:$FP$38, 3, TRUE)*$FP$27</f>
        <v>#VALUE!</v>
      </c>
      <c r="FD293" s="41" t="e">
        <f>VLOOKUP(FD292*1, $FQ$27:$FS$38, 3, TRUE)*$FS$27</f>
        <v>#VALUE!</v>
      </c>
      <c r="FG293" s="41" t="e">
        <f>VLOOKUP(FG292*1, $FT$27:$FV$38, 3, TRUE)*$FV$27</f>
        <v>#VALUE!</v>
      </c>
      <c r="FH293" s="41" t="e">
        <f>VLOOKUP(FH292*1, $FW$27:$FY$38, 3, TRUE)*$FY$27</f>
        <v>#VALUE!</v>
      </c>
      <c r="FI293" s="41" t="e">
        <f>VLOOKUP(FI292*1, $FK$40:$FM$51, 3, TRUE)*$FM$40</f>
        <v>#VALUE!</v>
      </c>
    </row>
    <row r="294" spans="110:165">
      <c r="DF294" s="37" t="e">
        <f>先發名單!#REF!</f>
        <v>#REF!</v>
      </c>
      <c r="DG294" s="4" t="str">
        <f t="array" ref="DG294">IFERROR(INDEX(球員狀態!$C$2:$C$5000, MATCH(1, (球員狀態!$A$2:$A$5000=$DF$271)*(ISNUMBER(SEARCH($DF294, 球員狀態!$B$2:$B$5000))), 0)), "")</f>
        <v/>
      </c>
      <c r="DJ294" s="4" t="str">
        <f t="array" ref="DJ294">IFERROR(INDEX(球員狀態!$F$2:$F$5000,MATCH(1,(球員狀態!$A$2:$A$5000=$DF$271)*(ISNUMBER(SEARCH($DF294,球員狀態!$B$2:$B$5000))),0)),"")</f>
        <v/>
      </c>
      <c r="DK294" s="4" t="str">
        <f t="array" ref="DK294">IFERROR(INDEX(球員狀態!G$2:G$5000, MATCH(1, (球員狀態!$A$2:$A$5000=$DF$1)*(ISNUMBER(SEARCH($DF294, 球員狀態!$B$2:$B$5000))), 0)), "")</f>
        <v/>
      </c>
      <c r="DL294" s="4" t="str">
        <f t="array" ref="DL294">IFERROR(INDEX(球員狀態!H$2:H$5000, MATCH(1, (球員狀態!$A$2:$A$5000=$DF$271)*(ISNUMBER(SEARCH($DF294, 球員狀態!$B$2:$B$5000))), 0)), "")</f>
        <v/>
      </c>
      <c r="DM294" s="4" t="str">
        <f t="array" ref="DM294">IFERROR(INDEX(球員狀態!I$2:I$5000,MATCH(1,(球員狀態!$A$2:$A$5000=$DF$271)*(ISNUMBER(SEARCH($DF294,球員狀態!$B$2:$B$5000))),0)),"")</f>
        <v/>
      </c>
      <c r="DN294" s="4" t="str">
        <f t="array" ref="DN294">IFERROR(INDEX(球員狀態!J$2:J$5000,MATCH(1,(球員狀態!$A$2:$A$5000=$DF$271)*(ISNUMBER(SEARCH($DF294,球員狀態!$B$2:$B$5000))),0)),"")</f>
        <v/>
      </c>
      <c r="DO294" s="4" t="str">
        <f t="array" ref="DO294">IFERROR(INDEX(球員狀態!K$2:K$5000,MATCH(1,(球員狀態!$A$2:$A$5000=$DF$271)*(ISNUMBER(SEARCH($DF294,球員狀態!$B$2:$B$5000))),0)),"")</f>
        <v/>
      </c>
      <c r="DP294" s="4" t="str">
        <f t="array" ref="DP294">IFERROR(INDEX(球員狀態!L$2:L$5000,MATCH(1,(球員狀態!$A$2:$A$5000=$DF$271)*(ISNUMBER(SEARCH($DF294,球員狀態!$B$2:$B$5000))),0)),"")</f>
        <v/>
      </c>
      <c r="DQ294" s="4" t="str">
        <f t="array" ref="DQ294">IFERROR(INDEX(球員狀態!M$2:M$5000,MATCH(1,(球員狀態!$A$2:$A$5000=$DF$271)*(ISNUMBER(SEARCH($DF294,球員狀態!$B$2:$B$5000))),0)),"")</f>
        <v/>
      </c>
      <c r="DR294" s="4" t="str">
        <f t="array" ref="DR294">IFERROR(INDEX(球員狀態!N$2:N$5000,MATCH(1,(球員狀態!$A$2:$A$5000=$DF$271)*(ISNUMBER(SEARCH($DF294,球員狀態!$B$2:$B$5000))),0)),"")</f>
        <v/>
      </c>
      <c r="DS294" s="4" t="str">
        <f t="array" ref="DS294">IFERROR(INDEX(球員狀態!O$2:O$5000, MATCH(1, (球員狀態!$A$2:$A$5000=$DF$1)*(ISNUMBER(SEARCH($DF294, 球員狀態!$B$2:$B$5000))), 0)), "")</f>
        <v/>
      </c>
      <c r="DT294" s="4" t="str">
        <f t="array" ref="DT294">IFERROR(INDEX(球員狀態!P$2:P$5000, MATCH(1, (球員狀態!$A$2:$A$5000=$DF$1)*(ISNUMBER(SEARCH($DF294, 球員狀態!$B$2:$B$5000))), 0)), "")</f>
        <v/>
      </c>
      <c r="DU294" s="4" t="str">
        <f t="array" ref="DU294">IFERROR(INDEX(球員狀態!Q$2:Q$5000,MATCH(1,(球員狀態!$A$2:$A$5000=$DF$271)*(ISNUMBER(SEARCH($DF294,球員狀態!$B$2:$B$5000))),0)),"")</f>
        <v/>
      </c>
      <c r="DV294" s="4" t="str">
        <f t="array" ref="DV294">IFERROR(INDEX(球員狀態!R$2:R$5000, MATCH(1, (球員狀態!$A$2:$A$5000=$DF$1)*(ISNUMBER(SEARCH($DF294, 球員狀態!$B$2:$B$5000))), 0)), "")</f>
        <v/>
      </c>
      <c r="DW294" s="4" t="str">
        <f t="array" ref="DW294">IFERROR(INDEX(球員狀態!S$2:S$5000, MATCH(1, (球員狀態!$A$2:$A$5000=$DF$1)*(ISNUMBER(SEARCH($DF294, 球員狀態!$B$2:$B$5000))), 0)), "")</f>
        <v/>
      </c>
      <c r="DX294" s="4" t="str">
        <f t="array" ref="DX294">IFERROR(INDEX(球員狀態!T$2:T$5000,MATCH(1,(球員狀態!$A$2:$A$5000=$DF$271)*(ISNUMBER(SEARCH($DF294,球員狀態!$B$2:$B$5000))),0)),"")</f>
        <v/>
      </c>
      <c r="DY294" s="4" t="str">
        <f t="array" ref="DY294">IFERROR(INDEX(球員狀態!U$2:U$5000, MATCH(1, (球員狀態!$A$2:$A$5000=$DF$1)*(ISNUMBER(SEARCH($DF294, 球員狀態!$B$2:$B$5000))), 0)), "")</f>
        <v/>
      </c>
      <c r="DZ294" s="4" t="str">
        <f t="array" ref="DZ294">IFERROR(INDEX(球員狀態!V$2:V$5000, MATCH(1, (球員狀態!$A$2:$A$5000=$DF$1)*(ISNUMBER(SEARCH($DF294, 球員狀態!$B$2:$B$5000))), 0)), "")</f>
        <v/>
      </c>
      <c r="EA294" s="4" t="str">
        <f t="array" ref="EA294">IFERROR(INDEX(球員狀態!W$2:W$5000,MATCH(1,(球員狀態!$A$2:$A$5000=$DF$271)*(ISNUMBER(SEARCH($DF294,球員狀態!$B$2:$B$5000))),0)),"")</f>
        <v/>
      </c>
      <c r="EB294" s="4" t="str">
        <f t="array" ref="EB294">IFERROR(INDEX(球員狀態!X$2:X$5000, MATCH(1, (球員狀態!$A$2:$A$5000=$DF$1)*(ISNUMBER(SEARCH($DF294, 球員狀態!$B$2:$B$5000))), 0)), "")</f>
        <v/>
      </c>
      <c r="EC294" s="4" t="str">
        <f t="array" ref="EC294">IFERROR(INDEX(球員狀態!Y$2:Y$5000, MATCH(1, (球員狀態!$A$2:$A$5000=$DF$1)*(ISNUMBER(SEARCH($DF294, 球員狀態!$B$2:$B$5000))), 0)), "")</f>
        <v/>
      </c>
      <c r="ED294" s="4" t="str">
        <f t="array" ref="ED294">IFERROR(INDEX(球員狀態!Z$2:Z$5000,MATCH(1,(球員狀態!$A$2:$A$5000=$DF$271)*(ISNUMBER(SEARCH($DF294,球員狀態!$B$2:$B$5000))),0)),"")</f>
        <v/>
      </c>
      <c r="EE294" s="4" t="str">
        <f t="array" ref="EE294">IFERROR(INDEX(球員狀態!AA$2:AA$5000,MATCH(1,(球員狀態!$A$2:$A$5000=$DF$271)*(ISNUMBER(SEARCH($DF294,球員狀態!$B$2:$B$5000))),0)),"")</f>
        <v/>
      </c>
      <c r="EF294" s="4" t="str">
        <f t="array" ref="EF294">IFERROR(INDEX(球員狀態!AB$2:AB$5000,MATCH(1,(球員狀態!$A$2:$A$5000=$DF$271)*(ISNUMBER(SEARCH($DF294,球員狀態!$B$2:$B$5000))),0)),"")</f>
        <v/>
      </c>
      <c r="EG294" s="56"/>
      <c r="EI294" s="37">
        <f>先發名單!Z$11</f>
        <v>0</v>
      </c>
      <c r="EJ294" s="4" t="str">
        <f t="array" ref="EJ294">IFERROR(INDEX(球員狀態!C$2:C$5000, MATCH(1, (球員狀態!$A$2:$A$5000=$EI$271)*(ISNUMBER(SEARCH($EI294, 球員狀態!$B$2:$B$5000))), 0)), "")</f>
        <v/>
      </c>
      <c r="EM294" s="4" t="str">
        <f t="array" ref="EM294">IFERROR(INDEX(球員狀態!F$2:F$5000, MATCH(1, (球員狀態!$A$2:$A$5000=$EI$271)*(ISNUMBER(SEARCH($EI294, 球員狀態!$B$2:$B$5000))), 0)), "")</f>
        <v/>
      </c>
      <c r="EN294" s="4" t="str">
        <f t="array" ref="EN294">IFERROR(INDEX(球員狀態!G$2:G$5000, MATCH(1, (球員狀態!$A$2:$A$5000=$EI$1)*(ISNUMBER(SEARCH($EI294, 球員狀態!$B$2:$B$5000))), 0)), "")</f>
        <v/>
      </c>
      <c r="EO294" s="4" t="str">
        <f t="array" ref="EO294">IFERROR(INDEX(球員狀態!H$2:H$5000, MATCH(1, (球員狀態!$A$2:$A$5000=$EI$271)*(ISNUMBER(SEARCH($EI294, 球員狀態!$B$2:$B$5000))), 0)), "")</f>
        <v/>
      </c>
      <c r="EP294" s="4" t="str">
        <f t="array" ref="EP294">IFERROR(INDEX(球員狀態!I$2:I$5000, MATCH(1, (球員狀態!$A$2:$A$5000=$EI$271)*(ISNUMBER(SEARCH($EI294, 球員狀態!$B$2:$B$5000))), 0)), "")</f>
        <v/>
      </c>
      <c r="EQ294" s="4" t="str">
        <f t="array" ref="EQ294">IFERROR(INDEX(球員狀態!J$2:J$5000, MATCH(1, (球員狀態!$A$2:$A$5000=$EI$271)*(ISNUMBER(SEARCH($EI294, 球員狀態!$B$2:$B$5000))), 0)), "")</f>
        <v/>
      </c>
      <c r="ER294" s="4" t="str">
        <f t="array" ref="ER294">IFERROR(INDEX(球員狀態!K$2:K$5000, MATCH(1, (球員狀態!$A$2:$A$5000=$EI$271)*(ISNUMBER(SEARCH($EI294, 球員狀態!$B$2:$B$5000))), 0)), "")</f>
        <v/>
      </c>
      <c r="ES294" s="4" t="str">
        <f t="array" ref="ES294">IFERROR(INDEX(球員狀態!L$2:L$5000, MATCH(1, (球員狀態!$A$2:$A$5000=$EI$271)*(ISNUMBER(SEARCH($EI294, 球員狀態!$B$2:$B$5000))), 0)), "")</f>
        <v/>
      </c>
      <c r="ET294" s="4" t="str">
        <f t="array" ref="ET294">IFERROR(INDEX(球員狀態!M$2:M$5000, MATCH(1, (球員狀態!$A$2:$A$5000=$EI$271)*(ISNUMBER(SEARCH($EI294, 球員狀態!$B$2:$B$5000))), 0)), "")</f>
        <v/>
      </c>
      <c r="EU294" s="4" t="str">
        <f t="array" ref="EU294">IFERROR(INDEX(球員狀態!N$2:N$5000, MATCH(1, (球員狀態!$A$2:$A$5000=$EI$271)*(ISNUMBER(SEARCH($EI294, 球員狀態!$B$2:$B$5000))), 0)), "")</f>
        <v/>
      </c>
      <c r="EV294" s="4" t="str">
        <f t="array" ref="EV294">IFERROR(INDEX(球員狀態!O$2:O$5000, MATCH(1, (球員狀態!$A$2:$A$5000=$EI$1)*(ISNUMBER(SEARCH($EI294, 球員狀態!$B$2:$B$5000))), 0)), "")</f>
        <v/>
      </c>
      <c r="EW294" s="4" t="str">
        <f t="array" ref="EW294">IFERROR(INDEX(球員狀態!P$2:P$5000, MATCH(1, (球員狀態!$A$2:$A$5000=$EI$1)*(ISNUMBER(SEARCH($EI294, 球員狀態!$B$2:$B$5000))), 0)), "")</f>
        <v/>
      </c>
      <c r="EX294" s="4" t="str">
        <f t="array" ref="EX294">IFERROR(INDEX(球員狀態!Q$2:Q$5000, MATCH(1, (球員狀態!$A$2:$A$5000=$EI$271)*(ISNUMBER(SEARCH($EI294, 球員狀態!$B$2:$B$5000))), 0)), "")</f>
        <v/>
      </c>
      <c r="EY294" s="4" t="str">
        <f t="array" ref="EY294">IFERROR(INDEX(球員狀態!R$2:R$5000, MATCH(1, (球員狀態!$A$2:$A$5000=$EI$1)*(ISNUMBER(SEARCH($EI294, 球員狀態!$B$2:$B$5000))), 0)), "")</f>
        <v/>
      </c>
      <c r="EZ294" s="4" t="str">
        <f t="array" ref="EZ294">IFERROR(INDEX(球員狀態!S$2:S$5000, MATCH(1, (球員狀態!$A$2:$A$5000=$EI$1)*(ISNUMBER(SEARCH($EI294, 球員狀態!$B$2:$B$5000))), 0)), "")</f>
        <v/>
      </c>
      <c r="FA294" s="4" t="str">
        <f t="array" ref="FA294">IFERROR(INDEX(球員狀態!T$2:T$5000, MATCH(1, (球員狀態!$A$2:$A$5000=$EI$271)*(ISNUMBER(SEARCH($EI294, 球員狀態!$B$2:$B$5000))), 0)), "")</f>
        <v/>
      </c>
      <c r="FB294" s="4" t="str">
        <f t="array" ref="FB294">IFERROR(INDEX(球員狀態!U$2:U$5000, MATCH(1, (球員狀態!$A$2:$A$5000=$EI$1)*(ISNUMBER(SEARCH($EI294, 球員狀態!$B$2:$B$5000))), 0)), "")</f>
        <v/>
      </c>
      <c r="FC294" s="4" t="str">
        <f t="array" ref="FC294">IFERROR(INDEX(球員狀態!V$2:V$5000, MATCH(1, (球員狀態!$A$2:$A$5000=$EI$1)*(ISNUMBER(SEARCH($EI294, 球員狀態!$B$2:$B$5000))), 0)), "")</f>
        <v/>
      </c>
      <c r="FD294" s="4" t="str">
        <f t="array" ref="FD294">IFERROR(INDEX(球員狀態!W$2:W$5000, MATCH(1, (球員狀態!$A$2:$A$5000=$EI$271)*(ISNUMBER(SEARCH($EI294, 球員狀態!$B$2:$B$5000))), 0)), "")</f>
        <v/>
      </c>
      <c r="FE294" s="4" t="str">
        <f t="array" ref="FE294">IFERROR(INDEX(球員狀態!X$2:X$5000, MATCH(1, (球員狀態!$A$2:$A$5000=$EI$1)*(ISNUMBER(SEARCH($EI294, 球員狀態!$B$2:$B$5000))), 0)), "")</f>
        <v/>
      </c>
      <c r="FF294" s="4" t="str">
        <f t="array" ref="FF294">IFERROR(INDEX(球員狀態!Y$2:Y$5000, MATCH(1, (球員狀態!$A$2:$A$5000=$EI$1)*(ISNUMBER(SEARCH($EI294, 球員狀態!$B$2:$B$5000))), 0)), "")</f>
        <v/>
      </c>
      <c r="FG294" s="4" t="str">
        <f t="array" ref="FG294">IFERROR(INDEX(球員狀態!Z$2:Z$5000, MATCH(1, (球員狀態!$A$2:$A$5000=$EI$271)*(ISNUMBER(SEARCH($EI294, 球員狀態!$B$2:$B$5000))), 0)), "")</f>
        <v/>
      </c>
      <c r="FH294" s="4" t="str">
        <f t="array" ref="FH294">IFERROR(INDEX(球員狀態!AA$2:AA$5000, MATCH(1, (球員狀態!$A$2:$A$5000=$EI$271)*(ISNUMBER(SEARCH($EI294, 球員狀態!$B$2:$B$5000))), 0)), "")</f>
        <v/>
      </c>
      <c r="FI294" s="4" t="str">
        <f t="array" ref="FI294">IFERROR(INDEX(球員狀態!AB$2:AB$5000, MATCH(1, (球員狀態!$A$2:$A$5000=$EI$271)*(ISNUMBER(SEARCH($EI294, 球員狀態!$B$2:$B$5000))), 0)), "")</f>
        <v/>
      </c>
    </row>
    <row r="295" spans="110:165">
      <c r="DH295" s="40" t="e">
        <f>DJ295+DL295+DM295+DN295+DO295-DP295-DQ295+DR295</f>
        <v>#VALUE!</v>
      </c>
      <c r="DI295" s="42" t="e">
        <f>DU295+DX295+EA295+ED295+EE295+EF295</f>
        <v>#VALUE!</v>
      </c>
      <c r="DJ295" s="38" t="e">
        <f>VLOOKUP(DJ294*1, FK$2:FM$12, 3, TRUE)*FM$1</f>
        <v>#VALUE!</v>
      </c>
      <c r="DL295" s="38" t="e">
        <f>VLOOKUP(DL294*1, FN$2:FP$12, 3, TRUE)*FP$1</f>
        <v>#VALUE!</v>
      </c>
      <c r="DM295" s="38" t="e">
        <f>VLOOKUP(DM294*1, FQ$2:FS$12, 3, TRUE)*FS$1</f>
        <v>#VALUE!</v>
      </c>
      <c r="DN295" s="38" t="e">
        <f>VLOOKUP(DN294*1, FT$2:FV$12, 3, TRUE)*FV$1</f>
        <v>#VALUE!</v>
      </c>
      <c r="DO295" s="38" t="e">
        <f>VLOOKUP(DO294*1, FW$2:FY$12, 3, TRUE)*FY$1</f>
        <v>#VALUE!</v>
      </c>
      <c r="DP295" s="39" t="e">
        <f>VLOOKUP(DP294*1, FK$14:FM$25, 3, TRUE)*FM$14</f>
        <v>#VALUE!</v>
      </c>
      <c r="DQ295" s="39" t="e">
        <f>VLOOKUP(DQ294*1, FN$14:FP$25, 3, TRUE)*FP$14</f>
        <v>#VALUE!</v>
      </c>
      <c r="DR295" s="38" t="e">
        <f>VLOOKUP(DR294*1, FQ$14:FS$25, 3, TRUE)*FS$14</f>
        <v>#VALUE!</v>
      </c>
      <c r="DU295" s="41" t="e">
        <f>VLOOKUP(DU294*1, FK$27:FM$38, 3, TRUE)*FM$27</f>
        <v>#VALUE!</v>
      </c>
      <c r="DX295" s="41" t="e">
        <f>VLOOKUP(DX294*1, FN$27:FP$38, 3, TRUE)*FP$27</f>
        <v>#VALUE!</v>
      </c>
      <c r="EA295" s="41" t="e">
        <f>VLOOKUP(EA294*1, FQ$27:FS$38, 3, TRUE)*FS$27</f>
        <v>#VALUE!</v>
      </c>
      <c r="ED295" s="41" t="e">
        <f>VLOOKUP(ED294*1, FT$27:FV$38, 3, TRUE)*FV$27</f>
        <v>#VALUE!</v>
      </c>
      <c r="EE295" s="41" t="e">
        <f>VLOOKUP(EE294*1, FW$27:FY$38, 3, TRUE)*FY$27</f>
        <v>#VALUE!</v>
      </c>
      <c r="EF295" s="41" t="e">
        <f>VLOOKUP(EF294*1, FK$40:FM$51, 3, TRUE)*FM$40</f>
        <v>#VALUE!</v>
      </c>
      <c r="EG295" s="57"/>
      <c r="EK295" s="40" t="e">
        <f>EM295+EO295+EP295+EQ295+ER295-ES295-ET295+EU295</f>
        <v>#VALUE!</v>
      </c>
      <c r="EL295" s="42" t="e">
        <f>EX295+FA295+FD295+FG295+FH295+FI295</f>
        <v>#VALUE!</v>
      </c>
      <c r="EM295" s="38" t="e">
        <f>VLOOKUP(EM294*1, $FK$2:$FM$12, 3, TRUE)*$FM$1</f>
        <v>#VALUE!</v>
      </c>
      <c r="EO295" s="38" t="e">
        <f>VLOOKUP(EO294*1, $FN$2:$FP$12, 3, TRUE)*$FP$1</f>
        <v>#VALUE!</v>
      </c>
      <c r="EP295" s="38" t="e">
        <f>VLOOKUP(EP294*1, $FQ$2:$FS$12, 3, TRUE)*$FS$1</f>
        <v>#VALUE!</v>
      </c>
      <c r="EQ295" s="38" t="e">
        <f>VLOOKUP(EQ294*1, $FT$2:$FV$12, 3, TRUE)*$FV$1</f>
        <v>#VALUE!</v>
      </c>
      <c r="ER295" s="38" t="e">
        <f>VLOOKUP(ER294*1, $FW$2:$FY$12, 3, TRUE)*$FY$1</f>
        <v>#VALUE!</v>
      </c>
      <c r="ES295" s="39" t="e">
        <f>VLOOKUP(ES294*1, $FK$14:$FM$25, 3, TRUE)*$FM$14</f>
        <v>#VALUE!</v>
      </c>
      <c r="ET295" s="39" t="e">
        <f>VLOOKUP(ET294*1, $FN$14:$FP$25, 3, TRUE)*$FP$14</f>
        <v>#VALUE!</v>
      </c>
      <c r="EU295" s="38" t="e">
        <f>VLOOKUP(EU294*1, $FQ$14:$FS$25, 3, TRUE)*$FS$14</f>
        <v>#VALUE!</v>
      </c>
      <c r="EX295" s="41" t="e">
        <f>VLOOKUP(EX294*1, $FK$27:$FM$38, 3, TRUE)*$FM$27</f>
        <v>#VALUE!</v>
      </c>
      <c r="FA295" s="41" t="e">
        <f>VLOOKUP(FA294*1, $FN$27:$FP$38, 3, TRUE)*$FP$27</f>
        <v>#VALUE!</v>
      </c>
      <c r="FD295" s="41" t="e">
        <f>VLOOKUP(FD294*1, $FQ$27:$FS$38, 3, TRUE)*$FS$27</f>
        <v>#VALUE!</v>
      </c>
      <c r="FG295" s="41" t="e">
        <f>VLOOKUP(FG294*1, $FT$27:$FV$38, 3, TRUE)*$FV$27</f>
        <v>#VALUE!</v>
      </c>
      <c r="FH295" s="41" t="e">
        <f>VLOOKUP(FH294*1, $FW$27:$FY$38, 3, TRUE)*$FY$27</f>
        <v>#VALUE!</v>
      </c>
      <c r="FI295" s="41" t="e">
        <f>VLOOKUP(FI294*1, $FK$40:$FM$51, 3, TRUE)*$FM$40</f>
        <v>#VALUE!</v>
      </c>
    </row>
    <row r="296" spans="110:165">
      <c r="DF296" s="37" t="e">
        <f>先發名單!#REF!</f>
        <v>#REF!</v>
      </c>
      <c r="DG296" s="4" t="str">
        <f t="array" ref="DG296">IFERROR(INDEX(球員狀態!$C$2:$C$5000, MATCH(1, (球員狀態!$A$2:$A$5000=$DF$271)*(ISNUMBER(SEARCH($DF296, 球員狀態!$B$2:$B$5000))), 0)), "")</f>
        <v/>
      </c>
      <c r="DJ296" s="4" t="str">
        <f t="array" ref="DJ296">IFERROR(INDEX(球員狀態!$F$2:$F$5000,MATCH(1,(球員狀態!$A$2:$A$5000=$DF$271)*(ISNUMBER(SEARCH($DF296,球員狀態!$B$2:$B$5000))),0)),"")</f>
        <v/>
      </c>
      <c r="DK296" s="4" t="str">
        <f t="array" ref="DK296">IFERROR(INDEX(球員狀態!G$2:G$5000, MATCH(1, (球員狀態!$A$2:$A$5000=$DF$1)*(ISNUMBER(SEARCH($DF296, 球員狀態!$B$2:$B$5000))), 0)), "")</f>
        <v/>
      </c>
      <c r="DL296" s="4" t="str">
        <f t="array" ref="DL296">IFERROR(INDEX(球員狀態!H$2:H$5000, MATCH(1, (球員狀態!$A$2:$A$5000=$DF$271)*(ISNUMBER(SEARCH($DF296, 球員狀態!$B$2:$B$5000))), 0)), "")</f>
        <v/>
      </c>
      <c r="DM296" s="4" t="str">
        <f t="array" ref="DM296">IFERROR(INDEX(球員狀態!I$2:I$5000,MATCH(1,(球員狀態!$A$2:$A$5000=$DF$271)*(ISNUMBER(SEARCH($DF296,球員狀態!$B$2:$B$5000))),0)),"")</f>
        <v/>
      </c>
      <c r="DN296" s="4" t="str">
        <f t="array" ref="DN296">IFERROR(INDEX(球員狀態!J$2:J$5000,MATCH(1,(球員狀態!$A$2:$A$5000=$DF$271)*(ISNUMBER(SEARCH($DF296,球員狀態!$B$2:$B$5000))),0)),"")</f>
        <v/>
      </c>
      <c r="DO296" s="4" t="str">
        <f t="array" ref="DO296">IFERROR(INDEX(球員狀態!K$2:K$5000,MATCH(1,(球員狀態!$A$2:$A$5000=$DF$271)*(ISNUMBER(SEARCH($DF296,球員狀態!$B$2:$B$5000))),0)),"")</f>
        <v/>
      </c>
      <c r="DP296" s="4" t="str">
        <f t="array" ref="DP296">IFERROR(INDEX(球員狀態!L$2:L$5000,MATCH(1,(球員狀態!$A$2:$A$5000=$DF$271)*(ISNUMBER(SEARCH($DF296,球員狀態!$B$2:$B$5000))),0)),"")</f>
        <v/>
      </c>
      <c r="DQ296" s="4" t="str">
        <f t="array" ref="DQ296">IFERROR(INDEX(球員狀態!M$2:M$5000,MATCH(1,(球員狀態!$A$2:$A$5000=$DF$271)*(ISNUMBER(SEARCH($DF296,球員狀態!$B$2:$B$5000))),0)),"")</f>
        <v/>
      </c>
      <c r="DR296" s="4" t="str">
        <f t="array" ref="DR296">IFERROR(INDEX(球員狀態!N$2:N$5000,MATCH(1,(球員狀態!$A$2:$A$5000=$DF$271)*(ISNUMBER(SEARCH($DF296,球員狀態!$B$2:$B$5000))),0)),"")</f>
        <v/>
      </c>
      <c r="DS296" s="4" t="str">
        <f t="array" ref="DS296">IFERROR(INDEX(球員狀態!O$2:O$5000, MATCH(1, (球員狀態!$A$2:$A$5000=$DF$1)*(ISNUMBER(SEARCH($DF296, 球員狀態!$B$2:$B$5000))), 0)), "")</f>
        <v/>
      </c>
      <c r="DT296" s="4" t="str">
        <f t="array" ref="DT296">IFERROR(INDEX(球員狀態!P$2:P$5000, MATCH(1, (球員狀態!$A$2:$A$5000=$DF$1)*(ISNUMBER(SEARCH($DF296, 球員狀態!$B$2:$B$5000))), 0)), "")</f>
        <v/>
      </c>
      <c r="DU296" s="4" t="str">
        <f t="array" ref="DU296">IFERROR(INDEX(球員狀態!Q$2:Q$5000,MATCH(1,(球員狀態!$A$2:$A$5000=$DF$271)*(ISNUMBER(SEARCH($DF296,球員狀態!$B$2:$B$5000))),0)),"")</f>
        <v/>
      </c>
      <c r="DV296" s="4" t="str">
        <f t="array" ref="DV296">IFERROR(INDEX(球員狀態!R$2:R$5000, MATCH(1, (球員狀態!$A$2:$A$5000=$DF$1)*(ISNUMBER(SEARCH($DF296, 球員狀態!$B$2:$B$5000))), 0)), "")</f>
        <v/>
      </c>
      <c r="DW296" s="4" t="str">
        <f t="array" ref="DW296">IFERROR(INDEX(球員狀態!S$2:S$5000, MATCH(1, (球員狀態!$A$2:$A$5000=$DF$1)*(ISNUMBER(SEARCH($DF296, 球員狀態!$B$2:$B$5000))), 0)), "")</f>
        <v/>
      </c>
      <c r="DX296" s="4" t="str">
        <f t="array" ref="DX296">IFERROR(INDEX(球員狀態!T$2:T$5000,MATCH(1,(球員狀態!$A$2:$A$5000=$DF$271)*(ISNUMBER(SEARCH($DF296,球員狀態!$B$2:$B$5000))),0)),"")</f>
        <v/>
      </c>
      <c r="DY296" s="4" t="str">
        <f t="array" ref="DY296">IFERROR(INDEX(球員狀態!U$2:U$5000, MATCH(1, (球員狀態!$A$2:$A$5000=$DF$1)*(ISNUMBER(SEARCH($DF296, 球員狀態!$B$2:$B$5000))), 0)), "")</f>
        <v/>
      </c>
      <c r="DZ296" s="4" t="str">
        <f t="array" ref="DZ296">IFERROR(INDEX(球員狀態!V$2:V$5000, MATCH(1, (球員狀態!$A$2:$A$5000=$DF$1)*(ISNUMBER(SEARCH($DF296, 球員狀態!$B$2:$B$5000))), 0)), "")</f>
        <v/>
      </c>
      <c r="EA296" s="4" t="str">
        <f t="array" ref="EA296">IFERROR(INDEX(球員狀態!W$2:W$5000,MATCH(1,(球員狀態!$A$2:$A$5000=$DF$271)*(ISNUMBER(SEARCH($DF296,球員狀態!$B$2:$B$5000))),0)),"")</f>
        <v/>
      </c>
      <c r="EB296" s="4" t="str">
        <f t="array" ref="EB296">IFERROR(INDEX(球員狀態!X$2:X$5000, MATCH(1, (球員狀態!$A$2:$A$5000=$DF$1)*(ISNUMBER(SEARCH($DF296, 球員狀態!$B$2:$B$5000))), 0)), "")</f>
        <v/>
      </c>
      <c r="EC296" s="4" t="str">
        <f t="array" ref="EC296">IFERROR(INDEX(球員狀態!Y$2:Y$5000, MATCH(1, (球員狀態!$A$2:$A$5000=$DF$1)*(ISNUMBER(SEARCH($DF296, 球員狀態!$B$2:$B$5000))), 0)), "")</f>
        <v/>
      </c>
      <c r="ED296" s="4" t="str">
        <f t="array" ref="ED296">IFERROR(INDEX(球員狀態!Z$2:Z$5000,MATCH(1,(球員狀態!$A$2:$A$5000=$DF$271)*(ISNUMBER(SEARCH($DF296,球員狀態!$B$2:$B$5000))),0)),"")</f>
        <v/>
      </c>
      <c r="EE296" s="4" t="str">
        <f t="array" ref="EE296">IFERROR(INDEX(球員狀態!AA$2:AA$5000,MATCH(1,(球員狀態!$A$2:$A$5000=$DF$271)*(ISNUMBER(SEARCH($DF296,球員狀態!$B$2:$B$5000))),0)),"")</f>
        <v/>
      </c>
      <c r="EF296" s="4" t="str">
        <f t="array" ref="EF296">IFERROR(INDEX(球員狀態!AB$2:AB$5000,MATCH(1,(球員狀態!$A$2:$A$5000=$DF$271)*(ISNUMBER(SEARCH($DF296,球員狀態!$B$2:$B$5000))),0)),"")</f>
        <v/>
      </c>
      <c r="EG296" s="56"/>
      <c r="EI296" s="37">
        <f>先發名單!AA$11</f>
        <v>0</v>
      </c>
      <c r="EJ296" s="4" t="str">
        <f t="array" ref="EJ296">IFERROR(INDEX(球員狀態!C$2:C$5000, MATCH(1, (球員狀態!$A$2:$A$5000=$EI$271)*(ISNUMBER(SEARCH($EI296, 球員狀態!$B$2:$B$5000))), 0)), "")</f>
        <v/>
      </c>
      <c r="EM296" s="4" t="str">
        <f t="array" ref="EM296">IFERROR(INDEX(球員狀態!F$2:F$5000, MATCH(1, (球員狀態!$A$2:$A$5000=$EI$271)*(ISNUMBER(SEARCH($EI296, 球員狀態!$B$2:$B$5000))), 0)), "")</f>
        <v/>
      </c>
      <c r="EN296" s="4" t="str">
        <f t="array" ref="EN296">IFERROR(INDEX(球員狀態!G$2:G$5000, MATCH(1, (球員狀態!$A$2:$A$5000=$EI$1)*(ISNUMBER(SEARCH($EI296, 球員狀態!$B$2:$B$5000))), 0)), "")</f>
        <v/>
      </c>
      <c r="EO296" s="4" t="str">
        <f t="array" ref="EO296">IFERROR(INDEX(球員狀態!H$2:H$5000, MATCH(1, (球員狀態!$A$2:$A$5000=$EI$271)*(ISNUMBER(SEARCH($EI296, 球員狀態!$B$2:$B$5000))), 0)), "")</f>
        <v/>
      </c>
      <c r="EP296" s="4" t="str">
        <f t="array" ref="EP296">IFERROR(INDEX(球員狀態!I$2:I$5000, MATCH(1, (球員狀態!$A$2:$A$5000=$EI$271)*(ISNUMBER(SEARCH($EI296, 球員狀態!$B$2:$B$5000))), 0)), "")</f>
        <v/>
      </c>
      <c r="EQ296" s="4" t="str">
        <f t="array" ref="EQ296">IFERROR(INDEX(球員狀態!J$2:J$5000, MATCH(1, (球員狀態!$A$2:$A$5000=$EI$271)*(ISNUMBER(SEARCH($EI296, 球員狀態!$B$2:$B$5000))), 0)), "")</f>
        <v/>
      </c>
      <c r="ER296" s="4" t="str">
        <f t="array" ref="ER296">IFERROR(INDEX(球員狀態!K$2:K$5000, MATCH(1, (球員狀態!$A$2:$A$5000=$EI$271)*(ISNUMBER(SEARCH($EI296, 球員狀態!$B$2:$B$5000))), 0)), "")</f>
        <v/>
      </c>
      <c r="ES296" s="4" t="str">
        <f t="array" ref="ES296">IFERROR(INDEX(球員狀態!L$2:L$5000, MATCH(1, (球員狀態!$A$2:$A$5000=$EI$271)*(ISNUMBER(SEARCH($EI296, 球員狀態!$B$2:$B$5000))), 0)), "")</f>
        <v/>
      </c>
      <c r="ET296" s="4" t="str">
        <f t="array" ref="ET296">IFERROR(INDEX(球員狀態!M$2:M$5000, MATCH(1, (球員狀態!$A$2:$A$5000=$EI$271)*(ISNUMBER(SEARCH($EI296, 球員狀態!$B$2:$B$5000))), 0)), "")</f>
        <v/>
      </c>
      <c r="EU296" s="4" t="str">
        <f t="array" ref="EU296">IFERROR(INDEX(球員狀態!N$2:N$5000, MATCH(1, (球員狀態!$A$2:$A$5000=$EI$271)*(ISNUMBER(SEARCH($EI296, 球員狀態!$B$2:$B$5000))), 0)), "")</f>
        <v/>
      </c>
      <c r="EV296" s="4" t="str">
        <f t="array" ref="EV296">IFERROR(INDEX(球員狀態!O$2:O$5000, MATCH(1, (球員狀態!$A$2:$A$5000=$EI$1)*(ISNUMBER(SEARCH($EI296, 球員狀態!$B$2:$B$5000))), 0)), "")</f>
        <v/>
      </c>
      <c r="EW296" s="4" t="str">
        <f t="array" ref="EW296">IFERROR(INDEX(球員狀態!P$2:P$5000, MATCH(1, (球員狀態!$A$2:$A$5000=$EI$1)*(ISNUMBER(SEARCH($EI296, 球員狀態!$B$2:$B$5000))), 0)), "")</f>
        <v/>
      </c>
      <c r="EX296" s="4" t="str">
        <f t="array" ref="EX296">IFERROR(INDEX(球員狀態!Q$2:Q$5000, MATCH(1, (球員狀態!$A$2:$A$5000=$EI$271)*(ISNUMBER(SEARCH($EI296, 球員狀態!$B$2:$B$5000))), 0)), "")</f>
        <v/>
      </c>
      <c r="EY296" s="4" t="str">
        <f t="array" ref="EY296">IFERROR(INDEX(球員狀態!R$2:R$5000, MATCH(1, (球員狀態!$A$2:$A$5000=$EI$1)*(ISNUMBER(SEARCH($EI296, 球員狀態!$B$2:$B$5000))), 0)), "")</f>
        <v/>
      </c>
      <c r="EZ296" s="4" t="str">
        <f t="array" ref="EZ296">IFERROR(INDEX(球員狀態!S$2:S$5000, MATCH(1, (球員狀態!$A$2:$A$5000=$EI$1)*(ISNUMBER(SEARCH($EI296, 球員狀態!$B$2:$B$5000))), 0)), "")</f>
        <v/>
      </c>
      <c r="FA296" s="4" t="str">
        <f t="array" ref="FA296">IFERROR(INDEX(球員狀態!T$2:T$5000, MATCH(1, (球員狀態!$A$2:$A$5000=$EI$271)*(ISNUMBER(SEARCH($EI296, 球員狀態!$B$2:$B$5000))), 0)), "")</f>
        <v/>
      </c>
      <c r="FB296" s="4" t="str">
        <f t="array" ref="FB296">IFERROR(INDEX(球員狀態!U$2:U$5000, MATCH(1, (球員狀態!$A$2:$A$5000=$EI$1)*(ISNUMBER(SEARCH($EI296, 球員狀態!$B$2:$B$5000))), 0)), "")</f>
        <v/>
      </c>
      <c r="FC296" s="4" t="str">
        <f t="array" ref="FC296">IFERROR(INDEX(球員狀態!V$2:V$5000, MATCH(1, (球員狀態!$A$2:$A$5000=$EI$1)*(ISNUMBER(SEARCH($EI296, 球員狀態!$B$2:$B$5000))), 0)), "")</f>
        <v/>
      </c>
      <c r="FD296" s="4" t="str">
        <f t="array" ref="FD296">IFERROR(INDEX(球員狀態!W$2:W$5000, MATCH(1, (球員狀態!$A$2:$A$5000=$EI$271)*(ISNUMBER(SEARCH($EI296, 球員狀態!$B$2:$B$5000))), 0)), "")</f>
        <v/>
      </c>
      <c r="FE296" s="4" t="str">
        <f t="array" ref="FE296">IFERROR(INDEX(球員狀態!X$2:X$5000, MATCH(1, (球員狀態!$A$2:$A$5000=$EI$1)*(ISNUMBER(SEARCH($EI296, 球員狀態!$B$2:$B$5000))), 0)), "")</f>
        <v/>
      </c>
      <c r="FF296" s="4" t="str">
        <f t="array" ref="FF296">IFERROR(INDEX(球員狀態!Y$2:Y$5000, MATCH(1, (球員狀態!$A$2:$A$5000=$EI$1)*(ISNUMBER(SEARCH($EI296, 球員狀態!$B$2:$B$5000))), 0)), "")</f>
        <v/>
      </c>
      <c r="FG296" s="4" t="str">
        <f t="array" ref="FG296">IFERROR(INDEX(球員狀態!Z$2:Z$5000, MATCH(1, (球員狀態!$A$2:$A$5000=$EI$271)*(ISNUMBER(SEARCH($EI296, 球員狀態!$B$2:$B$5000))), 0)), "")</f>
        <v/>
      </c>
      <c r="FH296" s="4" t="str">
        <f t="array" ref="FH296">IFERROR(INDEX(球員狀態!AA$2:AA$5000, MATCH(1, (球員狀態!$A$2:$A$5000=$EI$271)*(ISNUMBER(SEARCH($EI296, 球員狀態!$B$2:$B$5000))), 0)), "")</f>
        <v/>
      </c>
      <c r="FI296" s="4" t="str">
        <f t="array" ref="FI296">IFERROR(INDEX(球員狀態!AB$2:AB$5000, MATCH(1, (球員狀態!$A$2:$A$5000=$EI$271)*(ISNUMBER(SEARCH($EI296, 球員狀態!$B$2:$B$5000))), 0)), "")</f>
        <v/>
      </c>
    </row>
    <row r="297" spans="110:165">
      <c r="DH297" s="40" t="e">
        <f>DJ297+DL297+DM297+DN297+DO297-DP297-DQ297+DR297</f>
        <v>#VALUE!</v>
      </c>
      <c r="DI297" s="42" t="e">
        <f>DU297+DX297+EA297+ED297+EE297+EF297</f>
        <v>#VALUE!</v>
      </c>
      <c r="DJ297" s="38" t="e">
        <f>VLOOKUP(DJ296*1, FK$2:FM$12, 3, TRUE)*FM$1</f>
        <v>#VALUE!</v>
      </c>
      <c r="DL297" s="38" t="e">
        <f>VLOOKUP(DL296*1, FN$2:FP$12, 3, TRUE)*FP$1</f>
        <v>#VALUE!</v>
      </c>
      <c r="DM297" s="38" t="e">
        <f>VLOOKUP(DM296*1, FQ$2:FS$12, 3, TRUE)*FS$1</f>
        <v>#VALUE!</v>
      </c>
      <c r="DN297" s="38" t="e">
        <f>VLOOKUP(DN296*1, FT$2:FV$12, 3, TRUE)*FV$1</f>
        <v>#VALUE!</v>
      </c>
      <c r="DO297" s="38" t="e">
        <f>VLOOKUP(DO296*1, FW$2:FY$12, 3, TRUE)*FY$1</f>
        <v>#VALUE!</v>
      </c>
      <c r="DP297" s="39" t="e">
        <f>VLOOKUP(DP296*1, FK$14:FM$25, 3, TRUE)*FM$14</f>
        <v>#VALUE!</v>
      </c>
      <c r="DQ297" s="39" t="e">
        <f>VLOOKUP(DQ296*1, FN$14:FP$25, 3, TRUE)*FP$14</f>
        <v>#VALUE!</v>
      </c>
      <c r="DR297" s="38" t="e">
        <f>VLOOKUP(DR296*1, FQ$14:FS$25, 3, TRUE)*FS$14</f>
        <v>#VALUE!</v>
      </c>
      <c r="DU297" s="41" t="e">
        <f>VLOOKUP(DU296*1, FK$27:FM$38, 3, TRUE)*FM$27</f>
        <v>#VALUE!</v>
      </c>
      <c r="DX297" s="41" t="e">
        <f>VLOOKUP(DX296*1, FN$27:FP$38, 3, TRUE)*FP$27</f>
        <v>#VALUE!</v>
      </c>
      <c r="EA297" s="41" t="e">
        <f>VLOOKUP(EA296*1, FQ$27:FS$38, 3, TRUE)*FS$27</f>
        <v>#VALUE!</v>
      </c>
      <c r="ED297" s="41" t="e">
        <f>VLOOKUP(ED296*1, FT$27:FV$38, 3, TRUE)*FV$27</f>
        <v>#VALUE!</v>
      </c>
      <c r="EE297" s="41" t="e">
        <f>VLOOKUP(EE296*1, FW$27:FY$38, 3, TRUE)*FY$27</f>
        <v>#VALUE!</v>
      </c>
      <c r="EF297" s="41" t="e">
        <f>VLOOKUP(EF296*1, FK$40:FM$51, 3, TRUE)*FM$40</f>
        <v>#VALUE!</v>
      </c>
      <c r="EG297" s="57"/>
      <c r="EK297" s="40" t="e">
        <f>EM297+EO297+EP297+EQ297+ER297-ES297-ET297+EU297</f>
        <v>#VALUE!</v>
      </c>
      <c r="EL297" s="42" t="e">
        <f>EX297+FA297+FD297+FG297+FH297+FI297</f>
        <v>#VALUE!</v>
      </c>
      <c r="EM297" s="38" t="e">
        <f>VLOOKUP(EM296*1, $FK$2:$FM$12, 3, TRUE)*$FM$1</f>
        <v>#VALUE!</v>
      </c>
      <c r="EO297" s="38" t="e">
        <f>VLOOKUP(EO296*1, $FN$2:$FP$12, 3, TRUE)*$FP$1</f>
        <v>#VALUE!</v>
      </c>
      <c r="EP297" s="38" t="e">
        <f>VLOOKUP(EP296*1, $FQ$2:$FS$12, 3, TRUE)*$FS$1</f>
        <v>#VALUE!</v>
      </c>
      <c r="EQ297" s="38" t="e">
        <f>VLOOKUP(EQ296*1, $FT$2:$FV$12, 3, TRUE)*$FV$1</f>
        <v>#VALUE!</v>
      </c>
      <c r="ER297" s="38" t="e">
        <f>VLOOKUP(ER296*1, $FW$2:$FY$12, 3, TRUE)*$FY$1</f>
        <v>#VALUE!</v>
      </c>
      <c r="ES297" s="39" t="e">
        <f>VLOOKUP(ES296*1, $FK$14:$FM$25, 3, TRUE)*$FM$14</f>
        <v>#VALUE!</v>
      </c>
      <c r="ET297" s="39" t="e">
        <f>VLOOKUP(ET296*1, $FN$14:$FP$25, 3, TRUE)*$FP$14</f>
        <v>#VALUE!</v>
      </c>
      <c r="EU297" s="38" t="e">
        <f>VLOOKUP(EU296*1, $FQ$14:$FS$25, 3, TRUE)*$FS$14</f>
        <v>#VALUE!</v>
      </c>
      <c r="EX297" s="41" t="e">
        <f>VLOOKUP(EX296*1, $FK$27:$FM$38, 3, TRUE)*$FM$27</f>
        <v>#VALUE!</v>
      </c>
      <c r="FA297" s="41" t="e">
        <f>VLOOKUP(FA296*1, $FN$27:$FP$38, 3, TRUE)*$FP$27</f>
        <v>#VALUE!</v>
      </c>
      <c r="FD297" s="41" t="e">
        <f>VLOOKUP(FD296*1, $FQ$27:$FS$38, 3, TRUE)*$FS$27</f>
        <v>#VALUE!</v>
      </c>
      <c r="FG297" s="41" t="e">
        <f>VLOOKUP(FG296*1, $FT$27:$FV$38, 3, TRUE)*$FV$27</f>
        <v>#VALUE!</v>
      </c>
      <c r="FH297" s="41" t="e">
        <f>VLOOKUP(FH296*1, $FW$27:$FY$38, 3, TRUE)*$FY$27</f>
        <v>#VALUE!</v>
      </c>
      <c r="FI297" s="41" t="e">
        <f>VLOOKUP(FI296*1, $FK$40:$FM$51, 3, TRUE)*$FM$40</f>
        <v>#VALUE!</v>
      </c>
    </row>
    <row r="298" spans="110:165">
      <c r="DF298" s="82" t="e">
        <f>$DF271&amp;"整體"</f>
        <v>#N/A</v>
      </c>
      <c r="DG298" t="s">
        <v>487</v>
      </c>
      <c r="DH298" t="s">
        <v>488</v>
      </c>
      <c r="DJ298" s="82" t="e">
        <f>$DF271&amp;"先發"</f>
        <v>#N/A</v>
      </c>
      <c r="DK298" s="78"/>
      <c r="DL298" t="s">
        <v>487</v>
      </c>
      <c r="DM298" t="s">
        <v>488</v>
      </c>
      <c r="DO298" s="82" t="e">
        <f>$DF271&amp;"板凳"</f>
        <v>#N/A</v>
      </c>
      <c r="DP298" s="78"/>
      <c r="DQ298" t="s">
        <v>487</v>
      </c>
      <c r="DR298" t="s">
        <v>488</v>
      </c>
      <c r="EI298" s="82" t="e">
        <f>$EI271&amp;"整體"</f>
        <v>#N/A</v>
      </c>
      <c r="EJ298" t="s">
        <v>487</v>
      </c>
      <c r="EK298" t="s">
        <v>488</v>
      </c>
      <c r="EM298" s="82" t="e">
        <f>$EI271&amp;"先發"</f>
        <v>#N/A</v>
      </c>
      <c r="EN298" s="78"/>
      <c r="EO298" t="s">
        <v>487</v>
      </c>
      <c r="EP298" t="s">
        <v>488</v>
      </c>
      <c r="ER298" s="82" t="e">
        <f>$EI271&amp;"板凳"</f>
        <v>#N/A</v>
      </c>
      <c r="ES298" s="78"/>
      <c r="ET298" t="s">
        <v>487</v>
      </c>
      <c r="EU298" t="s">
        <v>488</v>
      </c>
    </row>
    <row r="299" spans="110:165">
      <c r="DF299" s="78"/>
      <c r="DG299" s="43" t="e">
        <f>(DH273+DH275+DH277+DH279+DH281+DH283+DH285+DH287+DH289+DH291+DH293+DH295+DH297)/13</f>
        <v>#VALUE!</v>
      </c>
      <c r="DH299" s="43" t="e">
        <f>(DI273+DI275+DI277+DI279+DI281+DI283+DI285+DI287+DI289+DI291+DI293+DI295+DI297)/13</f>
        <v>#VALUE!</v>
      </c>
      <c r="DJ299" s="78"/>
      <c r="DK299" s="78"/>
      <c r="DL299" s="4" t="e">
        <f>(DH273+DH275+DH277+DH279+DH281)/5</f>
        <v>#VALUE!</v>
      </c>
      <c r="DM299" s="4" t="e">
        <f>(DI273+DI275+DI277+DI279+DI281)/5</f>
        <v>#VALUE!</v>
      </c>
      <c r="DO299" s="78"/>
      <c r="DP299" s="78"/>
      <c r="DQ299" s="43" t="e">
        <f>(DH283+DH285+DH287+DH289+DH291+DH293+DH295+DH295+DH297)/8</f>
        <v>#VALUE!</v>
      </c>
      <c r="DR299" s="43" t="e">
        <f>(DI283+DI285+DI287+DI289+DI291+DI293+DI295+DI297)/8</f>
        <v>#VALUE!</v>
      </c>
      <c r="EI299" s="78"/>
      <c r="EJ299" s="43" t="e">
        <f>(EK273+EK275+EK277+EK279+EK281+EK283+EK285+EK287+EK289+EK291+EK293+EK295+EK297)/13</f>
        <v>#VALUE!</v>
      </c>
      <c r="EK299" s="43" t="e">
        <f>(EL273+EL275+EL277+EL279+EL281+EL283+EL285+EL287+EL289+EL291+EL293+EL295+EL297)/13</f>
        <v>#VALUE!</v>
      </c>
      <c r="EM299" s="78"/>
      <c r="EN299" s="78"/>
      <c r="EO299" s="4" t="e">
        <f>(EK273+EK275+EK277+EK279+EK281)/5</f>
        <v>#VALUE!</v>
      </c>
      <c r="EP299" s="4" t="e">
        <f>(EL273+EL275+EL277+EL279+EL281)/5</f>
        <v>#VALUE!</v>
      </c>
      <c r="ER299" s="78"/>
      <c r="ES299" s="78"/>
      <c r="ET299" s="43" t="e">
        <f>(EK283+EK285+EK287+EK289+EK291+EK293+EK295+EK295+EK297)/8</f>
        <v>#VALUE!</v>
      </c>
      <c r="EU299" s="43" t="e">
        <f>(EL283+EL285+EL287+EL289+EL291+EL293+EL295+EL297)/8</f>
        <v>#VALUE!</v>
      </c>
    </row>
    <row r="301" spans="110:165">
      <c r="DF301" s="34" t="e">
        <f>CB42</f>
        <v>#N/A</v>
      </c>
      <c r="DG301" t="s">
        <v>486</v>
      </c>
      <c r="DH301" s="1" t="s">
        <v>487</v>
      </c>
      <c r="DI301" s="1" t="s">
        <v>488</v>
      </c>
      <c r="DJ301" t="s">
        <v>517</v>
      </c>
      <c r="DK301" t="s">
        <v>554</v>
      </c>
      <c r="DL301" t="s">
        <v>518</v>
      </c>
      <c r="DM301" t="s">
        <v>519</v>
      </c>
      <c r="DN301" t="s">
        <v>520</v>
      </c>
      <c r="DO301" t="s">
        <v>521</v>
      </c>
      <c r="DP301" t="s">
        <v>532</v>
      </c>
      <c r="DQ301" t="s">
        <v>533</v>
      </c>
      <c r="DR301" t="s">
        <v>534</v>
      </c>
      <c r="DS301" t="s">
        <v>555</v>
      </c>
      <c r="DT301" t="s">
        <v>556</v>
      </c>
      <c r="DU301" t="s">
        <v>549</v>
      </c>
      <c r="DV301" t="s">
        <v>557</v>
      </c>
      <c r="DW301" t="s">
        <v>558</v>
      </c>
      <c r="DX301" t="s">
        <v>550</v>
      </c>
      <c r="DY301" t="s">
        <v>559</v>
      </c>
      <c r="DZ301" t="s">
        <v>560</v>
      </c>
      <c r="EA301" t="s">
        <v>551</v>
      </c>
      <c r="EB301" t="s">
        <v>561</v>
      </c>
      <c r="EC301" t="s">
        <v>562</v>
      </c>
      <c r="ED301" t="s">
        <v>552</v>
      </c>
      <c r="EE301" t="s">
        <v>553</v>
      </c>
      <c r="EF301" t="s">
        <v>563</v>
      </c>
      <c r="EH301" s="14"/>
      <c r="EI301" s="34" t="e">
        <f>CB44</f>
        <v>#N/A</v>
      </c>
      <c r="EJ301" t="s">
        <v>486</v>
      </c>
      <c r="EK301" s="1" t="s">
        <v>487</v>
      </c>
      <c r="EL301" s="1" t="s">
        <v>488</v>
      </c>
      <c r="EM301" t="s">
        <v>517</v>
      </c>
      <c r="EN301" t="s">
        <v>554</v>
      </c>
      <c r="EO301" t="s">
        <v>518</v>
      </c>
      <c r="EP301" t="s">
        <v>519</v>
      </c>
      <c r="EQ301" t="s">
        <v>520</v>
      </c>
      <c r="ER301" t="s">
        <v>521</v>
      </c>
      <c r="ES301" t="s">
        <v>532</v>
      </c>
      <c r="ET301" t="s">
        <v>533</v>
      </c>
      <c r="EU301" t="s">
        <v>534</v>
      </c>
      <c r="EV301" t="s">
        <v>555</v>
      </c>
      <c r="EW301" t="s">
        <v>556</v>
      </c>
      <c r="EX301" t="s">
        <v>549</v>
      </c>
      <c r="EY301" t="s">
        <v>557</v>
      </c>
      <c r="EZ301" t="s">
        <v>558</v>
      </c>
      <c r="FA301" t="s">
        <v>550</v>
      </c>
      <c r="FB301" t="s">
        <v>559</v>
      </c>
      <c r="FC301" t="s">
        <v>560</v>
      </c>
      <c r="FD301" t="s">
        <v>551</v>
      </c>
      <c r="FE301" t="s">
        <v>561</v>
      </c>
      <c r="FF301" t="s">
        <v>562</v>
      </c>
      <c r="FG301" t="s">
        <v>552</v>
      </c>
      <c r="FH301" t="s">
        <v>553</v>
      </c>
      <c r="FI301" t="s">
        <v>563</v>
      </c>
    </row>
    <row r="302" spans="110:165">
      <c r="DF302" s="35" t="str">
        <f>先發名單!E$12</f>
        <v>Ryan Weiss</v>
      </c>
      <c r="DG302" s="4" t="str">
        <f t="array" ref="DG302">IFERROR(INDEX(球員狀態!$C$2:$C$5000, MATCH(1, (球員狀態!$A$2:$A$5000=$DF$3011)*(ISNUMBER(SEARCH($DF302, 球員狀態!$B$2:$B$5000))), 0)), "")</f>
        <v/>
      </c>
      <c r="DJ302" s="4" t="str">
        <f t="array" ref="DJ302">IFERROR(INDEX(球員狀態!$F$2:$F$5000,MATCH(1,(球員狀態!$A$2:$A$5000=$DF$301)*(ISNUMBER(SEARCH($DF302,球員狀態!$B$2:$B$5000))),0)),"")</f>
        <v/>
      </c>
      <c r="DK302" s="4" t="str">
        <f t="array" ref="DK302">IFERROR(INDEX(球員狀態!G$2:G$5000, MATCH(1, (球員狀態!$A$2:$A$5000=$DF$1)*(ISNUMBER(SEARCH($DF302, 球員狀態!$B$2:$B$5000))), 0)), "")</f>
        <v/>
      </c>
      <c r="DL302" s="4" t="str">
        <f t="array" ref="DL302">IFERROR(INDEX(球員狀態!H$2:H$5000, MATCH(1, (球員狀態!$A$2:$A$5000=$DF$301)*(ISNUMBER(SEARCH($DF302, 球員狀態!$B$2:$B$5000))), 0)), "")</f>
        <v/>
      </c>
      <c r="DM302" s="4" t="str">
        <f t="array" ref="DM302">IFERROR(INDEX(球員狀態!I$2:I$5000,MATCH(1,(球員狀態!$A$2:$A$5000=$DF$301)*(ISNUMBER(SEARCH($DF302,球員狀態!$B$2:$B$5000))),0)),"")</f>
        <v/>
      </c>
      <c r="DN302" s="4" t="str">
        <f t="array" ref="DN302">IFERROR(INDEX(球員狀態!J$2:J$5000,MATCH(1,(球員狀態!$A$2:$A$5000=$DF$301)*(ISNUMBER(SEARCH($DF302,球員狀態!$B$2:$B$5000))),0)),"")</f>
        <v/>
      </c>
      <c r="DO302" s="4" t="str">
        <f t="array" ref="DO302">IFERROR(INDEX(球員狀態!K$2:K$5000,MATCH(1,(球員狀態!$A$2:$A$5000=$DF$301)*(ISNUMBER(SEARCH($DF302,球員狀態!$B$2:$B$5000))),0)),"")</f>
        <v/>
      </c>
      <c r="DP302" s="4" t="str">
        <f t="array" ref="DP302">IFERROR(INDEX(球員狀態!L$2:L$5000,MATCH(1,(球員狀態!$A$2:$A$5000=$DF$301)*(ISNUMBER(SEARCH($DF302,球員狀態!$B$2:$B$5000))),0)),"")</f>
        <v/>
      </c>
      <c r="DQ302" s="4" t="str">
        <f t="array" ref="DQ302">IFERROR(INDEX(球員狀態!M$2:M$5000,MATCH(1,(球員狀態!$A$2:$A$5000=$DF$301)*(ISNUMBER(SEARCH($DF302,球員狀態!$B$2:$B$5000))),0)),"")</f>
        <v/>
      </c>
      <c r="DR302" s="4" t="str">
        <f t="array" ref="DR302">IFERROR(INDEX(球員狀態!N$2:N$5000,MATCH(1,(球員狀態!$A$2:$A$5000=$DF$301)*(ISNUMBER(SEARCH($DF302,球員狀態!$B$2:$B$5000))),0)),"")</f>
        <v/>
      </c>
      <c r="DS302" s="4" t="str">
        <f t="array" ref="DS302">IFERROR(INDEX(球員狀態!O$2:O$5000, MATCH(1, (球員狀態!$A$2:$A$5000=$DF$1)*(ISNUMBER(SEARCH($DF302, 球員狀態!$B$2:$B$5000))), 0)), "")</f>
        <v/>
      </c>
      <c r="DT302" s="4" t="str">
        <f t="array" ref="DT302">IFERROR(INDEX(球員狀態!P$2:P$5000, MATCH(1, (球員狀態!$A$2:$A$5000=$DF$1)*(ISNUMBER(SEARCH($DF302, 球員狀態!$B$2:$B$5000))), 0)), "")</f>
        <v/>
      </c>
      <c r="DU302" s="4" t="str">
        <f t="array" ref="DU302">IFERROR(INDEX(球員狀態!Q$2:Q$5000,MATCH(1,(球員狀態!$A$2:$A$5000=$DF$301)*(ISNUMBER(SEARCH($DF302,球員狀態!$B$2:$B$5000))),0)),"")</f>
        <v/>
      </c>
      <c r="DV302" s="4" t="str">
        <f t="array" ref="DV302">IFERROR(INDEX(球員狀態!R$2:R$5000, MATCH(1, (球員狀態!$A$2:$A$5000=$DF$1)*(ISNUMBER(SEARCH($DF302, 球員狀態!$B$2:$B$5000))), 0)), "")</f>
        <v/>
      </c>
      <c r="DW302" s="4" t="str">
        <f t="array" ref="DW302">IFERROR(INDEX(球員狀態!S$2:S$5000, MATCH(1, (球員狀態!$A$2:$A$5000=$DF$1)*(ISNUMBER(SEARCH($DF302, 球員狀態!$B$2:$B$5000))), 0)), "")</f>
        <v/>
      </c>
      <c r="DX302" s="4" t="str">
        <f t="array" ref="DX302">IFERROR(INDEX(球員狀態!T$2:T$5000,MATCH(1,(球員狀態!$A$2:$A$5000=$DF$301)*(ISNUMBER(SEARCH($DF302,球員狀態!$B$2:$B$5000))),0)),"")</f>
        <v/>
      </c>
      <c r="DY302" s="4" t="str">
        <f t="array" ref="DY302">IFERROR(INDEX(球員狀態!U$2:U$5000, MATCH(1, (球員狀態!$A$2:$A$5000=$DF$1)*(ISNUMBER(SEARCH($DF302, 球員狀態!$B$2:$B$5000))), 0)), "")</f>
        <v/>
      </c>
      <c r="DZ302" s="4" t="str">
        <f t="array" ref="DZ302">IFERROR(INDEX(球員狀態!V$2:V$5000, MATCH(1, (球員狀態!$A$2:$A$5000=$DF$1)*(ISNUMBER(SEARCH($DF302, 球員狀態!$B$2:$B$5000))), 0)), "")</f>
        <v/>
      </c>
      <c r="EA302" s="4" t="str">
        <f t="array" ref="EA302">IFERROR(INDEX(球員狀態!W$2:W$5000,MATCH(1,(球員狀態!$A$2:$A$5000=$DF$301)*(ISNUMBER(SEARCH($DF302,球員狀態!$B$2:$B$5000))),0)),"")</f>
        <v/>
      </c>
      <c r="EB302" s="4" t="str">
        <f t="array" ref="EB302">IFERROR(INDEX(球員狀態!X$2:X$5000, MATCH(1, (球員狀態!$A$2:$A$5000=$DF$1)*(ISNUMBER(SEARCH($DF302, 球員狀態!$B$2:$B$5000))), 0)), "")</f>
        <v/>
      </c>
      <c r="EC302" s="4" t="str">
        <f t="array" ref="EC302">IFERROR(INDEX(球員狀態!Y$2:Y$5000, MATCH(1, (球員狀態!$A$2:$A$5000=$DF$1)*(ISNUMBER(SEARCH($DF302, 球員狀態!$B$2:$B$5000))), 0)), "")</f>
        <v/>
      </c>
      <c r="ED302" s="4" t="str">
        <f t="array" ref="ED302">IFERROR(INDEX(球員狀態!Z$2:Z$5000,MATCH(1,(球員狀態!$A$2:$A$5000=$DF$301)*(ISNUMBER(SEARCH($DF302,球員狀態!$B$2:$B$5000))),0)),"")</f>
        <v/>
      </c>
      <c r="EE302" s="4" t="str">
        <f t="array" ref="EE302">IFERROR(INDEX(球員狀態!AA$2:AA$5000,MATCH(1,(球員狀態!$A$2:$A$5000=$DF$301)*(ISNUMBER(SEARCH($DF302,球員狀態!$B$2:$B$5000))),0)),"")</f>
        <v/>
      </c>
      <c r="EF302" s="4" t="str">
        <f t="array" ref="EF302">IFERROR(INDEX(球員狀態!AB$2:AB$5000,MATCH(1,(球員狀態!$A$2:$A$5000=$DF$301)*(ISNUMBER(SEARCH($DF302,球員狀態!$B$2:$B$5000))),0)),"")</f>
        <v/>
      </c>
      <c r="EG302" s="56"/>
      <c r="EI302" s="35" t="str">
        <f>先發名單!O$12</f>
        <v>B. Matthews</v>
      </c>
      <c r="EJ302" s="4" t="str">
        <f t="array" ref="EJ302">IFERROR(INDEX(球員狀態!C$2:C$5000, MATCH(1, (球員狀態!$A$2:$A$5000=$EI$301)*(ISNUMBER(SEARCH($EI302, 球員狀態!$B$2:$B$5000))), 0)), "")</f>
        <v/>
      </c>
      <c r="EM302" s="4" t="str">
        <f t="array" ref="EM302">IFERROR(INDEX(球員狀態!F$2:F$5000, MATCH(1, (球員狀態!$A$2:$A$5000=$EI$301)*(ISNUMBER(SEARCH($EI302, 球員狀態!$B$2:$B$5000))), 0)), "")</f>
        <v/>
      </c>
      <c r="EN302" s="4" t="str">
        <f t="array" ref="EN302">IFERROR(INDEX(球員狀態!G$2:G$5000, MATCH(1, (球員狀態!$A$2:$A$5000=$EI$1)*(ISNUMBER(SEARCH($EI302, 球員狀態!$B$2:$B$5000))), 0)), "")</f>
        <v/>
      </c>
      <c r="EO302" s="4" t="str">
        <f t="array" ref="EO302">IFERROR(INDEX(球員狀態!H$2:H$5000, MATCH(1, (球員狀態!$A$2:$A$5000=$EI$301)*(ISNUMBER(SEARCH($EI302, 球員狀態!$B$2:$B$5000))), 0)), "")</f>
        <v/>
      </c>
      <c r="EP302" s="4" t="str">
        <f t="array" ref="EP302">IFERROR(INDEX(球員狀態!I$2:I$5000, MATCH(1, (球員狀態!$A$2:$A$5000=$EI$301)*(ISNUMBER(SEARCH($EI302, 球員狀態!$B$2:$B$5000))), 0)), "")</f>
        <v/>
      </c>
      <c r="EQ302" s="4" t="str">
        <f t="array" ref="EQ302">IFERROR(INDEX(球員狀態!J$2:J$5000, MATCH(1, (球員狀態!$A$2:$A$5000=$EI$301)*(ISNUMBER(SEARCH($EI302, 球員狀態!$B$2:$B$5000))), 0)), "")</f>
        <v/>
      </c>
      <c r="ER302" s="4" t="str">
        <f t="array" ref="ER302">IFERROR(INDEX(球員狀態!K$2:K$5000, MATCH(1, (球員狀態!$A$2:$A$5000=$EI$301)*(ISNUMBER(SEARCH($EI302, 球員狀態!$B$2:$B$5000))), 0)), "")</f>
        <v/>
      </c>
      <c r="ES302" s="4" t="str">
        <f t="array" ref="ES302">IFERROR(INDEX(球員狀態!L$2:L$5000, MATCH(1, (球員狀態!$A$2:$A$5000=$EI$301)*(ISNUMBER(SEARCH($EI302, 球員狀態!$B$2:$B$5000))), 0)), "")</f>
        <v/>
      </c>
      <c r="ET302" s="4" t="str">
        <f t="array" ref="ET302">IFERROR(INDEX(球員狀態!M$2:M$5000, MATCH(1, (球員狀態!$A$2:$A$5000=$EI$301)*(ISNUMBER(SEARCH($EI302, 球員狀態!$B$2:$B$5000))), 0)), "")</f>
        <v/>
      </c>
      <c r="EU302" s="4" t="str">
        <f t="array" ref="EU302">IFERROR(INDEX(球員狀態!N$2:N$5000, MATCH(1, (球員狀態!$A$2:$A$5000=$EI$301)*(ISNUMBER(SEARCH($EI302, 球員狀態!$B$2:$B$5000))), 0)), "")</f>
        <v/>
      </c>
      <c r="EV302" s="4" t="str">
        <f t="array" ref="EV302">IFERROR(INDEX(球員狀態!O$2:O$5000, MATCH(1, (球員狀態!$A$2:$A$5000=$EI$1)*(ISNUMBER(SEARCH($EI302, 球員狀態!$B$2:$B$5000))), 0)), "")</f>
        <v/>
      </c>
      <c r="EW302" s="4" t="str">
        <f t="array" ref="EW302">IFERROR(INDEX(球員狀態!P$2:P$5000, MATCH(1, (球員狀態!$A$2:$A$5000=$EI$1)*(ISNUMBER(SEARCH($EI302, 球員狀態!$B$2:$B$5000))), 0)), "")</f>
        <v/>
      </c>
      <c r="EX302" s="4" t="str">
        <f t="array" ref="EX302">IFERROR(INDEX(球員狀態!Q$2:Q$5000, MATCH(1, (球員狀態!$A$2:$A$5000=$EI$301)*(ISNUMBER(SEARCH($EI302, 球員狀態!$B$2:$B$5000))), 0)), "")</f>
        <v/>
      </c>
      <c r="EY302" s="4" t="str">
        <f t="array" ref="EY302">IFERROR(INDEX(球員狀態!R$2:R$5000, MATCH(1, (球員狀態!$A$2:$A$5000=$EI$1)*(ISNUMBER(SEARCH($EI302, 球員狀態!$B$2:$B$5000))), 0)), "")</f>
        <v/>
      </c>
      <c r="EZ302" s="4" t="str">
        <f t="array" ref="EZ302">IFERROR(INDEX(球員狀態!S$2:S$5000, MATCH(1, (球員狀態!$A$2:$A$5000=$EI$1)*(ISNUMBER(SEARCH($EI302, 球員狀態!$B$2:$B$5000))), 0)), "")</f>
        <v/>
      </c>
      <c r="FA302" s="4" t="str">
        <f t="array" ref="FA302">IFERROR(INDEX(球員狀態!T$2:T$5000, MATCH(1, (球員狀態!$A$2:$A$5000=$EI$301)*(ISNUMBER(SEARCH($EI302, 球員狀態!$B$2:$B$5000))), 0)), "")</f>
        <v/>
      </c>
      <c r="FB302" s="4" t="str">
        <f t="array" ref="FB302">IFERROR(INDEX(球員狀態!U$2:U$5000, MATCH(1, (球員狀態!$A$2:$A$5000=$EI$1)*(ISNUMBER(SEARCH($EI302, 球員狀態!$B$2:$B$5000))), 0)), "")</f>
        <v/>
      </c>
      <c r="FC302" s="4" t="str">
        <f t="array" ref="FC302">IFERROR(INDEX(球員狀態!V$2:V$5000, MATCH(1, (球員狀態!$A$2:$A$5000=$EI$1)*(ISNUMBER(SEARCH($EI302, 球員狀態!$B$2:$B$5000))), 0)), "")</f>
        <v/>
      </c>
      <c r="FD302" s="4" t="str">
        <f t="array" ref="FD302">IFERROR(INDEX(球員狀態!W$2:W$5000, MATCH(1, (球員狀態!$A$2:$A$5000=$EI$301)*(ISNUMBER(SEARCH($EI302, 球員狀態!$B$2:$B$5000))), 0)), "")</f>
        <v/>
      </c>
      <c r="FE302" s="4" t="str">
        <f t="array" ref="FE302">IFERROR(INDEX(球員狀態!X$2:X$5000, MATCH(1, (球員狀態!$A$2:$A$5000=$EI$1)*(ISNUMBER(SEARCH($EI302, 球員狀態!$B$2:$B$5000))), 0)), "")</f>
        <v/>
      </c>
      <c r="FF302" s="4" t="str">
        <f t="array" ref="FF302">IFERROR(INDEX(球員狀態!Y$2:Y$5000, MATCH(1, (球員狀態!$A$2:$A$5000=$EI$1)*(ISNUMBER(SEARCH($EI302, 球員狀態!$B$2:$B$5000))), 0)), "")</f>
        <v/>
      </c>
      <c r="FG302" s="4" t="str">
        <f t="array" ref="FG302">IFERROR(INDEX(球員狀態!Z$2:Z$5000, MATCH(1, (球員狀態!$A$2:$A$5000=$EI$301)*(ISNUMBER(SEARCH($EI302, 球員狀態!$B$2:$B$5000))), 0)), "")</f>
        <v/>
      </c>
      <c r="FH302" s="4" t="str">
        <f t="array" ref="FH302">IFERROR(INDEX(球員狀態!AA$2:AA$5000, MATCH(1, (球員狀態!$A$2:$A$5000=$EI$301)*(ISNUMBER(SEARCH($EI302, 球員狀態!$B$2:$B$5000))), 0)), "")</f>
        <v/>
      </c>
      <c r="FI302" s="4" t="str">
        <f t="array" ref="FI302">IFERROR(INDEX(球員狀態!AB$2:AB$5000, MATCH(1, (球員狀態!$A$2:$A$5000=$EI$301)*(ISNUMBER(SEARCH($EI302, 球員狀態!$B$2:$B$5000))), 0)), "")</f>
        <v/>
      </c>
    </row>
    <row r="303" spans="110:165">
      <c r="DF303" s="36"/>
      <c r="DG303" s="4"/>
      <c r="DH303" s="40" t="e">
        <f>DJ303+DL303+DM303+DN303+DO303-DP303-DQ303+DR303</f>
        <v>#VALUE!</v>
      </c>
      <c r="DI303" s="42" t="e">
        <f>DU303+DX303+EA303+ED303+EE303+EF303</f>
        <v>#VALUE!</v>
      </c>
      <c r="DJ303" s="38" t="e">
        <f>VLOOKUP(DJ302*1, $FK$2:$FM$12, 3, TRUE)*$FM$1</f>
        <v>#VALUE!</v>
      </c>
      <c r="DL303" s="38" t="e">
        <f>VLOOKUP(DL302*1, $FN$2:$FP$12, 3, TRUE)*$FP$1</f>
        <v>#VALUE!</v>
      </c>
      <c r="DM303" s="38" t="e">
        <f>VLOOKUP(DM302*1, $FQ$2:$FS$12, 3, TRUE)*$FS$1</f>
        <v>#VALUE!</v>
      </c>
      <c r="DN303" s="38" t="e">
        <f>VLOOKUP(DN302*1, $FT$2:$FV$12, 3, TRUE)*$FV$1</f>
        <v>#VALUE!</v>
      </c>
      <c r="DO303" s="38" t="e">
        <f>VLOOKUP(DO302*1, $FW$2:$FY$12, 3, TRUE)*$FY$1</f>
        <v>#VALUE!</v>
      </c>
      <c r="DP303" s="39" t="e">
        <f>VLOOKUP(DP302*1, $FK$14:$FM$25, 3, TRUE)*$FM$14</f>
        <v>#VALUE!</v>
      </c>
      <c r="DQ303" s="39" t="e">
        <f>VLOOKUP(DQ302*1, $FN$14:$FP$25, 3, TRUE)*$FP$14</f>
        <v>#VALUE!</v>
      </c>
      <c r="DR303" s="38" t="e">
        <f>VLOOKUP(DR302*1, $FQ$14:$FS$25, 3, TRUE)*$FS$14</f>
        <v>#VALUE!</v>
      </c>
      <c r="DU303" s="41" t="e">
        <f>VLOOKUP(DU302*1, $FK$27:$FM$38, 3, TRUE)*$FM$27</f>
        <v>#VALUE!</v>
      </c>
      <c r="DX303" s="41" t="e">
        <f>VLOOKUP(DX302*1, $FN$27:$FP$38, 3, TRUE)*$FP$27</f>
        <v>#VALUE!</v>
      </c>
      <c r="EA303" s="41" t="e">
        <f>VLOOKUP(EA302*1, $FQ$27:$FS$38, 3, TRUE)*$FS$27</f>
        <v>#VALUE!</v>
      </c>
      <c r="ED303" s="41" t="e">
        <f>VLOOKUP(ED302*1, $FT$27:$FV$38, 3, TRUE)*$FV$27</f>
        <v>#VALUE!</v>
      </c>
      <c r="EE303" s="41" t="e">
        <f>VLOOKUP(EE302*1, $FW$27:$FY$38, 3, TRUE)*$FY$27</f>
        <v>#VALUE!</v>
      </c>
      <c r="EF303" s="41" t="e">
        <f>VLOOKUP(EF302*1, $FK$40:$FM$51, 3, TRUE)*$FM$40</f>
        <v>#VALUE!</v>
      </c>
      <c r="EG303" s="57"/>
      <c r="EI303" s="36"/>
      <c r="EJ303" s="4"/>
      <c r="EK303" s="40" t="e">
        <f>EM303+EO303+EP303+EQ303+ER303-ES303-ET303+EU303</f>
        <v>#VALUE!</v>
      </c>
      <c r="EL303" s="42" t="e">
        <f>EX303+FA303+FD303+FG303+FH303+FI303</f>
        <v>#VALUE!</v>
      </c>
      <c r="EM303" s="38" t="e">
        <f>VLOOKUP(EM302*1, $FK$2:$FM$12, 3, TRUE)*$FM$1</f>
        <v>#VALUE!</v>
      </c>
      <c r="EO303" s="38" t="e">
        <f>VLOOKUP(EO302*1, $FN$2:$FP$12, 3, TRUE)*$FP$1</f>
        <v>#VALUE!</v>
      </c>
      <c r="EP303" s="38" t="e">
        <f>VLOOKUP(EP302*1, $FQ$2:$FS$12, 3, TRUE)*$FS$1</f>
        <v>#VALUE!</v>
      </c>
      <c r="EQ303" s="38" t="e">
        <f>VLOOKUP(EQ302*1, $FT$2:$FV$12, 3, TRUE)*$FV$1</f>
        <v>#VALUE!</v>
      </c>
      <c r="ER303" s="38" t="e">
        <f>VLOOKUP(ER302*1, $FW$2:$FY$12, 3, TRUE)*$FY$1</f>
        <v>#VALUE!</v>
      </c>
      <c r="ES303" s="39" t="e">
        <f>VLOOKUP(ES302*1, $FK$14:$FM$25, 3, TRUE)*$FM$14</f>
        <v>#VALUE!</v>
      </c>
      <c r="ET303" s="39" t="e">
        <f>VLOOKUP(ET302*1, $FN$14:$FP$25, 3, TRUE)*$FP$14</f>
        <v>#VALUE!</v>
      </c>
      <c r="EU303" s="38" t="e">
        <f>VLOOKUP(EU302*1, $FQ$14:$FS$25, 3, TRUE)*$FS$14</f>
        <v>#VALUE!</v>
      </c>
      <c r="EX303" s="41" t="e">
        <f>VLOOKUP(EX302*1, $FK$27:$FM$38, 3, TRUE)*$FM$27</f>
        <v>#VALUE!</v>
      </c>
      <c r="FA303" s="41" t="e">
        <f>VLOOKUP(FA302*1, $FN$27:$FP$38, 3, TRUE)*$FP$27</f>
        <v>#VALUE!</v>
      </c>
      <c r="FD303" s="41" t="e">
        <f>VLOOKUP(FD302*1, $FQ$27:$FS$38, 3, TRUE)*$FS$27</f>
        <v>#VALUE!</v>
      </c>
      <c r="FG303" s="41" t="e">
        <f>VLOOKUP(FG302*1, $FT$27:$FV$38, 3, TRUE)*$FV$27</f>
        <v>#VALUE!</v>
      </c>
      <c r="FH303" s="41" t="e">
        <f>VLOOKUP(FH302*1, $FW$27:$FY$38, 3, TRUE)*$FY$27</f>
        <v>#VALUE!</v>
      </c>
      <c r="FI303" s="41" t="e">
        <f>VLOOKUP(FI302*1, $FK$40:$FM$51, 3, TRUE)*$FM$40</f>
        <v>#VALUE!</v>
      </c>
    </row>
    <row r="304" spans="110:165">
      <c r="DF304" s="35" t="str">
        <f>先發名單!F12</f>
        <v>Shane Baz</v>
      </c>
      <c r="DG304" s="4" t="str">
        <f t="array" ref="DG304">IFERROR(INDEX(球員狀態!$C$2:$C$5000, MATCH(1, (球員狀態!$A$2:$A$5000=$DF$3011)*(ISNUMBER(SEARCH($DF304, 球員狀態!$B$2:$B$5000))), 0)), "")</f>
        <v/>
      </c>
      <c r="DJ304" s="4" t="str">
        <f t="array" ref="DJ304">IFERROR(INDEX(球員狀態!$F$2:$F$5000,MATCH(1,(球員狀態!$A$2:$A$5000=$DF$301)*(ISNUMBER(SEARCH($DF304,球員狀態!$B$2:$B$5000))),0)),"")</f>
        <v/>
      </c>
      <c r="DK304" s="4" t="str">
        <f t="array" ref="DK304">IFERROR(INDEX(球員狀態!G$2:G$5000, MATCH(1, (球員狀態!$A$2:$A$5000=$DF$1)*(ISNUMBER(SEARCH($DF304, 球員狀態!$B$2:$B$5000))), 0)), "")</f>
        <v/>
      </c>
      <c r="DL304" s="4" t="str">
        <f t="array" ref="DL304">IFERROR(INDEX(球員狀態!H$2:H$5000, MATCH(1, (球員狀態!$A$2:$A$5000=$DF$301)*(ISNUMBER(SEARCH($DF304, 球員狀態!$B$2:$B$5000))), 0)), "")</f>
        <v/>
      </c>
      <c r="DM304" s="4" t="str">
        <f t="array" ref="DM304">IFERROR(INDEX(球員狀態!I$2:I$5000,MATCH(1,(球員狀態!$A$2:$A$5000=$DF$301)*(ISNUMBER(SEARCH($DF304,球員狀態!$B$2:$B$5000))),0)),"")</f>
        <v/>
      </c>
      <c r="DN304" s="4" t="str">
        <f t="array" ref="DN304">IFERROR(INDEX(球員狀態!J$2:J$5000,MATCH(1,(球員狀態!$A$2:$A$5000=$DF$301)*(ISNUMBER(SEARCH($DF304,球員狀態!$B$2:$B$5000))),0)),"")</f>
        <v/>
      </c>
      <c r="DO304" s="4" t="str">
        <f t="array" ref="DO304">IFERROR(INDEX(球員狀態!K$2:K$5000,MATCH(1,(球員狀態!$A$2:$A$5000=$DF$301)*(ISNUMBER(SEARCH($DF304,球員狀態!$B$2:$B$5000))),0)),"")</f>
        <v/>
      </c>
      <c r="DP304" s="4" t="str">
        <f t="array" ref="DP304">IFERROR(INDEX(球員狀態!L$2:L$5000,MATCH(1,(球員狀態!$A$2:$A$5000=$DF$301)*(ISNUMBER(SEARCH($DF304,球員狀態!$B$2:$B$5000))),0)),"")</f>
        <v/>
      </c>
      <c r="DQ304" s="4" t="str">
        <f t="array" ref="DQ304">IFERROR(INDEX(球員狀態!M$2:M$5000,MATCH(1,(球員狀態!$A$2:$A$5000=$DF$301)*(ISNUMBER(SEARCH($DF304,球員狀態!$B$2:$B$5000))),0)),"")</f>
        <v/>
      </c>
      <c r="DR304" s="4" t="str">
        <f t="array" ref="DR304">IFERROR(INDEX(球員狀態!N$2:N$5000,MATCH(1,(球員狀態!$A$2:$A$5000=$DF$301)*(ISNUMBER(SEARCH($DF304,球員狀態!$B$2:$B$5000))),0)),"")</f>
        <v/>
      </c>
      <c r="DS304" s="4" t="str">
        <f t="array" ref="DS304">IFERROR(INDEX(球員狀態!O$2:O$5000, MATCH(1, (球員狀態!$A$2:$A$5000=$DF$1)*(ISNUMBER(SEARCH($DF304, 球員狀態!$B$2:$B$5000))), 0)), "")</f>
        <v/>
      </c>
      <c r="DT304" s="4" t="str">
        <f t="array" ref="DT304">IFERROR(INDEX(球員狀態!P$2:P$5000, MATCH(1, (球員狀態!$A$2:$A$5000=$DF$1)*(ISNUMBER(SEARCH($DF304, 球員狀態!$B$2:$B$5000))), 0)), "")</f>
        <v/>
      </c>
      <c r="DU304" s="4" t="str">
        <f t="array" ref="DU304">IFERROR(INDEX(球員狀態!Q$2:Q$5000,MATCH(1,(球員狀態!$A$2:$A$5000=$DF$301)*(ISNUMBER(SEARCH($DF304,球員狀態!$B$2:$B$5000))),0)),"")</f>
        <v/>
      </c>
      <c r="DV304" s="4" t="str">
        <f t="array" ref="DV304">IFERROR(INDEX(球員狀態!R$2:R$5000, MATCH(1, (球員狀態!$A$2:$A$5000=$DF$1)*(ISNUMBER(SEARCH($DF304, 球員狀態!$B$2:$B$5000))), 0)), "")</f>
        <v/>
      </c>
      <c r="DW304" s="4" t="str">
        <f t="array" ref="DW304">IFERROR(INDEX(球員狀態!S$2:S$5000, MATCH(1, (球員狀態!$A$2:$A$5000=$DF$1)*(ISNUMBER(SEARCH($DF304, 球員狀態!$B$2:$B$5000))), 0)), "")</f>
        <v/>
      </c>
      <c r="DX304" s="4" t="str">
        <f t="array" ref="DX304">IFERROR(INDEX(球員狀態!T$2:T$5000,MATCH(1,(球員狀態!$A$2:$A$5000=$DF$301)*(ISNUMBER(SEARCH($DF304,球員狀態!$B$2:$B$5000))),0)),"")</f>
        <v/>
      </c>
      <c r="DY304" s="4" t="str">
        <f t="array" ref="DY304">IFERROR(INDEX(球員狀態!U$2:U$5000, MATCH(1, (球員狀態!$A$2:$A$5000=$DF$1)*(ISNUMBER(SEARCH($DF304, 球員狀態!$B$2:$B$5000))), 0)), "")</f>
        <v/>
      </c>
      <c r="DZ304" s="4" t="str">
        <f t="array" ref="DZ304">IFERROR(INDEX(球員狀態!V$2:V$5000, MATCH(1, (球員狀態!$A$2:$A$5000=$DF$1)*(ISNUMBER(SEARCH($DF304, 球員狀態!$B$2:$B$5000))), 0)), "")</f>
        <v/>
      </c>
      <c r="EA304" s="4" t="str">
        <f t="array" ref="EA304">IFERROR(INDEX(球員狀態!W$2:W$5000,MATCH(1,(球員狀態!$A$2:$A$5000=$DF$301)*(ISNUMBER(SEARCH($DF304,球員狀態!$B$2:$B$5000))),0)),"")</f>
        <v/>
      </c>
      <c r="EB304" s="4" t="str">
        <f t="array" ref="EB304">IFERROR(INDEX(球員狀態!X$2:X$5000, MATCH(1, (球員狀態!$A$2:$A$5000=$DF$1)*(ISNUMBER(SEARCH($DF304, 球員狀態!$B$2:$B$5000))), 0)), "")</f>
        <v/>
      </c>
      <c r="EC304" s="4" t="str">
        <f t="array" ref="EC304">IFERROR(INDEX(球員狀態!Y$2:Y$5000, MATCH(1, (球員狀態!$A$2:$A$5000=$DF$1)*(ISNUMBER(SEARCH($DF304, 球員狀態!$B$2:$B$5000))), 0)), "")</f>
        <v/>
      </c>
      <c r="ED304" s="4" t="str">
        <f t="array" ref="ED304">IFERROR(INDEX(球員狀態!Z$2:Z$5000,MATCH(1,(球員狀態!$A$2:$A$5000=$DF$301)*(ISNUMBER(SEARCH($DF304,球員狀態!$B$2:$B$5000))),0)),"")</f>
        <v/>
      </c>
      <c r="EE304" s="4" t="str">
        <f t="array" ref="EE304">IFERROR(INDEX(球員狀態!AA$2:AA$5000,MATCH(1,(球員狀態!$A$2:$A$5000=$DF$301)*(ISNUMBER(SEARCH($DF304,球員狀態!$B$2:$B$5000))),0)),"")</f>
        <v/>
      </c>
      <c r="EF304" s="4" t="str">
        <f t="array" ref="EF304">IFERROR(INDEX(球員狀態!AB$2:AB$5000,MATCH(1,(球員狀態!$A$2:$A$5000=$DF$301)*(ISNUMBER(SEARCH($DF304,球員狀態!$B$2:$B$5000))),0)),"")</f>
        <v/>
      </c>
      <c r="EG304" s="56"/>
      <c r="EI304" s="35" t="str">
        <f>先發名單!P$12</f>
        <v>G. Henderson</v>
      </c>
      <c r="EJ304" s="4" t="str">
        <f t="array" ref="EJ304">IFERROR(INDEX(球員狀態!C$2:C$5000, MATCH(1, (球員狀態!$A$2:$A$5000=$EI$301)*(ISNUMBER(SEARCH($EI304, 球員狀態!$B$2:$B$5000))), 0)), "")</f>
        <v/>
      </c>
      <c r="EM304" s="4" t="str">
        <f t="array" ref="EM304">IFERROR(INDEX(球員狀態!F$2:F$5000, MATCH(1, (球員狀態!$A$2:$A$5000=$EI$301)*(ISNUMBER(SEARCH($EI304, 球員狀態!$B$2:$B$5000))), 0)), "")</f>
        <v/>
      </c>
      <c r="EN304" s="4" t="str">
        <f t="array" ref="EN304">IFERROR(INDEX(球員狀態!G$2:G$5000, MATCH(1, (球員狀態!$A$2:$A$5000=$EI$1)*(ISNUMBER(SEARCH($EI304, 球員狀態!$B$2:$B$5000))), 0)), "")</f>
        <v/>
      </c>
      <c r="EO304" s="4" t="str">
        <f t="array" ref="EO304">IFERROR(INDEX(球員狀態!H$2:H$5000, MATCH(1, (球員狀態!$A$2:$A$5000=$EI$301)*(ISNUMBER(SEARCH($EI304, 球員狀態!$B$2:$B$5000))), 0)), "")</f>
        <v/>
      </c>
      <c r="EP304" s="4" t="str">
        <f t="array" ref="EP304">IFERROR(INDEX(球員狀態!I$2:I$5000, MATCH(1, (球員狀態!$A$2:$A$5000=$EI$301)*(ISNUMBER(SEARCH($EI304, 球員狀態!$B$2:$B$5000))), 0)), "")</f>
        <v/>
      </c>
      <c r="EQ304" s="4" t="str">
        <f t="array" ref="EQ304">IFERROR(INDEX(球員狀態!J$2:J$5000, MATCH(1, (球員狀態!$A$2:$A$5000=$EI$301)*(ISNUMBER(SEARCH($EI304, 球員狀態!$B$2:$B$5000))), 0)), "")</f>
        <v/>
      </c>
      <c r="ER304" s="4" t="str">
        <f t="array" ref="ER304">IFERROR(INDEX(球員狀態!K$2:K$5000, MATCH(1, (球員狀態!$A$2:$A$5000=$EI$301)*(ISNUMBER(SEARCH($EI304, 球員狀態!$B$2:$B$5000))), 0)), "")</f>
        <v/>
      </c>
      <c r="ES304" s="4" t="str">
        <f t="array" ref="ES304">IFERROR(INDEX(球員狀態!L$2:L$5000, MATCH(1, (球員狀態!$A$2:$A$5000=$EI$301)*(ISNUMBER(SEARCH($EI304, 球員狀態!$B$2:$B$5000))), 0)), "")</f>
        <v/>
      </c>
      <c r="ET304" s="4" t="str">
        <f t="array" ref="ET304">IFERROR(INDEX(球員狀態!M$2:M$5000, MATCH(1, (球員狀態!$A$2:$A$5000=$EI$301)*(ISNUMBER(SEARCH($EI304, 球員狀態!$B$2:$B$5000))), 0)), "")</f>
        <v/>
      </c>
      <c r="EU304" s="4" t="str">
        <f t="array" ref="EU304">IFERROR(INDEX(球員狀態!N$2:N$5000, MATCH(1, (球員狀態!$A$2:$A$5000=$EI$301)*(ISNUMBER(SEARCH($EI304, 球員狀態!$B$2:$B$5000))), 0)), "")</f>
        <v/>
      </c>
      <c r="EV304" s="4" t="str">
        <f t="array" ref="EV304">IFERROR(INDEX(球員狀態!O$2:O$5000, MATCH(1, (球員狀態!$A$2:$A$5000=$EI$1)*(ISNUMBER(SEARCH($EI304, 球員狀態!$B$2:$B$5000))), 0)), "")</f>
        <v/>
      </c>
      <c r="EW304" s="4" t="str">
        <f t="array" ref="EW304">IFERROR(INDEX(球員狀態!P$2:P$5000, MATCH(1, (球員狀態!$A$2:$A$5000=$EI$1)*(ISNUMBER(SEARCH($EI304, 球員狀態!$B$2:$B$5000))), 0)), "")</f>
        <v/>
      </c>
      <c r="EX304" s="4" t="str">
        <f t="array" ref="EX304">IFERROR(INDEX(球員狀態!Q$2:Q$5000, MATCH(1, (球員狀態!$A$2:$A$5000=$EI$301)*(ISNUMBER(SEARCH($EI304, 球員狀態!$B$2:$B$5000))), 0)), "")</f>
        <v/>
      </c>
      <c r="EY304" s="4" t="str">
        <f t="array" ref="EY304">IFERROR(INDEX(球員狀態!R$2:R$5000, MATCH(1, (球員狀態!$A$2:$A$5000=$EI$1)*(ISNUMBER(SEARCH($EI304, 球員狀態!$B$2:$B$5000))), 0)), "")</f>
        <v/>
      </c>
      <c r="EZ304" s="4" t="str">
        <f t="array" ref="EZ304">IFERROR(INDEX(球員狀態!S$2:S$5000, MATCH(1, (球員狀態!$A$2:$A$5000=$EI$1)*(ISNUMBER(SEARCH($EI304, 球員狀態!$B$2:$B$5000))), 0)), "")</f>
        <v/>
      </c>
      <c r="FA304" s="4" t="str">
        <f t="array" ref="FA304">IFERROR(INDEX(球員狀態!T$2:T$5000, MATCH(1, (球員狀態!$A$2:$A$5000=$EI$301)*(ISNUMBER(SEARCH($EI304, 球員狀態!$B$2:$B$5000))), 0)), "")</f>
        <v/>
      </c>
      <c r="FB304" s="4" t="str">
        <f t="array" ref="FB304">IFERROR(INDEX(球員狀態!U$2:U$5000, MATCH(1, (球員狀態!$A$2:$A$5000=$EI$1)*(ISNUMBER(SEARCH($EI304, 球員狀態!$B$2:$B$5000))), 0)), "")</f>
        <v/>
      </c>
      <c r="FC304" s="4" t="str">
        <f t="array" ref="FC304">IFERROR(INDEX(球員狀態!V$2:V$5000, MATCH(1, (球員狀態!$A$2:$A$5000=$EI$1)*(ISNUMBER(SEARCH($EI304, 球員狀態!$B$2:$B$5000))), 0)), "")</f>
        <v/>
      </c>
      <c r="FD304" s="4" t="str">
        <f t="array" ref="FD304">IFERROR(INDEX(球員狀態!W$2:W$5000, MATCH(1, (球員狀態!$A$2:$A$5000=$EI$301)*(ISNUMBER(SEARCH($EI304, 球員狀態!$B$2:$B$5000))), 0)), "")</f>
        <v/>
      </c>
      <c r="FE304" s="4" t="str">
        <f t="array" ref="FE304">IFERROR(INDEX(球員狀態!X$2:X$5000, MATCH(1, (球員狀態!$A$2:$A$5000=$EI$1)*(ISNUMBER(SEARCH($EI304, 球員狀態!$B$2:$B$5000))), 0)), "")</f>
        <v/>
      </c>
      <c r="FF304" s="4" t="str">
        <f t="array" ref="FF304">IFERROR(INDEX(球員狀態!Y$2:Y$5000, MATCH(1, (球員狀態!$A$2:$A$5000=$EI$1)*(ISNUMBER(SEARCH($EI304, 球員狀態!$B$2:$B$5000))), 0)), "")</f>
        <v/>
      </c>
      <c r="FG304" s="4" t="str">
        <f t="array" ref="FG304">IFERROR(INDEX(球員狀態!Z$2:Z$5000, MATCH(1, (球員狀態!$A$2:$A$5000=$EI$301)*(ISNUMBER(SEARCH($EI304, 球員狀態!$B$2:$B$5000))), 0)), "")</f>
        <v/>
      </c>
      <c r="FH304" s="4" t="str">
        <f t="array" ref="FH304">IFERROR(INDEX(球員狀態!AA$2:AA$5000, MATCH(1, (球員狀態!$A$2:$A$5000=$EI$301)*(ISNUMBER(SEARCH($EI304, 球員狀態!$B$2:$B$5000))), 0)), "")</f>
        <v/>
      </c>
      <c r="FI304" s="4" t="str">
        <f t="array" ref="FI304">IFERROR(INDEX(球員狀態!AB$2:AB$5000, MATCH(1, (球員狀態!$A$2:$A$5000=$EI$301)*(ISNUMBER(SEARCH($EI304, 球員狀態!$B$2:$B$5000))), 0)), "")</f>
        <v/>
      </c>
    </row>
    <row r="305" spans="110:165">
      <c r="DF305" s="36"/>
      <c r="DG305" s="4"/>
      <c r="DH305" s="40" t="e">
        <f>DJ305+DL305+DM305+DN305+DO305-DP305-DQ305+DR305</f>
        <v>#VALUE!</v>
      </c>
      <c r="DI305" s="42" t="e">
        <f>DU305+DX305+EA305+ED305+EE305+EF305</f>
        <v>#VALUE!</v>
      </c>
      <c r="DJ305" s="38" t="e">
        <f>VLOOKUP(DJ304*1, FK$2:FM$12, 3, TRUE)*FM$1</f>
        <v>#VALUE!</v>
      </c>
      <c r="DL305" s="38" t="e">
        <f>VLOOKUP(DL304*1, FN$2:FP$12, 3, TRUE)*FP$1</f>
        <v>#VALUE!</v>
      </c>
      <c r="DM305" s="38" t="e">
        <f>VLOOKUP(DM304*1, FQ$2:FS$12, 3, TRUE)*FS$1</f>
        <v>#VALUE!</v>
      </c>
      <c r="DN305" s="38" t="e">
        <f>VLOOKUP(DN304*1, FT$2:FV$12, 3, TRUE)*FV$1</f>
        <v>#VALUE!</v>
      </c>
      <c r="DO305" s="38" t="e">
        <f>VLOOKUP(DO304*1, FW$2:FY$12, 3, TRUE)*FY$1</f>
        <v>#VALUE!</v>
      </c>
      <c r="DP305" s="39" t="e">
        <f>VLOOKUP(DP304*1, FK$14:FM$25, 3, TRUE)*FM$14</f>
        <v>#VALUE!</v>
      </c>
      <c r="DQ305" s="39" t="e">
        <f>VLOOKUP(DQ304*1, FN$14:FP$25, 3, TRUE)*FP$14</f>
        <v>#VALUE!</v>
      </c>
      <c r="DR305" s="38" t="e">
        <f>VLOOKUP(DR304*1, FQ$14:FS$25, 3, TRUE)*FS$14</f>
        <v>#VALUE!</v>
      </c>
      <c r="DU305" s="41" t="e">
        <f>VLOOKUP(DU304*1, FK$27:FM$38, 3, TRUE)*FM$27</f>
        <v>#VALUE!</v>
      </c>
      <c r="DX305" s="41" t="e">
        <f>VLOOKUP(DX304*1, FN$27:FP$38, 3, TRUE)*FP$27</f>
        <v>#VALUE!</v>
      </c>
      <c r="EA305" s="41" t="e">
        <f>VLOOKUP(EA304*1, FQ$27:FS$38, 3, TRUE)*FS$27</f>
        <v>#VALUE!</v>
      </c>
      <c r="ED305" s="41" t="e">
        <f>VLOOKUP(ED304*1, FT$27:FV$38, 3, TRUE)*FV$27</f>
        <v>#VALUE!</v>
      </c>
      <c r="EE305" s="41" t="e">
        <f>VLOOKUP(EE304*1, FW$27:FY$38, 3, TRUE)*FY$27</f>
        <v>#VALUE!</v>
      </c>
      <c r="EF305" s="41" t="e">
        <f>VLOOKUP(EF304*1, FK$40:FM$51, 3, TRUE)*FM$40</f>
        <v>#VALUE!</v>
      </c>
      <c r="EG305" s="57"/>
      <c r="EI305" s="36"/>
      <c r="EJ305" s="4"/>
      <c r="EK305" s="40" t="e">
        <f>EM305+EO305+EP305+EQ305+ER305-ES305-ET305+EU305</f>
        <v>#VALUE!</v>
      </c>
      <c r="EL305" s="42" t="e">
        <f>EX305+FA305+FD305+FG305+FH305+FI305</f>
        <v>#VALUE!</v>
      </c>
      <c r="EM305" s="38" t="e">
        <f>VLOOKUP(EM304*1, $FK$2:$FM$12, 3, TRUE)*$FM$1</f>
        <v>#VALUE!</v>
      </c>
      <c r="EO305" s="38" t="e">
        <f>VLOOKUP(EO304*1, $FN$2:$FP$12, 3, TRUE)*$FP$1</f>
        <v>#VALUE!</v>
      </c>
      <c r="EP305" s="38" t="e">
        <f>VLOOKUP(EP304*1, $FQ$2:$FS$12, 3, TRUE)*$FS$1</f>
        <v>#VALUE!</v>
      </c>
      <c r="EQ305" s="38" t="e">
        <f>VLOOKUP(EQ304*1, $FT$2:$FV$12, 3, TRUE)*$FV$1</f>
        <v>#VALUE!</v>
      </c>
      <c r="ER305" s="38" t="e">
        <f>VLOOKUP(ER304*1, $FW$2:$FY$12, 3, TRUE)*$FY$1</f>
        <v>#VALUE!</v>
      </c>
      <c r="ES305" s="39" t="e">
        <f>VLOOKUP(ES304*1, $FK$14:$FM$25, 3, TRUE)*$FM$14</f>
        <v>#VALUE!</v>
      </c>
      <c r="ET305" s="39" t="e">
        <f>VLOOKUP(ET304*1, $FN$14:$FP$25, 3, TRUE)*$FP$14</f>
        <v>#VALUE!</v>
      </c>
      <c r="EU305" s="38" t="e">
        <f>VLOOKUP(EU304*1, $FQ$14:$FS$25, 3, TRUE)*$FS$14</f>
        <v>#VALUE!</v>
      </c>
      <c r="EX305" s="41" t="e">
        <f>VLOOKUP(EX304*1, $FK$27:$FM$38, 3, TRUE)*$FM$27</f>
        <v>#VALUE!</v>
      </c>
      <c r="FA305" s="41" t="e">
        <f>VLOOKUP(FA304*1, $FN$27:$FP$38, 3, TRUE)*$FP$27</f>
        <v>#VALUE!</v>
      </c>
      <c r="FD305" s="41" t="e">
        <f>VLOOKUP(FD304*1, $FQ$27:$FS$38, 3, TRUE)*$FS$27</f>
        <v>#VALUE!</v>
      </c>
      <c r="FG305" s="41" t="e">
        <f>VLOOKUP(FG304*1, $FT$27:$FV$38, 3, TRUE)*$FV$27</f>
        <v>#VALUE!</v>
      </c>
      <c r="FH305" s="41" t="e">
        <f>VLOOKUP(FH304*1, $FW$27:$FY$38, 3, TRUE)*$FY$27</f>
        <v>#VALUE!</v>
      </c>
      <c r="FI305" s="41" t="e">
        <f>VLOOKUP(FI304*1, $FK$40:$FM$51, 3, TRUE)*$FM$40</f>
        <v>#VALUE!</v>
      </c>
    </row>
    <row r="306" spans="110:165">
      <c r="DF306" s="35" t="str">
        <f>先發名單!G$12</f>
        <v>C. Correa</v>
      </c>
      <c r="DG306" s="4" t="str">
        <f t="array" ref="DG306">IFERROR(INDEX(球員狀態!$C$2:$C$5000, MATCH(1, (球員狀態!$A$2:$A$5000=$DF$3011)*(ISNUMBER(SEARCH($DF306, 球員狀態!$B$2:$B$5000))), 0)), "")</f>
        <v/>
      </c>
      <c r="DJ306" s="4" t="str">
        <f t="array" ref="DJ306">IFERROR(INDEX(球員狀態!$F$2:$F$5000,MATCH(1,(球員狀態!$A$2:$A$5000=$DF$301)*(ISNUMBER(SEARCH($DF306,球員狀態!$B$2:$B$5000))),0)),"")</f>
        <v/>
      </c>
      <c r="DK306" s="4" t="str">
        <f t="array" ref="DK306">IFERROR(INDEX(球員狀態!G$2:G$5000, MATCH(1, (球員狀態!$A$2:$A$5000=$DF$1)*(ISNUMBER(SEARCH($DF306, 球員狀態!$B$2:$B$5000))), 0)), "")</f>
        <v/>
      </c>
      <c r="DL306" s="4" t="str">
        <f t="array" ref="DL306">IFERROR(INDEX(球員狀態!H$2:H$5000, MATCH(1, (球員狀態!$A$2:$A$5000=$DF$301)*(ISNUMBER(SEARCH($DF306, 球員狀態!$B$2:$B$5000))), 0)), "")</f>
        <v/>
      </c>
      <c r="DM306" s="4" t="str">
        <f t="array" ref="DM306">IFERROR(INDEX(球員狀態!I$2:I$5000,MATCH(1,(球員狀態!$A$2:$A$5000=$DF$301)*(ISNUMBER(SEARCH($DF306,球員狀態!$B$2:$B$5000))),0)),"")</f>
        <v/>
      </c>
      <c r="DN306" s="4" t="str">
        <f t="array" ref="DN306">IFERROR(INDEX(球員狀態!J$2:J$5000,MATCH(1,(球員狀態!$A$2:$A$5000=$DF$301)*(ISNUMBER(SEARCH($DF306,球員狀態!$B$2:$B$5000))),0)),"")</f>
        <v/>
      </c>
      <c r="DO306" s="4" t="str">
        <f t="array" ref="DO306">IFERROR(INDEX(球員狀態!K$2:K$5000,MATCH(1,(球員狀態!$A$2:$A$5000=$DF$301)*(ISNUMBER(SEARCH($DF306,球員狀態!$B$2:$B$5000))),0)),"")</f>
        <v/>
      </c>
      <c r="DP306" s="4" t="str">
        <f t="array" ref="DP306">IFERROR(INDEX(球員狀態!L$2:L$5000,MATCH(1,(球員狀態!$A$2:$A$5000=$DF$301)*(ISNUMBER(SEARCH($DF306,球員狀態!$B$2:$B$5000))),0)),"")</f>
        <v/>
      </c>
      <c r="DQ306" s="4" t="str">
        <f t="array" ref="DQ306">IFERROR(INDEX(球員狀態!M$2:M$5000,MATCH(1,(球員狀態!$A$2:$A$5000=$DF$301)*(ISNUMBER(SEARCH($DF306,球員狀態!$B$2:$B$5000))),0)),"")</f>
        <v/>
      </c>
      <c r="DR306" s="4" t="str">
        <f t="array" ref="DR306">IFERROR(INDEX(球員狀態!N$2:N$5000,MATCH(1,(球員狀態!$A$2:$A$5000=$DF$301)*(ISNUMBER(SEARCH($DF306,球員狀態!$B$2:$B$5000))),0)),"")</f>
        <v/>
      </c>
      <c r="DS306" s="4" t="str">
        <f t="array" ref="DS306">IFERROR(INDEX(球員狀態!O$2:O$5000, MATCH(1, (球員狀態!$A$2:$A$5000=$DF$1)*(ISNUMBER(SEARCH($DF306, 球員狀態!$B$2:$B$5000))), 0)), "")</f>
        <v/>
      </c>
      <c r="DT306" s="4" t="str">
        <f t="array" ref="DT306">IFERROR(INDEX(球員狀態!P$2:P$5000, MATCH(1, (球員狀態!$A$2:$A$5000=$DF$1)*(ISNUMBER(SEARCH($DF306, 球員狀態!$B$2:$B$5000))), 0)), "")</f>
        <v/>
      </c>
      <c r="DU306" s="4" t="str">
        <f t="array" ref="DU306">IFERROR(INDEX(球員狀態!Q$2:Q$5000,MATCH(1,(球員狀態!$A$2:$A$5000=$DF$301)*(ISNUMBER(SEARCH($DF306,球員狀態!$B$2:$B$5000))),0)),"")</f>
        <v/>
      </c>
      <c r="DV306" s="4" t="str">
        <f t="array" ref="DV306">IFERROR(INDEX(球員狀態!R$2:R$5000, MATCH(1, (球員狀態!$A$2:$A$5000=$DF$1)*(ISNUMBER(SEARCH($DF306, 球員狀態!$B$2:$B$5000))), 0)), "")</f>
        <v/>
      </c>
      <c r="DW306" s="4" t="str">
        <f t="array" ref="DW306">IFERROR(INDEX(球員狀態!S$2:S$5000, MATCH(1, (球員狀態!$A$2:$A$5000=$DF$1)*(ISNUMBER(SEARCH($DF306, 球員狀態!$B$2:$B$5000))), 0)), "")</f>
        <v/>
      </c>
      <c r="DX306" s="4" t="str">
        <f t="array" ref="DX306">IFERROR(INDEX(球員狀態!T$2:T$5000,MATCH(1,(球員狀態!$A$2:$A$5000=$DF$301)*(ISNUMBER(SEARCH($DF306,球員狀態!$B$2:$B$5000))),0)),"")</f>
        <v/>
      </c>
      <c r="DY306" s="4" t="str">
        <f t="array" ref="DY306">IFERROR(INDEX(球員狀態!U$2:U$5000, MATCH(1, (球員狀態!$A$2:$A$5000=$DF$1)*(ISNUMBER(SEARCH($DF306, 球員狀態!$B$2:$B$5000))), 0)), "")</f>
        <v/>
      </c>
      <c r="DZ306" s="4" t="str">
        <f t="array" ref="DZ306">IFERROR(INDEX(球員狀態!V$2:V$5000, MATCH(1, (球員狀態!$A$2:$A$5000=$DF$1)*(ISNUMBER(SEARCH($DF306, 球員狀態!$B$2:$B$5000))), 0)), "")</f>
        <v/>
      </c>
      <c r="EA306" s="4" t="str">
        <f t="array" ref="EA306">IFERROR(INDEX(球員狀態!W$2:W$5000,MATCH(1,(球員狀態!$A$2:$A$5000=$DF$301)*(ISNUMBER(SEARCH($DF306,球員狀態!$B$2:$B$5000))),0)),"")</f>
        <v/>
      </c>
      <c r="EB306" s="4" t="str">
        <f t="array" ref="EB306">IFERROR(INDEX(球員狀態!X$2:X$5000, MATCH(1, (球員狀態!$A$2:$A$5000=$DF$1)*(ISNUMBER(SEARCH($DF306, 球員狀態!$B$2:$B$5000))), 0)), "")</f>
        <v/>
      </c>
      <c r="EC306" s="4" t="str">
        <f t="array" ref="EC306">IFERROR(INDEX(球員狀態!Y$2:Y$5000, MATCH(1, (球員狀態!$A$2:$A$5000=$DF$1)*(ISNUMBER(SEARCH($DF306, 球員狀態!$B$2:$B$5000))), 0)), "")</f>
        <v/>
      </c>
      <c r="ED306" s="4" t="str">
        <f t="array" ref="ED306">IFERROR(INDEX(球員狀態!Z$2:Z$5000,MATCH(1,(球員狀態!$A$2:$A$5000=$DF$301)*(ISNUMBER(SEARCH($DF306,球員狀態!$B$2:$B$5000))),0)),"")</f>
        <v/>
      </c>
      <c r="EE306" s="4" t="str">
        <f t="array" ref="EE306">IFERROR(INDEX(球員狀態!AA$2:AA$5000,MATCH(1,(球員狀態!$A$2:$A$5000=$DF$301)*(ISNUMBER(SEARCH($DF306,球員狀態!$B$2:$B$5000))),0)),"")</f>
        <v/>
      </c>
      <c r="EF306" s="4" t="str">
        <f t="array" ref="EF306">IFERROR(INDEX(球員狀態!AB$2:AB$5000,MATCH(1,(球員狀態!$A$2:$A$5000=$DF$301)*(ISNUMBER(SEARCH($DF306,球員狀態!$B$2:$B$5000))),0)),"")</f>
        <v/>
      </c>
      <c r="EG306" s="56"/>
      <c r="EI306" s="35" t="str">
        <f>先發名單!Q$12</f>
        <v>Taylor Ward</v>
      </c>
      <c r="EJ306" s="4" t="str">
        <f t="array" ref="EJ306">IFERROR(INDEX(球員狀態!C$2:C$5000, MATCH(1, (球員狀態!$A$2:$A$5000=$EI$301)*(ISNUMBER(SEARCH($EI306, 球員狀態!$B$2:$B$5000))), 0)), "")</f>
        <v/>
      </c>
      <c r="EM306" s="4" t="str">
        <f t="array" ref="EM306">IFERROR(INDEX(球員狀態!F$2:F$5000, MATCH(1, (球員狀態!$A$2:$A$5000=$EI$301)*(ISNUMBER(SEARCH($EI306, 球員狀態!$B$2:$B$5000))), 0)), "")</f>
        <v/>
      </c>
      <c r="EN306" s="4" t="str">
        <f t="array" ref="EN306">IFERROR(INDEX(球員狀態!G$2:G$5000, MATCH(1, (球員狀態!$A$2:$A$5000=$EI$1)*(ISNUMBER(SEARCH($EI306, 球員狀態!$B$2:$B$5000))), 0)), "")</f>
        <v/>
      </c>
      <c r="EO306" s="4" t="str">
        <f t="array" ref="EO306">IFERROR(INDEX(球員狀態!H$2:H$5000, MATCH(1, (球員狀態!$A$2:$A$5000=$EI$301)*(ISNUMBER(SEARCH($EI306, 球員狀態!$B$2:$B$5000))), 0)), "")</f>
        <v/>
      </c>
      <c r="EP306" s="4" t="str">
        <f t="array" ref="EP306">IFERROR(INDEX(球員狀態!I$2:I$5000, MATCH(1, (球員狀態!$A$2:$A$5000=$EI$301)*(ISNUMBER(SEARCH($EI306, 球員狀態!$B$2:$B$5000))), 0)), "")</f>
        <v/>
      </c>
      <c r="EQ306" s="4" t="str">
        <f t="array" ref="EQ306">IFERROR(INDEX(球員狀態!J$2:J$5000, MATCH(1, (球員狀態!$A$2:$A$5000=$EI$301)*(ISNUMBER(SEARCH($EI306, 球員狀態!$B$2:$B$5000))), 0)), "")</f>
        <v/>
      </c>
      <c r="ER306" s="4" t="str">
        <f t="array" ref="ER306">IFERROR(INDEX(球員狀態!K$2:K$5000, MATCH(1, (球員狀態!$A$2:$A$5000=$EI$301)*(ISNUMBER(SEARCH($EI306, 球員狀態!$B$2:$B$5000))), 0)), "")</f>
        <v/>
      </c>
      <c r="ES306" s="4" t="str">
        <f t="array" ref="ES306">IFERROR(INDEX(球員狀態!L$2:L$5000, MATCH(1, (球員狀態!$A$2:$A$5000=$EI$301)*(ISNUMBER(SEARCH($EI306, 球員狀態!$B$2:$B$5000))), 0)), "")</f>
        <v/>
      </c>
      <c r="ET306" s="4" t="str">
        <f t="array" ref="ET306">IFERROR(INDEX(球員狀態!M$2:M$5000, MATCH(1, (球員狀態!$A$2:$A$5000=$EI$301)*(ISNUMBER(SEARCH($EI306, 球員狀態!$B$2:$B$5000))), 0)), "")</f>
        <v/>
      </c>
      <c r="EU306" s="4" t="str">
        <f t="array" ref="EU306">IFERROR(INDEX(球員狀態!N$2:N$5000, MATCH(1, (球員狀態!$A$2:$A$5000=$EI$301)*(ISNUMBER(SEARCH($EI306, 球員狀態!$B$2:$B$5000))), 0)), "")</f>
        <v/>
      </c>
      <c r="EV306" s="4" t="str">
        <f t="array" ref="EV306">IFERROR(INDEX(球員狀態!O$2:O$5000, MATCH(1, (球員狀態!$A$2:$A$5000=$EI$1)*(ISNUMBER(SEARCH($EI306, 球員狀態!$B$2:$B$5000))), 0)), "")</f>
        <v/>
      </c>
      <c r="EW306" s="4" t="str">
        <f t="array" ref="EW306">IFERROR(INDEX(球員狀態!P$2:P$5000, MATCH(1, (球員狀態!$A$2:$A$5000=$EI$1)*(ISNUMBER(SEARCH($EI306, 球員狀態!$B$2:$B$5000))), 0)), "")</f>
        <v/>
      </c>
      <c r="EX306" s="4" t="str">
        <f t="array" ref="EX306">IFERROR(INDEX(球員狀態!Q$2:Q$5000, MATCH(1, (球員狀態!$A$2:$A$5000=$EI$301)*(ISNUMBER(SEARCH($EI306, 球員狀態!$B$2:$B$5000))), 0)), "")</f>
        <v/>
      </c>
      <c r="EY306" s="4" t="str">
        <f t="array" ref="EY306">IFERROR(INDEX(球員狀態!R$2:R$5000, MATCH(1, (球員狀態!$A$2:$A$5000=$EI$1)*(ISNUMBER(SEARCH($EI306, 球員狀態!$B$2:$B$5000))), 0)), "")</f>
        <v/>
      </c>
      <c r="EZ306" s="4" t="str">
        <f t="array" ref="EZ306">IFERROR(INDEX(球員狀態!S$2:S$5000, MATCH(1, (球員狀態!$A$2:$A$5000=$EI$1)*(ISNUMBER(SEARCH($EI306, 球員狀態!$B$2:$B$5000))), 0)), "")</f>
        <v/>
      </c>
      <c r="FA306" s="4" t="str">
        <f t="array" ref="FA306">IFERROR(INDEX(球員狀態!T$2:T$5000, MATCH(1, (球員狀態!$A$2:$A$5000=$EI$301)*(ISNUMBER(SEARCH($EI306, 球員狀態!$B$2:$B$5000))), 0)), "")</f>
        <v/>
      </c>
      <c r="FB306" s="4" t="str">
        <f t="array" ref="FB306">IFERROR(INDEX(球員狀態!U$2:U$5000, MATCH(1, (球員狀態!$A$2:$A$5000=$EI$1)*(ISNUMBER(SEARCH($EI306, 球員狀態!$B$2:$B$5000))), 0)), "")</f>
        <v/>
      </c>
      <c r="FC306" s="4" t="str">
        <f t="array" ref="FC306">IFERROR(INDEX(球員狀態!V$2:V$5000, MATCH(1, (球員狀態!$A$2:$A$5000=$EI$1)*(ISNUMBER(SEARCH($EI306, 球員狀態!$B$2:$B$5000))), 0)), "")</f>
        <v/>
      </c>
      <c r="FD306" s="4" t="str">
        <f t="array" ref="FD306">IFERROR(INDEX(球員狀態!W$2:W$5000, MATCH(1, (球員狀態!$A$2:$A$5000=$EI$301)*(ISNUMBER(SEARCH($EI306, 球員狀態!$B$2:$B$5000))), 0)), "")</f>
        <v/>
      </c>
      <c r="FE306" s="4" t="str">
        <f t="array" ref="FE306">IFERROR(INDEX(球員狀態!X$2:X$5000, MATCH(1, (球員狀態!$A$2:$A$5000=$EI$1)*(ISNUMBER(SEARCH($EI306, 球員狀態!$B$2:$B$5000))), 0)), "")</f>
        <v/>
      </c>
      <c r="FF306" s="4" t="str">
        <f t="array" ref="FF306">IFERROR(INDEX(球員狀態!Y$2:Y$5000, MATCH(1, (球員狀態!$A$2:$A$5000=$EI$1)*(ISNUMBER(SEARCH($EI306, 球員狀態!$B$2:$B$5000))), 0)), "")</f>
        <v/>
      </c>
      <c r="FG306" s="4" t="str">
        <f t="array" ref="FG306">IFERROR(INDEX(球員狀態!Z$2:Z$5000, MATCH(1, (球員狀態!$A$2:$A$5000=$EI$301)*(ISNUMBER(SEARCH($EI306, 球員狀態!$B$2:$B$5000))), 0)), "")</f>
        <v/>
      </c>
      <c r="FH306" s="4" t="str">
        <f t="array" ref="FH306">IFERROR(INDEX(球員狀態!AA$2:AA$5000, MATCH(1, (球員狀態!$A$2:$A$5000=$EI$301)*(ISNUMBER(SEARCH($EI306, 球員狀態!$B$2:$B$5000))), 0)), "")</f>
        <v/>
      </c>
      <c r="FI306" s="4" t="str">
        <f t="array" ref="FI306">IFERROR(INDEX(球員狀態!AB$2:AB$5000, MATCH(1, (球員狀態!$A$2:$A$5000=$EI$301)*(ISNUMBER(SEARCH($EI306, 球員狀態!$B$2:$B$5000))), 0)), "")</f>
        <v/>
      </c>
    </row>
    <row r="307" spans="110:165">
      <c r="DF307" s="33"/>
      <c r="DG307" s="4"/>
      <c r="DH307" s="40" t="e">
        <f>DJ307+DL307+DM307+DN307+DO307-DP307-DQ307+DR307</f>
        <v>#VALUE!</v>
      </c>
      <c r="DI307" s="42" t="e">
        <f>DU307+DX307+EA307+ED307+EE307+EF307</f>
        <v>#VALUE!</v>
      </c>
      <c r="DJ307" s="38" t="e">
        <f>VLOOKUP(DJ306*1, FK$2:FM$12, 3, TRUE)*FM$1</f>
        <v>#VALUE!</v>
      </c>
      <c r="DL307" s="38" t="e">
        <f>VLOOKUP(DL306*1, FN$2:FP$12, 3, TRUE)*FP$1</f>
        <v>#VALUE!</v>
      </c>
      <c r="DM307" s="38" t="e">
        <f>VLOOKUP(DM306*1, FQ$2:FS$12, 3, TRUE)*FS$1</f>
        <v>#VALUE!</v>
      </c>
      <c r="DN307" s="38" t="e">
        <f>VLOOKUP(DN306*1, FT$2:FV$12, 3, TRUE)*FV$1</f>
        <v>#VALUE!</v>
      </c>
      <c r="DO307" s="38" t="e">
        <f>VLOOKUP(DO306*1, FW$2:FY$12, 3, TRUE)*FY$1</f>
        <v>#VALUE!</v>
      </c>
      <c r="DP307" s="39" t="e">
        <f>VLOOKUP(DP306*1, FK$14:FM$25, 3, TRUE)*FM$14</f>
        <v>#VALUE!</v>
      </c>
      <c r="DQ307" s="39" t="e">
        <f>VLOOKUP(DQ306*1, FN$14:FP$25, 3, TRUE)*FP$14</f>
        <v>#VALUE!</v>
      </c>
      <c r="DR307" s="38" t="e">
        <f>VLOOKUP(DR306*1, FQ$14:FS$25, 3, TRUE)*FS$14</f>
        <v>#VALUE!</v>
      </c>
      <c r="DU307" s="41" t="e">
        <f>VLOOKUP(DU306*1, FK$27:FM$38, 3, TRUE)*FM$27</f>
        <v>#VALUE!</v>
      </c>
      <c r="DX307" s="41" t="e">
        <f>VLOOKUP(DX306*1, FN$27:FP$38, 3, TRUE)*FP$27</f>
        <v>#VALUE!</v>
      </c>
      <c r="EA307" s="41" t="e">
        <f>VLOOKUP(EA306*1, FQ$27:FS$38, 3, TRUE)*FS$27</f>
        <v>#VALUE!</v>
      </c>
      <c r="ED307" s="41" t="e">
        <f>VLOOKUP(ED306*1, FT$27:FV$38, 3, TRUE)*FV$27</f>
        <v>#VALUE!</v>
      </c>
      <c r="EE307" s="41" t="e">
        <f>VLOOKUP(EE306*1, FW$27:FY$38, 3, TRUE)*FY$27</f>
        <v>#VALUE!</v>
      </c>
      <c r="EF307" s="41" t="e">
        <f>VLOOKUP(EF306*1, FK$40:FM$51, 3, TRUE)*FM$40</f>
        <v>#VALUE!</v>
      </c>
      <c r="EG307" s="57"/>
      <c r="EI307" s="33"/>
      <c r="EJ307" s="4"/>
      <c r="EK307" s="40" t="e">
        <f>EM307+EO307+EP307+EQ307+ER307-ES307-ET307+EU307</f>
        <v>#VALUE!</v>
      </c>
      <c r="EL307" s="42" t="e">
        <f>EX307+FA307+FD307+FG307+FH307+FI307</f>
        <v>#VALUE!</v>
      </c>
      <c r="EM307" s="38" t="e">
        <f>VLOOKUP(EM306*1, $FK$2:$FM$12, 3, TRUE)*$FM$1</f>
        <v>#VALUE!</v>
      </c>
      <c r="EO307" s="38" t="e">
        <f>VLOOKUP(EO306*1, $FN$2:$FP$12, 3, TRUE)*$FP$1</f>
        <v>#VALUE!</v>
      </c>
      <c r="EP307" s="38" t="e">
        <f>VLOOKUP(EP306*1, $FQ$2:$FS$12, 3, TRUE)*$FS$1</f>
        <v>#VALUE!</v>
      </c>
      <c r="EQ307" s="38" t="e">
        <f>VLOOKUP(EQ306*1, $FT$2:$FV$12, 3, TRUE)*$FV$1</f>
        <v>#VALUE!</v>
      </c>
      <c r="ER307" s="38" t="e">
        <f>VLOOKUP(ER306*1, $FW$2:$FY$12, 3, TRUE)*$FY$1</f>
        <v>#VALUE!</v>
      </c>
      <c r="ES307" s="39" t="e">
        <f>VLOOKUP(ES306*1, $FK$14:$FM$25, 3, TRUE)*$FM$14</f>
        <v>#VALUE!</v>
      </c>
      <c r="ET307" s="39" t="e">
        <f>VLOOKUP(ET306*1, $FN$14:$FP$25, 3, TRUE)*$FP$14</f>
        <v>#VALUE!</v>
      </c>
      <c r="EU307" s="38" t="e">
        <f>VLOOKUP(EU306*1, $FQ$14:$FS$25, 3, TRUE)*$FS$14</f>
        <v>#VALUE!</v>
      </c>
      <c r="EX307" s="41" t="e">
        <f>VLOOKUP(EX306*1, $FK$27:$FM$38, 3, TRUE)*$FM$27</f>
        <v>#VALUE!</v>
      </c>
      <c r="FA307" s="41" t="e">
        <f>VLOOKUP(FA306*1, $FN$27:$FP$38, 3, TRUE)*$FP$27</f>
        <v>#VALUE!</v>
      </c>
      <c r="FD307" s="41" t="e">
        <f>VLOOKUP(FD306*1, $FQ$27:$FS$38, 3, TRUE)*$FS$27</f>
        <v>#VALUE!</v>
      </c>
      <c r="FG307" s="41" t="e">
        <f>VLOOKUP(FG306*1, $FT$27:$FV$38, 3, TRUE)*$FV$27</f>
        <v>#VALUE!</v>
      </c>
      <c r="FH307" s="41" t="e">
        <f>VLOOKUP(FH306*1, $FW$27:$FY$38, 3, TRUE)*$FY$27</f>
        <v>#VALUE!</v>
      </c>
      <c r="FI307" s="41" t="e">
        <f>VLOOKUP(FI306*1, $FK$40:$FM$51, 3, TRUE)*$FM$40</f>
        <v>#VALUE!</v>
      </c>
    </row>
    <row r="308" spans="110:165">
      <c r="DF308" s="35" t="str">
        <f>先發名單!H$12</f>
        <v>Y. Alvarez</v>
      </c>
      <c r="DG308" s="4" t="str">
        <f t="array" ref="DG308">IFERROR(INDEX(球員狀態!$C$2:$C$5000, MATCH(1, (球員狀態!$A$2:$A$5000=$DF$3011)*(ISNUMBER(SEARCH($DF308, 球員狀態!$B$2:$B$5000))), 0)), "")</f>
        <v/>
      </c>
      <c r="DJ308" s="4" t="str">
        <f t="array" ref="DJ308">IFERROR(INDEX(球員狀態!$F$2:$F$5000,MATCH(1,(球員狀態!$A$2:$A$5000=$DF$301)*(ISNUMBER(SEARCH($DF308,球員狀態!$B$2:$B$5000))),0)),"")</f>
        <v/>
      </c>
      <c r="DK308" s="4" t="str">
        <f t="array" ref="DK308">IFERROR(INDEX(球員狀態!G$2:G$5000, MATCH(1, (球員狀態!$A$2:$A$5000=$DF$1)*(ISNUMBER(SEARCH($DF308, 球員狀態!$B$2:$B$5000))), 0)), "")</f>
        <v/>
      </c>
      <c r="DL308" s="4" t="str">
        <f t="array" ref="DL308">IFERROR(INDEX(球員狀態!H$2:H$5000, MATCH(1, (球員狀態!$A$2:$A$5000=$DF$301)*(ISNUMBER(SEARCH($DF308, 球員狀態!$B$2:$B$5000))), 0)), "")</f>
        <v/>
      </c>
      <c r="DM308" s="4" t="str">
        <f t="array" ref="DM308">IFERROR(INDEX(球員狀態!I$2:I$5000,MATCH(1,(球員狀態!$A$2:$A$5000=$DF$301)*(ISNUMBER(SEARCH($DF308,球員狀態!$B$2:$B$5000))),0)),"")</f>
        <v/>
      </c>
      <c r="DN308" s="4" t="str">
        <f t="array" ref="DN308">IFERROR(INDEX(球員狀態!J$2:J$5000,MATCH(1,(球員狀態!$A$2:$A$5000=$DF$301)*(ISNUMBER(SEARCH($DF308,球員狀態!$B$2:$B$5000))),0)),"")</f>
        <v/>
      </c>
      <c r="DO308" s="4" t="str">
        <f t="array" ref="DO308">IFERROR(INDEX(球員狀態!K$2:K$5000,MATCH(1,(球員狀態!$A$2:$A$5000=$DF$301)*(ISNUMBER(SEARCH($DF308,球員狀態!$B$2:$B$5000))),0)),"")</f>
        <v/>
      </c>
      <c r="DP308" s="4" t="str">
        <f t="array" ref="DP308">IFERROR(INDEX(球員狀態!L$2:L$5000,MATCH(1,(球員狀態!$A$2:$A$5000=$DF$301)*(ISNUMBER(SEARCH($DF308,球員狀態!$B$2:$B$5000))),0)),"")</f>
        <v/>
      </c>
      <c r="DQ308" s="4" t="str">
        <f t="array" ref="DQ308">IFERROR(INDEX(球員狀態!M$2:M$5000,MATCH(1,(球員狀態!$A$2:$A$5000=$DF$301)*(ISNUMBER(SEARCH($DF308,球員狀態!$B$2:$B$5000))),0)),"")</f>
        <v/>
      </c>
      <c r="DR308" s="4" t="str">
        <f t="array" ref="DR308">IFERROR(INDEX(球員狀態!N$2:N$5000,MATCH(1,(球員狀態!$A$2:$A$5000=$DF$301)*(ISNUMBER(SEARCH($DF308,球員狀態!$B$2:$B$5000))),0)),"")</f>
        <v/>
      </c>
      <c r="DS308" s="4" t="str">
        <f t="array" ref="DS308">IFERROR(INDEX(球員狀態!O$2:O$5000, MATCH(1, (球員狀態!$A$2:$A$5000=$DF$1)*(ISNUMBER(SEARCH($DF308, 球員狀態!$B$2:$B$5000))), 0)), "")</f>
        <v/>
      </c>
      <c r="DT308" s="4" t="str">
        <f t="array" ref="DT308">IFERROR(INDEX(球員狀態!P$2:P$5000, MATCH(1, (球員狀態!$A$2:$A$5000=$DF$1)*(ISNUMBER(SEARCH($DF308, 球員狀態!$B$2:$B$5000))), 0)), "")</f>
        <v/>
      </c>
      <c r="DU308" s="4" t="str">
        <f t="array" ref="DU308">IFERROR(INDEX(球員狀態!Q$2:Q$5000,MATCH(1,(球員狀態!$A$2:$A$5000=$DF$301)*(ISNUMBER(SEARCH($DF308,球員狀態!$B$2:$B$5000))),0)),"")</f>
        <v/>
      </c>
      <c r="DV308" s="4" t="str">
        <f t="array" ref="DV308">IFERROR(INDEX(球員狀態!R$2:R$5000, MATCH(1, (球員狀態!$A$2:$A$5000=$DF$1)*(ISNUMBER(SEARCH($DF308, 球員狀態!$B$2:$B$5000))), 0)), "")</f>
        <v/>
      </c>
      <c r="DW308" s="4" t="str">
        <f t="array" ref="DW308">IFERROR(INDEX(球員狀態!S$2:S$5000, MATCH(1, (球員狀態!$A$2:$A$5000=$DF$1)*(ISNUMBER(SEARCH($DF308, 球員狀態!$B$2:$B$5000))), 0)), "")</f>
        <v/>
      </c>
      <c r="DX308" s="4" t="str">
        <f t="array" ref="DX308">IFERROR(INDEX(球員狀態!T$2:T$5000,MATCH(1,(球員狀態!$A$2:$A$5000=$DF$301)*(ISNUMBER(SEARCH($DF308,球員狀態!$B$2:$B$5000))),0)),"")</f>
        <v/>
      </c>
      <c r="DY308" s="4" t="str">
        <f t="array" ref="DY308">IFERROR(INDEX(球員狀態!U$2:U$5000, MATCH(1, (球員狀態!$A$2:$A$5000=$DF$1)*(ISNUMBER(SEARCH($DF308, 球員狀態!$B$2:$B$5000))), 0)), "")</f>
        <v/>
      </c>
      <c r="DZ308" s="4" t="str">
        <f t="array" ref="DZ308">IFERROR(INDEX(球員狀態!V$2:V$5000, MATCH(1, (球員狀態!$A$2:$A$5000=$DF$1)*(ISNUMBER(SEARCH($DF308, 球員狀態!$B$2:$B$5000))), 0)), "")</f>
        <v/>
      </c>
      <c r="EA308" s="4" t="str">
        <f t="array" ref="EA308">IFERROR(INDEX(球員狀態!W$2:W$5000,MATCH(1,(球員狀態!$A$2:$A$5000=$DF$301)*(ISNUMBER(SEARCH($DF308,球員狀態!$B$2:$B$5000))),0)),"")</f>
        <v/>
      </c>
      <c r="EB308" s="4" t="str">
        <f t="array" ref="EB308">IFERROR(INDEX(球員狀態!X$2:X$5000, MATCH(1, (球員狀態!$A$2:$A$5000=$DF$1)*(ISNUMBER(SEARCH($DF308, 球員狀態!$B$2:$B$5000))), 0)), "")</f>
        <v/>
      </c>
      <c r="EC308" s="4" t="str">
        <f t="array" ref="EC308">IFERROR(INDEX(球員狀態!Y$2:Y$5000, MATCH(1, (球員狀態!$A$2:$A$5000=$DF$1)*(ISNUMBER(SEARCH($DF308, 球員狀態!$B$2:$B$5000))), 0)), "")</f>
        <v/>
      </c>
      <c r="ED308" s="4" t="str">
        <f t="array" ref="ED308">IFERROR(INDEX(球員狀態!Z$2:Z$5000,MATCH(1,(球員狀態!$A$2:$A$5000=$DF$301)*(ISNUMBER(SEARCH($DF308,球員狀態!$B$2:$B$5000))),0)),"")</f>
        <v/>
      </c>
      <c r="EE308" s="4" t="str">
        <f t="array" ref="EE308">IFERROR(INDEX(球員狀態!AA$2:AA$5000,MATCH(1,(球員狀態!$A$2:$A$5000=$DF$301)*(ISNUMBER(SEARCH($DF308,球員狀態!$B$2:$B$5000))),0)),"")</f>
        <v/>
      </c>
      <c r="EF308" s="4" t="str">
        <f t="array" ref="EF308">IFERROR(INDEX(球員狀態!AB$2:AB$5000,MATCH(1,(球員狀態!$A$2:$A$5000=$DF$301)*(ISNUMBER(SEARCH($DF308,球員狀態!$B$2:$B$5000))),0)),"")</f>
        <v/>
      </c>
      <c r="EG308" s="56"/>
      <c r="EI308" s="35" t="str">
        <f>先發名單!R$12</f>
        <v>A. Rutschman</v>
      </c>
      <c r="EJ308" s="4" t="str">
        <f t="array" ref="EJ308">IFERROR(INDEX(球員狀態!C$2:C$5000, MATCH(1, (球員狀態!$A$2:$A$5000=$EI$301)*(ISNUMBER(SEARCH($EI308, 球員狀態!$B$2:$B$5000))), 0)), "")</f>
        <v/>
      </c>
      <c r="EM308" s="4" t="str">
        <f t="array" ref="EM308">IFERROR(INDEX(球員狀態!F$2:F$5000, MATCH(1, (球員狀態!$A$2:$A$5000=$EI$301)*(ISNUMBER(SEARCH($EI308, 球員狀態!$B$2:$B$5000))), 0)), "")</f>
        <v/>
      </c>
      <c r="EN308" s="4" t="str">
        <f t="array" ref="EN308">IFERROR(INDEX(球員狀態!G$2:G$5000, MATCH(1, (球員狀態!$A$2:$A$5000=$EI$1)*(ISNUMBER(SEARCH($EI308, 球員狀態!$B$2:$B$5000))), 0)), "")</f>
        <v/>
      </c>
      <c r="EO308" s="4" t="str">
        <f t="array" ref="EO308">IFERROR(INDEX(球員狀態!H$2:H$5000, MATCH(1, (球員狀態!$A$2:$A$5000=$EI$301)*(ISNUMBER(SEARCH($EI308, 球員狀態!$B$2:$B$5000))), 0)), "")</f>
        <v/>
      </c>
      <c r="EP308" s="4" t="str">
        <f t="array" ref="EP308">IFERROR(INDEX(球員狀態!I$2:I$5000, MATCH(1, (球員狀態!$A$2:$A$5000=$EI$301)*(ISNUMBER(SEARCH($EI308, 球員狀態!$B$2:$B$5000))), 0)), "")</f>
        <v/>
      </c>
      <c r="EQ308" s="4" t="str">
        <f t="array" ref="EQ308">IFERROR(INDEX(球員狀態!J$2:J$5000, MATCH(1, (球員狀態!$A$2:$A$5000=$EI$301)*(ISNUMBER(SEARCH($EI308, 球員狀態!$B$2:$B$5000))), 0)), "")</f>
        <v/>
      </c>
      <c r="ER308" s="4" t="str">
        <f t="array" ref="ER308">IFERROR(INDEX(球員狀態!K$2:K$5000, MATCH(1, (球員狀態!$A$2:$A$5000=$EI$301)*(ISNUMBER(SEARCH($EI308, 球員狀態!$B$2:$B$5000))), 0)), "")</f>
        <v/>
      </c>
      <c r="ES308" s="4" t="str">
        <f t="array" ref="ES308">IFERROR(INDEX(球員狀態!L$2:L$5000, MATCH(1, (球員狀態!$A$2:$A$5000=$EI$301)*(ISNUMBER(SEARCH($EI308, 球員狀態!$B$2:$B$5000))), 0)), "")</f>
        <v/>
      </c>
      <c r="ET308" s="4" t="str">
        <f t="array" ref="ET308">IFERROR(INDEX(球員狀態!M$2:M$5000, MATCH(1, (球員狀態!$A$2:$A$5000=$EI$301)*(ISNUMBER(SEARCH($EI308, 球員狀態!$B$2:$B$5000))), 0)), "")</f>
        <v/>
      </c>
      <c r="EU308" s="4" t="str">
        <f t="array" ref="EU308">IFERROR(INDEX(球員狀態!N$2:N$5000, MATCH(1, (球員狀態!$A$2:$A$5000=$EI$301)*(ISNUMBER(SEARCH($EI308, 球員狀態!$B$2:$B$5000))), 0)), "")</f>
        <v/>
      </c>
      <c r="EV308" s="4" t="str">
        <f t="array" ref="EV308">IFERROR(INDEX(球員狀態!O$2:O$5000, MATCH(1, (球員狀態!$A$2:$A$5000=$EI$1)*(ISNUMBER(SEARCH($EI308, 球員狀態!$B$2:$B$5000))), 0)), "")</f>
        <v/>
      </c>
      <c r="EW308" s="4" t="str">
        <f t="array" ref="EW308">IFERROR(INDEX(球員狀態!P$2:P$5000, MATCH(1, (球員狀態!$A$2:$A$5000=$EI$1)*(ISNUMBER(SEARCH($EI308, 球員狀態!$B$2:$B$5000))), 0)), "")</f>
        <v/>
      </c>
      <c r="EX308" s="4" t="str">
        <f t="array" ref="EX308">IFERROR(INDEX(球員狀態!Q$2:Q$5000, MATCH(1, (球員狀態!$A$2:$A$5000=$EI$301)*(ISNUMBER(SEARCH($EI308, 球員狀態!$B$2:$B$5000))), 0)), "")</f>
        <v/>
      </c>
      <c r="EY308" s="4" t="str">
        <f t="array" ref="EY308">IFERROR(INDEX(球員狀態!R$2:R$5000, MATCH(1, (球員狀態!$A$2:$A$5000=$EI$1)*(ISNUMBER(SEARCH($EI308, 球員狀態!$B$2:$B$5000))), 0)), "")</f>
        <v/>
      </c>
      <c r="EZ308" s="4" t="str">
        <f t="array" ref="EZ308">IFERROR(INDEX(球員狀態!S$2:S$5000, MATCH(1, (球員狀態!$A$2:$A$5000=$EI$1)*(ISNUMBER(SEARCH($EI308, 球員狀態!$B$2:$B$5000))), 0)), "")</f>
        <v/>
      </c>
      <c r="FA308" s="4" t="str">
        <f t="array" ref="FA308">IFERROR(INDEX(球員狀態!T$2:T$5000, MATCH(1, (球員狀態!$A$2:$A$5000=$EI$301)*(ISNUMBER(SEARCH($EI308, 球員狀態!$B$2:$B$5000))), 0)), "")</f>
        <v/>
      </c>
      <c r="FB308" s="4" t="str">
        <f t="array" ref="FB308">IFERROR(INDEX(球員狀態!U$2:U$5000, MATCH(1, (球員狀態!$A$2:$A$5000=$EI$1)*(ISNUMBER(SEARCH($EI308, 球員狀態!$B$2:$B$5000))), 0)), "")</f>
        <v/>
      </c>
      <c r="FC308" s="4" t="str">
        <f t="array" ref="FC308">IFERROR(INDEX(球員狀態!V$2:V$5000, MATCH(1, (球員狀態!$A$2:$A$5000=$EI$1)*(ISNUMBER(SEARCH($EI308, 球員狀態!$B$2:$B$5000))), 0)), "")</f>
        <v/>
      </c>
      <c r="FD308" s="4" t="str">
        <f t="array" ref="FD308">IFERROR(INDEX(球員狀態!W$2:W$5000, MATCH(1, (球員狀態!$A$2:$A$5000=$EI$301)*(ISNUMBER(SEARCH($EI308, 球員狀態!$B$2:$B$5000))), 0)), "")</f>
        <v/>
      </c>
      <c r="FE308" s="4" t="str">
        <f t="array" ref="FE308">IFERROR(INDEX(球員狀態!X$2:X$5000, MATCH(1, (球員狀態!$A$2:$A$5000=$EI$1)*(ISNUMBER(SEARCH($EI308, 球員狀態!$B$2:$B$5000))), 0)), "")</f>
        <v/>
      </c>
      <c r="FF308" s="4" t="str">
        <f t="array" ref="FF308">IFERROR(INDEX(球員狀態!Y$2:Y$5000, MATCH(1, (球員狀態!$A$2:$A$5000=$EI$1)*(ISNUMBER(SEARCH($EI308, 球員狀態!$B$2:$B$5000))), 0)), "")</f>
        <v/>
      </c>
      <c r="FG308" s="4" t="str">
        <f t="array" ref="FG308">IFERROR(INDEX(球員狀態!Z$2:Z$5000, MATCH(1, (球員狀態!$A$2:$A$5000=$EI$301)*(ISNUMBER(SEARCH($EI308, 球員狀態!$B$2:$B$5000))), 0)), "")</f>
        <v/>
      </c>
      <c r="FH308" s="4" t="str">
        <f t="array" ref="FH308">IFERROR(INDEX(球員狀態!AA$2:AA$5000, MATCH(1, (球員狀態!$A$2:$A$5000=$EI$301)*(ISNUMBER(SEARCH($EI308, 球員狀態!$B$2:$B$5000))), 0)), "")</f>
        <v/>
      </c>
      <c r="FI308" s="4" t="str">
        <f t="array" ref="FI308">IFERROR(INDEX(球員狀態!AB$2:AB$5000, MATCH(1, (球員狀態!$A$2:$A$5000=$EI$301)*(ISNUMBER(SEARCH($EI308, 球員狀態!$B$2:$B$5000))), 0)), "")</f>
        <v/>
      </c>
    </row>
    <row r="309" spans="110:165">
      <c r="DF309" s="33"/>
      <c r="DG309" s="4"/>
      <c r="DH309" s="40" t="e">
        <f>DJ309+DL309+DM309+DN309+DO309-DP309-DQ309+DR309</f>
        <v>#VALUE!</v>
      </c>
      <c r="DI309" s="42" t="e">
        <f>DU309+DX309+EA309+ED309+EE309+EF309</f>
        <v>#VALUE!</v>
      </c>
      <c r="DJ309" s="38" t="e">
        <f>VLOOKUP(DJ308*1, FK$2:FM$12, 3, TRUE)*FM$1</f>
        <v>#VALUE!</v>
      </c>
      <c r="DL309" s="38" t="e">
        <f>VLOOKUP(DL308*1, FN$2:FP$12, 3, TRUE)*FP$1</f>
        <v>#VALUE!</v>
      </c>
      <c r="DM309" s="38" t="e">
        <f>VLOOKUP(DM308*1, FQ$2:FS$12, 3, TRUE)*FS$1</f>
        <v>#VALUE!</v>
      </c>
      <c r="DN309" s="38" t="e">
        <f>VLOOKUP(DN308*1, FT$2:FV$12, 3, TRUE)*FV$1</f>
        <v>#VALUE!</v>
      </c>
      <c r="DO309" s="38" t="e">
        <f>VLOOKUP(DO308*1, FW$2:FY$12, 3, TRUE)*FY$1</f>
        <v>#VALUE!</v>
      </c>
      <c r="DP309" s="39" t="e">
        <f>VLOOKUP(DP308*1, FK$14:FM$25, 3, TRUE)*FM$14</f>
        <v>#VALUE!</v>
      </c>
      <c r="DQ309" s="39" t="e">
        <f>VLOOKUP(DQ308*1, FN$14:FP$25, 3, TRUE)*FP$14</f>
        <v>#VALUE!</v>
      </c>
      <c r="DR309" s="38" t="e">
        <f>VLOOKUP(DR308*1, FQ$14:FS$25, 3, TRUE)*FS$14</f>
        <v>#VALUE!</v>
      </c>
      <c r="DU309" s="41" t="e">
        <f>VLOOKUP(DU308*1, FK$27:FM$38, 3, TRUE)*FM$27</f>
        <v>#VALUE!</v>
      </c>
      <c r="DX309" s="41" t="e">
        <f>VLOOKUP(DX308*1, FN$27:FP$38, 3, TRUE)*FP$27</f>
        <v>#VALUE!</v>
      </c>
      <c r="EA309" s="41" t="e">
        <f>VLOOKUP(EA308*1, FQ$27:FS$38, 3, TRUE)*FS$27</f>
        <v>#VALUE!</v>
      </c>
      <c r="ED309" s="41" t="e">
        <f>VLOOKUP(ED308*1, FT$27:FV$38, 3, TRUE)*FV$27</f>
        <v>#VALUE!</v>
      </c>
      <c r="EE309" s="41" t="e">
        <f>VLOOKUP(EE308*1, FW$27:FY$38, 3, TRUE)*FY$27</f>
        <v>#VALUE!</v>
      </c>
      <c r="EF309" s="41" t="e">
        <f>VLOOKUP(EF308*1, FK$40:FM$51, 3, TRUE)*FM$40</f>
        <v>#VALUE!</v>
      </c>
      <c r="EG309" s="57"/>
      <c r="EI309" s="33"/>
      <c r="EJ309" s="4"/>
      <c r="EK309" s="40" t="e">
        <f>EM309+EO309+EP309+EQ309+ER309-ES309-ET309+EU309</f>
        <v>#VALUE!</v>
      </c>
      <c r="EL309" s="42" t="e">
        <f>EX309+FA309+FD309+FG309+FH309+FI309</f>
        <v>#VALUE!</v>
      </c>
      <c r="EM309" s="38" t="e">
        <f>VLOOKUP(EM308*1, $FK$2:$FM$12, 3, TRUE)*$FM$1</f>
        <v>#VALUE!</v>
      </c>
      <c r="EO309" s="38" t="e">
        <f>VLOOKUP(EO308*1, $FN$2:$FP$12, 3, TRUE)*$FP$1</f>
        <v>#VALUE!</v>
      </c>
      <c r="EP309" s="38" t="e">
        <f>VLOOKUP(EP308*1, $FQ$2:$FS$12, 3, TRUE)*$FS$1</f>
        <v>#VALUE!</v>
      </c>
      <c r="EQ309" s="38" t="e">
        <f>VLOOKUP(EQ308*1, $FT$2:$FV$12, 3, TRUE)*$FV$1</f>
        <v>#VALUE!</v>
      </c>
      <c r="ER309" s="38" t="e">
        <f>VLOOKUP(ER308*1, $FW$2:$FY$12, 3, TRUE)*$FY$1</f>
        <v>#VALUE!</v>
      </c>
      <c r="ES309" s="39" t="e">
        <f>VLOOKUP(ES308*1, $FK$14:$FM$25, 3, TRUE)*$FM$14</f>
        <v>#VALUE!</v>
      </c>
      <c r="ET309" s="39" t="e">
        <f>VLOOKUP(ET308*1, $FN$14:$FP$25, 3, TRUE)*$FP$14</f>
        <v>#VALUE!</v>
      </c>
      <c r="EU309" s="38" t="e">
        <f>VLOOKUP(EU308*1, $FQ$14:$FS$25, 3, TRUE)*$FS$14</f>
        <v>#VALUE!</v>
      </c>
      <c r="EX309" s="41" t="e">
        <f>VLOOKUP(EX308*1, $FK$27:$FM$38, 3, TRUE)*$FM$27</f>
        <v>#VALUE!</v>
      </c>
      <c r="FA309" s="41" t="e">
        <f>VLOOKUP(FA308*1, $FN$27:$FP$38, 3, TRUE)*$FP$27</f>
        <v>#VALUE!</v>
      </c>
      <c r="FD309" s="41" t="e">
        <f>VLOOKUP(FD308*1, $FQ$27:$FS$38, 3, TRUE)*$FS$27</f>
        <v>#VALUE!</v>
      </c>
      <c r="FG309" s="41" t="e">
        <f>VLOOKUP(FG308*1, $FT$27:$FV$38, 3, TRUE)*$FV$27</f>
        <v>#VALUE!</v>
      </c>
      <c r="FH309" s="41" t="e">
        <f>VLOOKUP(FH308*1, $FW$27:$FY$38, 3, TRUE)*$FY$27</f>
        <v>#VALUE!</v>
      </c>
      <c r="FI309" s="41" t="e">
        <f>VLOOKUP(FI308*1, $FK$40:$FM$51, 3, TRUE)*$FM$40</f>
        <v>#VALUE!</v>
      </c>
    </row>
    <row r="310" spans="110:165">
      <c r="DF310" s="35" t="str">
        <f>先發名單!I$12</f>
        <v>Jose Altuve</v>
      </c>
      <c r="DG310" s="4" t="str">
        <f t="array" ref="DG310">IFERROR(INDEX(球員狀態!$C$2:$C$5000, MATCH(1, (球員狀態!$A$2:$A$5000=$DF$3011)*(ISNUMBER(SEARCH($DF310, 球員狀態!$B$2:$B$5000))), 0)), "")</f>
        <v/>
      </c>
      <c r="DJ310" s="4" t="str">
        <f t="array" ref="DJ310">IFERROR(INDEX(球員狀態!$F$2:$F$5000,MATCH(1,(球員狀態!$A$2:$A$5000=$DF$301)*(ISNUMBER(SEARCH($DF310,球員狀態!$B$2:$B$5000))),0)),"")</f>
        <v/>
      </c>
      <c r="DK310" s="4" t="str">
        <f t="array" ref="DK310">IFERROR(INDEX(球員狀態!G$2:G$5000, MATCH(1, (球員狀態!$A$2:$A$5000=$DF$1)*(ISNUMBER(SEARCH($DF310, 球員狀態!$B$2:$B$5000))), 0)), "")</f>
        <v/>
      </c>
      <c r="DL310" s="4" t="str">
        <f t="array" ref="DL310">IFERROR(INDEX(球員狀態!H$2:H$5000, MATCH(1, (球員狀態!$A$2:$A$5000=$DF$301)*(ISNUMBER(SEARCH($DF310, 球員狀態!$B$2:$B$5000))), 0)), "")</f>
        <v/>
      </c>
      <c r="DM310" s="4" t="str">
        <f t="array" ref="DM310">IFERROR(INDEX(球員狀態!I$2:I$5000,MATCH(1,(球員狀態!$A$2:$A$5000=$DF$301)*(ISNUMBER(SEARCH($DF310,球員狀態!$B$2:$B$5000))),0)),"")</f>
        <v/>
      </c>
      <c r="DN310" s="4" t="str">
        <f t="array" ref="DN310">IFERROR(INDEX(球員狀態!J$2:J$5000,MATCH(1,(球員狀態!$A$2:$A$5000=$DF$301)*(ISNUMBER(SEARCH($DF310,球員狀態!$B$2:$B$5000))),0)),"")</f>
        <v/>
      </c>
      <c r="DO310" s="4" t="str">
        <f t="array" ref="DO310">IFERROR(INDEX(球員狀態!K$2:K$5000,MATCH(1,(球員狀態!$A$2:$A$5000=$DF$301)*(ISNUMBER(SEARCH($DF310,球員狀態!$B$2:$B$5000))),0)),"")</f>
        <v/>
      </c>
      <c r="DP310" s="4" t="str">
        <f t="array" ref="DP310">IFERROR(INDEX(球員狀態!L$2:L$5000,MATCH(1,(球員狀態!$A$2:$A$5000=$DF$301)*(ISNUMBER(SEARCH($DF310,球員狀態!$B$2:$B$5000))),0)),"")</f>
        <v/>
      </c>
      <c r="DQ310" s="4" t="str">
        <f t="array" ref="DQ310">IFERROR(INDEX(球員狀態!M$2:M$5000,MATCH(1,(球員狀態!$A$2:$A$5000=$DF$301)*(ISNUMBER(SEARCH($DF310,球員狀態!$B$2:$B$5000))),0)),"")</f>
        <v/>
      </c>
      <c r="DR310" s="4" t="str">
        <f t="array" ref="DR310">IFERROR(INDEX(球員狀態!N$2:N$5000,MATCH(1,(球員狀態!$A$2:$A$5000=$DF$301)*(ISNUMBER(SEARCH($DF310,球員狀態!$B$2:$B$5000))),0)),"")</f>
        <v/>
      </c>
      <c r="DS310" s="4" t="str">
        <f t="array" ref="DS310">IFERROR(INDEX(球員狀態!O$2:O$5000, MATCH(1, (球員狀態!$A$2:$A$5000=$DF$1)*(ISNUMBER(SEARCH($DF310, 球員狀態!$B$2:$B$5000))), 0)), "")</f>
        <v/>
      </c>
      <c r="DT310" s="4" t="str">
        <f t="array" ref="DT310">IFERROR(INDEX(球員狀態!P$2:P$5000, MATCH(1, (球員狀態!$A$2:$A$5000=$DF$1)*(ISNUMBER(SEARCH($DF310, 球員狀態!$B$2:$B$5000))), 0)), "")</f>
        <v/>
      </c>
      <c r="DU310" s="4" t="str">
        <f t="array" ref="DU310">IFERROR(INDEX(球員狀態!Q$2:Q$5000,MATCH(1,(球員狀態!$A$2:$A$5000=$DF$301)*(ISNUMBER(SEARCH($DF310,球員狀態!$B$2:$B$5000))),0)),"")</f>
        <v/>
      </c>
      <c r="DV310" s="4" t="str">
        <f t="array" ref="DV310">IFERROR(INDEX(球員狀態!R$2:R$5000, MATCH(1, (球員狀態!$A$2:$A$5000=$DF$1)*(ISNUMBER(SEARCH($DF310, 球員狀態!$B$2:$B$5000))), 0)), "")</f>
        <v/>
      </c>
      <c r="DW310" s="4" t="str">
        <f t="array" ref="DW310">IFERROR(INDEX(球員狀態!S$2:S$5000, MATCH(1, (球員狀態!$A$2:$A$5000=$DF$1)*(ISNUMBER(SEARCH($DF310, 球員狀態!$B$2:$B$5000))), 0)), "")</f>
        <v/>
      </c>
      <c r="DX310" s="4" t="str">
        <f t="array" ref="DX310">IFERROR(INDEX(球員狀態!T$2:T$5000,MATCH(1,(球員狀態!$A$2:$A$5000=$DF$301)*(ISNUMBER(SEARCH($DF310,球員狀態!$B$2:$B$5000))),0)),"")</f>
        <v/>
      </c>
      <c r="DY310" s="4" t="str">
        <f t="array" ref="DY310">IFERROR(INDEX(球員狀態!U$2:U$5000, MATCH(1, (球員狀態!$A$2:$A$5000=$DF$1)*(ISNUMBER(SEARCH($DF310, 球員狀態!$B$2:$B$5000))), 0)), "")</f>
        <v/>
      </c>
      <c r="DZ310" s="4" t="str">
        <f t="array" ref="DZ310">IFERROR(INDEX(球員狀態!V$2:V$5000, MATCH(1, (球員狀態!$A$2:$A$5000=$DF$1)*(ISNUMBER(SEARCH($DF310, 球員狀態!$B$2:$B$5000))), 0)), "")</f>
        <v/>
      </c>
      <c r="EA310" s="4" t="str">
        <f t="array" ref="EA310">IFERROR(INDEX(球員狀態!W$2:W$5000,MATCH(1,(球員狀態!$A$2:$A$5000=$DF$301)*(ISNUMBER(SEARCH($DF310,球員狀態!$B$2:$B$5000))),0)),"")</f>
        <v/>
      </c>
      <c r="EB310" s="4" t="str">
        <f t="array" ref="EB310">IFERROR(INDEX(球員狀態!X$2:X$5000, MATCH(1, (球員狀態!$A$2:$A$5000=$DF$1)*(ISNUMBER(SEARCH($DF310, 球員狀態!$B$2:$B$5000))), 0)), "")</f>
        <v/>
      </c>
      <c r="EC310" s="4" t="str">
        <f t="array" ref="EC310">IFERROR(INDEX(球員狀態!Y$2:Y$5000, MATCH(1, (球員狀態!$A$2:$A$5000=$DF$1)*(ISNUMBER(SEARCH($DF310, 球員狀態!$B$2:$B$5000))), 0)), "")</f>
        <v/>
      </c>
      <c r="ED310" s="4" t="str">
        <f t="array" ref="ED310">IFERROR(INDEX(球員狀態!Z$2:Z$5000,MATCH(1,(球員狀態!$A$2:$A$5000=$DF$301)*(ISNUMBER(SEARCH($DF310,球員狀態!$B$2:$B$5000))),0)),"")</f>
        <v/>
      </c>
      <c r="EE310" s="4" t="str">
        <f t="array" ref="EE310">IFERROR(INDEX(球員狀態!AA$2:AA$5000,MATCH(1,(球員狀態!$A$2:$A$5000=$DF$301)*(ISNUMBER(SEARCH($DF310,球員狀態!$B$2:$B$5000))),0)),"")</f>
        <v/>
      </c>
      <c r="EF310" s="4" t="str">
        <f t="array" ref="EF310">IFERROR(INDEX(球員狀態!AB$2:AB$5000,MATCH(1,(球員狀態!$A$2:$A$5000=$DF$301)*(ISNUMBER(SEARCH($DF310,球員狀態!$B$2:$B$5000))),0)),"")</f>
        <v/>
      </c>
      <c r="EG310" s="56"/>
      <c r="EI310" s="35" t="str">
        <f>先發名單!S$12</f>
        <v>Pete Alonso</v>
      </c>
      <c r="EJ310" s="4" t="str">
        <f t="array" ref="EJ310">IFERROR(INDEX(球員狀態!C$2:C$5000, MATCH(1, (球員狀態!$A$2:$A$5000=$EI$301)*(ISNUMBER(SEARCH($EI310, 球員狀態!$B$2:$B$5000))), 0)), "")</f>
        <v/>
      </c>
      <c r="EM310" s="4" t="str">
        <f t="array" ref="EM310">IFERROR(INDEX(球員狀態!F$2:F$5000, MATCH(1, (球員狀態!$A$2:$A$5000=$EI$301)*(ISNUMBER(SEARCH($EI310, 球員狀態!$B$2:$B$5000))), 0)), "")</f>
        <v/>
      </c>
      <c r="EN310" s="4" t="str">
        <f t="array" ref="EN310">IFERROR(INDEX(球員狀態!G$2:G$5000, MATCH(1, (球員狀態!$A$2:$A$5000=$EI$1)*(ISNUMBER(SEARCH($EI310, 球員狀態!$B$2:$B$5000))), 0)), "")</f>
        <v/>
      </c>
      <c r="EO310" s="4" t="str">
        <f t="array" ref="EO310">IFERROR(INDEX(球員狀態!H$2:H$5000, MATCH(1, (球員狀態!$A$2:$A$5000=$EI$301)*(ISNUMBER(SEARCH($EI310, 球員狀態!$B$2:$B$5000))), 0)), "")</f>
        <v/>
      </c>
      <c r="EP310" s="4" t="str">
        <f t="array" ref="EP310">IFERROR(INDEX(球員狀態!I$2:I$5000, MATCH(1, (球員狀態!$A$2:$A$5000=$EI$301)*(ISNUMBER(SEARCH($EI310, 球員狀態!$B$2:$B$5000))), 0)), "")</f>
        <v/>
      </c>
      <c r="EQ310" s="4" t="str">
        <f t="array" ref="EQ310">IFERROR(INDEX(球員狀態!J$2:J$5000, MATCH(1, (球員狀態!$A$2:$A$5000=$EI$301)*(ISNUMBER(SEARCH($EI310, 球員狀態!$B$2:$B$5000))), 0)), "")</f>
        <v/>
      </c>
      <c r="ER310" s="4" t="str">
        <f t="array" ref="ER310">IFERROR(INDEX(球員狀態!K$2:K$5000, MATCH(1, (球員狀態!$A$2:$A$5000=$EI$301)*(ISNUMBER(SEARCH($EI310, 球員狀態!$B$2:$B$5000))), 0)), "")</f>
        <v/>
      </c>
      <c r="ES310" s="4" t="str">
        <f t="array" ref="ES310">IFERROR(INDEX(球員狀態!L$2:L$5000, MATCH(1, (球員狀態!$A$2:$A$5000=$EI$301)*(ISNUMBER(SEARCH($EI310, 球員狀態!$B$2:$B$5000))), 0)), "")</f>
        <v/>
      </c>
      <c r="ET310" s="4" t="str">
        <f t="array" ref="ET310">IFERROR(INDEX(球員狀態!M$2:M$5000, MATCH(1, (球員狀態!$A$2:$A$5000=$EI$301)*(ISNUMBER(SEARCH($EI310, 球員狀態!$B$2:$B$5000))), 0)), "")</f>
        <v/>
      </c>
      <c r="EU310" s="4" t="str">
        <f t="array" ref="EU310">IFERROR(INDEX(球員狀態!N$2:N$5000, MATCH(1, (球員狀態!$A$2:$A$5000=$EI$301)*(ISNUMBER(SEARCH($EI310, 球員狀態!$B$2:$B$5000))), 0)), "")</f>
        <v/>
      </c>
      <c r="EV310" s="4" t="str">
        <f t="array" ref="EV310">IFERROR(INDEX(球員狀態!O$2:O$5000, MATCH(1, (球員狀態!$A$2:$A$5000=$EI$1)*(ISNUMBER(SEARCH($EI310, 球員狀態!$B$2:$B$5000))), 0)), "")</f>
        <v/>
      </c>
      <c r="EW310" s="4" t="str">
        <f t="array" ref="EW310">IFERROR(INDEX(球員狀態!P$2:P$5000, MATCH(1, (球員狀態!$A$2:$A$5000=$EI$1)*(ISNUMBER(SEARCH($EI310, 球員狀態!$B$2:$B$5000))), 0)), "")</f>
        <v/>
      </c>
      <c r="EX310" s="4" t="str">
        <f t="array" ref="EX310">IFERROR(INDEX(球員狀態!Q$2:Q$5000, MATCH(1, (球員狀態!$A$2:$A$5000=$EI$301)*(ISNUMBER(SEARCH($EI310, 球員狀態!$B$2:$B$5000))), 0)), "")</f>
        <v/>
      </c>
      <c r="EY310" s="4" t="str">
        <f t="array" ref="EY310">IFERROR(INDEX(球員狀態!R$2:R$5000, MATCH(1, (球員狀態!$A$2:$A$5000=$EI$1)*(ISNUMBER(SEARCH($EI310, 球員狀態!$B$2:$B$5000))), 0)), "")</f>
        <v/>
      </c>
      <c r="EZ310" s="4" t="str">
        <f t="array" ref="EZ310">IFERROR(INDEX(球員狀態!S$2:S$5000, MATCH(1, (球員狀態!$A$2:$A$5000=$EI$1)*(ISNUMBER(SEARCH($EI310, 球員狀態!$B$2:$B$5000))), 0)), "")</f>
        <v/>
      </c>
      <c r="FA310" s="4" t="str">
        <f t="array" ref="FA310">IFERROR(INDEX(球員狀態!T$2:T$5000, MATCH(1, (球員狀態!$A$2:$A$5000=$EI$301)*(ISNUMBER(SEARCH($EI310, 球員狀態!$B$2:$B$5000))), 0)), "")</f>
        <v/>
      </c>
      <c r="FB310" s="4" t="str">
        <f t="array" ref="FB310">IFERROR(INDEX(球員狀態!U$2:U$5000, MATCH(1, (球員狀態!$A$2:$A$5000=$EI$1)*(ISNUMBER(SEARCH($EI310, 球員狀態!$B$2:$B$5000))), 0)), "")</f>
        <v/>
      </c>
      <c r="FC310" s="4" t="str">
        <f t="array" ref="FC310">IFERROR(INDEX(球員狀態!V$2:V$5000, MATCH(1, (球員狀態!$A$2:$A$5000=$EI$1)*(ISNUMBER(SEARCH($EI310, 球員狀態!$B$2:$B$5000))), 0)), "")</f>
        <v/>
      </c>
      <c r="FD310" s="4" t="str">
        <f t="array" ref="FD310">IFERROR(INDEX(球員狀態!W$2:W$5000, MATCH(1, (球員狀態!$A$2:$A$5000=$EI$301)*(ISNUMBER(SEARCH($EI310, 球員狀態!$B$2:$B$5000))), 0)), "")</f>
        <v/>
      </c>
      <c r="FE310" s="4" t="str">
        <f t="array" ref="FE310">IFERROR(INDEX(球員狀態!X$2:X$5000, MATCH(1, (球員狀態!$A$2:$A$5000=$EI$1)*(ISNUMBER(SEARCH($EI310, 球員狀態!$B$2:$B$5000))), 0)), "")</f>
        <v/>
      </c>
      <c r="FF310" s="4" t="str">
        <f t="array" ref="FF310">IFERROR(INDEX(球員狀態!Y$2:Y$5000, MATCH(1, (球員狀態!$A$2:$A$5000=$EI$1)*(ISNUMBER(SEARCH($EI310, 球員狀態!$B$2:$B$5000))), 0)), "")</f>
        <v/>
      </c>
      <c r="FG310" s="4" t="str">
        <f t="array" ref="FG310">IFERROR(INDEX(球員狀態!Z$2:Z$5000, MATCH(1, (球員狀態!$A$2:$A$5000=$EI$301)*(ISNUMBER(SEARCH($EI310, 球員狀態!$B$2:$B$5000))), 0)), "")</f>
        <v/>
      </c>
      <c r="FH310" s="4" t="str">
        <f t="array" ref="FH310">IFERROR(INDEX(球員狀態!AA$2:AA$5000, MATCH(1, (球員狀態!$A$2:$A$5000=$EI$301)*(ISNUMBER(SEARCH($EI310, 球員狀態!$B$2:$B$5000))), 0)), "")</f>
        <v/>
      </c>
      <c r="FI310" s="4" t="str">
        <f t="array" ref="FI310">IFERROR(INDEX(球員狀態!AB$2:AB$5000, MATCH(1, (球員狀態!$A$2:$A$5000=$EI$301)*(ISNUMBER(SEARCH($EI310, 球員狀態!$B$2:$B$5000))), 0)), "")</f>
        <v/>
      </c>
    </row>
    <row r="311" spans="110:165">
      <c r="DF311" s="33"/>
      <c r="DH311" s="40" t="e">
        <f>DJ311+DL311+DM311+DN311+DO311-DP311-DQ311+DR311</f>
        <v>#VALUE!</v>
      </c>
      <c r="DI311" s="42" t="e">
        <f>DU311+DX311+EA311+ED311+EE311+EF311</f>
        <v>#VALUE!</v>
      </c>
      <c r="DJ311" s="38" t="e">
        <f>VLOOKUP(DJ310*1, FK$2:FM$12, 3, TRUE)*FM$1</f>
        <v>#VALUE!</v>
      </c>
      <c r="DL311" s="38" t="e">
        <f>VLOOKUP(DL310*1, FN$2:FP$12, 3, TRUE)*FP$1</f>
        <v>#VALUE!</v>
      </c>
      <c r="DM311" s="38" t="e">
        <f>VLOOKUP(DM310*1, FQ$2:FS$12, 3, TRUE)*FS$1</f>
        <v>#VALUE!</v>
      </c>
      <c r="DN311" s="38" t="e">
        <f>VLOOKUP(DN310*1, FT$2:FV$12, 3, TRUE)*FV$1</f>
        <v>#VALUE!</v>
      </c>
      <c r="DO311" s="38" t="e">
        <f>VLOOKUP(DO310*1, FW$2:FY$12, 3, TRUE)*FY$1</f>
        <v>#VALUE!</v>
      </c>
      <c r="DP311" s="39" t="e">
        <f>VLOOKUP(DP310*1, FK$14:FM$25, 3, TRUE)*FM$14</f>
        <v>#VALUE!</v>
      </c>
      <c r="DQ311" s="39" t="e">
        <f>VLOOKUP(DQ310*1, FN$14:FP$25, 3, TRUE)*FP$14</f>
        <v>#VALUE!</v>
      </c>
      <c r="DR311" s="38" t="e">
        <f>VLOOKUP(DR310*1, FQ$14:FS$25, 3, TRUE)*FS$14</f>
        <v>#VALUE!</v>
      </c>
      <c r="DU311" s="41" t="e">
        <f>VLOOKUP(DU310*1, FK$27:FM$38, 3, TRUE)*FM$27</f>
        <v>#VALUE!</v>
      </c>
      <c r="DX311" s="41" t="e">
        <f>VLOOKUP(DX310*1, FN$27:FP$38, 3, TRUE)*FP$27</f>
        <v>#VALUE!</v>
      </c>
      <c r="EA311" s="41" t="e">
        <f>VLOOKUP(EA310*1, FQ$27:FS$38, 3, TRUE)*FS$27</f>
        <v>#VALUE!</v>
      </c>
      <c r="ED311" s="41" t="e">
        <f>VLOOKUP(ED310*1, FT$27:FV$38, 3, TRUE)*FV$27</f>
        <v>#VALUE!</v>
      </c>
      <c r="EE311" s="41" t="e">
        <f>VLOOKUP(EE310*1, FW$27:FY$38, 3, TRUE)*FY$27</f>
        <v>#VALUE!</v>
      </c>
      <c r="EF311" s="41" t="e">
        <f>VLOOKUP(EF310*1, FK$40:FM$51, 3, TRUE)*FM$40</f>
        <v>#VALUE!</v>
      </c>
      <c r="EG311" s="57"/>
      <c r="EI311" s="33"/>
      <c r="EK311" s="40" t="e">
        <f>EM311+EO311+EP311+EQ311+ER311-ES311-ET311+EU311</f>
        <v>#VALUE!</v>
      </c>
      <c r="EL311" s="42" t="e">
        <f>EX311+FA311+FD311+FG311+FH311+FI311</f>
        <v>#VALUE!</v>
      </c>
      <c r="EM311" s="38" t="e">
        <f>VLOOKUP(EM310*1, $FK$2:$FM$12, 3, TRUE)*$FM$1</f>
        <v>#VALUE!</v>
      </c>
      <c r="EO311" s="38" t="e">
        <f>VLOOKUP(EO310*1, $FN$2:$FP$12, 3, TRUE)*$FP$1</f>
        <v>#VALUE!</v>
      </c>
      <c r="EP311" s="38" t="e">
        <f>VLOOKUP(EP310*1, $FQ$2:$FS$12, 3, TRUE)*$FS$1</f>
        <v>#VALUE!</v>
      </c>
      <c r="EQ311" s="38" t="e">
        <f>VLOOKUP(EQ310*1, $FT$2:$FV$12, 3, TRUE)*$FV$1</f>
        <v>#VALUE!</v>
      </c>
      <c r="ER311" s="38" t="e">
        <f>VLOOKUP(ER310*1, $FW$2:$FY$12, 3, TRUE)*$FY$1</f>
        <v>#VALUE!</v>
      </c>
      <c r="ES311" s="39" t="e">
        <f>VLOOKUP(ES310*1, $FK$14:$FM$25, 3, TRUE)*$FM$14</f>
        <v>#VALUE!</v>
      </c>
      <c r="ET311" s="39" t="e">
        <f>VLOOKUP(ET310*1, $FN$14:$FP$25, 3, TRUE)*$FP$14</f>
        <v>#VALUE!</v>
      </c>
      <c r="EU311" s="38" t="e">
        <f>VLOOKUP(EU310*1, $FQ$14:$FS$25, 3, TRUE)*$FS$14</f>
        <v>#VALUE!</v>
      </c>
      <c r="EX311" s="41" t="e">
        <f>VLOOKUP(EX310*1, $FK$27:$FM$38, 3, TRUE)*$FM$27</f>
        <v>#VALUE!</v>
      </c>
      <c r="FA311" s="41" t="e">
        <f>VLOOKUP(FA310*1, $FN$27:$FP$38, 3, TRUE)*$FP$27</f>
        <v>#VALUE!</v>
      </c>
      <c r="FD311" s="41" t="e">
        <f>VLOOKUP(FD310*1, $FQ$27:$FS$38, 3, TRUE)*$FS$27</f>
        <v>#VALUE!</v>
      </c>
      <c r="FG311" s="41" t="e">
        <f>VLOOKUP(FG310*1, $FT$27:$FV$38, 3, TRUE)*$FV$27</f>
        <v>#VALUE!</v>
      </c>
      <c r="FH311" s="41" t="e">
        <f>VLOOKUP(FH310*1, $FW$27:$FY$38, 3, TRUE)*$FY$27</f>
        <v>#VALUE!</v>
      </c>
      <c r="FI311" s="41" t="e">
        <f>VLOOKUP(FI310*1, $FK$40:$FM$51, 3, TRUE)*$FM$40</f>
        <v>#VALUE!</v>
      </c>
    </row>
    <row r="312" spans="110:165">
      <c r="DF312" s="37" t="str">
        <f>先發名單!J$12</f>
        <v>C. Walker</v>
      </c>
      <c r="DG312" s="4" t="str">
        <f t="array" ref="DG312">IFERROR(INDEX(球員狀態!$C$2:$C$5000, MATCH(1, (球員狀態!$A$2:$A$5000=$DF$3011)*(ISNUMBER(SEARCH($DF312, 球員狀態!$B$2:$B$5000))), 0)), "")</f>
        <v/>
      </c>
      <c r="DJ312" s="4" t="str">
        <f t="array" ref="DJ312">IFERROR(INDEX(球員狀態!$F$2:$F$5000,MATCH(1,(球員狀態!$A$2:$A$5000=$DF$301)*(ISNUMBER(SEARCH($DF312,球員狀態!$B$2:$B$5000))),0)),"")</f>
        <v/>
      </c>
      <c r="DK312" s="4" t="str">
        <f t="array" ref="DK312">IFERROR(INDEX(球員狀態!G$2:G$5000, MATCH(1, (球員狀態!$A$2:$A$5000=$DF$1)*(ISNUMBER(SEARCH($DF312, 球員狀態!$B$2:$B$5000))), 0)), "")</f>
        <v/>
      </c>
      <c r="DL312" s="4" t="str">
        <f t="array" ref="DL312">IFERROR(INDEX(球員狀態!H$2:H$5000, MATCH(1, (球員狀態!$A$2:$A$5000=$DF$301)*(ISNUMBER(SEARCH($DF312, 球員狀態!$B$2:$B$5000))), 0)), "")</f>
        <v/>
      </c>
      <c r="DM312" s="4" t="str">
        <f t="array" ref="DM312">IFERROR(INDEX(球員狀態!I$2:I$5000,MATCH(1,(球員狀態!$A$2:$A$5000=$DF$301)*(ISNUMBER(SEARCH($DF312,球員狀態!$B$2:$B$5000))),0)),"")</f>
        <v/>
      </c>
      <c r="DN312" s="4" t="str">
        <f t="array" ref="DN312">IFERROR(INDEX(球員狀態!J$2:J$5000,MATCH(1,(球員狀態!$A$2:$A$5000=$DF$301)*(ISNUMBER(SEARCH($DF312,球員狀態!$B$2:$B$5000))),0)),"")</f>
        <v/>
      </c>
      <c r="DO312" s="4" t="str">
        <f t="array" ref="DO312">IFERROR(INDEX(球員狀態!K$2:K$5000,MATCH(1,(球員狀態!$A$2:$A$5000=$DF$301)*(ISNUMBER(SEARCH($DF312,球員狀態!$B$2:$B$5000))),0)),"")</f>
        <v/>
      </c>
      <c r="DP312" s="4" t="str">
        <f t="array" ref="DP312">IFERROR(INDEX(球員狀態!L$2:L$5000,MATCH(1,(球員狀態!$A$2:$A$5000=$DF$301)*(ISNUMBER(SEARCH($DF312,球員狀態!$B$2:$B$5000))),0)),"")</f>
        <v/>
      </c>
      <c r="DQ312" s="4" t="str">
        <f t="array" ref="DQ312">IFERROR(INDEX(球員狀態!M$2:M$5000,MATCH(1,(球員狀態!$A$2:$A$5000=$DF$301)*(ISNUMBER(SEARCH($DF312,球員狀態!$B$2:$B$5000))),0)),"")</f>
        <v/>
      </c>
      <c r="DR312" s="4" t="str">
        <f t="array" ref="DR312">IFERROR(INDEX(球員狀態!N$2:N$5000,MATCH(1,(球員狀態!$A$2:$A$5000=$DF$301)*(ISNUMBER(SEARCH($DF312,球員狀態!$B$2:$B$5000))),0)),"")</f>
        <v/>
      </c>
      <c r="DS312" s="4" t="str">
        <f t="array" ref="DS312">IFERROR(INDEX(球員狀態!O$2:O$5000, MATCH(1, (球員狀態!$A$2:$A$5000=$DF$1)*(ISNUMBER(SEARCH($DF312, 球員狀態!$B$2:$B$5000))), 0)), "")</f>
        <v/>
      </c>
      <c r="DT312" s="4" t="str">
        <f t="array" ref="DT312">IFERROR(INDEX(球員狀態!P$2:P$5000, MATCH(1, (球員狀態!$A$2:$A$5000=$DF$1)*(ISNUMBER(SEARCH($DF312, 球員狀態!$B$2:$B$5000))), 0)), "")</f>
        <v/>
      </c>
      <c r="DU312" s="4" t="str">
        <f t="array" ref="DU312">IFERROR(INDEX(球員狀態!Q$2:Q$5000,MATCH(1,(球員狀態!$A$2:$A$5000=$DF$301)*(ISNUMBER(SEARCH($DF312,球員狀態!$B$2:$B$5000))),0)),"")</f>
        <v/>
      </c>
      <c r="DV312" s="4" t="str">
        <f t="array" ref="DV312">IFERROR(INDEX(球員狀態!R$2:R$5000, MATCH(1, (球員狀態!$A$2:$A$5000=$DF$1)*(ISNUMBER(SEARCH($DF312, 球員狀態!$B$2:$B$5000))), 0)), "")</f>
        <v/>
      </c>
      <c r="DW312" s="4" t="str">
        <f t="array" ref="DW312">IFERROR(INDEX(球員狀態!S$2:S$5000, MATCH(1, (球員狀態!$A$2:$A$5000=$DF$1)*(ISNUMBER(SEARCH($DF312, 球員狀態!$B$2:$B$5000))), 0)), "")</f>
        <v/>
      </c>
      <c r="DX312" s="4" t="str">
        <f t="array" ref="DX312">IFERROR(INDEX(球員狀態!T$2:T$5000,MATCH(1,(球員狀態!$A$2:$A$5000=$DF$301)*(ISNUMBER(SEARCH($DF312,球員狀態!$B$2:$B$5000))),0)),"")</f>
        <v/>
      </c>
      <c r="DY312" s="4" t="str">
        <f t="array" ref="DY312">IFERROR(INDEX(球員狀態!U$2:U$5000, MATCH(1, (球員狀態!$A$2:$A$5000=$DF$1)*(ISNUMBER(SEARCH($DF312, 球員狀態!$B$2:$B$5000))), 0)), "")</f>
        <v/>
      </c>
      <c r="DZ312" s="4" t="str">
        <f t="array" ref="DZ312">IFERROR(INDEX(球員狀態!V$2:V$5000, MATCH(1, (球員狀態!$A$2:$A$5000=$DF$1)*(ISNUMBER(SEARCH($DF312, 球員狀態!$B$2:$B$5000))), 0)), "")</f>
        <v/>
      </c>
      <c r="EA312" s="4" t="str">
        <f t="array" ref="EA312">IFERROR(INDEX(球員狀態!W$2:W$5000,MATCH(1,(球員狀態!$A$2:$A$5000=$DF$301)*(ISNUMBER(SEARCH($DF312,球員狀態!$B$2:$B$5000))),0)),"")</f>
        <v/>
      </c>
      <c r="EB312" s="4" t="str">
        <f t="array" ref="EB312">IFERROR(INDEX(球員狀態!X$2:X$5000, MATCH(1, (球員狀態!$A$2:$A$5000=$DF$1)*(ISNUMBER(SEARCH($DF312, 球員狀態!$B$2:$B$5000))), 0)), "")</f>
        <v/>
      </c>
      <c r="EC312" s="4" t="str">
        <f t="array" ref="EC312">IFERROR(INDEX(球員狀態!Y$2:Y$5000, MATCH(1, (球員狀態!$A$2:$A$5000=$DF$1)*(ISNUMBER(SEARCH($DF312, 球員狀態!$B$2:$B$5000))), 0)), "")</f>
        <v/>
      </c>
      <c r="ED312" s="4" t="str">
        <f t="array" ref="ED312">IFERROR(INDEX(球員狀態!Z$2:Z$5000,MATCH(1,(球員狀態!$A$2:$A$5000=$DF$301)*(ISNUMBER(SEARCH($DF312,球員狀態!$B$2:$B$5000))),0)),"")</f>
        <v/>
      </c>
      <c r="EE312" s="4" t="str">
        <f t="array" ref="EE312">IFERROR(INDEX(球員狀態!AA$2:AA$5000,MATCH(1,(球員狀態!$A$2:$A$5000=$DF$301)*(ISNUMBER(SEARCH($DF312,球員狀態!$B$2:$B$5000))),0)),"")</f>
        <v/>
      </c>
      <c r="EF312" s="4" t="str">
        <f t="array" ref="EF312">IFERROR(INDEX(球員狀態!AB$2:AB$5000,MATCH(1,(球員狀態!$A$2:$A$5000=$DF$301)*(ISNUMBER(SEARCH($DF312,球員狀態!$B$2:$B$5000))),0)),"")</f>
        <v/>
      </c>
      <c r="EG312" s="56"/>
      <c r="EI312" s="37" t="str">
        <f>先發名單!T$12</f>
        <v>S. Basallo</v>
      </c>
      <c r="EJ312" s="4" t="str">
        <f t="array" ref="EJ312">IFERROR(INDEX(球員狀態!C$2:C$5000, MATCH(1, (球員狀態!$A$2:$A$5000=$EI$301)*(ISNUMBER(SEARCH($EI312, 球員狀態!$B$2:$B$5000))), 0)), "")</f>
        <v/>
      </c>
      <c r="EM312" s="4" t="str">
        <f t="array" ref="EM312">IFERROR(INDEX(球員狀態!F$2:F$5000, MATCH(1, (球員狀態!$A$2:$A$5000=$EI$301)*(ISNUMBER(SEARCH($EI312, 球員狀態!$B$2:$B$5000))), 0)), "")</f>
        <v/>
      </c>
      <c r="EN312" s="4" t="str">
        <f t="array" ref="EN312">IFERROR(INDEX(球員狀態!G$2:G$5000, MATCH(1, (球員狀態!$A$2:$A$5000=$EI$1)*(ISNUMBER(SEARCH($EI312, 球員狀態!$B$2:$B$5000))), 0)), "")</f>
        <v/>
      </c>
      <c r="EO312" s="4" t="str">
        <f t="array" ref="EO312">IFERROR(INDEX(球員狀態!H$2:H$5000, MATCH(1, (球員狀態!$A$2:$A$5000=$EI$301)*(ISNUMBER(SEARCH($EI312, 球員狀態!$B$2:$B$5000))), 0)), "")</f>
        <v/>
      </c>
      <c r="EP312" s="4" t="str">
        <f t="array" ref="EP312">IFERROR(INDEX(球員狀態!I$2:I$5000, MATCH(1, (球員狀態!$A$2:$A$5000=$EI$301)*(ISNUMBER(SEARCH($EI312, 球員狀態!$B$2:$B$5000))), 0)), "")</f>
        <v/>
      </c>
      <c r="EQ312" s="4" t="str">
        <f t="array" ref="EQ312">IFERROR(INDEX(球員狀態!J$2:J$5000, MATCH(1, (球員狀態!$A$2:$A$5000=$EI$301)*(ISNUMBER(SEARCH($EI312, 球員狀態!$B$2:$B$5000))), 0)), "")</f>
        <v/>
      </c>
      <c r="ER312" s="4" t="str">
        <f t="array" ref="ER312">IFERROR(INDEX(球員狀態!K$2:K$5000, MATCH(1, (球員狀態!$A$2:$A$5000=$EI$301)*(ISNUMBER(SEARCH($EI312, 球員狀態!$B$2:$B$5000))), 0)), "")</f>
        <v/>
      </c>
      <c r="ES312" s="4" t="str">
        <f t="array" ref="ES312">IFERROR(INDEX(球員狀態!L$2:L$5000, MATCH(1, (球員狀態!$A$2:$A$5000=$EI$301)*(ISNUMBER(SEARCH($EI312, 球員狀態!$B$2:$B$5000))), 0)), "")</f>
        <v/>
      </c>
      <c r="ET312" s="4" t="str">
        <f t="array" ref="ET312">IFERROR(INDEX(球員狀態!M$2:M$5000, MATCH(1, (球員狀態!$A$2:$A$5000=$EI$301)*(ISNUMBER(SEARCH($EI312, 球員狀態!$B$2:$B$5000))), 0)), "")</f>
        <v/>
      </c>
      <c r="EU312" s="4" t="str">
        <f t="array" ref="EU312">IFERROR(INDEX(球員狀態!N$2:N$5000, MATCH(1, (球員狀態!$A$2:$A$5000=$EI$301)*(ISNUMBER(SEARCH($EI312, 球員狀態!$B$2:$B$5000))), 0)), "")</f>
        <v/>
      </c>
      <c r="EV312" s="4" t="str">
        <f t="array" ref="EV312">IFERROR(INDEX(球員狀態!O$2:O$5000, MATCH(1, (球員狀態!$A$2:$A$5000=$EI$1)*(ISNUMBER(SEARCH($EI312, 球員狀態!$B$2:$B$5000))), 0)), "")</f>
        <v/>
      </c>
      <c r="EW312" s="4" t="str">
        <f t="array" ref="EW312">IFERROR(INDEX(球員狀態!P$2:P$5000, MATCH(1, (球員狀態!$A$2:$A$5000=$EI$1)*(ISNUMBER(SEARCH($EI312, 球員狀態!$B$2:$B$5000))), 0)), "")</f>
        <v/>
      </c>
      <c r="EX312" s="4" t="str">
        <f t="array" ref="EX312">IFERROR(INDEX(球員狀態!Q$2:Q$5000, MATCH(1, (球員狀態!$A$2:$A$5000=$EI$301)*(ISNUMBER(SEARCH($EI312, 球員狀態!$B$2:$B$5000))), 0)), "")</f>
        <v/>
      </c>
      <c r="EY312" s="4" t="str">
        <f t="array" ref="EY312">IFERROR(INDEX(球員狀態!R$2:R$5000, MATCH(1, (球員狀態!$A$2:$A$5000=$EI$1)*(ISNUMBER(SEARCH($EI312, 球員狀態!$B$2:$B$5000))), 0)), "")</f>
        <v/>
      </c>
      <c r="EZ312" s="4" t="str">
        <f t="array" ref="EZ312">IFERROR(INDEX(球員狀態!S$2:S$5000, MATCH(1, (球員狀態!$A$2:$A$5000=$EI$1)*(ISNUMBER(SEARCH($EI312, 球員狀態!$B$2:$B$5000))), 0)), "")</f>
        <v/>
      </c>
      <c r="FA312" s="4" t="str">
        <f t="array" ref="FA312">IFERROR(INDEX(球員狀態!T$2:T$5000, MATCH(1, (球員狀態!$A$2:$A$5000=$EI$301)*(ISNUMBER(SEARCH($EI312, 球員狀態!$B$2:$B$5000))), 0)), "")</f>
        <v/>
      </c>
      <c r="FB312" s="4" t="str">
        <f t="array" ref="FB312">IFERROR(INDEX(球員狀態!U$2:U$5000, MATCH(1, (球員狀態!$A$2:$A$5000=$EI$1)*(ISNUMBER(SEARCH($EI312, 球員狀態!$B$2:$B$5000))), 0)), "")</f>
        <v/>
      </c>
      <c r="FC312" s="4" t="str">
        <f t="array" ref="FC312">IFERROR(INDEX(球員狀態!V$2:V$5000, MATCH(1, (球員狀態!$A$2:$A$5000=$EI$1)*(ISNUMBER(SEARCH($EI312, 球員狀態!$B$2:$B$5000))), 0)), "")</f>
        <v/>
      </c>
      <c r="FD312" s="4" t="str">
        <f t="array" ref="FD312">IFERROR(INDEX(球員狀態!W$2:W$5000, MATCH(1, (球員狀態!$A$2:$A$5000=$EI$301)*(ISNUMBER(SEARCH($EI312, 球員狀態!$B$2:$B$5000))), 0)), "")</f>
        <v/>
      </c>
      <c r="FE312" s="4" t="str">
        <f t="array" ref="FE312">IFERROR(INDEX(球員狀態!X$2:X$5000, MATCH(1, (球員狀態!$A$2:$A$5000=$EI$1)*(ISNUMBER(SEARCH($EI312, 球員狀態!$B$2:$B$5000))), 0)), "")</f>
        <v/>
      </c>
      <c r="FF312" s="4" t="str">
        <f t="array" ref="FF312">IFERROR(INDEX(球員狀態!Y$2:Y$5000, MATCH(1, (球員狀態!$A$2:$A$5000=$EI$1)*(ISNUMBER(SEARCH($EI312, 球員狀態!$B$2:$B$5000))), 0)), "")</f>
        <v/>
      </c>
      <c r="FG312" s="4" t="str">
        <f t="array" ref="FG312">IFERROR(INDEX(球員狀態!Z$2:Z$5000, MATCH(1, (球員狀態!$A$2:$A$5000=$EI$301)*(ISNUMBER(SEARCH($EI312, 球員狀態!$B$2:$B$5000))), 0)), "")</f>
        <v/>
      </c>
      <c r="FH312" s="4" t="str">
        <f t="array" ref="FH312">IFERROR(INDEX(球員狀態!AA$2:AA$5000, MATCH(1, (球員狀態!$A$2:$A$5000=$EI$301)*(ISNUMBER(SEARCH($EI312, 球員狀態!$B$2:$B$5000))), 0)), "")</f>
        <v/>
      </c>
      <c r="FI312" s="4" t="str">
        <f t="array" ref="FI312">IFERROR(INDEX(球員狀態!AB$2:AB$5000, MATCH(1, (球員狀態!$A$2:$A$5000=$EI$301)*(ISNUMBER(SEARCH($EI312, 球員狀態!$B$2:$B$5000))), 0)), "")</f>
        <v/>
      </c>
    </row>
    <row r="313" spans="110:165">
      <c r="DF313" s="33"/>
      <c r="DH313" s="40" t="e">
        <f>DJ313+DL313+DM313+DN313+DO313-DP313-DQ313+DR313</f>
        <v>#VALUE!</v>
      </c>
      <c r="DI313" s="42" t="e">
        <f>DU313+DX313+EA313+ED313+EE313+EF313</f>
        <v>#VALUE!</v>
      </c>
      <c r="DJ313" s="38" t="e">
        <f>VLOOKUP(DJ312*1, FK$2:FM$12, 3, TRUE)*FM$1</f>
        <v>#VALUE!</v>
      </c>
      <c r="DL313" s="38" t="e">
        <f>VLOOKUP(DL312*1, FN$2:FP$12, 3, TRUE)*FP$1</f>
        <v>#VALUE!</v>
      </c>
      <c r="DM313" s="38" t="e">
        <f>VLOOKUP(DM312*1, FQ$2:FS$12, 3, TRUE)*FS$1</f>
        <v>#VALUE!</v>
      </c>
      <c r="DN313" s="38" t="e">
        <f>VLOOKUP(DN312*1, FT$2:FV$12, 3, TRUE)*FV$1</f>
        <v>#VALUE!</v>
      </c>
      <c r="DO313" s="38" t="e">
        <f>VLOOKUP(DO312*1, FW$2:FY$12, 3, TRUE)*FY$1</f>
        <v>#VALUE!</v>
      </c>
      <c r="DP313" s="39" t="e">
        <f>VLOOKUP(DP312*1, FK$14:FM$25, 3, TRUE)*FM$14</f>
        <v>#VALUE!</v>
      </c>
      <c r="DQ313" s="39" t="e">
        <f>VLOOKUP(DQ312*1, FN$14:FP$25, 3, TRUE)*FP$14</f>
        <v>#VALUE!</v>
      </c>
      <c r="DR313" s="38" t="e">
        <f>VLOOKUP(DR312*1, FQ$14:FS$25, 3, TRUE)*FS$14</f>
        <v>#VALUE!</v>
      </c>
      <c r="DU313" s="41" t="e">
        <f>VLOOKUP(DU312*1, FK$27:FM$38, 3, TRUE)*FM$27</f>
        <v>#VALUE!</v>
      </c>
      <c r="DX313" s="41" t="e">
        <f>VLOOKUP(DX312*1, FN$27:FP$38, 3, TRUE)*FP$27</f>
        <v>#VALUE!</v>
      </c>
      <c r="EA313" s="41" t="e">
        <f>VLOOKUP(EA312*1, FQ$27:FS$38, 3, TRUE)*FS$27</f>
        <v>#VALUE!</v>
      </c>
      <c r="ED313" s="41" t="e">
        <f>VLOOKUP(ED312*1, FT$27:FV$38, 3, TRUE)*FV$27</f>
        <v>#VALUE!</v>
      </c>
      <c r="EE313" s="41" t="e">
        <f>VLOOKUP(EE312*1, FW$27:FY$38, 3, TRUE)*FY$27</f>
        <v>#VALUE!</v>
      </c>
      <c r="EF313" s="41" t="e">
        <f>VLOOKUP(EF312*1, FK$40:FM$51, 3, TRUE)*FM$40</f>
        <v>#VALUE!</v>
      </c>
      <c r="EG313" s="57"/>
      <c r="EI313" s="33"/>
      <c r="EK313" s="40" t="e">
        <f>EM313+EO313+EP313+EQ313+ER313-ES313-ET313+EU313</f>
        <v>#VALUE!</v>
      </c>
      <c r="EL313" s="42" t="e">
        <f>EX313+FA313+FD313+FG313+FH313+FI313</f>
        <v>#VALUE!</v>
      </c>
      <c r="EM313" s="38" t="e">
        <f>VLOOKUP(EM312*1, $FK$2:$FM$12, 3, TRUE)*$FM$1</f>
        <v>#VALUE!</v>
      </c>
      <c r="EO313" s="38" t="e">
        <f>VLOOKUP(EO312*1, $FN$2:$FP$12, 3, TRUE)*$FP$1</f>
        <v>#VALUE!</v>
      </c>
      <c r="EP313" s="38" t="e">
        <f>VLOOKUP(EP312*1, $FQ$2:$FS$12, 3, TRUE)*$FS$1</f>
        <v>#VALUE!</v>
      </c>
      <c r="EQ313" s="38" t="e">
        <f>VLOOKUP(EQ312*1, $FT$2:$FV$12, 3, TRUE)*$FV$1</f>
        <v>#VALUE!</v>
      </c>
      <c r="ER313" s="38" t="e">
        <f>VLOOKUP(ER312*1, $FW$2:$FY$12, 3, TRUE)*$FY$1</f>
        <v>#VALUE!</v>
      </c>
      <c r="ES313" s="39" t="e">
        <f>VLOOKUP(ES312*1, $FK$14:$FM$25, 3, TRUE)*$FM$14</f>
        <v>#VALUE!</v>
      </c>
      <c r="ET313" s="39" t="e">
        <f>VLOOKUP(ET312*1, $FN$14:$FP$25, 3, TRUE)*$FP$14</f>
        <v>#VALUE!</v>
      </c>
      <c r="EU313" s="38" t="e">
        <f>VLOOKUP(EU312*1, $FQ$14:$FS$25, 3, TRUE)*$FS$14</f>
        <v>#VALUE!</v>
      </c>
      <c r="EX313" s="41" t="e">
        <f>VLOOKUP(EX312*1, $FK$27:$FM$38, 3, TRUE)*$FM$27</f>
        <v>#VALUE!</v>
      </c>
      <c r="FA313" s="41" t="e">
        <f>VLOOKUP(FA312*1, $FN$27:$FP$38, 3, TRUE)*$FP$27</f>
        <v>#VALUE!</v>
      </c>
      <c r="FD313" s="41" t="e">
        <f>VLOOKUP(FD312*1, $FQ$27:$FS$38, 3, TRUE)*$FS$27</f>
        <v>#VALUE!</v>
      </c>
      <c r="FG313" s="41" t="e">
        <f>VLOOKUP(FG312*1, $FT$27:$FV$38, 3, TRUE)*$FV$27</f>
        <v>#VALUE!</v>
      </c>
      <c r="FH313" s="41" t="e">
        <f>VLOOKUP(FH312*1, $FW$27:$FY$38, 3, TRUE)*$FY$27</f>
        <v>#VALUE!</v>
      </c>
      <c r="FI313" s="41" t="e">
        <f>VLOOKUP(FI312*1, $FK$40:$FM$51, 3, TRUE)*$FM$40</f>
        <v>#VALUE!</v>
      </c>
    </row>
    <row r="314" spans="110:165">
      <c r="DF314" s="37" t="str">
        <f>先發名單!K$12</f>
        <v>I. Paredes</v>
      </c>
      <c r="DG314" s="4" t="str">
        <f t="array" ref="DG314">IFERROR(INDEX(球員狀態!$C$2:$C$5000, MATCH(1, (球員狀態!$A$2:$A$5000=$DF$3011)*(ISNUMBER(SEARCH($DF314, 球員狀態!$B$2:$B$5000))), 0)), "")</f>
        <v/>
      </c>
      <c r="DJ314" s="4" t="str">
        <f t="array" ref="DJ314">IFERROR(INDEX(球員狀態!$F$2:$F$5000,MATCH(1,(球員狀態!$A$2:$A$5000=$DF$301)*(ISNUMBER(SEARCH($DF314,球員狀態!$B$2:$B$5000))),0)),"")</f>
        <v/>
      </c>
      <c r="DK314" s="4" t="str">
        <f t="array" ref="DK314">IFERROR(INDEX(球員狀態!G$2:G$5000, MATCH(1, (球員狀態!$A$2:$A$5000=$DF$1)*(ISNUMBER(SEARCH($DF314, 球員狀態!$B$2:$B$5000))), 0)), "")</f>
        <v/>
      </c>
      <c r="DL314" s="4" t="str">
        <f t="array" ref="DL314">IFERROR(INDEX(球員狀態!H$2:H$5000, MATCH(1, (球員狀態!$A$2:$A$5000=$DF$301)*(ISNUMBER(SEARCH($DF314, 球員狀態!$B$2:$B$5000))), 0)), "")</f>
        <v/>
      </c>
      <c r="DM314" s="4" t="str">
        <f t="array" ref="DM314">IFERROR(INDEX(球員狀態!I$2:I$5000,MATCH(1,(球員狀態!$A$2:$A$5000=$DF$301)*(ISNUMBER(SEARCH($DF314,球員狀態!$B$2:$B$5000))),0)),"")</f>
        <v/>
      </c>
      <c r="DN314" s="4" t="str">
        <f t="array" ref="DN314">IFERROR(INDEX(球員狀態!J$2:J$5000,MATCH(1,(球員狀態!$A$2:$A$5000=$DF$301)*(ISNUMBER(SEARCH($DF314,球員狀態!$B$2:$B$5000))),0)),"")</f>
        <v/>
      </c>
      <c r="DO314" s="4" t="str">
        <f t="array" ref="DO314">IFERROR(INDEX(球員狀態!K$2:K$5000,MATCH(1,(球員狀態!$A$2:$A$5000=$DF$301)*(ISNUMBER(SEARCH($DF314,球員狀態!$B$2:$B$5000))),0)),"")</f>
        <v/>
      </c>
      <c r="DP314" s="4" t="str">
        <f t="array" ref="DP314">IFERROR(INDEX(球員狀態!L$2:L$5000,MATCH(1,(球員狀態!$A$2:$A$5000=$DF$301)*(ISNUMBER(SEARCH($DF314,球員狀態!$B$2:$B$5000))),0)),"")</f>
        <v/>
      </c>
      <c r="DQ314" s="4" t="str">
        <f t="array" ref="DQ314">IFERROR(INDEX(球員狀態!M$2:M$5000,MATCH(1,(球員狀態!$A$2:$A$5000=$DF$301)*(ISNUMBER(SEARCH($DF314,球員狀態!$B$2:$B$5000))),0)),"")</f>
        <v/>
      </c>
      <c r="DR314" s="4" t="str">
        <f t="array" ref="DR314">IFERROR(INDEX(球員狀態!N$2:N$5000,MATCH(1,(球員狀態!$A$2:$A$5000=$DF$301)*(ISNUMBER(SEARCH($DF314,球員狀態!$B$2:$B$5000))),0)),"")</f>
        <v/>
      </c>
      <c r="DS314" s="4" t="str">
        <f t="array" ref="DS314">IFERROR(INDEX(球員狀態!O$2:O$5000, MATCH(1, (球員狀態!$A$2:$A$5000=$DF$1)*(ISNUMBER(SEARCH($DF314, 球員狀態!$B$2:$B$5000))), 0)), "")</f>
        <v/>
      </c>
      <c r="DT314" s="4" t="str">
        <f t="array" ref="DT314">IFERROR(INDEX(球員狀態!P$2:P$5000, MATCH(1, (球員狀態!$A$2:$A$5000=$DF$1)*(ISNUMBER(SEARCH($DF314, 球員狀態!$B$2:$B$5000))), 0)), "")</f>
        <v/>
      </c>
      <c r="DU314" s="4" t="str">
        <f t="array" ref="DU314">IFERROR(INDEX(球員狀態!Q$2:Q$5000,MATCH(1,(球員狀態!$A$2:$A$5000=$DF$301)*(ISNUMBER(SEARCH($DF314,球員狀態!$B$2:$B$5000))),0)),"")</f>
        <v/>
      </c>
      <c r="DV314" s="4" t="str">
        <f t="array" ref="DV314">IFERROR(INDEX(球員狀態!R$2:R$5000, MATCH(1, (球員狀態!$A$2:$A$5000=$DF$1)*(ISNUMBER(SEARCH($DF314, 球員狀態!$B$2:$B$5000))), 0)), "")</f>
        <v/>
      </c>
      <c r="DW314" s="4" t="str">
        <f t="array" ref="DW314">IFERROR(INDEX(球員狀態!S$2:S$5000, MATCH(1, (球員狀態!$A$2:$A$5000=$DF$1)*(ISNUMBER(SEARCH($DF314, 球員狀態!$B$2:$B$5000))), 0)), "")</f>
        <v/>
      </c>
      <c r="DX314" s="4" t="str">
        <f t="array" ref="DX314">IFERROR(INDEX(球員狀態!T$2:T$5000,MATCH(1,(球員狀態!$A$2:$A$5000=$DF$301)*(ISNUMBER(SEARCH($DF314,球員狀態!$B$2:$B$5000))),0)),"")</f>
        <v/>
      </c>
      <c r="DY314" s="4" t="str">
        <f t="array" ref="DY314">IFERROR(INDEX(球員狀態!U$2:U$5000, MATCH(1, (球員狀態!$A$2:$A$5000=$DF$1)*(ISNUMBER(SEARCH($DF314, 球員狀態!$B$2:$B$5000))), 0)), "")</f>
        <v/>
      </c>
      <c r="DZ314" s="4" t="str">
        <f t="array" ref="DZ314">IFERROR(INDEX(球員狀態!V$2:V$5000, MATCH(1, (球員狀態!$A$2:$A$5000=$DF$1)*(ISNUMBER(SEARCH($DF314, 球員狀態!$B$2:$B$5000))), 0)), "")</f>
        <v/>
      </c>
      <c r="EA314" s="4" t="str">
        <f t="array" ref="EA314">IFERROR(INDEX(球員狀態!W$2:W$5000,MATCH(1,(球員狀態!$A$2:$A$5000=$DF$301)*(ISNUMBER(SEARCH($DF314,球員狀態!$B$2:$B$5000))),0)),"")</f>
        <v/>
      </c>
      <c r="EB314" s="4" t="str">
        <f t="array" ref="EB314">IFERROR(INDEX(球員狀態!X$2:X$5000, MATCH(1, (球員狀態!$A$2:$A$5000=$DF$1)*(ISNUMBER(SEARCH($DF314, 球員狀態!$B$2:$B$5000))), 0)), "")</f>
        <v/>
      </c>
      <c r="EC314" s="4" t="str">
        <f t="array" ref="EC314">IFERROR(INDEX(球員狀態!Y$2:Y$5000, MATCH(1, (球員狀態!$A$2:$A$5000=$DF$1)*(ISNUMBER(SEARCH($DF314, 球員狀態!$B$2:$B$5000))), 0)), "")</f>
        <v/>
      </c>
      <c r="ED314" s="4" t="str">
        <f t="array" ref="ED314">IFERROR(INDEX(球員狀態!Z$2:Z$5000,MATCH(1,(球員狀態!$A$2:$A$5000=$DF$301)*(ISNUMBER(SEARCH($DF314,球員狀態!$B$2:$B$5000))),0)),"")</f>
        <v/>
      </c>
      <c r="EE314" s="4" t="str">
        <f t="array" ref="EE314">IFERROR(INDEX(球員狀態!AA$2:AA$5000,MATCH(1,(球員狀態!$A$2:$A$5000=$DF$301)*(ISNUMBER(SEARCH($DF314,球員狀態!$B$2:$B$5000))),0)),"")</f>
        <v/>
      </c>
      <c r="EF314" s="4" t="str">
        <f t="array" ref="EF314">IFERROR(INDEX(球員狀態!AB$2:AB$5000,MATCH(1,(球員狀態!$A$2:$A$5000=$DF$301)*(ISNUMBER(SEARCH($DF314,球員狀態!$B$2:$B$5000))),0)),"")</f>
        <v/>
      </c>
      <c r="EG314" s="56"/>
      <c r="EI314" s="37" t="str">
        <f>先發名單!U$12</f>
        <v>D. Beavers</v>
      </c>
      <c r="EJ314" s="4" t="str">
        <f t="array" ref="EJ314">IFERROR(INDEX(球員狀態!C$2:C$5000, MATCH(1, (球員狀態!$A$2:$A$5000=$EI$301)*(ISNUMBER(SEARCH($EI314, 球員狀態!$B$2:$B$5000))), 0)), "")</f>
        <v/>
      </c>
      <c r="EM314" s="4" t="str">
        <f t="array" ref="EM314">IFERROR(INDEX(球員狀態!F$2:F$5000, MATCH(1, (球員狀態!$A$2:$A$5000=$EI$301)*(ISNUMBER(SEARCH($EI314, 球員狀態!$B$2:$B$5000))), 0)), "")</f>
        <v/>
      </c>
      <c r="EN314" s="4" t="str">
        <f t="array" ref="EN314">IFERROR(INDEX(球員狀態!G$2:G$5000, MATCH(1, (球員狀態!$A$2:$A$5000=$EI$1)*(ISNUMBER(SEARCH($EI314, 球員狀態!$B$2:$B$5000))), 0)), "")</f>
        <v/>
      </c>
      <c r="EO314" s="4" t="str">
        <f t="array" ref="EO314">IFERROR(INDEX(球員狀態!H$2:H$5000, MATCH(1, (球員狀態!$A$2:$A$5000=$EI$301)*(ISNUMBER(SEARCH($EI314, 球員狀態!$B$2:$B$5000))), 0)), "")</f>
        <v/>
      </c>
      <c r="EP314" s="4" t="str">
        <f t="array" ref="EP314">IFERROR(INDEX(球員狀態!I$2:I$5000, MATCH(1, (球員狀態!$A$2:$A$5000=$EI$301)*(ISNUMBER(SEARCH($EI314, 球員狀態!$B$2:$B$5000))), 0)), "")</f>
        <v/>
      </c>
      <c r="EQ314" s="4" t="str">
        <f t="array" ref="EQ314">IFERROR(INDEX(球員狀態!J$2:J$5000, MATCH(1, (球員狀態!$A$2:$A$5000=$EI$301)*(ISNUMBER(SEARCH($EI314, 球員狀態!$B$2:$B$5000))), 0)), "")</f>
        <v/>
      </c>
      <c r="ER314" s="4" t="str">
        <f t="array" ref="ER314">IFERROR(INDEX(球員狀態!K$2:K$5000, MATCH(1, (球員狀態!$A$2:$A$5000=$EI$301)*(ISNUMBER(SEARCH($EI314, 球員狀態!$B$2:$B$5000))), 0)), "")</f>
        <v/>
      </c>
      <c r="ES314" s="4" t="str">
        <f t="array" ref="ES314">IFERROR(INDEX(球員狀態!L$2:L$5000, MATCH(1, (球員狀態!$A$2:$A$5000=$EI$301)*(ISNUMBER(SEARCH($EI314, 球員狀態!$B$2:$B$5000))), 0)), "")</f>
        <v/>
      </c>
      <c r="ET314" s="4" t="str">
        <f t="array" ref="ET314">IFERROR(INDEX(球員狀態!M$2:M$5000, MATCH(1, (球員狀態!$A$2:$A$5000=$EI$301)*(ISNUMBER(SEARCH($EI314, 球員狀態!$B$2:$B$5000))), 0)), "")</f>
        <v/>
      </c>
      <c r="EU314" s="4" t="str">
        <f t="array" ref="EU314">IFERROR(INDEX(球員狀態!N$2:N$5000, MATCH(1, (球員狀態!$A$2:$A$5000=$EI$301)*(ISNUMBER(SEARCH($EI314, 球員狀態!$B$2:$B$5000))), 0)), "")</f>
        <v/>
      </c>
      <c r="EV314" s="4" t="str">
        <f t="array" ref="EV314">IFERROR(INDEX(球員狀態!O$2:O$5000, MATCH(1, (球員狀態!$A$2:$A$5000=$EI$1)*(ISNUMBER(SEARCH($EI314, 球員狀態!$B$2:$B$5000))), 0)), "")</f>
        <v/>
      </c>
      <c r="EW314" s="4" t="str">
        <f t="array" ref="EW314">IFERROR(INDEX(球員狀態!P$2:P$5000, MATCH(1, (球員狀態!$A$2:$A$5000=$EI$1)*(ISNUMBER(SEARCH($EI314, 球員狀態!$B$2:$B$5000))), 0)), "")</f>
        <v/>
      </c>
      <c r="EX314" s="4" t="str">
        <f t="array" ref="EX314">IFERROR(INDEX(球員狀態!Q$2:Q$5000, MATCH(1, (球員狀態!$A$2:$A$5000=$EI$301)*(ISNUMBER(SEARCH($EI314, 球員狀態!$B$2:$B$5000))), 0)), "")</f>
        <v/>
      </c>
      <c r="EY314" s="4" t="str">
        <f t="array" ref="EY314">IFERROR(INDEX(球員狀態!R$2:R$5000, MATCH(1, (球員狀態!$A$2:$A$5000=$EI$1)*(ISNUMBER(SEARCH($EI314, 球員狀態!$B$2:$B$5000))), 0)), "")</f>
        <v/>
      </c>
      <c r="EZ314" s="4" t="str">
        <f t="array" ref="EZ314">IFERROR(INDEX(球員狀態!S$2:S$5000, MATCH(1, (球員狀態!$A$2:$A$5000=$EI$1)*(ISNUMBER(SEARCH($EI314, 球員狀態!$B$2:$B$5000))), 0)), "")</f>
        <v/>
      </c>
      <c r="FA314" s="4" t="str">
        <f t="array" ref="FA314">IFERROR(INDEX(球員狀態!T$2:T$5000, MATCH(1, (球員狀態!$A$2:$A$5000=$EI$301)*(ISNUMBER(SEARCH($EI314, 球員狀態!$B$2:$B$5000))), 0)), "")</f>
        <v/>
      </c>
      <c r="FB314" s="4" t="str">
        <f t="array" ref="FB314">IFERROR(INDEX(球員狀態!U$2:U$5000, MATCH(1, (球員狀態!$A$2:$A$5000=$EI$1)*(ISNUMBER(SEARCH($EI314, 球員狀態!$B$2:$B$5000))), 0)), "")</f>
        <v/>
      </c>
      <c r="FC314" s="4" t="str">
        <f t="array" ref="FC314">IFERROR(INDEX(球員狀態!V$2:V$5000, MATCH(1, (球員狀態!$A$2:$A$5000=$EI$1)*(ISNUMBER(SEARCH($EI314, 球員狀態!$B$2:$B$5000))), 0)), "")</f>
        <v/>
      </c>
      <c r="FD314" s="4" t="str">
        <f t="array" ref="FD314">IFERROR(INDEX(球員狀態!W$2:W$5000, MATCH(1, (球員狀態!$A$2:$A$5000=$EI$301)*(ISNUMBER(SEARCH($EI314, 球員狀態!$B$2:$B$5000))), 0)), "")</f>
        <v/>
      </c>
      <c r="FE314" s="4" t="str">
        <f t="array" ref="FE314">IFERROR(INDEX(球員狀態!X$2:X$5000, MATCH(1, (球員狀態!$A$2:$A$5000=$EI$1)*(ISNUMBER(SEARCH($EI314, 球員狀態!$B$2:$B$5000))), 0)), "")</f>
        <v/>
      </c>
      <c r="FF314" s="4" t="str">
        <f t="array" ref="FF314">IFERROR(INDEX(球員狀態!Y$2:Y$5000, MATCH(1, (球員狀態!$A$2:$A$5000=$EI$1)*(ISNUMBER(SEARCH($EI314, 球員狀態!$B$2:$B$5000))), 0)), "")</f>
        <v/>
      </c>
      <c r="FG314" s="4" t="str">
        <f t="array" ref="FG314">IFERROR(INDEX(球員狀態!Z$2:Z$5000, MATCH(1, (球員狀態!$A$2:$A$5000=$EI$301)*(ISNUMBER(SEARCH($EI314, 球員狀態!$B$2:$B$5000))), 0)), "")</f>
        <v/>
      </c>
      <c r="FH314" s="4" t="str">
        <f t="array" ref="FH314">IFERROR(INDEX(球員狀態!AA$2:AA$5000, MATCH(1, (球員狀態!$A$2:$A$5000=$EI$301)*(ISNUMBER(SEARCH($EI314, 球員狀態!$B$2:$B$5000))), 0)), "")</f>
        <v/>
      </c>
      <c r="FI314" s="4" t="str">
        <f t="array" ref="FI314">IFERROR(INDEX(球員狀態!AB$2:AB$5000, MATCH(1, (球員狀態!$A$2:$A$5000=$EI$301)*(ISNUMBER(SEARCH($EI314, 球員狀態!$B$2:$B$5000))), 0)), "")</f>
        <v/>
      </c>
    </row>
    <row r="315" spans="110:165">
      <c r="DH315" s="40" t="e">
        <f>DJ315+DL315+DM315+DN315+DO315-DP315-DQ315+DR315</f>
        <v>#VALUE!</v>
      </c>
      <c r="DI315" s="42" t="e">
        <f>DU315+DX315+EA315+ED315+EE315+EF315</f>
        <v>#VALUE!</v>
      </c>
      <c r="DJ315" s="38" t="e">
        <f>VLOOKUP(DJ314*1, FK$2:FM$12, 3, TRUE)*FM$1</f>
        <v>#VALUE!</v>
      </c>
      <c r="DL315" s="38" t="e">
        <f>VLOOKUP(DL314*1, FN$2:FP$12, 3, TRUE)*FP$1</f>
        <v>#VALUE!</v>
      </c>
      <c r="DM315" s="38" t="e">
        <f>VLOOKUP(DM314*1, FQ$2:FS$12, 3, TRUE)*FS$1</f>
        <v>#VALUE!</v>
      </c>
      <c r="DN315" s="38" t="e">
        <f>VLOOKUP(DN314*1, FT$2:FV$12, 3, TRUE)*FV$1</f>
        <v>#VALUE!</v>
      </c>
      <c r="DO315" s="38" t="e">
        <f>VLOOKUP(DO314*1, FW$2:FY$12, 3, TRUE)*FY$1</f>
        <v>#VALUE!</v>
      </c>
      <c r="DP315" s="39" t="e">
        <f>VLOOKUP(DP314*1, FK$14:FM$25, 3, TRUE)*FM$14</f>
        <v>#VALUE!</v>
      </c>
      <c r="DQ315" s="39" t="e">
        <f>VLOOKUP(DQ314*1, FN$14:FP$25, 3, TRUE)*FP$14</f>
        <v>#VALUE!</v>
      </c>
      <c r="DR315" s="38" t="e">
        <f>VLOOKUP(DR314*1, FQ$14:FS$25, 3, TRUE)*FS$14</f>
        <v>#VALUE!</v>
      </c>
      <c r="DU315" s="41" t="e">
        <f>VLOOKUP(DU314*1, FK$27:FM$38, 3, TRUE)*FM$27</f>
        <v>#VALUE!</v>
      </c>
      <c r="DX315" s="41" t="e">
        <f>VLOOKUP(DX314*1, FN$27:FP$38, 3, TRUE)*FP$27</f>
        <v>#VALUE!</v>
      </c>
      <c r="EA315" s="41" t="e">
        <f>VLOOKUP(EA314*1, FQ$27:FS$38, 3, TRUE)*FS$27</f>
        <v>#VALUE!</v>
      </c>
      <c r="ED315" s="41" t="e">
        <f>VLOOKUP(ED314*1, FT$27:FV$38, 3, TRUE)*FV$27</f>
        <v>#VALUE!</v>
      </c>
      <c r="EE315" s="41" t="e">
        <f>VLOOKUP(EE314*1, FW$27:FY$38, 3, TRUE)*FY$27</f>
        <v>#VALUE!</v>
      </c>
      <c r="EF315" s="41" t="e">
        <f>VLOOKUP(EF314*1, FK$40:FM$51, 3, TRUE)*FM$40</f>
        <v>#VALUE!</v>
      </c>
      <c r="EG315" s="57"/>
      <c r="EK315" s="40" t="e">
        <f>EM315+EO315+EP315+EQ315+ER315-ES315-ET315+EU315</f>
        <v>#VALUE!</v>
      </c>
      <c r="EL315" s="42" t="e">
        <f>EX315+FA315+FD315+FG315+FH315+FI315</f>
        <v>#VALUE!</v>
      </c>
      <c r="EM315" s="38" t="e">
        <f>VLOOKUP(EM314*1, $FK$2:$FM$12, 3, TRUE)*$FM$1</f>
        <v>#VALUE!</v>
      </c>
      <c r="EO315" s="38" t="e">
        <f>VLOOKUP(EO314*1, $FN$2:$FP$12, 3, TRUE)*$FP$1</f>
        <v>#VALUE!</v>
      </c>
      <c r="EP315" s="38" t="e">
        <f>VLOOKUP(EP314*1, $FQ$2:$FS$12, 3, TRUE)*$FS$1</f>
        <v>#VALUE!</v>
      </c>
      <c r="EQ315" s="38" t="e">
        <f>VLOOKUP(EQ314*1, $FT$2:$FV$12, 3, TRUE)*$FV$1</f>
        <v>#VALUE!</v>
      </c>
      <c r="ER315" s="38" t="e">
        <f>VLOOKUP(ER314*1, $FW$2:$FY$12, 3, TRUE)*$FY$1</f>
        <v>#VALUE!</v>
      </c>
      <c r="ES315" s="39" t="e">
        <f>VLOOKUP(ES314*1, $FK$14:$FM$25, 3, TRUE)*$FM$14</f>
        <v>#VALUE!</v>
      </c>
      <c r="ET315" s="39" t="e">
        <f>VLOOKUP(ET314*1, $FN$14:$FP$25, 3, TRUE)*$FP$14</f>
        <v>#VALUE!</v>
      </c>
      <c r="EU315" s="38" t="e">
        <f>VLOOKUP(EU314*1, $FQ$14:$FS$25, 3, TRUE)*$FS$14</f>
        <v>#VALUE!</v>
      </c>
      <c r="EX315" s="41" t="e">
        <f>VLOOKUP(EX314*1, $FK$27:$FM$38, 3, TRUE)*$FM$27</f>
        <v>#VALUE!</v>
      </c>
      <c r="FA315" s="41" t="e">
        <f>VLOOKUP(FA314*1, $FN$27:$FP$38, 3, TRUE)*$FP$27</f>
        <v>#VALUE!</v>
      </c>
      <c r="FD315" s="41" t="e">
        <f>VLOOKUP(FD314*1, $FQ$27:$FS$38, 3, TRUE)*$FS$27</f>
        <v>#VALUE!</v>
      </c>
      <c r="FG315" s="41" t="e">
        <f>VLOOKUP(FG314*1, $FT$27:$FV$38, 3, TRUE)*$FV$27</f>
        <v>#VALUE!</v>
      </c>
      <c r="FH315" s="41" t="e">
        <f>VLOOKUP(FH314*1, $FW$27:$FY$38, 3, TRUE)*$FY$27</f>
        <v>#VALUE!</v>
      </c>
      <c r="FI315" s="41" t="e">
        <f>VLOOKUP(FI314*1, $FK$40:$FM$51, 3, TRUE)*$FM$40</f>
        <v>#VALUE!</v>
      </c>
    </row>
    <row r="316" spans="110:165">
      <c r="DF316" s="37" t="str">
        <f>先發名單!L$12</f>
        <v>Cam Smith</v>
      </c>
      <c r="DG316" s="4" t="str">
        <f t="array" ref="DG316">IFERROR(INDEX(球員狀態!$C$2:$C$5000, MATCH(1, (球員狀態!$A$2:$A$5000=$DF$3011)*(ISNUMBER(SEARCH($DF316, 球員狀態!$B$2:$B$5000))), 0)), "")</f>
        <v/>
      </c>
      <c r="DJ316" s="4" t="str">
        <f t="array" ref="DJ316">IFERROR(INDEX(球員狀態!$F$2:$F$5000,MATCH(1,(球員狀態!$A$2:$A$5000=$DF$301)*(ISNUMBER(SEARCH($DF316,球員狀態!$B$2:$B$5000))),0)),"")</f>
        <v/>
      </c>
      <c r="DK316" s="4" t="str">
        <f t="array" ref="DK316">IFERROR(INDEX(球員狀態!G$2:G$5000, MATCH(1, (球員狀態!$A$2:$A$5000=$DF$1)*(ISNUMBER(SEARCH($DF316, 球員狀態!$B$2:$B$5000))), 0)), "")</f>
        <v/>
      </c>
      <c r="DL316" s="4" t="str">
        <f t="array" ref="DL316">IFERROR(INDEX(球員狀態!H$2:H$5000, MATCH(1, (球員狀態!$A$2:$A$5000=$DF$301)*(ISNUMBER(SEARCH($DF316, 球員狀態!$B$2:$B$5000))), 0)), "")</f>
        <v/>
      </c>
      <c r="DM316" s="4" t="str">
        <f t="array" ref="DM316">IFERROR(INDEX(球員狀態!I$2:I$5000,MATCH(1,(球員狀態!$A$2:$A$5000=$DF$301)*(ISNUMBER(SEARCH($DF316,球員狀態!$B$2:$B$5000))),0)),"")</f>
        <v/>
      </c>
      <c r="DN316" s="4" t="str">
        <f t="array" ref="DN316">IFERROR(INDEX(球員狀態!J$2:J$5000,MATCH(1,(球員狀態!$A$2:$A$5000=$DF$301)*(ISNUMBER(SEARCH($DF316,球員狀態!$B$2:$B$5000))),0)),"")</f>
        <v/>
      </c>
      <c r="DO316" s="4" t="str">
        <f t="array" ref="DO316">IFERROR(INDEX(球員狀態!K$2:K$5000,MATCH(1,(球員狀態!$A$2:$A$5000=$DF$301)*(ISNUMBER(SEARCH($DF316,球員狀態!$B$2:$B$5000))),0)),"")</f>
        <v/>
      </c>
      <c r="DP316" s="4" t="str">
        <f t="array" ref="DP316">IFERROR(INDEX(球員狀態!L$2:L$5000,MATCH(1,(球員狀態!$A$2:$A$5000=$DF$301)*(ISNUMBER(SEARCH($DF316,球員狀態!$B$2:$B$5000))),0)),"")</f>
        <v/>
      </c>
      <c r="DQ316" s="4" t="str">
        <f t="array" ref="DQ316">IFERROR(INDEX(球員狀態!M$2:M$5000,MATCH(1,(球員狀態!$A$2:$A$5000=$DF$301)*(ISNUMBER(SEARCH($DF316,球員狀態!$B$2:$B$5000))),0)),"")</f>
        <v/>
      </c>
      <c r="DR316" s="4" t="str">
        <f t="array" ref="DR316">IFERROR(INDEX(球員狀態!N$2:N$5000,MATCH(1,(球員狀態!$A$2:$A$5000=$DF$301)*(ISNUMBER(SEARCH($DF316,球員狀態!$B$2:$B$5000))),0)),"")</f>
        <v/>
      </c>
      <c r="DS316" s="4" t="str">
        <f t="array" ref="DS316">IFERROR(INDEX(球員狀態!O$2:O$5000, MATCH(1, (球員狀態!$A$2:$A$5000=$DF$1)*(ISNUMBER(SEARCH($DF316, 球員狀態!$B$2:$B$5000))), 0)), "")</f>
        <v/>
      </c>
      <c r="DT316" s="4" t="str">
        <f t="array" ref="DT316">IFERROR(INDEX(球員狀態!P$2:P$5000, MATCH(1, (球員狀態!$A$2:$A$5000=$DF$1)*(ISNUMBER(SEARCH($DF316, 球員狀態!$B$2:$B$5000))), 0)), "")</f>
        <v/>
      </c>
      <c r="DU316" s="4" t="str">
        <f t="array" ref="DU316">IFERROR(INDEX(球員狀態!Q$2:Q$5000,MATCH(1,(球員狀態!$A$2:$A$5000=$DF$301)*(ISNUMBER(SEARCH($DF316,球員狀態!$B$2:$B$5000))),0)),"")</f>
        <v/>
      </c>
      <c r="DV316" s="4" t="str">
        <f t="array" ref="DV316">IFERROR(INDEX(球員狀態!R$2:R$5000, MATCH(1, (球員狀態!$A$2:$A$5000=$DF$1)*(ISNUMBER(SEARCH($DF316, 球員狀態!$B$2:$B$5000))), 0)), "")</f>
        <v/>
      </c>
      <c r="DW316" s="4" t="str">
        <f t="array" ref="DW316">IFERROR(INDEX(球員狀態!S$2:S$5000, MATCH(1, (球員狀態!$A$2:$A$5000=$DF$1)*(ISNUMBER(SEARCH($DF316, 球員狀態!$B$2:$B$5000))), 0)), "")</f>
        <v/>
      </c>
      <c r="DX316" s="4" t="str">
        <f t="array" ref="DX316">IFERROR(INDEX(球員狀態!T$2:T$5000,MATCH(1,(球員狀態!$A$2:$A$5000=$DF$301)*(ISNUMBER(SEARCH($DF316,球員狀態!$B$2:$B$5000))),0)),"")</f>
        <v/>
      </c>
      <c r="DY316" s="4" t="str">
        <f t="array" ref="DY316">IFERROR(INDEX(球員狀態!U$2:U$5000, MATCH(1, (球員狀態!$A$2:$A$5000=$DF$1)*(ISNUMBER(SEARCH($DF316, 球員狀態!$B$2:$B$5000))), 0)), "")</f>
        <v/>
      </c>
      <c r="DZ316" s="4" t="str">
        <f t="array" ref="DZ316">IFERROR(INDEX(球員狀態!V$2:V$5000, MATCH(1, (球員狀態!$A$2:$A$5000=$DF$1)*(ISNUMBER(SEARCH($DF316, 球員狀態!$B$2:$B$5000))), 0)), "")</f>
        <v/>
      </c>
      <c r="EA316" s="4" t="str">
        <f t="array" ref="EA316">IFERROR(INDEX(球員狀態!W$2:W$5000,MATCH(1,(球員狀態!$A$2:$A$5000=$DF$301)*(ISNUMBER(SEARCH($DF316,球員狀態!$B$2:$B$5000))),0)),"")</f>
        <v/>
      </c>
      <c r="EB316" s="4" t="str">
        <f t="array" ref="EB316">IFERROR(INDEX(球員狀態!X$2:X$5000, MATCH(1, (球員狀態!$A$2:$A$5000=$DF$1)*(ISNUMBER(SEARCH($DF316, 球員狀態!$B$2:$B$5000))), 0)), "")</f>
        <v/>
      </c>
      <c r="EC316" s="4" t="str">
        <f t="array" ref="EC316">IFERROR(INDEX(球員狀態!Y$2:Y$5000, MATCH(1, (球員狀態!$A$2:$A$5000=$DF$1)*(ISNUMBER(SEARCH($DF316, 球員狀態!$B$2:$B$5000))), 0)), "")</f>
        <v/>
      </c>
      <c r="ED316" s="4" t="str">
        <f t="array" ref="ED316">IFERROR(INDEX(球員狀態!Z$2:Z$5000,MATCH(1,(球員狀態!$A$2:$A$5000=$DF$301)*(ISNUMBER(SEARCH($DF316,球員狀態!$B$2:$B$5000))),0)),"")</f>
        <v/>
      </c>
      <c r="EE316" s="4" t="str">
        <f t="array" ref="EE316">IFERROR(INDEX(球員狀態!AA$2:AA$5000,MATCH(1,(球員狀態!$A$2:$A$5000=$DF$301)*(ISNUMBER(SEARCH($DF316,球員狀態!$B$2:$B$5000))),0)),"")</f>
        <v/>
      </c>
      <c r="EF316" s="4" t="str">
        <f t="array" ref="EF316">IFERROR(INDEX(球員狀態!AB$2:AB$5000,MATCH(1,(球員狀態!$A$2:$A$5000=$DF$301)*(ISNUMBER(SEARCH($DF316,球員狀態!$B$2:$B$5000))),0)),"")</f>
        <v/>
      </c>
      <c r="EG316" s="56"/>
      <c r="EI316" s="37" t="str">
        <f>先發名單!V$12</f>
        <v>J. Jackson</v>
      </c>
      <c r="EJ316" s="4" t="str">
        <f t="array" ref="EJ316">IFERROR(INDEX(球員狀態!C$2:C$5000, MATCH(1, (球員狀態!$A$2:$A$5000=$EI$301)*(ISNUMBER(SEARCH($EI316, 球員狀態!$B$2:$B$5000))), 0)), "")</f>
        <v/>
      </c>
      <c r="EM316" s="4" t="str">
        <f t="array" ref="EM316">IFERROR(INDEX(球員狀態!F$2:F$5000, MATCH(1, (球員狀態!$A$2:$A$5000=$EI$301)*(ISNUMBER(SEARCH($EI316, 球員狀態!$B$2:$B$5000))), 0)), "")</f>
        <v/>
      </c>
      <c r="EN316" s="4" t="str">
        <f t="array" ref="EN316">IFERROR(INDEX(球員狀態!G$2:G$5000, MATCH(1, (球員狀態!$A$2:$A$5000=$EI$1)*(ISNUMBER(SEARCH($EI316, 球員狀態!$B$2:$B$5000))), 0)), "")</f>
        <v/>
      </c>
      <c r="EO316" s="4" t="str">
        <f t="array" ref="EO316">IFERROR(INDEX(球員狀態!H$2:H$5000, MATCH(1, (球員狀態!$A$2:$A$5000=$EI$301)*(ISNUMBER(SEARCH($EI316, 球員狀態!$B$2:$B$5000))), 0)), "")</f>
        <v/>
      </c>
      <c r="EP316" s="4" t="str">
        <f t="array" ref="EP316">IFERROR(INDEX(球員狀態!I$2:I$5000, MATCH(1, (球員狀態!$A$2:$A$5000=$EI$301)*(ISNUMBER(SEARCH($EI316, 球員狀態!$B$2:$B$5000))), 0)), "")</f>
        <v/>
      </c>
      <c r="EQ316" s="4" t="str">
        <f t="array" ref="EQ316">IFERROR(INDEX(球員狀態!J$2:J$5000, MATCH(1, (球員狀態!$A$2:$A$5000=$EI$301)*(ISNUMBER(SEARCH($EI316, 球員狀態!$B$2:$B$5000))), 0)), "")</f>
        <v/>
      </c>
      <c r="ER316" s="4" t="str">
        <f t="array" ref="ER316">IFERROR(INDEX(球員狀態!K$2:K$5000, MATCH(1, (球員狀態!$A$2:$A$5000=$EI$301)*(ISNUMBER(SEARCH($EI316, 球員狀態!$B$2:$B$5000))), 0)), "")</f>
        <v/>
      </c>
      <c r="ES316" s="4" t="str">
        <f t="array" ref="ES316">IFERROR(INDEX(球員狀態!L$2:L$5000, MATCH(1, (球員狀態!$A$2:$A$5000=$EI$301)*(ISNUMBER(SEARCH($EI316, 球員狀態!$B$2:$B$5000))), 0)), "")</f>
        <v/>
      </c>
      <c r="ET316" s="4" t="str">
        <f t="array" ref="ET316">IFERROR(INDEX(球員狀態!M$2:M$5000, MATCH(1, (球員狀態!$A$2:$A$5000=$EI$301)*(ISNUMBER(SEARCH($EI316, 球員狀態!$B$2:$B$5000))), 0)), "")</f>
        <v/>
      </c>
      <c r="EU316" s="4" t="str">
        <f t="array" ref="EU316">IFERROR(INDEX(球員狀態!N$2:N$5000, MATCH(1, (球員狀態!$A$2:$A$5000=$EI$301)*(ISNUMBER(SEARCH($EI316, 球員狀態!$B$2:$B$5000))), 0)), "")</f>
        <v/>
      </c>
      <c r="EV316" s="4" t="str">
        <f t="array" ref="EV316">IFERROR(INDEX(球員狀態!O$2:O$5000, MATCH(1, (球員狀態!$A$2:$A$5000=$EI$1)*(ISNUMBER(SEARCH($EI316, 球員狀態!$B$2:$B$5000))), 0)), "")</f>
        <v/>
      </c>
      <c r="EW316" s="4" t="str">
        <f t="array" ref="EW316">IFERROR(INDEX(球員狀態!P$2:P$5000, MATCH(1, (球員狀態!$A$2:$A$5000=$EI$1)*(ISNUMBER(SEARCH($EI316, 球員狀態!$B$2:$B$5000))), 0)), "")</f>
        <v/>
      </c>
      <c r="EX316" s="4" t="str">
        <f t="array" ref="EX316">IFERROR(INDEX(球員狀態!Q$2:Q$5000, MATCH(1, (球員狀態!$A$2:$A$5000=$EI$301)*(ISNUMBER(SEARCH($EI316, 球員狀態!$B$2:$B$5000))), 0)), "")</f>
        <v/>
      </c>
      <c r="EY316" s="4" t="str">
        <f t="array" ref="EY316">IFERROR(INDEX(球員狀態!R$2:R$5000, MATCH(1, (球員狀態!$A$2:$A$5000=$EI$1)*(ISNUMBER(SEARCH($EI316, 球員狀態!$B$2:$B$5000))), 0)), "")</f>
        <v/>
      </c>
      <c r="EZ316" s="4" t="str">
        <f t="array" ref="EZ316">IFERROR(INDEX(球員狀態!S$2:S$5000, MATCH(1, (球員狀態!$A$2:$A$5000=$EI$1)*(ISNUMBER(SEARCH($EI316, 球員狀態!$B$2:$B$5000))), 0)), "")</f>
        <v/>
      </c>
      <c r="FA316" s="4" t="str">
        <f t="array" ref="FA316">IFERROR(INDEX(球員狀態!T$2:T$5000, MATCH(1, (球員狀態!$A$2:$A$5000=$EI$301)*(ISNUMBER(SEARCH($EI316, 球員狀態!$B$2:$B$5000))), 0)), "")</f>
        <v/>
      </c>
      <c r="FB316" s="4" t="str">
        <f t="array" ref="FB316">IFERROR(INDEX(球員狀態!U$2:U$5000, MATCH(1, (球員狀態!$A$2:$A$5000=$EI$1)*(ISNUMBER(SEARCH($EI316, 球員狀態!$B$2:$B$5000))), 0)), "")</f>
        <v/>
      </c>
      <c r="FC316" s="4" t="str">
        <f t="array" ref="FC316">IFERROR(INDEX(球員狀態!V$2:V$5000, MATCH(1, (球員狀態!$A$2:$A$5000=$EI$1)*(ISNUMBER(SEARCH($EI316, 球員狀態!$B$2:$B$5000))), 0)), "")</f>
        <v/>
      </c>
      <c r="FD316" s="4" t="str">
        <f t="array" ref="FD316">IFERROR(INDEX(球員狀態!W$2:W$5000, MATCH(1, (球員狀態!$A$2:$A$5000=$EI$301)*(ISNUMBER(SEARCH($EI316, 球員狀態!$B$2:$B$5000))), 0)), "")</f>
        <v/>
      </c>
      <c r="FE316" s="4" t="str">
        <f t="array" ref="FE316">IFERROR(INDEX(球員狀態!X$2:X$5000, MATCH(1, (球員狀態!$A$2:$A$5000=$EI$1)*(ISNUMBER(SEARCH($EI316, 球員狀態!$B$2:$B$5000))), 0)), "")</f>
        <v/>
      </c>
      <c r="FF316" s="4" t="str">
        <f t="array" ref="FF316">IFERROR(INDEX(球員狀態!Y$2:Y$5000, MATCH(1, (球員狀態!$A$2:$A$5000=$EI$1)*(ISNUMBER(SEARCH($EI316, 球員狀態!$B$2:$B$5000))), 0)), "")</f>
        <v/>
      </c>
      <c r="FG316" s="4" t="str">
        <f t="array" ref="FG316">IFERROR(INDEX(球員狀態!Z$2:Z$5000, MATCH(1, (球員狀態!$A$2:$A$5000=$EI$301)*(ISNUMBER(SEARCH($EI316, 球員狀態!$B$2:$B$5000))), 0)), "")</f>
        <v/>
      </c>
      <c r="FH316" s="4" t="str">
        <f t="array" ref="FH316">IFERROR(INDEX(球員狀態!AA$2:AA$5000, MATCH(1, (球員狀態!$A$2:$A$5000=$EI$301)*(ISNUMBER(SEARCH($EI316, 球員狀態!$B$2:$B$5000))), 0)), "")</f>
        <v/>
      </c>
      <c r="FI316" s="4" t="str">
        <f t="array" ref="FI316">IFERROR(INDEX(球員狀態!AB$2:AB$5000, MATCH(1, (球員狀態!$A$2:$A$5000=$EI$301)*(ISNUMBER(SEARCH($EI316, 球員狀態!$B$2:$B$5000))), 0)), "")</f>
        <v/>
      </c>
    </row>
    <row r="317" spans="110:165">
      <c r="DH317" s="40" t="e">
        <f>DJ317+DL317+DM317+DN317+DO317-DP317-DQ317+DR317</f>
        <v>#VALUE!</v>
      </c>
      <c r="DI317" s="42" t="e">
        <f>DU317+DX317+EA317+ED317+EE317+EF317</f>
        <v>#VALUE!</v>
      </c>
      <c r="DJ317" s="38" t="e">
        <f>VLOOKUP(DJ316*1, FK$2:FM$12, 3, TRUE)*FM$1</f>
        <v>#VALUE!</v>
      </c>
      <c r="DL317" s="38" t="e">
        <f>VLOOKUP(DL316*1, FN$2:FP$12, 3, TRUE)*FP$1</f>
        <v>#VALUE!</v>
      </c>
      <c r="DM317" s="38" t="e">
        <f>VLOOKUP(DM316*1, FQ$2:FS$12, 3, TRUE)*FS$1</f>
        <v>#VALUE!</v>
      </c>
      <c r="DN317" s="38" t="e">
        <f>VLOOKUP(DN316*1, FT$2:FV$12, 3, TRUE)*FV$1</f>
        <v>#VALUE!</v>
      </c>
      <c r="DO317" s="38" t="e">
        <f>VLOOKUP(DO316*1, FW$2:FY$12, 3, TRUE)*FY$1</f>
        <v>#VALUE!</v>
      </c>
      <c r="DP317" s="39" t="e">
        <f>VLOOKUP(DP316*1, FK$14:FM$25, 3, TRUE)*FM$14</f>
        <v>#VALUE!</v>
      </c>
      <c r="DQ317" s="39" t="e">
        <f>VLOOKUP(DQ316*1, FN$14:FP$25, 3, TRUE)*FP$14</f>
        <v>#VALUE!</v>
      </c>
      <c r="DR317" s="38" t="e">
        <f>VLOOKUP(DR316*1, FQ$14:FS$25, 3, TRUE)*FS$14</f>
        <v>#VALUE!</v>
      </c>
      <c r="DU317" s="41" t="e">
        <f>VLOOKUP(DU316*1, FK$27:FM$38, 3, TRUE)*FM$27</f>
        <v>#VALUE!</v>
      </c>
      <c r="DX317" s="41" t="e">
        <f>VLOOKUP(DX316*1, FN$27:FP$38, 3, TRUE)*FP$27</f>
        <v>#VALUE!</v>
      </c>
      <c r="EA317" s="41" t="e">
        <f>VLOOKUP(EA316*1, FQ$27:FS$38, 3, TRUE)*FS$27</f>
        <v>#VALUE!</v>
      </c>
      <c r="ED317" s="41" t="e">
        <f>VLOOKUP(ED316*1, FT$27:FV$38, 3, TRUE)*FV$27</f>
        <v>#VALUE!</v>
      </c>
      <c r="EE317" s="41" t="e">
        <f>VLOOKUP(EE316*1, FW$27:FY$38, 3, TRUE)*FY$27</f>
        <v>#VALUE!</v>
      </c>
      <c r="EF317" s="41" t="e">
        <f>VLOOKUP(EF316*1, FK$40:FM$51, 3, TRUE)*FM$40</f>
        <v>#VALUE!</v>
      </c>
      <c r="EG317" s="57"/>
      <c r="EK317" s="40" t="e">
        <f>EM317+EO317+EP317+EQ317+ER317-ES317-ET317+EU317</f>
        <v>#VALUE!</v>
      </c>
      <c r="EL317" s="42" t="e">
        <f>EX317+FA317+FD317+FG317+FH317+FI317</f>
        <v>#VALUE!</v>
      </c>
      <c r="EM317" s="38" t="e">
        <f>VLOOKUP(EM316*1, $FK$2:$FM$12, 3, TRUE)*$FM$1</f>
        <v>#VALUE!</v>
      </c>
      <c r="EO317" s="38" t="e">
        <f>VLOOKUP(EO316*1, $FN$2:$FP$12, 3, TRUE)*$FP$1</f>
        <v>#VALUE!</v>
      </c>
      <c r="EP317" s="38" t="e">
        <f>VLOOKUP(EP316*1, $FQ$2:$FS$12, 3, TRUE)*$FS$1</f>
        <v>#VALUE!</v>
      </c>
      <c r="EQ317" s="38" t="e">
        <f>VLOOKUP(EQ316*1, $FT$2:$FV$12, 3, TRUE)*$FV$1</f>
        <v>#VALUE!</v>
      </c>
      <c r="ER317" s="38" t="e">
        <f>VLOOKUP(ER316*1, $FW$2:$FY$12, 3, TRUE)*$FY$1</f>
        <v>#VALUE!</v>
      </c>
      <c r="ES317" s="39" t="e">
        <f>VLOOKUP(ES316*1, $FK$14:$FM$25, 3, TRUE)*$FM$14</f>
        <v>#VALUE!</v>
      </c>
      <c r="ET317" s="39" t="e">
        <f>VLOOKUP(ET316*1, $FN$14:$FP$25, 3, TRUE)*$FP$14</f>
        <v>#VALUE!</v>
      </c>
      <c r="EU317" s="38" t="e">
        <f>VLOOKUP(EU316*1, $FQ$14:$FS$25, 3, TRUE)*$FS$14</f>
        <v>#VALUE!</v>
      </c>
      <c r="EX317" s="41" t="e">
        <f>VLOOKUP(EX316*1, $FK$27:$FM$38, 3, TRUE)*$FM$27</f>
        <v>#VALUE!</v>
      </c>
      <c r="FA317" s="41" t="e">
        <f>VLOOKUP(FA316*1, $FN$27:$FP$38, 3, TRUE)*$FP$27</f>
        <v>#VALUE!</v>
      </c>
      <c r="FD317" s="41" t="e">
        <f>VLOOKUP(FD316*1, $FQ$27:$FS$38, 3, TRUE)*$FS$27</f>
        <v>#VALUE!</v>
      </c>
      <c r="FG317" s="41" t="e">
        <f>VLOOKUP(FG316*1, $FT$27:$FV$38, 3, TRUE)*$FV$27</f>
        <v>#VALUE!</v>
      </c>
      <c r="FH317" s="41" t="e">
        <f>VLOOKUP(FH316*1, $FW$27:$FY$38, 3, TRUE)*$FY$27</f>
        <v>#VALUE!</v>
      </c>
      <c r="FI317" s="41" t="e">
        <f>VLOOKUP(FI316*1, $FK$40:$FM$51, 3, TRUE)*$FM$40</f>
        <v>#VALUE!</v>
      </c>
    </row>
    <row r="318" spans="110:165">
      <c r="DF318" s="37" t="str">
        <f>先發名單!M$12</f>
        <v>Yainer Diaz</v>
      </c>
      <c r="DG318" s="4" t="str">
        <f t="array" ref="DG318">IFERROR(INDEX(球員狀態!$C$2:$C$5000, MATCH(1, (球員狀態!$A$2:$A$5000=$DF$3011)*(ISNUMBER(SEARCH($DF318, 球員狀態!$B$2:$B$5000))), 0)), "")</f>
        <v/>
      </c>
      <c r="DJ318" s="4" t="str">
        <f t="array" ref="DJ318">IFERROR(INDEX(球員狀態!$F$2:$F$5000,MATCH(1,(球員狀態!$A$2:$A$5000=$DF$301)*(ISNUMBER(SEARCH($DF318,球員狀態!$B$2:$B$5000))),0)),"")</f>
        <v/>
      </c>
      <c r="DK318" s="4" t="str">
        <f t="array" ref="DK318">IFERROR(INDEX(球員狀態!G$2:G$5000, MATCH(1, (球員狀態!$A$2:$A$5000=$DF$1)*(ISNUMBER(SEARCH($DF318, 球員狀態!$B$2:$B$5000))), 0)), "")</f>
        <v/>
      </c>
      <c r="DL318" s="4" t="str">
        <f t="array" ref="DL318">IFERROR(INDEX(球員狀態!H$2:H$5000, MATCH(1, (球員狀態!$A$2:$A$5000=$DF$301)*(ISNUMBER(SEARCH($DF318, 球員狀態!$B$2:$B$5000))), 0)), "")</f>
        <v/>
      </c>
      <c r="DM318" s="4" t="str">
        <f t="array" ref="DM318">IFERROR(INDEX(球員狀態!I$2:I$5000,MATCH(1,(球員狀態!$A$2:$A$5000=$DF$301)*(ISNUMBER(SEARCH($DF318,球員狀態!$B$2:$B$5000))),0)),"")</f>
        <v/>
      </c>
      <c r="DN318" s="4" t="str">
        <f t="array" ref="DN318">IFERROR(INDEX(球員狀態!J$2:J$5000,MATCH(1,(球員狀態!$A$2:$A$5000=$DF$301)*(ISNUMBER(SEARCH($DF318,球員狀態!$B$2:$B$5000))),0)),"")</f>
        <v/>
      </c>
      <c r="DO318" s="4" t="str">
        <f t="array" ref="DO318">IFERROR(INDEX(球員狀態!K$2:K$5000,MATCH(1,(球員狀態!$A$2:$A$5000=$DF$301)*(ISNUMBER(SEARCH($DF318,球員狀態!$B$2:$B$5000))),0)),"")</f>
        <v/>
      </c>
      <c r="DP318" s="4" t="str">
        <f t="array" ref="DP318">IFERROR(INDEX(球員狀態!L$2:L$5000,MATCH(1,(球員狀態!$A$2:$A$5000=$DF$301)*(ISNUMBER(SEARCH($DF318,球員狀態!$B$2:$B$5000))),0)),"")</f>
        <v/>
      </c>
      <c r="DQ318" s="4" t="str">
        <f t="array" ref="DQ318">IFERROR(INDEX(球員狀態!M$2:M$5000,MATCH(1,(球員狀態!$A$2:$A$5000=$DF$301)*(ISNUMBER(SEARCH($DF318,球員狀態!$B$2:$B$5000))),0)),"")</f>
        <v/>
      </c>
      <c r="DR318" s="4" t="str">
        <f t="array" ref="DR318">IFERROR(INDEX(球員狀態!N$2:N$5000,MATCH(1,(球員狀態!$A$2:$A$5000=$DF$301)*(ISNUMBER(SEARCH($DF318,球員狀態!$B$2:$B$5000))),0)),"")</f>
        <v/>
      </c>
      <c r="DS318" s="4" t="str">
        <f t="array" ref="DS318">IFERROR(INDEX(球員狀態!O$2:O$5000, MATCH(1, (球員狀態!$A$2:$A$5000=$DF$1)*(ISNUMBER(SEARCH($DF318, 球員狀態!$B$2:$B$5000))), 0)), "")</f>
        <v/>
      </c>
      <c r="DT318" s="4" t="str">
        <f t="array" ref="DT318">IFERROR(INDEX(球員狀態!P$2:P$5000, MATCH(1, (球員狀態!$A$2:$A$5000=$DF$1)*(ISNUMBER(SEARCH($DF318, 球員狀態!$B$2:$B$5000))), 0)), "")</f>
        <v/>
      </c>
      <c r="DU318" s="4" t="str">
        <f t="array" ref="DU318">IFERROR(INDEX(球員狀態!Q$2:Q$5000,MATCH(1,(球員狀態!$A$2:$A$5000=$DF$301)*(ISNUMBER(SEARCH($DF318,球員狀態!$B$2:$B$5000))),0)),"")</f>
        <v/>
      </c>
      <c r="DV318" s="4" t="str">
        <f t="array" ref="DV318">IFERROR(INDEX(球員狀態!R$2:R$5000, MATCH(1, (球員狀態!$A$2:$A$5000=$DF$1)*(ISNUMBER(SEARCH($DF318, 球員狀態!$B$2:$B$5000))), 0)), "")</f>
        <v/>
      </c>
      <c r="DW318" s="4" t="str">
        <f t="array" ref="DW318">IFERROR(INDEX(球員狀態!S$2:S$5000, MATCH(1, (球員狀態!$A$2:$A$5000=$DF$1)*(ISNUMBER(SEARCH($DF318, 球員狀態!$B$2:$B$5000))), 0)), "")</f>
        <v/>
      </c>
      <c r="DX318" s="4" t="str">
        <f t="array" ref="DX318">IFERROR(INDEX(球員狀態!T$2:T$5000,MATCH(1,(球員狀態!$A$2:$A$5000=$DF$301)*(ISNUMBER(SEARCH($DF318,球員狀態!$B$2:$B$5000))),0)),"")</f>
        <v/>
      </c>
      <c r="DY318" s="4" t="str">
        <f t="array" ref="DY318">IFERROR(INDEX(球員狀態!U$2:U$5000, MATCH(1, (球員狀態!$A$2:$A$5000=$DF$1)*(ISNUMBER(SEARCH($DF318, 球員狀態!$B$2:$B$5000))), 0)), "")</f>
        <v/>
      </c>
      <c r="DZ318" s="4" t="str">
        <f t="array" ref="DZ318">IFERROR(INDEX(球員狀態!V$2:V$5000, MATCH(1, (球員狀態!$A$2:$A$5000=$DF$1)*(ISNUMBER(SEARCH($DF318, 球員狀態!$B$2:$B$5000))), 0)), "")</f>
        <v/>
      </c>
      <c r="EA318" s="4" t="str">
        <f t="array" ref="EA318">IFERROR(INDEX(球員狀態!W$2:W$5000,MATCH(1,(球員狀態!$A$2:$A$5000=$DF$301)*(ISNUMBER(SEARCH($DF318,球員狀態!$B$2:$B$5000))),0)),"")</f>
        <v/>
      </c>
      <c r="EB318" s="4" t="str">
        <f t="array" ref="EB318">IFERROR(INDEX(球員狀態!X$2:X$5000, MATCH(1, (球員狀態!$A$2:$A$5000=$DF$1)*(ISNUMBER(SEARCH($DF318, 球員狀態!$B$2:$B$5000))), 0)), "")</f>
        <v/>
      </c>
      <c r="EC318" s="4" t="str">
        <f t="array" ref="EC318">IFERROR(INDEX(球員狀態!Y$2:Y$5000, MATCH(1, (球員狀態!$A$2:$A$5000=$DF$1)*(ISNUMBER(SEARCH($DF318, 球員狀態!$B$2:$B$5000))), 0)), "")</f>
        <v/>
      </c>
      <c r="ED318" s="4" t="str">
        <f t="array" ref="ED318">IFERROR(INDEX(球員狀態!Z$2:Z$5000,MATCH(1,(球員狀態!$A$2:$A$5000=$DF$301)*(ISNUMBER(SEARCH($DF318,球員狀態!$B$2:$B$5000))),0)),"")</f>
        <v/>
      </c>
      <c r="EE318" s="4" t="str">
        <f t="array" ref="EE318">IFERROR(INDEX(球員狀態!AA$2:AA$5000,MATCH(1,(球員狀態!$A$2:$A$5000=$DF$301)*(ISNUMBER(SEARCH($DF318,球員狀態!$B$2:$B$5000))),0)),"")</f>
        <v/>
      </c>
      <c r="EF318" s="4" t="str">
        <f t="array" ref="EF318">IFERROR(INDEX(球員狀態!AB$2:AB$5000,MATCH(1,(球員狀態!$A$2:$A$5000=$DF$301)*(ISNUMBER(SEARCH($DF318,球員狀態!$B$2:$B$5000))),0)),"")</f>
        <v/>
      </c>
      <c r="EG318" s="56"/>
      <c r="EI318" s="37" t="str">
        <f>先發名單!W$12</f>
        <v>L. Taveras</v>
      </c>
      <c r="EJ318" s="4" t="str">
        <f t="array" ref="EJ318">IFERROR(INDEX(球員狀態!C$2:C$5000, MATCH(1, (球員狀態!$A$2:$A$5000=$EI$301)*(ISNUMBER(SEARCH($EI318, 球員狀態!$B$2:$B$5000))), 0)), "")</f>
        <v/>
      </c>
      <c r="EM318" s="4" t="str">
        <f t="array" ref="EM318">IFERROR(INDEX(球員狀態!F$2:F$5000, MATCH(1, (球員狀態!$A$2:$A$5000=$EI$301)*(ISNUMBER(SEARCH($EI318, 球員狀態!$B$2:$B$5000))), 0)), "")</f>
        <v/>
      </c>
      <c r="EN318" s="4" t="str">
        <f t="array" ref="EN318">IFERROR(INDEX(球員狀態!G$2:G$5000, MATCH(1, (球員狀態!$A$2:$A$5000=$EI$1)*(ISNUMBER(SEARCH($EI318, 球員狀態!$B$2:$B$5000))), 0)), "")</f>
        <v/>
      </c>
      <c r="EO318" s="4" t="str">
        <f t="array" ref="EO318">IFERROR(INDEX(球員狀態!H$2:H$5000, MATCH(1, (球員狀態!$A$2:$A$5000=$EI$301)*(ISNUMBER(SEARCH($EI318, 球員狀態!$B$2:$B$5000))), 0)), "")</f>
        <v/>
      </c>
      <c r="EP318" s="4" t="str">
        <f t="array" ref="EP318">IFERROR(INDEX(球員狀態!I$2:I$5000, MATCH(1, (球員狀態!$A$2:$A$5000=$EI$301)*(ISNUMBER(SEARCH($EI318, 球員狀態!$B$2:$B$5000))), 0)), "")</f>
        <v/>
      </c>
      <c r="EQ318" s="4" t="str">
        <f t="array" ref="EQ318">IFERROR(INDEX(球員狀態!J$2:J$5000, MATCH(1, (球員狀態!$A$2:$A$5000=$EI$301)*(ISNUMBER(SEARCH($EI318, 球員狀態!$B$2:$B$5000))), 0)), "")</f>
        <v/>
      </c>
      <c r="ER318" s="4" t="str">
        <f t="array" ref="ER318">IFERROR(INDEX(球員狀態!K$2:K$5000, MATCH(1, (球員狀態!$A$2:$A$5000=$EI$301)*(ISNUMBER(SEARCH($EI318, 球員狀態!$B$2:$B$5000))), 0)), "")</f>
        <v/>
      </c>
      <c r="ES318" s="4" t="str">
        <f t="array" ref="ES318">IFERROR(INDEX(球員狀態!L$2:L$5000, MATCH(1, (球員狀態!$A$2:$A$5000=$EI$301)*(ISNUMBER(SEARCH($EI318, 球員狀態!$B$2:$B$5000))), 0)), "")</f>
        <v/>
      </c>
      <c r="ET318" s="4" t="str">
        <f t="array" ref="ET318">IFERROR(INDEX(球員狀態!M$2:M$5000, MATCH(1, (球員狀態!$A$2:$A$5000=$EI$301)*(ISNUMBER(SEARCH($EI318, 球員狀態!$B$2:$B$5000))), 0)), "")</f>
        <v/>
      </c>
      <c r="EU318" s="4" t="str">
        <f t="array" ref="EU318">IFERROR(INDEX(球員狀態!N$2:N$5000, MATCH(1, (球員狀態!$A$2:$A$5000=$EI$301)*(ISNUMBER(SEARCH($EI318, 球員狀態!$B$2:$B$5000))), 0)), "")</f>
        <v/>
      </c>
      <c r="EV318" s="4" t="str">
        <f t="array" ref="EV318">IFERROR(INDEX(球員狀態!O$2:O$5000, MATCH(1, (球員狀態!$A$2:$A$5000=$EI$1)*(ISNUMBER(SEARCH($EI318, 球員狀態!$B$2:$B$5000))), 0)), "")</f>
        <v/>
      </c>
      <c r="EW318" s="4" t="str">
        <f t="array" ref="EW318">IFERROR(INDEX(球員狀態!P$2:P$5000, MATCH(1, (球員狀態!$A$2:$A$5000=$EI$1)*(ISNUMBER(SEARCH($EI318, 球員狀態!$B$2:$B$5000))), 0)), "")</f>
        <v/>
      </c>
      <c r="EX318" s="4" t="str">
        <f t="array" ref="EX318">IFERROR(INDEX(球員狀態!Q$2:Q$5000, MATCH(1, (球員狀態!$A$2:$A$5000=$EI$301)*(ISNUMBER(SEARCH($EI318, 球員狀態!$B$2:$B$5000))), 0)), "")</f>
        <v/>
      </c>
      <c r="EY318" s="4" t="str">
        <f t="array" ref="EY318">IFERROR(INDEX(球員狀態!R$2:R$5000, MATCH(1, (球員狀態!$A$2:$A$5000=$EI$1)*(ISNUMBER(SEARCH($EI318, 球員狀態!$B$2:$B$5000))), 0)), "")</f>
        <v/>
      </c>
      <c r="EZ318" s="4" t="str">
        <f t="array" ref="EZ318">IFERROR(INDEX(球員狀態!S$2:S$5000, MATCH(1, (球員狀態!$A$2:$A$5000=$EI$1)*(ISNUMBER(SEARCH($EI318, 球員狀態!$B$2:$B$5000))), 0)), "")</f>
        <v/>
      </c>
      <c r="FA318" s="4" t="str">
        <f t="array" ref="FA318">IFERROR(INDEX(球員狀態!T$2:T$5000, MATCH(1, (球員狀態!$A$2:$A$5000=$EI$301)*(ISNUMBER(SEARCH($EI318, 球員狀態!$B$2:$B$5000))), 0)), "")</f>
        <v/>
      </c>
      <c r="FB318" s="4" t="str">
        <f t="array" ref="FB318">IFERROR(INDEX(球員狀態!U$2:U$5000, MATCH(1, (球員狀態!$A$2:$A$5000=$EI$1)*(ISNUMBER(SEARCH($EI318, 球員狀態!$B$2:$B$5000))), 0)), "")</f>
        <v/>
      </c>
      <c r="FC318" s="4" t="str">
        <f t="array" ref="FC318">IFERROR(INDEX(球員狀態!V$2:V$5000, MATCH(1, (球員狀態!$A$2:$A$5000=$EI$1)*(ISNUMBER(SEARCH($EI318, 球員狀態!$B$2:$B$5000))), 0)), "")</f>
        <v/>
      </c>
      <c r="FD318" s="4" t="str">
        <f t="array" ref="FD318">IFERROR(INDEX(球員狀態!W$2:W$5000, MATCH(1, (球員狀態!$A$2:$A$5000=$EI$301)*(ISNUMBER(SEARCH($EI318, 球員狀態!$B$2:$B$5000))), 0)), "")</f>
        <v/>
      </c>
      <c r="FE318" s="4" t="str">
        <f t="array" ref="FE318">IFERROR(INDEX(球員狀態!X$2:X$5000, MATCH(1, (球員狀態!$A$2:$A$5000=$EI$1)*(ISNUMBER(SEARCH($EI318, 球員狀態!$B$2:$B$5000))), 0)), "")</f>
        <v/>
      </c>
      <c r="FF318" s="4" t="str">
        <f t="array" ref="FF318">IFERROR(INDEX(球員狀態!Y$2:Y$5000, MATCH(1, (球員狀態!$A$2:$A$5000=$EI$1)*(ISNUMBER(SEARCH($EI318, 球員狀態!$B$2:$B$5000))), 0)), "")</f>
        <v/>
      </c>
      <c r="FG318" s="4" t="str">
        <f t="array" ref="FG318">IFERROR(INDEX(球員狀態!Z$2:Z$5000, MATCH(1, (球員狀態!$A$2:$A$5000=$EI$301)*(ISNUMBER(SEARCH($EI318, 球員狀態!$B$2:$B$5000))), 0)), "")</f>
        <v/>
      </c>
      <c r="FH318" s="4" t="str">
        <f t="array" ref="FH318">IFERROR(INDEX(球員狀態!AA$2:AA$5000, MATCH(1, (球員狀態!$A$2:$A$5000=$EI$301)*(ISNUMBER(SEARCH($EI318, 球員狀態!$B$2:$B$5000))), 0)), "")</f>
        <v/>
      </c>
      <c r="FI318" s="4" t="str">
        <f t="array" ref="FI318">IFERROR(INDEX(球員狀態!AB$2:AB$5000, MATCH(1, (球員狀態!$A$2:$A$5000=$EI$301)*(ISNUMBER(SEARCH($EI318, 球員狀態!$B$2:$B$5000))), 0)), "")</f>
        <v/>
      </c>
    </row>
    <row r="319" spans="110:165">
      <c r="DH319" s="40" t="e">
        <f>DJ319+DL319+DM319+DN319+DO319-DP319-DQ319+DR319</f>
        <v>#VALUE!</v>
      </c>
      <c r="DI319" s="42" t="e">
        <f>DU319+DX319+EA319+ED319+EE319+EF319</f>
        <v>#VALUE!</v>
      </c>
      <c r="DJ319" s="38" t="e">
        <f>VLOOKUP(DJ318*1, FK$2:FM$12, 3, TRUE)*FM$1</f>
        <v>#VALUE!</v>
      </c>
      <c r="DL319" s="38" t="e">
        <f>VLOOKUP(DL318*1, FN$2:FP$12, 3, TRUE)*FP$1</f>
        <v>#VALUE!</v>
      </c>
      <c r="DM319" s="38" t="e">
        <f>VLOOKUP(DM318*1, FQ$2:FS$12, 3, TRUE)*FS$1</f>
        <v>#VALUE!</v>
      </c>
      <c r="DN319" s="38" t="e">
        <f>VLOOKUP(DN318*1, FT$2:FV$12, 3, TRUE)*FV$1</f>
        <v>#VALUE!</v>
      </c>
      <c r="DO319" s="38" t="e">
        <f>VLOOKUP(DO318*1, FW$2:FY$12, 3, TRUE)*FY$1</f>
        <v>#VALUE!</v>
      </c>
      <c r="DP319" s="39" t="e">
        <f>VLOOKUP(DP318*1, FK$14:FM$25, 3, TRUE)*FM$14</f>
        <v>#VALUE!</v>
      </c>
      <c r="DQ319" s="39" t="e">
        <f>VLOOKUP(DQ318*1, FN$14:FP$25, 3, TRUE)*FP$14</f>
        <v>#VALUE!</v>
      </c>
      <c r="DR319" s="38" t="e">
        <f>VLOOKUP(DR318*1, FQ$14:FS$25, 3, TRUE)*FS$14</f>
        <v>#VALUE!</v>
      </c>
      <c r="DU319" s="41" t="e">
        <f>VLOOKUP(DU318*1, FK$27:FM$38, 3, TRUE)*FM$27</f>
        <v>#VALUE!</v>
      </c>
      <c r="DX319" s="41" t="e">
        <f>VLOOKUP(DX318*1, FN$27:FP$38, 3, TRUE)*FP$27</f>
        <v>#VALUE!</v>
      </c>
      <c r="EA319" s="41" t="e">
        <f>VLOOKUP(EA318*1, FQ$27:FS$38, 3, TRUE)*FS$27</f>
        <v>#VALUE!</v>
      </c>
      <c r="ED319" s="41" t="e">
        <f>VLOOKUP(ED318*1, FT$27:FV$38, 3, TRUE)*FV$27</f>
        <v>#VALUE!</v>
      </c>
      <c r="EE319" s="41" t="e">
        <f>VLOOKUP(EE318*1, FW$27:FY$38, 3, TRUE)*FY$27</f>
        <v>#VALUE!</v>
      </c>
      <c r="EF319" s="41" t="e">
        <f>VLOOKUP(EF318*1, FK$40:FM$51, 3, TRUE)*FM$40</f>
        <v>#VALUE!</v>
      </c>
      <c r="EG319" s="57"/>
      <c r="EK319" s="40" t="e">
        <f>EM319+EO319+EP319+EQ319+ER319-ES319-ET319+EU319</f>
        <v>#VALUE!</v>
      </c>
      <c r="EL319" s="42" t="e">
        <f>EX319+FA319+FD319+FG319+FH319+FI319</f>
        <v>#VALUE!</v>
      </c>
      <c r="EM319" s="38" t="e">
        <f>VLOOKUP(EM318*1, $FK$2:$FM$12, 3, TRUE)*$FM$1</f>
        <v>#VALUE!</v>
      </c>
      <c r="EO319" s="38" t="e">
        <f>VLOOKUP(EO318*1, $FN$2:$FP$12, 3, TRUE)*$FP$1</f>
        <v>#VALUE!</v>
      </c>
      <c r="EP319" s="38" t="e">
        <f>VLOOKUP(EP318*1, $FQ$2:$FS$12, 3, TRUE)*$FS$1</f>
        <v>#VALUE!</v>
      </c>
      <c r="EQ319" s="38" t="e">
        <f>VLOOKUP(EQ318*1, $FT$2:$FV$12, 3, TRUE)*$FV$1</f>
        <v>#VALUE!</v>
      </c>
      <c r="ER319" s="38" t="e">
        <f>VLOOKUP(ER318*1, $FW$2:$FY$12, 3, TRUE)*$FY$1</f>
        <v>#VALUE!</v>
      </c>
      <c r="ES319" s="39" t="e">
        <f>VLOOKUP(ES318*1, $FK$14:$FM$25, 3, TRUE)*$FM$14</f>
        <v>#VALUE!</v>
      </c>
      <c r="ET319" s="39" t="e">
        <f>VLOOKUP(ET318*1, $FN$14:$FP$25, 3, TRUE)*$FP$14</f>
        <v>#VALUE!</v>
      </c>
      <c r="EU319" s="38" t="e">
        <f>VLOOKUP(EU318*1, $FQ$14:$FS$25, 3, TRUE)*$FS$14</f>
        <v>#VALUE!</v>
      </c>
      <c r="EX319" s="41" t="e">
        <f>VLOOKUP(EX318*1, $FK$27:$FM$38, 3, TRUE)*$FM$27</f>
        <v>#VALUE!</v>
      </c>
      <c r="FA319" s="41" t="e">
        <f>VLOOKUP(FA318*1, $FN$27:$FP$38, 3, TRUE)*$FP$27</f>
        <v>#VALUE!</v>
      </c>
      <c r="FD319" s="41" t="e">
        <f>VLOOKUP(FD318*1, $FQ$27:$FS$38, 3, TRUE)*$FS$27</f>
        <v>#VALUE!</v>
      </c>
      <c r="FG319" s="41" t="e">
        <f>VLOOKUP(FG318*1, $FT$27:$FV$38, 3, TRUE)*$FV$27</f>
        <v>#VALUE!</v>
      </c>
      <c r="FH319" s="41" t="e">
        <f>VLOOKUP(FH318*1, $FW$27:$FY$38, 3, TRUE)*$FY$27</f>
        <v>#VALUE!</v>
      </c>
      <c r="FI319" s="41" t="e">
        <f>VLOOKUP(FI318*1, $FK$40:$FM$51, 3, TRUE)*$FM$40</f>
        <v>#VALUE!</v>
      </c>
    </row>
    <row r="320" spans="110:165">
      <c r="DF320" s="37" t="e">
        <f>先發名單!#REF!</f>
        <v>#REF!</v>
      </c>
      <c r="DG320" s="4" t="str">
        <f t="array" ref="DG320">IFERROR(INDEX(球員狀態!$C$2:$C$5000, MATCH(1, (球員狀態!$A$2:$A$5000=$DF$3011)*(ISNUMBER(SEARCH($DF320, 球員狀態!$B$2:$B$5000))), 0)), "")</f>
        <v/>
      </c>
      <c r="DJ320" s="4" t="str">
        <f t="array" ref="DJ320">IFERROR(INDEX(球員狀態!$F$2:$F$5000,MATCH(1,(球員狀態!$A$2:$A$5000=$DF$301)*(ISNUMBER(SEARCH($DF320,球員狀態!$B$2:$B$5000))),0)),"")</f>
        <v/>
      </c>
      <c r="DK320" s="4" t="str">
        <f t="array" ref="DK320">IFERROR(INDEX(球員狀態!G$2:G$5000, MATCH(1, (球員狀態!$A$2:$A$5000=$DF$1)*(ISNUMBER(SEARCH($DF320, 球員狀態!$B$2:$B$5000))), 0)), "")</f>
        <v/>
      </c>
      <c r="DL320" s="4" t="str">
        <f t="array" ref="DL320">IFERROR(INDEX(球員狀態!H$2:H$5000, MATCH(1, (球員狀態!$A$2:$A$5000=$DF$301)*(ISNUMBER(SEARCH($DF320, 球員狀態!$B$2:$B$5000))), 0)), "")</f>
        <v/>
      </c>
      <c r="DM320" s="4" t="str">
        <f t="array" ref="DM320">IFERROR(INDEX(球員狀態!I$2:I$5000,MATCH(1,(球員狀態!$A$2:$A$5000=$DF$301)*(ISNUMBER(SEARCH($DF320,球員狀態!$B$2:$B$5000))),0)),"")</f>
        <v/>
      </c>
      <c r="DN320" s="4" t="str">
        <f t="array" ref="DN320">IFERROR(INDEX(球員狀態!J$2:J$5000,MATCH(1,(球員狀態!$A$2:$A$5000=$DF$301)*(ISNUMBER(SEARCH($DF320,球員狀態!$B$2:$B$5000))),0)),"")</f>
        <v/>
      </c>
      <c r="DO320" s="4" t="str">
        <f t="array" ref="DO320">IFERROR(INDEX(球員狀態!K$2:K$5000,MATCH(1,(球員狀態!$A$2:$A$5000=$DF$301)*(ISNUMBER(SEARCH($DF320,球員狀態!$B$2:$B$5000))),0)),"")</f>
        <v/>
      </c>
      <c r="DP320" s="4" t="str">
        <f t="array" ref="DP320">IFERROR(INDEX(球員狀態!L$2:L$5000,MATCH(1,(球員狀態!$A$2:$A$5000=$DF$301)*(ISNUMBER(SEARCH($DF320,球員狀態!$B$2:$B$5000))),0)),"")</f>
        <v/>
      </c>
      <c r="DQ320" s="4" t="str">
        <f t="array" ref="DQ320">IFERROR(INDEX(球員狀態!M$2:M$5000,MATCH(1,(球員狀態!$A$2:$A$5000=$DF$301)*(ISNUMBER(SEARCH($DF320,球員狀態!$B$2:$B$5000))),0)),"")</f>
        <v/>
      </c>
      <c r="DR320" s="4" t="str">
        <f t="array" ref="DR320">IFERROR(INDEX(球員狀態!N$2:N$5000,MATCH(1,(球員狀態!$A$2:$A$5000=$DF$301)*(ISNUMBER(SEARCH($DF320,球員狀態!$B$2:$B$5000))),0)),"")</f>
        <v/>
      </c>
      <c r="DS320" s="4" t="str">
        <f t="array" ref="DS320">IFERROR(INDEX(球員狀態!O$2:O$5000, MATCH(1, (球員狀態!$A$2:$A$5000=$DF$1)*(ISNUMBER(SEARCH($DF320, 球員狀態!$B$2:$B$5000))), 0)), "")</f>
        <v/>
      </c>
      <c r="DT320" s="4" t="str">
        <f t="array" ref="DT320">IFERROR(INDEX(球員狀態!P$2:P$5000, MATCH(1, (球員狀態!$A$2:$A$5000=$DF$1)*(ISNUMBER(SEARCH($DF320, 球員狀態!$B$2:$B$5000))), 0)), "")</f>
        <v/>
      </c>
      <c r="DU320" s="4" t="str">
        <f t="array" ref="DU320">IFERROR(INDEX(球員狀態!Q$2:Q$5000,MATCH(1,(球員狀態!$A$2:$A$5000=$DF$301)*(ISNUMBER(SEARCH($DF320,球員狀態!$B$2:$B$5000))),0)),"")</f>
        <v/>
      </c>
      <c r="DV320" s="4" t="str">
        <f t="array" ref="DV320">IFERROR(INDEX(球員狀態!R$2:R$5000, MATCH(1, (球員狀態!$A$2:$A$5000=$DF$1)*(ISNUMBER(SEARCH($DF320, 球員狀態!$B$2:$B$5000))), 0)), "")</f>
        <v/>
      </c>
      <c r="DW320" s="4" t="str">
        <f t="array" ref="DW320">IFERROR(INDEX(球員狀態!S$2:S$5000, MATCH(1, (球員狀態!$A$2:$A$5000=$DF$1)*(ISNUMBER(SEARCH($DF320, 球員狀態!$B$2:$B$5000))), 0)), "")</f>
        <v/>
      </c>
      <c r="DX320" s="4" t="str">
        <f t="array" ref="DX320">IFERROR(INDEX(球員狀態!T$2:T$5000,MATCH(1,(球員狀態!$A$2:$A$5000=$DF$301)*(ISNUMBER(SEARCH($DF320,球員狀態!$B$2:$B$5000))),0)),"")</f>
        <v/>
      </c>
      <c r="DY320" s="4" t="str">
        <f t="array" ref="DY320">IFERROR(INDEX(球員狀態!U$2:U$5000, MATCH(1, (球員狀態!$A$2:$A$5000=$DF$1)*(ISNUMBER(SEARCH($DF320, 球員狀態!$B$2:$B$5000))), 0)), "")</f>
        <v/>
      </c>
      <c r="DZ320" s="4" t="str">
        <f t="array" ref="DZ320">IFERROR(INDEX(球員狀態!V$2:V$5000, MATCH(1, (球員狀態!$A$2:$A$5000=$DF$1)*(ISNUMBER(SEARCH($DF320, 球員狀態!$B$2:$B$5000))), 0)), "")</f>
        <v/>
      </c>
      <c r="EA320" s="4" t="str">
        <f t="array" ref="EA320">IFERROR(INDEX(球員狀態!W$2:W$5000,MATCH(1,(球員狀態!$A$2:$A$5000=$DF$301)*(ISNUMBER(SEARCH($DF320,球員狀態!$B$2:$B$5000))),0)),"")</f>
        <v/>
      </c>
      <c r="EB320" s="4" t="str">
        <f t="array" ref="EB320">IFERROR(INDEX(球員狀態!X$2:X$5000, MATCH(1, (球員狀態!$A$2:$A$5000=$DF$1)*(ISNUMBER(SEARCH($DF320, 球員狀態!$B$2:$B$5000))), 0)), "")</f>
        <v/>
      </c>
      <c r="EC320" s="4" t="str">
        <f t="array" ref="EC320">IFERROR(INDEX(球員狀態!Y$2:Y$5000, MATCH(1, (球員狀態!$A$2:$A$5000=$DF$1)*(ISNUMBER(SEARCH($DF320, 球員狀態!$B$2:$B$5000))), 0)), "")</f>
        <v/>
      </c>
      <c r="ED320" s="4" t="str">
        <f t="array" ref="ED320">IFERROR(INDEX(球員狀態!Z$2:Z$5000,MATCH(1,(球員狀態!$A$2:$A$5000=$DF$301)*(ISNUMBER(SEARCH($DF320,球員狀態!$B$2:$B$5000))),0)),"")</f>
        <v/>
      </c>
      <c r="EE320" s="4" t="str">
        <f t="array" ref="EE320">IFERROR(INDEX(球員狀態!AA$2:AA$5000,MATCH(1,(球員狀態!$A$2:$A$5000=$DF$301)*(ISNUMBER(SEARCH($DF320,球員狀態!$B$2:$B$5000))),0)),"")</f>
        <v/>
      </c>
      <c r="EF320" s="4" t="str">
        <f t="array" ref="EF320">IFERROR(INDEX(球員狀態!AB$2:AB$5000,MATCH(1,(球員狀態!$A$2:$A$5000=$DF$301)*(ISNUMBER(SEARCH($DF320,球員狀態!$B$2:$B$5000))),0)),"")</f>
        <v/>
      </c>
      <c r="EG320" s="56"/>
      <c r="EI320" s="37" t="str">
        <f>先發名單!X$12</f>
        <v>Coby Mayo</v>
      </c>
      <c r="EJ320" s="4" t="str">
        <f t="array" ref="EJ320">IFERROR(INDEX(球員狀態!C$2:C$5000, MATCH(1, (球員狀態!$A$2:$A$5000=$EI$301)*(ISNUMBER(SEARCH($EI320, 球員狀態!$B$2:$B$5000))), 0)), "")</f>
        <v/>
      </c>
      <c r="EM320" s="4" t="str">
        <f t="array" ref="EM320">IFERROR(INDEX(球員狀態!F$2:F$5000, MATCH(1, (球員狀態!$A$2:$A$5000=$EI$301)*(ISNUMBER(SEARCH($EI320, 球員狀態!$B$2:$B$5000))), 0)), "")</f>
        <v/>
      </c>
      <c r="EN320" s="4" t="str">
        <f t="array" ref="EN320">IFERROR(INDEX(球員狀態!G$2:G$5000, MATCH(1, (球員狀態!$A$2:$A$5000=$EI$1)*(ISNUMBER(SEARCH($EI320, 球員狀態!$B$2:$B$5000))), 0)), "")</f>
        <v/>
      </c>
      <c r="EO320" s="4" t="str">
        <f t="array" ref="EO320">IFERROR(INDEX(球員狀態!H$2:H$5000, MATCH(1, (球員狀態!$A$2:$A$5000=$EI$301)*(ISNUMBER(SEARCH($EI320, 球員狀態!$B$2:$B$5000))), 0)), "")</f>
        <v/>
      </c>
      <c r="EP320" s="4" t="str">
        <f t="array" ref="EP320">IFERROR(INDEX(球員狀態!I$2:I$5000, MATCH(1, (球員狀態!$A$2:$A$5000=$EI$301)*(ISNUMBER(SEARCH($EI320, 球員狀態!$B$2:$B$5000))), 0)), "")</f>
        <v/>
      </c>
      <c r="EQ320" s="4" t="str">
        <f t="array" ref="EQ320">IFERROR(INDEX(球員狀態!J$2:J$5000, MATCH(1, (球員狀態!$A$2:$A$5000=$EI$301)*(ISNUMBER(SEARCH($EI320, 球員狀態!$B$2:$B$5000))), 0)), "")</f>
        <v/>
      </c>
      <c r="ER320" s="4" t="str">
        <f t="array" ref="ER320">IFERROR(INDEX(球員狀態!K$2:K$5000, MATCH(1, (球員狀態!$A$2:$A$5000=$EI$301)*(ISNUMBER(SEARCH($EI320, 球員狀態!$B$2:$B$5000))), 0)), "")</f>
        <v/>
      </c>
      <c r="ES320" s="4" t="str">
        <f t="array" ref="ES320">IFERROR(INDEX(球員狀態!L$2:L$5000, MATCH(1, (球員狀態!$A$2:$A$5000=$EI$301)*(ISNUMBER(SEARCH($EI320, 球員狀態!$B$2:$B$5000))), 0)), "")</f>
        <v/>
      </c>
      <c r="ET320" s="4" t="str">
        <f t="array" ref="ET320">IFERROR(INDEX(球員狀態!M$2:M$5000, MATCH(1, (球員狀態!$A$2:$A$5000=$EI$301)*(ISNUMBER(SEARCH($EI320, 球員狀態!$B$2:$B$5000))), 0)), "")</f>
        <v/>
      </c>
      <c r="EU320" s="4" t="str">
        <f t="array" ref="EU320">IFERROR(INDEX(球員狀態!N$2:N$5000, MATCH(1, (球員狀態!$A$2:$A$5000=$EI$301)*(ISNUMBER(SEARCH($EI320, 球員狀態!$B$2:$B$5000))), 0)), "")</f>
        <v/>
      </c>
      <c r="EV320" s="4" t="str">
        <f t="array" ref="EV320">IFERROR(INDEX(球員狀態!O$2:O$5000, MATCH(1, (球員狀態!$A$2:$A$5000=$EI$1)*(ISNUMBER(SEARCH($EI320, 球員狀態!$B$2:$B$5000))), 0)), "")</f>
        <v/>
      </c>
      <c r="EW320" s="4" t="str">
        <f t="array" ref="EW320">IFERROR(INDEX(球員狀態!P$2:P$5000, MATCH(1, (球員狀態!$A$2:$A$5000=$EI$1)*(ISNUMBER(SEARCH($EI320, 球員狀態!$B$2:$B$5000))), 0)), "")</f>
        <v/>
      </c>
      <c r="EX320" s="4" t="str">
        <f t="array" ref="EX320">IFERROR(INDEX(球員狀態!Q$2:Q$5000, MATCH(1, (球員狀態!$A$2:$A$5000=$EI$301)*(ISNUMBER(SEARCH($EI320, 球員狀態!$B$2:$B$5000))), 0)), "")</f>
        <v/>
      </c>
      <c r="EY320" s="4" t="str">
        <f t="array" ref="EY320">IFERROR(INDEX(球員狀態!R$2:R$5000, MATCH(1, (球員狀態!$A$2:$A$5000=$EI$1)*(ISNUMBER(SEARCH($EI320, 球員狀態!$B$2:$B$5000))), 0)), "")</f>
        <v/>
      </c>
      <c r="EZ320" s="4" t="str">
        <f t="array" ref="EZ320">IFERROR(INDEX(球員狀態!S$2:S$5000, MATCH(1, (球員狀態!$A$2:$A$5000=$EI$1)*(ISNUMBER(SEARCH($EI320, 球員狀態!$B$2:$B$5000))), 0)), "")</f>
        <v/>
      </c>
      <c r="FA320" s="4" t="str">
        <f t="array" ref="FA320">IFERROR(INDEX(球員狀態!T$2:T$5000, MATCH(1, (球員狀態!$A$2:$A$5000=$EI$301)*(ISNUMBER(SEARCH($EI320, 球員狀態!$B$2:$B$5000))), 0)), "")</f>
        <v/>
      </c>
      <c r="FB320" s="4" t="str">
        <f t="array" ref="FB320">IFERROR(INDEX(球員狀態!U$2:U$5000, MATCH(1, (球員狀態!$A$2:$A$5000=$EI$1)*(ISNUMBER(SEARCH($EI320, 球員狀態!$B$2:$B$5000))), 0)), "")</f>
        <v/>
      </c>
      <c r="FC320" s="4" t="str">
        <f t="array" ref="FC320">IFERROR(INDEX(球員狀態!V$2:V$5000, MATCH(1, (球員狀態!$A$2:$A$5000=$EI$1)*(ISNUMBER(SEARCH($EI320, 球員狀態!$B$2:$B$5000))), 0)), "")</f>
        <v/>
      </c>
      <c r="FD320" s="4" t="str">
        <f t="array" ref="FD320">IFERROR(INDEX(球員狀態!W$2:W$5000, MATCH(1, (球員狀態!$A$2:$A$5000=$EI$301)*(ISNUMBER(SEARCH($EI320, 球員狀態!$B$2:$B$5000))), 0)), "")</f>
        <v/>
      </c>
      <c r="FE320" s="4" t="str">
        <f t="array" ref="FE320">IFERROR(INDEX(球員狀態!X$2:X$5000, MATCH(1, (球員狀態!$A$2:$A$5000=$EI$1)*(ISNUMBER(SEARCH($EI320, 球員狀態!$B$2:$B$5000))), 0)), "")</f>
        <v/>
      </c>
      <c r="FF320" s="4" t="str">
        <f t="array" ref="FF320">IFERROR(INDEX(球員狀態!Y$2:Y$5000, MATCH(1, (球員狀態!$A$2:$A$5000=$EI$1)*(ISNUMBER(SEARCH($EI320, 球員狀態!$B$2:$B$5000))), 0)), "")</f>
        <v/>
      </c>
      <c r="FG320" s="4" t="str">
        <f t="array" ref="FG320">IFERROR(INDEX(球員狀態!Z$2:Z$5000, MATCH(1, (球員狀態!$A$2:$A$5000=$EI$301)*(ISNUMBER(SEARCH($EI320, 球員狀態!$B$2:$B$5000))), 0)), "")</f>
        <v/>
      </c>
      <c r="FH320" s="4" t="str">
        <f t="array" ref="FH320">IFERROR(INDEX(球員狀態!AA$2:AA$5000, MATCH(1, (球員狀態!$A$2:$A$5000=$EI$301)*(ISNUMBER(SEARCH($EI320, 球員狀態!$B$2:$B$5000))), 0)), "")</f>
        <v/>
      </c>
      <c r="FI320" s="4" t="str">
        <f t="array" ref="FI320">IFERROR(INDEX(球員狀態!AB$2:AB$5000, MATCH(1, (球員狀態!$A$2:$A$5000=$EI$301)*(ISNUMBER(SEARCH($EI320, 球員狀態!$B$2:$B$5000))), 0)), "")</f>
        <v/>
      </c>
    </row>
    <row r="321" spans="110:165">
      <c r="DH321" s="40" t="e">
        <f>DJ321+DL321+DM321+DN321+DO321-DP321-DQ321+DR321</f>
        <v>#VALUE!</v>
      </c>
      <c r="DI321" s="42" t="e">
        <f>DU321+DX321+EA321+ED321+EE321+EF321</f>
        <v>#VALUE!</v>
      </c>
      <c r="DJ321" s="38" t="e">
        <f>VLOOKUP(DJ320*1, FK$2:FM$12, 3, TRUE)*FM$1</f>
        <v>#VALUE!</v>
      </c>
      <c r="DL321" s="38" t="e">
        <f>VLOOKUP(DL320*1, FN$2:FP$12, 3, TRUE)*FP$1</f>
        <v>#VALUE!</v>
      </c>
      <c r="DM321" s="38" t="e">
        <f>VLOOKUP(DM320*1, FQ$2:FS$12, 3, TRUE)*FS$1</f>
        <v>#VALUE!</v>
      </c>
      <c r="DN321" s="38" t="e">
        <f>VLOOKUP(DN320*1, FT$2:FV$12, 3, TRUE)*FV$1</f>
        <v>#VALUE!</v>
      </c>
      <c r="DO321" s="38" t="e">
        <f>VLOOKUP(DO320*1, FW$2:FY$12, 3, TRUE)*FY$1</f>
        <v>#VALUE!</v>
      </c>
      <c r="DP321" s="39" t="e">
        <f>VLOOKUP(DP320*1, FK$14:FM$25, 3, TRUE)*FM$14</f>
        <v>#VALUE!</v>
      </c>
      <c r="DQ321" s="39" t="e">
        <f>VLOOKUP(DQ320*1, FN$14:FP$25, 3, TRUE)*FP$14</f>
        <v>#VALUE!</v>
      </c>
      <c r="DR321" s="38" t="e">
        <f>VLOOKUP(DR320*1, FQ$14:FS$25, 3, TRUE)*FS$14</f>
        <v>#VALUE!</v>
      </c>
      <c r="DU321" s="41" t="e">
        <f>VLOOKUP(DU320*1, FK$27:FM$38, 3, TRUE)*FM$27</f>
        <v>#VALUE!</v>
      </c>
      <c r="DX321" s="41" t="e">
        <f>VLOOKUP(DX320*1, FN$27:FP$38, 3, TRUE)*FP$27</f>
        <v>#VALUE!</v>
      </c>
      <c r="EA321" s="41" t="e">
        <f>VLOOKUP(EA320*1, FQ$27:FS$38, 3, TRUE)*FS$27</f>
        <v>#VALUE!</v>
      </c>
      <c r="ED321" s="41" t="e">
        <f>VLOOKUP(ED320*1, FT$27:FV$38, 3, TRUE)*FV$27</f>
        <v>#VALUE!</v>
      </c>
      <c r="EE321" s="41" t="e">
        <f>VLOOKUP(EE320*1, FW$27:FY$38, 3, TRUE)*FY$27</f>
        <v>#VALUE!</v>
      </c>
      <c r="EF321" s="41" t="e">
        <f>VLOOKUP(EF320*1, FK$40:FM$51, 3, TRUE)*FM$40</f>
        <v>#VALUE!</v>
      </c>
      <c r="EG321" s="57"/>
      <c r="EK321" s="40" t="e">
        <f>EM321+EO321+EP321+EQ321+ER321-ES321-ET321+EU321</f>
        <v>#VALUE!</v>
      </c>
      <c r="EL321" s="42" t="e">
        <f>EX321+FA321+FD321+FG321+FH321+FI321</f>
        <v>#VALUE!</v>
      </c>
      <c r="EM321" s="38" t="e">
        <f>VLOOKUP(EM320*1, $FK$2:$FM$12, 3, TRUE)*$FM$1</f>
        <v>#VALUE!</v>
      </c>
      <c r="EO321" s="38" t="e">
        <f>VLOOKUP(EO320*1, $FN$2:$FP$12, 3, TRUE)*$FP$1</f>
        <v>#VALUE!</v>
      </c>
      <c r="EP321" s="38" t="e">
        <f>VLOOKUP(EP320*1, $FQ$2:$FS$12, 3, TRUE)*$FS$1</f>
        <v>#VALUE!</v>
      </c>
      <c r="EQ321" s="38" t="e">
        <f>VLOOKUP(EQ320*1, $FT$2:$FV$12, 3, TRUE)*$FV$1</f>
        <v>#VALUE!</v>
      </c>
      <c r="ER321" s="38" t="e">
        <f>VLOOKUP(ER320*1, $FW$2:$FY$12, 3, TRUE)*$FY$1</f>
        <v>#VALUE!</v>
      </c>
      <c r="ES321" s="39" t="e">
        <f>VLOOKUP(ES320*1, $FK$14:$FM$25, 3, TRUE)*$FM$14</f>
        <v>#VALUE!</v>
      </c>
      <c r="ET321" s="39" t="e">
        <f>VLOOKUP(ET320*1, $FN$14:$FP$25, 3, TRUE)*$FP$14</f>
        <v>#VALUE!</v>
      </c>
      <c r="EU321" s="38" t="e">
        <f>VLOOKUP(EU320*1, $FQ$14:$FS$25, 3, TRUE)*$FS$14</f>
        <v>#VALUE!</v>
      </c>
      <c r="EX321" s="41" t="e">
        <f>VLOOKUP(EX320*1, $FK$27:$FM$38, 3, TRUE)*$FM$27</f>
        <v>#VALUE!</v>
      </c>
      <c r="FA321" s="41" t="e">
        <f>VLOOKUP(FA320*1, $FN$27:$FP$38, 3, TRUE)*$FP$27</f>
        <v>#VALUE!</v>
      </c>
      <c r="FD321" s="41" t="e">
        <f>VLOOKUP(FD320*1, $FQ$27:$FS$38, 3, TRUE)*$FS$27</f>
        <v>#VALUE!</v>
      </c>
      <c r="FG321" s="41" t="e">
        <f>VLOOKUP(FG320*1, $FT$27:$FV$38, 3, TRUE)*$FV$27</f>
        <v>#VALUE!</v>
      </c>
      <c r="FH321" s="41" t="e">
        <f>VLOOKUP(FH320*1, $FW$27:$FY$38, 3, TRUE)*$FY$27</f>
        <v>#VALUE!</v>
      </c>
      <c r="FI321" s="41" t="e">
        <f>VLOOKUP(FI320*1, $FK$40:$FM$51, 3, TRUE)*$FM$40</f>
        <v>#VALUE!</v>
      </c>
    </row>
    <row r="322" spans="110:165">
      <c r="DF322" s="37" t="e">
        <f>先發名單!#REF!</f>
        <v>#REF!</v>
      </c>
      <c r="DG322" s="4" t="str">
        <f t="array" ref="DG322">IFERROR(INDEX(球員狀態!$C$2:$C$5000, MATCH(1, (球員狀態!$A$2:$A$5000=$DF$3011)*(ISNUMBER(SEARCH($DF322, 球員狀態!$B$2:$B$5000))), 0)), "")</f>
        <v/>
      </c>
      <c r="DJ322" s="4" t="str">
        <f t="array" ref="DJ322">IFERROR(INDEX(球員狀態!$F$2:$F$5000,MATCH(1,(球員狀態!$A$2:$A$5000=$DF$301)*(ISNUMBER(SEARCH($DF322,球員狀態!$B$2:$B$5000))),0)),"")</f>
        <v/>
      </c>
      <c r="DK322" s="4" t="str">
        <f t="array" ref="DK322">IFERROR(INDEX(球員狀態!G$2:G$5000, MATCH(1, (球員狀態!$A$2:$A$5000=$DF$1)*(ISNUMBER(SEARCH($DF322, 球員狀態!$B$2:$B$5000))), 0)), "")</f>
        <v/>
      </c>
      <c r="DL322" s="4" t="str">
        <f t="array" ref="DL322">IFERROR(INDEX(球員狀態!H$2:H$5000, MATCH(1, (球員狀態!$A$2:$A$5000=$DF$301)*(ISNUMBER(SEARCH($DF322, 球員狀態!$B$2:$B$5000))), 0)), "")</f>
        <v/>
      </c>
      <c r="DM322" s="4" t="str">
        <f t="array" ref="DM322">IFERROR(INDEX(球員狀態!I$2:I$5000,MATCH(1,(球員狀態!$A$2:$A$5000=$DF$301)*(ISNUMBER(SEARCH($DF322,球員狀態!$B$2:$B$5000))),0)),"")</f>
        <v/>
      </c>
      <c r="DN322" s="4" t="str">
        <f t="array" ref="DN322">IFERROR(INDEX(球員狀態!J$2:J$5000,MATCH(1,(球員狀態!$A$2:$A$5000=$DF$301)*(ISNUMBER(SEARCH($DF322,球員狀態!$B$2:$B$5000))),0)),"")</f>
        <v/>
      </c>
      <c r="DO322" s="4" t="str">
        <f t="array" ref="DO322">IFERROR(INDEX(球員狀態!K$2:K$5000,MATCH(1,(球員狀態!$A$2:$A$5000=$DF$301)*(ISNUMBER(SEARCH($DF322,球員狀態!$B$2:$B$5000))),0)),"")</f>
        <v/>
      </c>
      <c r="DP322" s="4" t="str">
        <f t="array" ref="DP322">IFERROR(INDEX(球員狀態!L$2:L$5000,MATCH(1,(球員狀態!$A$2:$A$5000=$DF$301)*(ISNUMBER(SEARCH($DF322,球員狀態!$B$2:$B$5000))),0)),"")</f>
        <v/>
      </c>
      <c r="DQ322" s="4" t="str">
        <f t="array" ref="DQ322">IFERROR(INDEX(球員狀態!M$2:M$5000,MATCH(1,(球員狀態!$A$2:$A$5000=$DF$301)*(ISNUMBER(SEARCH($DF322,球員狀態!$B$2:$B$5000))),0)),"")</f>
        <v/>
      </c>
      <c r="DR322" s="4" t="str">
        <f t="array" ref="DR322">IFERROR(INDEX(球員狀態!N$2:N$5000,MATCH(1,(球員狀態!$A$2:$A$5000=$DF$301)*(ISNUMBER(SEARCH($DF322,球員狀態!$B$2:$B$5000))),0)),"")</f>
        <v/>
      </c>
      <c r="DS322" s="4" t="str">
        <f t="array" ref="DS322">IFERROR(INDEX(球員狀態!O$2:O$5000, MATCH(1, (球員狀態!$A$2:$A$5000=$DF$1)*(ISNUMBER(SEARCH($DF322, 球員狀態!$B$2:$B$5000))), 0)), "")</f>
        <v/>
      </c>
      <c r="DT322" s="4" t="str">
        <f t="array" ref="DT322">IFERROR(INDEX(球員狀態!P$2:P$5000, MATCH(1, (球員狀態!$A$2:$A$5000=$DF$1)*(ISNUMBER(SEARCH($DF322, 球員狀態!$B$2:$B$5000))), 0)), "")</f>
        <v/>
      </c>
      <c r="DU322" s="4" t="str">
        <f t="array" ref="DU322">IFERROR(INDEX(球員狀態!Q$2:Q$5000,MATCH(1,(球員狀態!$A$2:$A$5000=$DF$301)*(ISNUMBER(SEARCH($DF322,球員狀態!$B$2:$B$5000))),0)),"")</f>
        <v/>
      </c>
      <c r="DV322" s="4" t="str">
        <f t="array" ref="DV322">IFERROR(INDEX(球員狀態!R$2:R$5000, MATCH(1, (球員狀態!$A$2:$A$5000=$DF$1)*(ISNUMBER(SEARCH($DF322, 球員狀態!$B$2:$B$5000))), 0)), "")</f>
        <v/>
      </c>
      <c r="DW322" s="4" t="str">
        <f t="array" ref="DW322">IFERROR(INDEX(球員狀態!S$2:S$5000, MATCH(1, (球員狀態!$A$2:$A$5000=$DF$1)*(ISNUMBER(SEARCH($DF322, 球員狀態!$B$2:$B$5000))), 0)), "")</f>
        <v/>
      </c>
      <c r="DX322" s="4" t="str">
        <f t="array" ref="DX322">IFERROR(INDEX(球員狀態!T$2:T$5000,MATCH(1,(球員狀態!$A$2:$A$5000=$DF$301)*(ISNUMBER(SEARCH($DF322,球員狀態!$B$2:$B$5000))),0)),"")</f>
        <v/>
      </c>
      <c r="DY322" s="4" t="str">
        <f t="array" ref="DY322">IFERROR(INDEX(球員狀態!U$2:U$5000, MATCH(1, (球員狀態!$A$2:$A$5000=$DF$1)*(ISNUMBER(SEARCH($DF322, 球員狀態!$B$2:$B$5000))), 0)), "")</f>
        <v/>
      </c>
      <c r="DZ322" s="4" t="str">
        <f t="array" ref="DZ322">IFERROR(INDEX(球員狀態!V$2:V$5000, MATCH(1, (球員狀態!$A$2:$A$5000=$DF$1)*(ISNUMBER(SEARCH($DF322, 球員狀態!$B$2:$B$5000))), 0)), "")</f>
        <v/>
      </c>
      <c r="EA322" s="4" t="str">
        <f t="array" ref="EA322">IFERROR(INDEX(球員狀態!W$2:W$5000,MATCH(1,(球員狀態!$A$2:$A$5000=$DF$301)*(ISNUMBER(SEARCH($DF322,球員狀態!$B$2:$B$5000))),0)),"")</f>
        <v/>
      </c>
      <c r="EB322" s="4" t="str">
        <f t="array" ref="EB322">IFERROR(INDEX(球員狀態!X$2:X$5000, MATCH(1, (球員狀態!$A$2:$A$5000=$DF$1)*(ISNUMBER(SEARCH($DF322, 球員狀態!$B$2:$B$5000))), 0)), "")</f>
        <v/>
      </c>
      <c r="EC322" s="4" t="str">
        <f t="array" ref="EC322">IFERROR(INDEX(球員狀態!Y$2:Y$5000, MATCH(1, (球員狀態!$A$2:$A$5000=$DF$1)*(ISNUMBER(SEARCH($DF322, 球員狀態!$B$2:$B$5000))), 0)), "")</f>
        <v/>
      </c>
      <c r="ED322" s="4" t="str">
        <f t="array" ref="ED322">IFERROR(INDEX(球員狀態!Z$2:Z$5000,MATCH(1,(球員狀態!$A$2:$A$5000=$DF$301)*(ISNUMBER(SEARCH($DF322,球員狀態!$B$2:$B$5000))),0)),"")</f>
        <v/>
      </c>
      <c r="EE322" s="4" t="str">
        <f t="array" ref="EE322">IFERROR(INDEX(球員狀態!AA$2:AA$5000,MATCH(1,(球員狀態!$A$2:$A$5000=$DF$301)*(ISNUMBER(SEARCH($DF322,球員狀態!$B$2:$B$5000))),0)),"")</f>
        <v/>
      </c>
      <c r="EF322" s="4" t="str">
        <f t="array" ref="EF322">IFERROR(INDEX(球員狀態!AB$2:AB$5000,MATCH(1,(球員狀態!$A$2:$A$5000=$DF$301)*(ISNUMBER(SEARCH($DF322,球員狀態!$B$2:$B$5000))),0)),"")</f>
        <v/>
      </c>
      <c r="EG322" s="56"/>
      <c r="EI322" s="37">
        <f>先發名單!Y$12</f>
        <v>0</v>
      </c>
      <c r="EJ322" s="4" t="str">
        <f t="array" ref="EJ322">IFERROR(INDEX(球員狀態!C$2:C$5000, MATCH(1, (球員狀態!$A$2:$A$5000=$EI$301)*(ISNUMBER(SEARCH($EI322, 球員狀態!$B$2:$B$5000))), 0)), "")</f>
        <v/>
      </c>
      <c r="EM322" s="4" t="str">
        <f t="array" ref="EM322">IFERROR(INDEX(球員狀態!F$2:F$5000, MATCH(1, (球員狀態!$A$2:$A$5000=$EI$301)*(ISNUMBER(SEARCH($EI322, 球員狀態!$B$2:$B$5000))), 0)), "")</f>
        <v/>
      </c>
      <c r="EN322" s="4" t="str">
        <f t="array" ref="EN322">IFERROR(INDEX(球員狀態!G$2:G$5000, MATCH(1, (球員狀態!$A$2:$A$5000=$EI$1)*(ISNUMBER(SEARCH($EI322, 球員狀態!$B$2:$B$5000))), 0)), "")</f>
        <v/>
      </c>
      <c r="EO322" s="4" t="str">
        <f t="array" ref="EO322">IFERROR(INDEX(球員狀態!H$2:H$5000, MATCH(1, (球員狀態!$A$2:$A$5000=$EI$301)*(ISNUMBER(SEARCH($EI322, 球員狀態!$B$2:$B$5000))), 0)), "")</f>
        <v/>
      </c>
      <c r="EP322" s="4" t="str">
        <f t="array" ref="EP322">IFERROR(INDEX(球員狀態!I$2:I$5000, MATCH(1, (球員狀態!$A$2:$A$5000=$EI$301)*(ISNUMBER(SEARCH($EI322, 球員狀態!$B$2:$B$5000))), 0)), "")</f>
        <v/>
      </c>
      <c r="EQ322" s="4" t="str">
        <f t="array" ref="EQ322">IFERROR(INDEX(球員狀態!J$2:J$5000, MATCH(1, (球員狀態!$A$2:$A$5000=$EI$301)*(ISNUMBER(SEARCH($EI322, 球員狀態!$B$2:$B$5000))), 0)), "")</f>
        <v/>
      </c>
      <c r="ER322" s="4" t="str">
        <f t="array" ref="ER322">IFERROR(INDEX(球員狀態!K$2:K$5000, MATCH(1, (球員狀態!$A$2:$A$5000=$EI$301)*(ISNUMBER(SEARCH($EI322, 球員狀態!$B$2:$B$5000))), 0)), "")</f>
        <v/>
      </c>
      <c r="ES322" s="4" t="str">
        <f t="array" ref="ES322">IFERROR(INDEX(球員狀態!L$2:L$5000, MATCH(1, (球員狀態!$A$2:$A$5000=$EI$301)*(ISNUMBER(SEARCH($EI322, 球員狀態!$B$2:$B$5000))), 0)), "")</f>
        <v/>
      </c>
      <c r="ET322" s="4" t="str">
        <f t="array" ref="ET322">IFERROR(INDEX(球員狀態!M$2:M$5000, MATCH(1, (球員狀態!$A$2:$A$5000=$EI$301)*(ISNUMBER(SEARCH($EI322, 球員狀態!$B$2:$B$5000))), 0)), "")</f>
        <v/>
      </c>
      <c r="EU322" s="4" t="str">
        <f t="array" ref="EU322">IFERROR(INDEX(球員狀態!N$2:N$5000, MATCH(1, (球員狀態!$A$2:$A$5000=$EI$301)*(ISNUMBER(SEARCH($EI322, 球員狀態!$B$2:$B$5000))), 0)), "")</f>
        <v/>
      </c>
      <c r="EV322" s="4" t="str">
        <f t="array" ref="EV322">IFERROR(INDEX(球員狀態!O$2:O$5000, MATCH(1, (球員狀態!$A$2:$A$5000=$EI$1)*(ISNUMBER(SEARCH($EI322, 球員狀態!$B$2:$B$5000))), 0)), "")</f>
        <v/>
      </c>
      <c r="EW322" s="4" t="str">
        <f t="array" ref="EW322">IFERROR(INDEX(球員狀態!P$2:P$5000, MATCH(1, (球員狀態!$A$2:$A$5000=$EI$1)*(ISNUMBER(SEARCH($EI322, 球員狀態!$B$2:$B$5000))), 0)), "")</f>
        <v/>
      </c>
      <c r="EX322" s="4" t="str">
        <f t="array" ref="EX322">IFERROR(INDEX(球員狀態!Q$2:Q$5000, MATCH(1, (球員狀態!$A$2:$A$5000=$EI$301)*(ISNUMBER(SEARCH($EI322, 球員狀態!$B$2:$B$5000))), 0)), "")</f>
        <v/>
      </c>
      <c r="EY322" s="4" t="str">
        <f t="array" ref="EY322">IFERROR(INDEX(球員狀態!R$2:R$5000, MATCH(1, (球員狀態!$A$2:$A$5000=$EI$1)*(ISNUMBER(SEARCH($EI322, 球員狀態!$B$2:$B$5000))), 0)), "")</f>
        <v/>
      </c>
      <c r="EZ322" s="4" t="str">
        <f t="array" ref="EZ322">IFERROR(INDEX(球員狀態!S$2:S$5000, MATCH(1, (球員狀態!$A$2:$A$5000=$EI$1)*(ISNUMBER(SEARCH($EI322, 球員狀態!$B$2:$B$5000))), 0)), "")</f>
        <v/>
      </c>
      <c r="FA322" s="4" t="str">
        <f t="array" ref="FA322">IFERROR(INDEX(球員狀態!T$2:T$5000, MATCH(1, (球員狀態!$A$2:$A$5000=$EI$301)*(ISNUMBER(SEARCH($EI322, 球員狀態!$B$2:$B$5000))), 0)), "")</f>
        <v/>
      </c>
      <c r="FB322" s="4" t="str">
        <f t="array" ref="FB322">IFERROR(INDEX(球員狀態!U$2:U$5000, MATCH(1, (球員狀態!$A$2:$A$5000=$EI$1)*(ISNUMBER(SEARCH($EI322, 球員狀態!$B$2:$B$5000))), 0)), "")</f>
        <v/>
      </c>
      <c r="FC322" s="4" t="str">
        <f t="array" ref="FC322">IFERROR(INDEX(球員狀態!V$2:V$5000, MATCH(1, (球員狀態!$A$2:$A$5000=$EI$1)*(ISNUMBER(SEARCH($EI322, 球員狀態!$B$2:$B$5000))), 0)), "")</f>
        <v/>
      </c>
      <c r="FD322" s="4" t="str">
        <f t="array" ref="FD322">IFERROR(INDEX(球員狀態!W$2:W$5000, MATCH(1, (球員狀態!$A$2:$A$5000=$EI$301)*(ISNUMBER(SEARCH($EI322, 球員狀態!$B$2:$B$5000))), 0)), "")</f>
        <v/>
      </c>
      <c r="FE322" s="4" t="str">
        <f t="array" ref="FE322">IFERROR(INDEX(球員狀態!X$2:X$5000, MATCH(1, (球員狀態!$A$2:$A$5000=$EI$1)*(ISNUMBER(SEARCH($EI322, 球員狀態!$B$2:$B$5000))), 0)), "")</f>
        <v/>
      </c>
      <c r="FF322" s="4" t="str">
        <f t="array" ref="FF322">IFERROR(INDEX(球員狀態!Y$2:Y$5000, MATCH(1, (球員狀態!$A$2:$A$5000=$EI$1)*(ISNUMBER(SEARCH($EI322, 球員狀態!$B$2:$B$5000))), 0)), "")</f>
        <v/>
      </c>
      <c r="FG322" s="4" t="str">
        <f t="array" ref="FG322">IFERROR(INDEX(球員狀態!Z$2:Z$5000, MATCH(1, (球員狀態!$A$2:$A$5000=$EI$301)*(ISNUMBER(SEARCH($EI322, 球員狀態!$B$2:$B$5000))), 0)), "")</f>
        <v/>
      </c>
      <c r="FH322" s="4" t="str">
        <f t="array" ref="FH322">IFERROR(INDEX(球員狀態!AA$2:AA$5000, MATCH(1, (球員狀態!$A$2:$A$5000=$EI$301)*(ISNUMBER(SEARCH($EI322, 球員狀態!$B$2:$B$5000))), 0)), "")</f>
        <v/>
      </c>
      <c r="FI322" s="4" t="str">
        <f t="array" ref="FI322">IFERROR(INDEX(球員狀態!AB$2:AB$5000, MATCH(1, (球員狀態!$A$2:$A$5000=$EI$301)*(ISNUMBER(SEARCH($EI322, 球員狀態!$B$2:$B$5000))), 0)), "")</f>
        <v/>
      </c>
    </row>
    <row r="323" spans="110:165">
      <c r="DH323" s="40" t="e">
        <f>DJ323+DL323+DM323+DN323+DO323-DP323-DQ323+DR323</f>
        <v>#VALUE!</v>
      </c>
      <c r="DI323" s="42" t="e">
        <f>DU323+DX323+EA323+ED323+EE323+EF323</f>
        <v>#VALUE!</v>
      </c>
      <c r="DJ323" s="38" t="e">
        <f>VLOOKUP(DJ322*1, FK$2:FM$12, 3, TRUE)*FM$1</f>
        <v>#VALUE!</v>
      </c>
      <c r="DL323" s="38" t="e">
        <f>VLOOKUP(DL322*1, FN$2:FP$12, 3, TRUE)*FP$1</f>
        <v>#VALUE!</v>
      </c>
      <c r="DM323" s="38" t="e">
        <f>VLOOKUP(DM322*1, FQ$2:FS$12, 3, TRUE)*FS$1</f>
        <v>#VALUE!</v>
      </c>
      <c r="DN323" s="38" t="e">
        <f>VLOOKUP(DN322*1, FT$2:FV$12, 3, TRUE)*FV$1</f>
        <v>#VALUE!</v>
      </c>
      <c r="DO323" s="38" t="e">
        <f>VLOOKUP(DO322*1, FW$2:FY$12, 3, TRUE)*FY$1</f>
        <v>#VALUE!</v>
      </c>
      <c r="DP323" s="39" t="e">
        <f>VLOOKUP(DP322*1, FK$14:FM$25, 3, TRUE)*FM$14</f>
        <v>#VALUE!</v>
      </c>
      <c r="DQ323" s="39" t="e">
        <f>VLOOKUP(DQ322*1, FN$14:FP$25, 3, TRUE)*FP$14</f>
        <v>#VALUE!</v>
      </c>
      <c r="DR323" s="38" t="e">
        <f>VLOOKUP(DR322*1, FQ$14:FS$25, 3, TRUE)*FS$14</f>
        <v>#VALUE!</v>
      </c>
      <c r="DU323" s="41" t="e">
        <f>VLOOKUP(DU322*1, FK$27:FM$38, 3, TRUE)*FM$27</f>
        <v>#VALUE!</v>
      </c>
      <c r="DX323" s="41" t="e">
        <f>VLOOKUP(DX322*1, FN$27:FP$38, 3, TRUE)*FP$27</f>
        <v>#VALUE!</v>
      </c>
      <c r="EA323" s="41" t="e">
        <f>VLOOKUP(EA322*1, FQ$27:FS$38, 3, TRUE)*FS$27</f>
        <v>#VALUE!</v>
      </c>
      <c r="ED323" s="41" t="e">
        <f>VLOOKUP(ED322*1, FT$27:FV$38, 3, TRUE)*FV$27</f>
        <v>#VALUE!</v>
      </c>
      <c r="EE323" s="41" t="e">
        <f>VLOOKUP(EE322*1, FW$27:FY$38, 3, TRUE)*FY$27</f>
        <v>#VALUE!</v>
      </c>
      <c r="EF323" s="41" t="e">
        <f>VLOOKUP(EF322*1, FK$40:FM$51, 3, TRUE)*FM$40</f>
        <v>#VALUE!</v>
      </c>
      <c r="EG323" s="57"/>
      <c r="EK323" s="40" t="e">
        <f>EM323+EO323+EP323+EQ323+ER323-ES323-ET323+EU323</f>
        <v>#VALUE!</v>
      </c>
      <c r="EL323" s="42" t="e">
        <f>EX323+FA323+FD323+FG323+FH323+FI323</f>
        <v>#VALUE!</v>
      </c>
      <c r="EM323" s="38" t="e">
        <f>VLOOKUP(EM322*1, $FK$2:$FM$12, 3, TRUE)*$FM$1</f>
        <v>#VALUE!</v>
      </c>
      <c r="EO323" s="38" t="e">
        <f>VLOOKUP(EO322*1, $FN$2:$FP$12, 3, TRUE)*$FP$1</f>
        <v>#VALUE!</v>
      </c>
      <c r="EP323" s="38" t="e">
        <f>VLOOKUP(EP322*1, $FQ$2:$FS$12, 3, TRUE)*$FS$1</f>
        <v>#VALUE!</v>
      </c>
      <c r="EQ323" s="38" t="e">
        <f>VLOOKUP(EQ322*1, $FT$2:$FV$12, 3, TRUE)*$FV$1</f>
        <v>#VALUE!</v>
      </c>
      <c r="ER323" s="38" t="e">
        <f>VLOOKUP(ER322*1, $FW$2:$FY$12, 3, TRUE)*$FY$1</f>
        <v>#VALUE!</v>
      </c>
      <c r="ES323" s="39" t="e">
        <f>VLOOKUP(ES322*1, $FK$14:$FM$25, 3, TRUE)*$FM$14</f>
        <v>#VALUE!</v>
      </c>
      <c r="ET323" s="39" t="e">
        <f>VLOOKUP(ET322*1, $FN$14:$FP$25, 3, TRUE)*$FP$14</f>
        <v>#VALUE!</v>
      </c>
      <c r="EU323" s="38" t="e">
        <f>VLOOKUP(EU322*1, $FQ$14:$FS$25, 3, TRUE)*$FS$14</f>
        <v>#VALUE!</v>
      </c>
      <c r="EX323" s="41" t="e">
        <f>VLOOKUP(EX322*1, $FK$27:$FM$38, 3, TRUE)*$FM$27</f>
        <v>#VALUE!</v>
      </c>
      <c r="FA323" s="41" t="e">
        <f>VLOOKUP(FA322*1, $FN$27:$FP$38, 3, TRUE)*$FP$27</f>
        <v>#VALUE!</v>
      </c>
      <c r="FD323" s="41" t="e">
        <f>VLOOKUP(FD322*1, $FQ$27:$FS$38, 3, TRUE)*$FS$27</f>
        <v>#VALUE!</v>
      </c>
      <c r="FG323" s="41" t="e">
        <f>VLOOKUP(FG322*1, $FT$27:$FV$38, 3, TRUE)*$FV$27</f>
        <v>#VALUE!</v>
      </c>
      <c r="FH323" s="41" t="e">
        <f>VLOOKUP(FH322*1, $FW$27:$FY$38, 3, TRUE)*$FY$27</f>
        <v>#VALUE!</v>
      </c>
      <c r="FI323" s="41" t="e">
        <f>VLOOKUP(FI322*1, $FK$40:$FM$51, 3, TRUE)*$FM$40</f>
        <v>#VALUE!</v>
      </c>
    </row>
    <row r="324" spans="110:165">
      <c r="DF324" s="37" t="e">
        <f>先發名單!#REF!</f>
        <v>#REF!</v>
      </c>
      <c r="DG324" s="4" t="str">
        <f t="array" ref="DG324">IFERROR(INDEX(球員狀態!$C$2:$C$5000, MATCH(1, (球員狀態!$A$2:$A$5000=$DF$3011)*(ISNUMBER(SEARCH($DF324, 球員狀態!$B$2:$B$5000))), 0)), "")</f>
        <v/>
      </c>
      <c r="DJ324" s="4" t="str">
        <f t="array" ref="DJ324">IFERROR(INDEX(球員狀態!$F$2:$F$5000,MATCH(1,(球員狀態!$A$2:$A$5000=$DF$301)*(ISNUMBER(SEARCH($DF324,球員狀態!$B$2:$B$5000))),0)),"")</f>
        <v/>
      </c>
      <c r="DK324" s="4" t="str">
        <f t="array" ref="DK324">IFERROR(INDEX(球員狀態!G$2:G$5000, MATCH(1, (球員狀態!$A$2:$A$5000=$DF$1)*(ISNUMBER(SEARCH($DF324, 球員狀態!$B$2:$B$5000))), 0)), "")</f>
        <v/>
      </c>
      <c r="DL324" s="4" t="str">
        <f t="array" ref="DL324">IFERROR(INDEX(球員狀態!H$2:H$5000, MATCH(1, (球員狀態!$A$2:$A$5000=$DF$301)*(ISNUMBER(SEARCH($DF324, 球員狀態!$B$2:$B$5000))), 0)), "")</f>
        <v/>
      </c>
      <c r="DM324" s="4" t="str">
        <f t="array" ref="DM324">IFERROR(INDEX(球員狀態!I$2:I$5000,MATCH(1,(球員狀態!$A$2:$A$5000=$DF$301)*(ISNUMBER(SEARCH($DF324,球員狀態!$B$2:$B$5000))),0)),"")</f>
        <v/>
      </c>
      <c r="DN324" s="4" t="str">
        <f t="array" ref="DN324">IFERROR(INDEX(球員狀態!J$2:J$5000,MATCH(1,(球員狀態!$A$2:$A$5000=$DF$301)*(ISNUMBER(SEARCH($DF324,球員狀態!$B$2:$B$5000))),0)),"")</f>
        <v/>
      </c>
      <c r="DO324" s="4" t="str">
        <f t="array" ref="DO324">IFERROR(INDEX(球員狀態!K$2:K$5000,MATCH(1,(球員狀態!$A$2:$A$5000=$DF$301)*(ISNUMBER(SEARCH($DF324,球員狀態!$B$2:$B$5000))),0)),"")</f>
        <v/>
      </c>
      <c r="DP324" s="4" t="str">
        <f t="array" ref="DP324">IFERROR(INDEX(球員狀態!L$2:L$5000,MATCH(1,(球員狀態!$A$2:$A$5000=$DF$301)*(ISNUMBER(SEARCH($DF324,球員狀態!$B$2:$B$5000))),0)),"")</f>
        <v/>
      </c>
      <c r="DQ324" s="4" t="str">
        <f t="array" ref="DQ324">IFERROR(INDEX(球員狀態!M$2:M$5000,MATCH(1,(球員狀態!$A$2:$A$5000=$DF$301)*(ISNUMBER(SEARCH($DF324,球員狀態!$B$2:$B$5000))),0)),"")</f>
        <v/>
      </c>
      <c r="DR324" s="4" t="str">
        <f t="array" ref="DR324">IFERROR(INDEX(球員狀態!N$2:N$5000,MATCH(1,(球員狀態!$A$2:$A$5000=$DF$301)*(ISNUMBER(SEARCH($DF324,球員狀態!$B$2:$B$5000))),0)),"")</f>
        <v/>
      </c>
      <c r="DS324" s="4" t="str">
        <f t="array" ref="DS324">IFERROR(INDEX(球員狀態!O$2:O$5000, MATCH(1, (球員狀態!$A$2:$A$5000=$DF$1)*(ISNUMBER(SEARCH($DF324, 球員狀態!$B$2:$B$5000))), 0)), "")</f>
        <v/>
      </c>
      <c r="DT324" s="4" t="str">
        <f t="array" ref="DT324">IFERROR(INDEX(球員狀態!P$2:P$5000, MATCH(1, (球員狀態!$A$2:$A$5000=$DF$1)*(ISNUMBER(SEARCH($DF324, 球員狀態!$B$2:$B$5000))), 0)), "")</f>
        <v/>
      </c>
      <c r="DU324" s="4" t="str">
        <f t="array" ref="DU324">IFERROR(INDEX(球員狀態!Q$2:Q$5000,MATCH(1,(球員狀態!$A$2:$A$5000=$DF$301)*(ISNUMBER(SEARCH($DF324,球員狀態!$B$2:$B$5000))),0)),"")</f>
        <v/>
      </c>
      <c r="DV324" s="4" t="str">
        <f t="array" ref="DV324">IFERROR(INDEX(球員狀態!R$2:R$5000, MATCH(1, (球員狀態!$A$2:$A$5000=$DF$1)*(ISNUMBER(SEARCH($DF324, 球員狀態!$B$2:$B$5000))), 0)), "")</f>
        <v/>
      </c>
      <c r="DW324" s="4" t="str">
        <f t="array" ref="DW324">IFERROR(INDEX(球員狀態!S$2:S$5000, MATCH(1, (球員狀態!$A$2:$A$5000=$DF$1)*(ISNUMBER(SEARCH($DF324, 球員狀態!$B$2:$B$5000))), 0)), "")</f>
        <v/>
      </c>
      <c r="DX324" s="4" t="str">
        <f t="array" ref="DX324">IFERROR(INDEX(球員狀態!T$2:T$5000,MATCH(1,(球員狀態!$A$2:$A$5000=$DF$301)*(ISNUMBER(SEARCH($DF324,球員狀態!$B$2:$B$5000))),0)),"")</f>
        <v/>
      </c>
      <c r="DY324" s="4" t="str">
        <f t="array" ref="DY324">IFERROR(INDEX(球員狀態!U$2:U$5000, MATCH(1, (球員狀態!$A$2:$A$5000=$DF$1)*(ISNUMBER(SEARCH($DF324, 球員狀態!$B$2:$B$5000))), 0)), "")</f>
        <v/>
      </c>
      <c r="DZ324" s="4" t="str">
        <f t="array" ref="DZ324">IFERROR(INDEX(球員狀態!V$2:V$5000, MATCH(1, (球員狀態!$A$2:$A$5000=$DF$1)*(ISNUMBER(SEARCH($DF324, 球員狀態!$B$2:$B$5000))), 0)), "")</f>
        <v/>
      </c>
      <c r="EA324" s="4" t="str">
        <f t="array" ref="EA324">IFERROR(INDEX(球員狀態!W$2:W$5000,MATCH(1,(球員狀態!$A$2:$A$5000=$DF$301)*(ISNUMBER(SEARCH($DF324,球員狀態!$B$2:$B$5000))),0)),"")</f>
        <v/>
      </c>
      <c r="EB324" s="4" t="str">
        <f t="array" ref="EB324">IFERROR(INDEX(球員狀態!X$2:X$5000, MATCH(1, (球員狀態!$A$2:$A$5000=$DF$1)*(ISNUMBER(SEARCH($DF324, 球員狀態!$B$2:$B$5000))), 0)), "")</f>
        <v/>
      </c>
      <c r="EC324" s="4" t="str">
        <f t="array" ref="EC324">IFERROR(INDEX(球員狀態!Y$2:Y$5000, MATCH(1, (球員狀態!$A$2:$A$5000=$DF$1)*(ISNUMBER(SEARCH($DF324, 球員狀態!$B$2:$B$5000))), 0)), "")</f>
        <v/>
      </c>
      <c r="ED324" s="4" t="str">
        <f t="array" ref="ED324">IFERROR(INDEX(球員狀態!Z$2:Z$5000,MATCH(1,(球員狀態!$A$2:$A$5000=$DF$301)*(ISNUMBER(SEARCH($DF324,球員狀態!$B$2:$B$5000))),0)),"")</f>
        <v/>
      </c>
      <c r="EE324" s="4" t="str">
        <f t="array" ref="EE324">IFERROR(INDEX(球員狀態!AA$2:AA$5000,MATCH(1,(球員狀態!$A$2:$A$5000=$DF$301)*(ISNUMBER(SEARCH($DF324,球員狀態!$B$2:$B$5000))),0)),"")</f>
        <v/>
      </c>
      <c r="EF324" s="4" t="str">
        <f t="array" ref="EF324">IFERROR(INDEX(球員狀態!AB$2:AB$5000,MATCH(1,(球員狀態!$A$2:$A$5000=$DF$301)*(ISNUMBER(SEARCH($DF324,球員狀態!$B$2:$B$5000))),0)),"")</f>
        <v/>
      </c>
      <c r="EG324" s="56"/>
      <c r="EI324" s="37">
        <f>先發名單!Z$12</f>
        <v>0</v>
      </c>
      <c r="EJ324" s="4" t="str">
        <f t="array" ref="EJ324">IFERROR(INDEX(球員狀態!C$2:C$5000, MATCH(1, (球員狀態!$A$2:$A$5000=$EI$301)*(ISNUMBER(SEARCH($EI324, 球員狀態!$B$2:$B$5000))), 0)), "")</f>
        <v/>
      </c>
      <c r="EM324" s="4" t="str">
        <f t="array" ref="EM324">IFERROR(INDEX(球員狀態!F$2:F$5000, MATCH(1, (球員狀態!$A$2:$A$5000=$EI$301)*(ISNUMBER(SEARCH($EI324, 球員狀態!$B$2:$B$5000))), 0)), "")</f>
        <v/>
      </c>
      <c r="EN324" s="4" t="str">
        <f t="array" ref="EN324">IFERROR(INDEX(球員狀態!G$2:G$5000, MATCH(1, (球員狀態!$A$2:$A$5000=$EI$1)*(ISNUMBER(SEARCH($EI324, 球員狀態!$B$2:$B$5000))), 0)), "")</f>
        <v/>
      </c>
      <c r="EO324" s="4" t="str">
        <f t="array" ref="EO324">IFERROR(INDEX(球員狀態!H$2:H$5000, MATCH(1, (球員狀態!$A$2:$A$5000=$EI$301)*(ISNUMBER(SEARCH($EI324, 球員狀態!$B$2:$B$5000))), 0)), "")</f>
        <v/>
      </c>
      <c r="EP324" s="4" t="str">
        <f t="array" ref="EP324">IFERROR(INDEX(球員狀態!I$2:I$5000, MATCH(1, (球員狀態!$A$2:$A$5000=$EI$301)*(ISNUMBER(SEARCH($EI324, 球員狀態!$B$2:$B$5000))), 0)), "")</f>
        <v/>
      </c>
      <c r="EQ324" s="4" t="str">
        <f t="array" ref="EQ324">IFERROR(INDEX(球員狀態!J$2:J$5000, MATCH(1, (球員狀態!$A$2:$A$5000=$EI$301)*(ISNUMBER(SEARCH($EI324, 球員狀態!$B$2:$B$5000))), 0)), "")</f>
        <v/>
      </c>
      <c r="ER324" s="4" t="str">
        <f t="array" ref="ER324">IFERROR(INDEX(球員狀態!K$2:K$5000, MATCH(1, (球員狀態!$A$2:$A$5000=$EI$301)*(ISNUMBER(SEARCH($EI324, 球員狀態!$B$2:$B$5000))), 0)), "")</f>
        <v/>
      </c>
      <c r="ES324" s="4" t="str">
        <f t="array" ref="ES324">IFERROR(INDEX(球員狀態!L$2:L$5000, MATCH(1, (球員狀態!$A$2:$A$5000=$EI$301)*(ISNUMBER(SEARCH($EI324, 球員狀態!$B$2:$B$5000))), 0)), "")</f>
        <v/>
      </c>
      <c r="ET324" s="4" t="str">
        <f t="array" ref="ET324">IFERROR(INDEX(球員狀態!M$2:M$5000, MATCH(1, (球員狀態!$A$2:$A$5000=$EI$301)*(ISNUMBER(SEARCH($EI324, 球員狀態!$B$2:$B$5000))), 0)), "")</f>
        <v/>
      </c>
      <c r="EU324" s="4" t="str">
        <f t="array" ref="EU324">IFERROR(INDEX(球員狀態!N$2:N$5000, MATCH(1, (球員狀態!$A$2:$A$5000=$EI$301)*(ISNUMBER(SEARCH($EI324, 球員狀態!$B$2:$B$5000))), 0)), "")</f>
        <v/>
      </c>
      <c r="EV324" s="4" t="str">
        <f t="array" ref="EV324">IFERROR(INDEX(球員狀態!O$2:O$5000, MATCH(1, (球員狀態!$A$2:$A$5000=$EI$1)*(ISNUMBER(SEARCH($EI324, 球員狀態!$B$2:$B$5000))), 0)), "")</f>
        <v/>
      </c>
      <c r="EW324" s="4" t="str">
        <f t="array" ref="EW324">IFERROR(INDEX(球員狀態!P$2:P$5000, MATCH(1, (球員狀態!$A$2:$A$5000=$EI$1)*(ISNUMBER(SEARCH($EI324, 球員狀態!$B$2:$B$5000))), 0)), "")</f>
        <v/>
      </c>
      <c r="EX324" s="4" t="str">
        <f t="array" ref="EX324">IFERROR(INDEX(球員狀態!Q$2:Q$5000, MATCH(1, (球員狀態!$A$2:$A$5000=$EI$301)*(ISNUMBER(SEARCH($EI324, 球員狀態!$B$2:$B$5000))), 0)), "")</f>
        <v/>
      </c>
      <c r="EY324" s="4" t="str">
        <f t="array" ref="EY324">IFERROR(INDEX(球員狀態!R$2:R$5000, MATCH(1, (球員狀態!$A$2:$A$5000=$EI$1)*(ISNUMBER(SEARCH($EI324, 球員狀態!$B$2:$B$5000))), 0)), "")</f>
        <v/>
      </c>
      <c r="EZ324" s="4" t="str">
        <f t="array" ref="EZ324">IFERROR(INDEX(球員狀態!S$2:S$5000, MATCH(1, (球員狀態!$A$2:$A$5000=$EI$1)*(ISNUMBER(SEARCH($EI324, 球員狀態!$B$2:$B$5000))), 0)), "")</f>
        <v/>
      </c>
      <c r="FA324" s="4" t="str">
        <f t="array" ref="FA324">IFERROR(INDEX(球員狀態!T$2:T$5000, MATCH(1, (球員狀態!$A$2:$A$5000=$EI$301)*(ISNUMBER(SEARCH($EI324, 球員狀態!$B$2:$B$5000))), 0)), "")</f>
        <v/>
      </c>
      <c r="FB324" s="4" t="str">
        <f t="array" ref="FB324">IFERROR(INDEX(球員狀態!U$2:U$5000, MATCH(1, (球員狀態!$A$2:$A$5000=$EI$1)*(ISNUMBER(SEARCH($EI324, 球員狀態!$B$2:$B$5000))), 0)), "")</f>
        <v/>
      </c>
      <c r="FC324" s="4" t="str">
        <f t="array" ref="FC324">IFERROR(INDEX(球員狀態!V$2:V$5000, MATCH(1, (球員狀態!$A$2:$A$5000=$EI$1)*(ISNUMBER(SEARCH($EI324, 球員狀態!$B$2:$B$5000))), 0)), "")</f>
        <v/>
      </c>
      <c r="FD324" s="4" t="str">
        <f t="array" ref="FD324">IFERROR(INDEX(球員狀態!W$2:W$5000, MATCH(1, (球員狀態!$A$2:$A$5000=$EI$301)*(ISNUMBER(SEARCH($EI324, 球員狀態!$B$2:$B$5000))), 0)), "")</f>
        <v/>
      </c>
      <c r="FE324" s="4" t="str">
        <f t="array" ref="FE324">IFERROR(INDEX(球員狀態!X$2:X$5000, MATCH(1, (球員狀態!$A$2:$A$5000=$EI$1)*(ISNUMBER(SEARCH($EI324, 球員狀態!$B$2:$B$5000))), 0)), "")</f>
        <v/>
      </c>
      <c r="FF324" s="4" t="str">
        <f t="array" ref="FF324">IFERROR(INDEX(球員狀態!Y$2:Y$5000, MATCH(1, (球員狀態!$A$2:$A$5000=$EI$1)*(ISNUMBER(SEARCH($EI324, 球員狀態!$B$2:$B$5000))), 0)), "")</f>
        <v/>
      </c>
      <c r="FG324" s="4" t="str">
        <f t="array" ref="FG324">IFERROR(INDEX(球員狀態!Z$2:Z$5000, MATCH(1, (球員狀態!$A$2:$A$5000=$EI$301)*(ISNUMBER(SEARCH($EI324, 球員狀態!$B$2:$B$5000))), 0)), "")</f>
        <v/>
      </c>
      <c r="FH324" s="4" t="str">
        <f t="array" ref="FH324">IFERROR(INDEX(球員狀態!AA$2:AA$5000, MATCH(1, (球員狀態!$A$2:$A$5000=$EI$301)*(ISNUMBER(SEARCH($EI324, 球員狀態!$B$2:$B$5000))), 0)), "")</f>
        <v/>
      </c>
      <c r="FI324" s="4" t="str">
        <f t="array" ref="FI324">IFERROR(INDEX(球員狀態!AB$2:AB$5000, MATCH(1, (球員狀態!$A$2:$A$5000=$EI$301)*(ISNUMBER(SEARCH($EI324, 球員狀態!$B$2:$B$5000))), 0)), "")</f>
        <v/>
      </c>
    </row>
    <row r="325" spans="110:165">
      <c r="DH325" s="40" t="e">
        <f>DJ325+DL325+DM325+DN325+DO325-DP325-DQ325+DR325</f>
        <v>#VALUE!</v>
      </c>
      <c r="DI325" s="42" t="e">
        <f>DU325+DX325+EA325+ED325+EE325+EF325</f>
        <v>#VALUE!</v>
      </c>
      <c r="DJ325" s="38" t="e">
        <f>VLOOKUP(DJ324*1, FK$2:FM$12, 3, TRUE)*FM$1</f>
        <v>#VALUE!</v>
      </c>
      <c r="DL325" s="38" t="e">
        <f>VLOOKUP(DL324*1, FN$2:FP$12, 3, TRUE)*FP$1</f>
        <v>#VALUE!</v>
      </c>
      <c r="DM325" s="38" t="e">
        <f>VLOOKUP(DM324*1, FQ$2:FS$12, 3, TRUE)*FS$1</f>
        <v>#VALUE!</v>
      </c>
      <c r="DN325" s="38" t="e">
        <f>VLOOKUP(DN324*1, FT$2:FV$12, 3, TRUE)*FV$1</f>
        <v>#VALUE!</v>
      </c>
      <c r="DO325" s="38" t="e">
        <f>VLOOKUP(DO324*1, FW$2:FY$12, 3, TRUE)*FY$1</f>
        <v>#VALUE!</v>
      </c>
      <c r="DP325" s="39" t="e">
        <f>VLOOKUP(DP324*1, FK$14:FM$25, 3, TRUE)*FM$14</f>
        <v>#VALUE!</v>
      </c>
      <c r="DQ325" s="39" t="e">
        <f>VLOOKUP(DQ324*1, FN$14:FP$25, 3, TRUE)*FP$14</f>
        <v>#VALUE!</v>
      </c>
      <c r="DR325" s="38" t="e">
        <f>VLOOKUP(DR324*1, FQ$14:FS$25, 3, TRUE)*FS$14</f>
        <v>#VALUE!</v>
      </c>
      <c r="DU325" s="41" t="e">
        <f>VLOOKUP(DU324*1, FK$27:FM$38, 3, TRUE)*FM$27</f>
        <v>#VALUE!</v>
      </c>
      <c r="DX325" s="41" t="e">
        <f>VLOOKUP(DX324*1, FN$27:FP$38, 3, TRUE)*FP$27</f>
        <v>#VALUE!</v>
      </c>
      <c r="EA325" s="41" t="e">
        <f>VLOOKUP(EA324*1, FQ$27:FS$38, 3, TRUE)*FS$27</f>
        <v>#VALUE!</v>
      </c>
      <c r="ED325" s="41" t="e">
        <f>VLOOKUP(ED324*1, FT$27:FV$38, 3, TRUE)*FV$27</f>
        <v>#VALUE!</v>
      </c>
      <c r="EE325" s="41" t="e">
        <f>VLOOKUP(EE324*1, FW$27:FY$38, 3, TRUE)*FY$27</f>
        <v>#VALUE!</v>
      </c>
      <c r="EF325" s="41" t="e">
        <f>VLOOKUP(EF324*1, FK$40:FM$51, 3, TRUE)*FM$40</f>
        <v>#VALUE!</v>
      </c>
      <c r="EG325" s="57"/>
      <c r="EK325" s="40" t="e">
        <f>EM325+EO325+EP325+EQ325+ER325-ES325-ET325+EU325</f>
        <v>#VALUE!</v>
      </c>
      <c r="EL325" s="42" t="e">
        <f>EX325+FA325+FD325+FG325+FH325+FI325</f>
        <v>#VALUE!</v>
      </c>
      <c r="EM325" s="38" t="e">
        <f>VLOOKUP(EM324*1, $FK$2:$FM$12, 3, TRUE)*$FM$1</f>
        <v>#VALUE!</v>
      </c>
      <c r="EO325" s="38" t="e">
        <f>VLOOKUP(EO324*1, $FN$2:$FP$12, 3, TRUE)*$FP$1</f>
        <v>#VALUE!</v>
      </c>
      <c r="EP325" s="38" t="e">
        <f>VLOOKUP(EP324*1, $FQ$2:$FS$12, 3, TRUE)*$FS$1</f>
        <v>#VALUE!</v>
      </c>
      <c r="EQ325" s="38" t="e">
        <f>VLOOKUP(EQ324*1, $FT$2:$FV$12, 3, TRUE)*$FV$1</f>
        <v>#VALUE!</v>
      </c>
      <c r="ER325" s="38" t="e">
        <f>VLOOKUP(ER324*1, $FW$2:$FY$12, 3, TRUE)*$FY$1</f>
        <v>#VALUE!</v>
      </c>
      <c r="ES325" s="39" t="e">
        <f>VLOOKUP(ES324*1, $FK$14:$FM$25, 3, TRUE)*$FM$14</f>
        <v>#VALUE!</v>
      </c>
      <c r="ET325" s="39" t="e">
        <f>VLOOKUP(ET324*1, $FN$14:$FP$25, 3, TRUE)*$FP$14</f>
        <v>#VALUE!</v>
      </c>
      <c r="EU325" s="38" t="e">
        <f>VLOOKUP(EU324*1, $FQ$14:$FS$25, 3, TRUE)*$FS$14</f>
        <v>#VALUE!</v>
      </c>
      <c r="EX325" s="41" t="e">
        <f>VLOOKUP(EX324*1, $FK$27:$FM$38, 3, TRUE)*$FM$27</f>
        <v>#VALUE!</v>
      </c>
      <c r="FA325" s="41" t="e">
        <f>VLOOKUP(FA324*1, $FN$27:$FP$38, 3, TRUE)*$FP$27</f>
        <v>#VALUE!</v>
      </c>
      <c r="FD325" s="41" t="e">
        <f>VLOOKUP(FD324*1, $FQ$27:$FS$38, 3, TRUE)*$FS$27</f>
        <v>#VALUE!</v>
      </c>
      <c r="FG325" s="41" t="e">
        <f>VLOOKUP(FG324*1, $FT$27:$FV$38, 3, TRUE)*$FV$27</f>
        <v>#VALUE!</v>
      </c>
      <c r="FH325" s="41" t="e">
        <f>VLOOKUP(FH324*1, $FW$27:$FY$38, 3, TRUE)*$FY$27</f>
        <v>#VALUE!</v>
      </c>
      <c r="FI325" s="41" t="e">
        <f>VLOOKUP(FI324*1, $FK$40:$FM$51, 3, TRUE)*$FM$40</f>
        <v>#VALUE!</v>
      </c>
    </row>
    <row r="326" spans="110:165">
      <c r="DF326" s="37" t="e">
        <f>先發名單!#REF!</f>
        <v>#REF!</v>
      </c>
      <c r="DG326" s="4" t="str">
        <f t="array" ref="DG326">IFERROR(INDEX(球員狀態!$C$2:$C$5000, MATCH(1, (球員狀態!$A$2:$A$5000=$DF$3011)*(ISNUMBER(SEARCH($DF326, 球員狀態!$B$2:$B$5000))), 0)), "")</f>
        <v/>
      </c>
      <c r="DJ326" s="4" t="str">
        <f t="array" ref="DJ326">IFERROR(INDEX(球員狀態!$F$2:$F$5000,MATCH(1,(球員狀態!$A$2:$A$5000=$DF$301)*(ISNUMBER(SEARCH($DF326,球員狀態!$B$2:$B$5000))),0)),"")</f>
        <v/>
      </c>
      <c r="DK326" s="4" t="str">
        <f t="array" ref="DK326">IFERROR(INDEX(球員狀態!G$2:G$5000, MATCH(1, (球員狀態!$A$2:$A$5000=$DF$1)*(ISNUMBER(SEARCH($DF326, 球員狀態!$B$2:$B$5000))), 0)), "")</f>
        <v/>
      </c>
      <c r="DL326" s="4" t="str">
        <f t="array" ref="DL326">IFERROR(INDEX(球員狀態!H$2:H$5000, MATCH(1, (球員狀態!$A$2:$A$5000=$DF$301)*(ISNUMBER(SEARCH($DF326, 球員狀態!$B$2:$B$5000))), 0)), "")</f>
        <v/>
      </c>
      <c r="DM326" s="4" t="str">
        <f t="array" ref="DM326">IFERROR(INDEX(球員狀態!I$2:I$5000,MATCH(1,(球員狀態!$A$2:$A$5000=$DF$301)*(ISNUMBER(SEARCH($DF326,球員狀態!$B$2:$B$5000))),0)),"")</f>
        <v/>
      </c>
      <c r="DN326" s="4" t="str">
        <f t="array" ref="DN326">IFERROR(INDEX(球員狀態!J$2:J$5000,MATCH(1,(球員狀態!$A$2:$A$5000=$DF$301)*(ISNUMBER(SEARCH($DF326,球員狀態!$B$2:$B$5000))),0)),"")</f>
        <v/>
      </c>
      <c r="DO326" s="4" t="str">
        <f t="array" ref="DO326">IFERROR(INDEX(球員狀態!K$2:K$5000,MATCH(1,(球員狀態!$A$2:$A$5000=$DF$301)*(ISNUMBER(SEARCH($DF326,球員狀態!$B$2:$B$5000))),0)),"")</f>
        <v/>
      </c>
      <c r="DP326" s="4" t="str">
        <f t="array" ref="DP326">IFERROR(INDEX(球員狀態!L$2:L$5000,MATCH(1,(球員狀態!$A$2:$A$5000=$DF$301)*(ISNUMBER(SEARCH($DF326,球員狀態!$B$2:$B$5000))),0)),"")</f>
        <v/>
      </c>
      <c r="DQ326" s="4" t="str">
        <f t="array" ref="DQ326">IFERROR(INDEX(球員狀態!M$2:M$5000,MATCH(1,(球員狀態!$A$2:$A$5000=$DF$301)*(ISNUMBER(SEARCH($DF326,球員狀態!$B$2:$B$5000))),0)),"")</f>
        <v/>
      </c>
      <c r="DR326" s="4" t="str">
        <f t="array" ref="DR326">IFERROR(INDEX(球員狀態!N$2:N$5000,MATCH(1,(球員狀態!$A$2:$A$5000=$DF$301)*(ISNUMBER(SEARCH($DF326,球員狀態!$B$2:$B$5000))),0)),"")</f>
        <v/>
      </c>
      <c r="DS326" s="4" t="str">
        <f t="array" ref="DS326">IFERROR(INDEX(球員狀態!O$2:O$5000, MATCH(1, (球員狀態!$A$2:$A$5000=$DF$1)*(ISNUMBER(SEARCH($DF326, 球員狀態!$B$2:$B$5000))), 0)), "")</f>
        <v/>
      </c>
      <c r="DT326" s="4" t="str">
        <f t="array" ref="DT326">IFERROR(INDEX(球員狀態!P$2:P$5000, MATCH(1, (球員狀態!$A$2:$A$5000=$DF$1)*(ISNUMBER(SEARCH($DF326, 球員狀態!$B$2:$B$5000))), 0)), "")</f>
        <v/>
      </c>
      <c r="DU326" s="4" t="str">
        <f t="array" ref="DU326">IFERROR(INDEX(球員狀態!Q$2:Q$5000,MATCH(1,(球員狀態!$A$2:$A$5000=$DF$301)*(ISNUMBER(SEARCH($DF326,球員狀態!$B$2:$B$5000))),0)),"")</f>
        <v/>
      </c>
      <c r="DV326" s="4" t="str">
        <f t="array" ref="DV326">IFERROR(INDEX(球員狀態!R$2:R$5000, MATCH(1, (球員狀態!$A$2:$A$5000=$DF$1)*(ISNUMBER(SEARCH($DF326, 球員狀態!$B$2:$B$5000))), 0)), "")</f>
        <v/>
      </c>
      <c r="DW326" s="4" t="str">
        <f t="array" ref="DW326">IFERROR(INDEX(球員狀態!S$2:S$5000, MATCH(1, (球員狀態!$A$2:$A$5000=$DF$1)*(ISNUMBER(SEARCH($DF326, 球員狀態!$B$2:$B$5000))), 0)), "")</f>
        <v/>
      </c>
      <c r="DX326" s="4" t="str">
        <f t="array" ref="DX326">IFERROR(INDEX(球員狀態!T$2:T$5000,MATCH(1,(球員狀態!$A$2:$A$5000=$DF$301)*(ISNUMBER(SEARCH($DF326,球員狀態!$B$2:$B$5000))),0)),"")</f>
        <v/>
      </c>
      <c r="DY326" s="4" t="str">
        <f t="array" ref="DY326">IFERROR(INDEX(球員狀態!U$2:U$5000, MATCH(1, (球員狀態!$A$2:$A$5000=$DF$1)*(ISNUMBER(SEARCH($DF326, 球員狀態!$B$2:$B$5000))), 0)), "")</f>
        <v/>
      </c>
      <c r="DZ326" s="4" t="str">
        <f t="array" ref="DZ326">IFERROR(INDEX(球員狀態!V$2:V$5000, MATCH(1, (球員狀態!$A$2:$A$5000=$DF$1)*(ISNUMBER(SEARCH($DF326, 球員狀態!$B$2:$B$5000))), 0)), "")</f>
        <v/>
      </c>
      <c r="EA326" s="4" t="str">
        <f t="array" ref="EA326">IFERROR(INDEX(球員狀態!W$2:W$5000,MATCH(1,(球員狀態!$A$2:$A$5000=$DF$301)*(ISNUMBER(SEARCH($DF326,球員狀態!$B$2:$B$5000))),0)),"")</f>
        <v/>
      </c>
      <c r="EB326" s="4" t="str">
        <f t="array" ref="EB326">IFERROR(INDEX(球員狀態!X$2:X$5000, MATCH(1, (球員狀態!$A$2:$A$5000=$DF$1)*(ISNUMBER(SEARCH($DF326, 球員狀態!$B$2:$B$5000))), 0)), "")</f>
        <v/>
      </c>
      <c r="EC326" s="4" t="str">
        <f t="array" ref="EC326">IFERROR(INDEX(球員狀態!Y$2:Y$5000, MATCH(1, (球員狀態!$A$2:$A$5000=$DF$1)*(ISNUMBER(SEARCH($DF326, 球員狀態!$B$2:$B$5000))), 0)), "")</f>
        <v/>
      </c>
      <c r="ED326" s="4" t="str">
        <f t="array" ref="ED326">IFERROR(INDEX(球員狀態!Z$2:Z$5000,MATCH(1,(球員狀態!$A$2:$A$5000=$DF$301)*(ISNUMBER(SEARCH($DF326,球員狀態!$B$2:$B$5000))),0)),"")</f>
        <v/>
      </c>
      <c r="EE326" s="4" t="str">
        <f t="array" ref="EE326">IFERROR(INDEX(球員狀態!AA$2:AA$5000,MATCH(1,(球員狀態!$A$2:$A$5000=$DF$301)*(ISNUMBER(SEARCH($DF326,球員狀態!$B$2:$B$5000))),0)),"")</f>
        <v/>
      </c>
      <c r="EF326" s="4" t="str">
        <f t="array" ref="EF326">IFERROR(INDEX(球員狀態!AB$2:AB$5000,MATCH(1,(球員狀態!$A$2:$A$5000=$DF$301)*(ISNUMBER(SEARCH($DF326,球員狀態!$B$2:$B$5000))),0)),"")</f>
        <v/>
      </c>
      <c r="EG326" s="56"/>
      <c r="EI326" s="37">
        <f>先發名單!AA$12</f>
        <v>0</v>
      </c>
      <c r="EJ326" s="4" t="str">
        <f t="array" ref="EJ326">IFERROR(INDEX(球員狀態!C$2:C$5000, MATCH(1, (球員狀態!$A$2:$A$5000=$EI$301)*(ISNUMBER(SEARCH($EI326, 球員狀態!$B$2:$B$5000))), 0)), "")</f>
        <v/>
      </c>
      <c r="EM326" s="4" t="str">
        <f t="array" ref="EM326">IFERROR(INDEX(球員狀態!F$2:F$5000, MATCH(1, (球員狀態!$A$2:$A$5000=$EI$301)*(ISNUMBER(SEARCH($EI326, 球員狀態!$B$2:$B$5000))), 0)), "")</f>
        <v/>
      </c>
      <c r="EN326" s="4" t="str">
        <f t="array" ref="EN326">IFERROR(INDEX(球員狀態!G$2:G$5000, MATCH(1, (球員狀態!$A$2:$A$5000=$EI$1)*(ISNUMBER(SEARCH($EI326, 球員狀態!$B$2:$B$5000))), 0)), "")</f>
        <v/>
      </c>
      <c r="EO326" s="4" t="str">
        <f t="array" ref="EO326">IFERROR(INDEX(球員狀態!H$2:H$5000, MATCH(1, (球員狀態!$A$2:$A$5000=$EI$301)*(ISNUMBER(SEARCH($EI326, 球員狀態!$B$2:$B$5000))), 0)), "")</f>
        <v/>
      </c>
      <c r="EP326" s="4" t="str">
        <f t="array" ref="EP326">IFERROR(INDEX(球員狀態!I$2:I$5000, MATCH(1, (球員狀態!$A$2:$A$5000=$EI$301)*(ISNUMBER(SEARCH($EI326, 球員狀態!$B$2:$B$5000))), 0)), "")</f>
        <v/>
      </c>
      <c r="EQ326" s="4" t="str">
        <f t="array" ref="EQ326">IFERROR(INDEX(球員狀態!J$2:J$5000, MATCH(1, (球員狀態!$A$2:$A$5000=$EI$301)*(ISNUMBER(SEARCH($EI326, 球員狀態!$B$2:$B$5000))), 0)), "")</f>
        <v/>
      </c>
      <c r="ER326" s="4" t="str">
        <f t="array" ref="ER326">IFERROR(INDEX(球員狀態!K$2:K$5000, MATCH(1, (球員狀態!$A$2:$A$5000=$EI$301)*(ISNUMBER(SEARCH($EI326, 球員狀態!$B$2:$B$5000))), 0)), "")</f>
        <v/>
      </c>
      <c r="ES326" s="4" t="str">
        <f t="array" ref="ES326">IFERROR(INDEX(球員狀態!L$2:L$5000, MATCH(1, (球員狀態!$A$2:$A$5000=$EI$301)*(ISNUMBER(SEARCH($EI326, 球員狀態!$B$2:$B$5000))), 0)), "")</f>
        <v/>
      </c>
      <c r="ET326" s="4" t="str">
        <f t="array" ref="ET326">IFERROR(INDEX(球員狀態!M$2:M$5000, MATCH(1, (球員狀態!$A$2:$A$5000=$EI$301)*(ISNUMBER(SEARCH($EI326, 球員狀態!$B$2:$B$5000))), 0)), "")</f>
        <v/>
      </c>
      <c r="EU326" s="4" t="str">
        <f t="array" ref="EU326">IFERROR(INDEX(球員狀態!N$2:N$5000, MATCH(1, (球員狀態!$A$2:$A$5000=$EI$301)*(ISNUMBER(SEARCH($EI326, 球員狀態!$B$2:$B$5000))), 0)), "")</f>
        <v/>
      </c>
      <c r="EV326" s="4" t="str">
        <f t="array" ref="EV326">IFERROR(INDEX(球員狀態!O$2:O$5000, MATCH(1, (球員狀態!$A$2:$A$5000=$EI$1)*(ISNUMBER(SEARCH($EI326, 球員狀態!$B$2:$B$5000))), 0)), "")</f>
        <v/>
      </c>
      <c r="EW326" s="4" t="str">
        <f t="array" ref="EW326">IFERROR(INDEX(球員狀態!P$2:P$5000, MATCH(1, (球員狀態!$A$2:$A$5000=$EI$1)*(ISNUMBER(SEARCH($EI326, 球員狀態!$B$2:$B$5000))), 0)), "")</f>
        <v/>
      </c>
      <c r="EX326" s="4" t="str">
        <f t="array" ref="EX326">IFERROR(INDEX(球員狀態!Q$2:Q$5000, MATCH(1, (球員狀態!$A$2:$A$5000=$EI$301)*(ISNUMBER(SEARCH($EI326, 球員狀態!$B$2:$B$5000))), 0)), "")</f>
        <v/>
      </c>
      <c r="EY326" s="4" t="str">
        <f t="array" ref="EY326">IFERROR(INDEX(球員狀態!R$2:R$5000, MATCH(1, (球員狀態!$A$2:$A$5000=$EI$1)*(ISNUMBER(SEARCH($EI326, 球員狀態!$B$2:$B$5000))), 0)), "")</f>
        <v/>
      </c>
      <c r="EZ326" s="4" t="str">
        <f t="array" ref="EZ326">IFERROR(INDEX(球員狀態!S$2:S$5000, MATCH(1, (球員狀態!$A$2:$A$5000=$EI$1)*(ISNUMBER(SEARCH($EI326, 球員狀態!$B$2:$B$5000))), 0)), "")</f>
        <v/>
      </c>
      <c r="FA326" s="4" t="str">
        <f t="array" ref="FA326">IFERROR(INDEX(球員狀態!T$2:T$5000, MATCH(1, (球員狀態!$A$2:$A$5000=$EI$301)*(ISNUMBER(SEARCH($EI326, 球員狀態!$B$2:$B$5000))), 0)), "")</f>
        <v/>
      </c>
      <c r="FB326" s="4" t="str">
        <f t="array" ref="FB326">IFERROR(INDEX(球員狀態!U$2:U$5000, MATCH(1, (球員狀態!$A$2:$A$5000=$EI$1)*(ISNUMBER(SEARCH($EI326, 球員狀態!$B$2:$B$5000))), 0)), "")</f>
        <v/>
      </c>
      <c r="FC326" s="4" t="str">
        <f t="array" ref="FC326">IFERROR(INDEX(球員狀態!V$2:V$5000, MATCH(1, (球員狀態!$A$2:$A$5000=$EI$1)*(ISNUMBER(SEARCH($EI326, 球員狀態!$B$2:$B$5000))), 0)), "")</f>
        <v/>
      </c>
      <c r="FD326" s="4" t="str">
        <f t="array" ref="FD326">IFERROR(INDEX(球員狀態!W$2:W$5000, MATCH(1, (球員狀態!$A$2:$A$5000=$EI$301)*(ISNUMBER(SEARCH($EI326, 球員狀態!$B$2:$B$5000))), 0)), "")</f>
        <v/>
      </c>
      <c r="FE326" s="4" t="str">
        <f t="array" ref="FE326">IFERROR(INDEX(球員狀態!X$2:X$5000, MATCH(1, (球員狀態!$A$2:$A$5000=$EI$1)*(ISNUMBER(SEARCH($EI326, 球員狀態!$B$2:$B$5000))), 0)), "")</f>
        <v/>
      </c>
      <c r="FF326" s="4" t="str">
        <f t="array" ref="FF326">IFERROR(INDEX(球員狀態!Y$2:Y$5000, MATCH(1, (球員狀態!$A$2:$A$5000=$EI$1)*(ISNUMBER(SEARCH($EI326, 球員狀態!$B$2:$B$5000))), 0)), "")</f>
        <v/>
      </c>
      <c r="FG326" s="4" t="str">
        <f t="array" ref="FG326">IFERROR(INDEX(球員狀態!Z$2:Z$5000, MATCH(1, (球員狀態!$A$2:$A$5000=$EI$301)*(ISNUMBER(SEARCH($EI326, 球員狀態!$B$2:$B$5000))), 0)), "")</f>
        <v/>
      </c>
      <c r="FH326" s="4" t="str">
        <f t="array" ref="FH326">IFERROR(INDEX(球員狀態!AA$2:AA$5000, MATCH(1, (球員狀態!$A$2:$A$5000=$EI$301)*(ISNUMBER(SEARCH($EI326, 球員狀態!$B$2:$B$5000))), 0)), "")</f>
        <v/>
      </c>
      <c r="FI326" s="4" t="str">
        <f t="array" ref="FI326">IFERROR(INDEX(球員狀態!AB$2:AB$5000, MATCH(1, (球員狀態!$A$2:$A$5000=$EI$301)*(ISNUMBER(SEARCH($EI326, 球員狀態!$B$2:$B$5000))), 0)), "")</f>
        <v/>
      </c>
    </row>
    <row r="327" spans="110:165">
      <c r="DH327" s="40" t="e">
        <f>DJ327+DL327+DM327+DN327+DO327-DP327-DQ327+DR327</f>
        <v>#VALUE!</v>
      </c>
      <c r="DI327" s="42" t="e">
        <f>DU327+DX327+EA327+ED327+EE327+EF327</f>
        <v>#VALUE!</v>
      </c>
      <c r="DJ327" s="38" t="e">
        <f>VLOOKUP(DJ326*1, FK$2:FM$12, 3, TRUE)*FM$1</f>
        <v>#VALUE!</v>
      </c>
      <c r="DL327" s="38" t="e">
        <f>VLOOKUP(DL326*1, FN$2:FP$12, 3, TRUE)*FP$1</f>
        <v>#VALUE!</v>
      </c>
      <c r="DM327" s="38" t="e">
        <f>VLOOKUP(DM326*1, FQ$2:FS$12, 3, TRUE)*FS$1</f>
        <v>#VALUE!</v>
      </c>
      <c r="DN327" s="38" t="e">
        <f>VLOOKUP(DN326*1, FT$2:FV$12, 3, TRUE)*FV$1</f>
        <v>#VALUE!</v>
      </c>
      <c r="DO327" s="38" t="e">
        <f>VLOOKUP(DO326*1, FW$2:FY$12, 3, TRUE)*FY$1</f>
        <v>#VALUE!</v>
      </c>
      <c r="DP327" s="39" t="e">
        <f>VLOOKUP(DP326*1, FK$14:FM$25, 3, TRUE)*FM$14</f>
        <v>#VALUE!</v>
      </c>
      <c r="DQ327" s="39" t="e">
        <f>VLOOKUP(DQ326*1, FN$14:FP$25, 3, TRUE)*FP$14</f>
        <v>#VALUE!</v>
      </c>
      <c r="DR327" s="38" t="e">
        <f>VLOOKUP(DR326*1, FQ$14:FS$25, 3, TRUE)*FS$14</f>
        <v>#VALUE!</v>
      </c>
      <c r="DU327" s="41" t="e">
        <f>VLOOKUP(DU326*1, FK$27:FM$38, 3, TRUE)*FM$27</f>
        <v>#VALUE!</v>
      </c>
      <c r="DX327" s="41" t="e">
        <f>VLOOKUP(DX326*1, FN$27:FP$38, 3, TRUE)*FP$27</f>
        <v>#VALUE!</v>
      </c>
      <c r="EA327" s="41" t="e">
        <f>VLOOKUP(EA326*1, FQ$27:FS$38, 3, TRUE)*FS$27</f>
        <v>#VALUE!</v>
      </c>
      <c r="ED327" s="41" t="e">
        <f>VLOOKUP(ED326*1, FT$27:FV$38, 3, TRUE)*FV$27</f>
        <v>#VALUE!</v>
      </c>
      <c r="EE327" s="41" t="e">
        <f>VLOOKUP(EE326*1, FW$27:FY$38, 3, TRUE)*FY$27</f>
        <v>#VALUE!</v>
      </c>
      <c r="EF327" s="41" t="e">
        <f>VLOOKUP(EF326*1, FK$40:FM$51, 3, TRUE)*FM$40</f>
        <v>#VALUE!</v>
      </c>
      <c r="EG327" s="57"/>
      <c r="EK327" s="40" t="e">
        <f>EM327+EO327+EP327+EQ327+ER327-ES327-ET327+EU327</f>
        <v>#VALUE!</v>
      </c>
      <c r="EL327" s="42" t="e">
        <f>EX327+FA327+FD327+FG327+FH327+FI327</f>
        <v>#VALUE!</v>
      </c>
      <c r="EM327" s="38" t="e">
        <f>VLOOKUP(EM326*1, $FK$2:$FM$12, 3, TRUE)*$FM$1</f>
        <v>#VALUE!</v>
      </c>
      <c r="EO327" s="38" t="e">
        <f>VLOOKUP(EO326*1, $FN$2:$FP$12, 3, TRUE)*$FP$1</f>
        <v>#VALUE!</v>
      </c>
      <c r="EP327" s="38" t="e">
        <f>VLOOKUP(EP326*1, $FQ$2:$FS$12, 3, TRUE)*$FS$1</f>
        <v>#VALUE!</v>
      </c>
      <c r="EQ327" s="38" t="e">
        <f>VLOOKUP(EQ326*1, $FT$2:$FV$12, 3, TRUE)*$FV$1</f>
        <v>#VALUE!</v>
      </c>
      <c r="ER327" s="38" t="e">
        <f>VLOOKUP(ER326*1, $FW$2:$FY$12, 3, TRUE)*$FY$1</f>
        <v>#VALUE!</v>
      </c>
      <c r="ES327" s="39" t="e">
        <f>VLOOKUP(ES326*1, $FK$14:$FM$25, 3, TRUE)*$FM$14</f>
        <v>#VALUE!</v>
      </c>
      <c r="ET327" s="39" t="e">
        <f>VLOOKUP(ET326*1, $FN$14:$FP$25, 3, TRUE)*$FP$14</f>
        <v>#VALUE!</v>
      </c>
      <c r="EU327" s="38" t="e">
        <f>VLOOKUP(EU326*1, $FQ$14:$FS$25, 3, TRUE)*$FS$14</f>
        <v>#VALUE!</v>
      </c>
      <c r="EX327" s="41" t="e">
        <f>VLOOKUP(EX326*1, $FK$27:$FM$38, 3, TRUE)*$FM$27</f>
        <v>#VALUE!</v>
      </c>
      <c r="FA327" s="41" t="e">
        <f>VLOOKUP(FA326*1, $FN$27:$FP$38, 3, TRUE)*$FP$27</f>
        <v>#VALUE!</v>
      </c>
      <c r="FD327" s="41" t="e">
        <f>VLOOKUP(FD326*1, $FQ$27:$FS$38, 3, TRUE)*$FS$27</f>
        <v>#VALUE!</v>
      </c>
      <c r="FG327" s="41" t="e">
        <f>VLOOKUP(FG326*1, $FT$27:$FV$38, 3, TRUE)*$FV$27</f>
        <v>#VALUE!</v>
      </c>
      <c r="FH327" s="41" t="e">
        <f>VLOOKUP(FH326*1, $FW$27:$FY$38, 3, TRUE)*$FY$27</f>
        <v>#VALUE!</v>
      </c>
      <c r="FI327" s="41" t="e">
        <f>VLOOKUP(FI326*1, $FK$40:$FM$51, 3, TRUE)*$FM$40</f>
        <v>#VALUE!</v>
      </c>
    </row>
    <row r="328" spans="110:165">
      <c r="DF328" s="82" t="e">
        <f>$DF301&amp;"整體"</f>
        <v>#N/A</v>
      </c>
      <c r="DG328" t="s">
        <v>487</v>
      </c>
      <c r="DH328" t="s">
        <v>488</v>
      </c>
      <c r="DJ328" s="82" t="e">
        <f>$DF301&amp;"先發"</f>
        <v>#N/A</v>
      </c>
      <c r="DK328" s="78"/>
      <c r="DL328" t="s">
        <v>487</v>
      </c>
      <c r="DM328" t="s">
        <v>488</v>
      </c>
      <c r="DO328" s="82" t="e">
        <f>$DF301&amp;"板凳"</f>
        <v>#N/A</v>
      </c>
      <c r="DP328" s="78"/>
      <c r="DQ328" t="s">
        <v>487</v>
      </c>
      <c r="DR328" t="s">
        <v>488</v>
      </c>
      <c r="EI328" s="82" t="e">
        <f>$EI301&amp;"整體"</f>
        <v>#N/A</v>
      </c>
      <c r="EJ328" t="s">
        <v>487</v>
      </c>
      <c r="EK328" t="s">
        <v>488</v>
      </c>
      <c r="EM328" s="82" t="e">
        <f>$EI301&amp;"先發"</f>
        <v>#N/A</v>
      </c>
      <c r="EN328" s="78"/>
      <c r="EO328" t="s">
        <v>487</v>
      </c>
      <c r="EP328" t="s">
        <v>488</v>
      </c>
      <c r="ER328" s="82" t="e">
        <f>$EI301&amp;"板凳"</f>
        <v>#N/A</v>
      </c>
      <c r="ES328" s="78"/>
      <c r="ET328" t="s">
        <v>487</v>
      </c>
      <c r="EU328" t="s">
        <v>488</v>
      </c>
    </row>
    <row r="329" spans="110:165">
      <c r="DF329" s="78"/>
      <c r="DG329" s="43" t="e">
        <f>(DH303+DH305+DH307+DH309+DH311+DH313+DH315+DH317+DH319+DH321+DH323+DH325+DH327)/13</f>
        <v>#VALUE!</v>
      </c>
      <c r="DH329" s="43" t="e">
        <f>(DI303+DI305+DI307+DI309+DI311+DI313+DI315+DI317+DI319+DI321+DI323+DI325+DI327)/13</f>
        <v>#VALUE!</v>
      </c>
      <c r="DJ329" s="78"/>
      <c r="DK329" s="78"/>
      <c r="DL329" s="4" t="e">
        <f>(DH303+DH305+DH307+DH309+DH311)/5</f>
        <v>#VALUE!</v>
      </c>
      <c r="DM329" s="4" t="e">
        <f>(DI303+DI305+DI307+DI309+DI311)/5</f>
        <v>#VALUE!</v>
      </c>
      <c r="DO329" s="78"/>
      <c r="DP329" s="78"/>
      <c r="DQ329" s="43" t="e">
        <f>(DH313+DH315+DH317+DH319+DH321+DH323+DH325+DH325+DH327)/8</f>
        <v>#VALUE!</v>
      </c>
      <c r="DR329" s="43" t="e">
        <f>(DI313+DI315+DI317+DI319+DI321+DI323+DI325+DI327)/8</f>
        <v>#VALUE!</v>
      </c>
      <c r="EI329" s="78"/>
      <c r="EJ329" s="43" t="e">
        <f>(EK303+EK305+EK307+EK309+EK311+EK313+EK315+EK317+EK319+EK321+EK323+EK325+EK327)/13</f>
        <v>#VALUE!</v>
      </c>
      <c r="EK329" s="43" t="e">
        <f>(EL303+EL305+EL307+EL309+EL311+EL313+EL315+EL317+EL319+EL321+EL323+EL325+EL327)/13</f>
        <v>#VALUE!</v>
      </c>
      <c r="EM329" s="78"/>
      <c r="EN329" s="78"/>
      <c r="EO329" s="4" t="e">
        <f>(EK303+EK305+EK307+EK309+EK311)/5</f>
        <v>#VALUE!</v>
      </c>
      <c r="EP329" s="4" t="e">
        <f>(EL303+EL305+EL307+EL309+EL311)/5</f>
        <v>#VALUE!</v>
      </c>
      <c r="ER329" s="78"/>
      <c r="ES329" s="78"/>
      <c r="ET329" s="43" t="e">
        <f>(EK313+EK315+EK317+EK319+EK321+EK323+EK325+EK325+EK327)/8</f>
        <v>#VALUE!</v>
      </c>
      <c r="EU329" s="43" t="e">
        <f>(EL313+EL315+EL317+EL319+EL321+EL323+EL325+EL327)/8</f>
        <v>#VALUE!</v>
      </c>
    </row>
    <row r="331" spans="110:165">
      <c r="DF331" s="34" t="e">
        <f>CB46</f>
        <v>#N/A</v>
      </c>
      <c r="DG331" t="s">
        <v>486</v>
      </c>
      <c r="DH331" s="1" t="s">
        <v>487</v>
      </c>
      <c r="DI331" s="1" t="s">
        <v>488</v>
      </c>
      <c r="DJ331" t="s">
        <v>517</v>
      </c>
      <c r="DK331" t="s">
        <v>554</v>
      </c>
      <c r="DL331" t="s">
        <v>518</v>
      </c>
      <c r="DM331" t="s">
        <v>519</v>
      </c>
      <c r="DN331" t="s">
        <v>520</v>
      </c>
      <c r="DO331" t="s">
        <v>521</v>
      </c>
      <c r="DP331" t="s">
        <v>532</v>
      </c>
      <c r="DQ331" t="s">
        <v>533</v>
      </c>
      <c r="DR331" t="s">
        <v>534</v>
      </c>
      <c r="DS331" t="s">
        <v>555</v>
      </c>
      <c r="DT331" t="s">
        <v>556</v>
      </c>
      <c r="DU331" t="s">
        <v>549</v>
      </c>
      <c r="DV331" t="s">
        <v>557</v>
      </c>
      <c r="DW331" t="s">
        <v>558</v>
      </c>
      <c r="DX331" t="s">
        <v>550</v>
      </c>
      <c r="DY331" t="s">
        <v>559</v>
      </c>
      <c r="DZ331" t="s">
        <v>560</v>
      </c>
      <c r="EA331" t="s">
        <v>551</v>
      </c>
      <c r="EB331" t="s">
        <v>561</v>
      </c>
      <c r="EC331" t="s">
        <v>562</v>
      </c>
      <c r="ED331" t="s">
        <v>552</v>
      </c>
      <c r="EE331" t="s">
        <v>553</v>
      </c>
      <c r="EF331" t="s">
        <v>563</v>
      </c>
      <c r="EH331" s="14"/>
      <c r="EI331" s="34" t="e">
        <f>CB48</f>
        <v>#N/A</v>
      </c>
      <c r="EJ331" t="s">
        <v>486</v>
      </c>
      <c r="EK331" s="1" t="s">
        <v>487</v>
      </c>
      <c r="EL331" s="1" t="s">
        <v>488</v>
      </c>
      <c r="EM331" t="s">
        <v>517</v>
      </c>
      <c r="EN331" t="s">
        <v>554</v>
      </c>
      <c r="EO331" t="s">
        <v>518</v>
      </c>
      <c r="EP331" t="s">
        <v>519</v>
      </c>
      <c r="EQ331" t="s">
        <v>520</v>
      </c>
      <c r="ER331" t="s">
        <v>521</v>
      </c>
      <c r="ES331" t="s">
        <v>532</v>
      </c>
      <c r="ET331" t="s">
        <v>533</v>
      </c>
      <c r="EU331" t="s">
        <v>534</v>
      </c>
      <c r="EV331" t="s">
        <v>555</v>
      </c>
      <c r="EW331" t="s">
        <v>556</v>
      </c>
      <c r="EX331" t="s">
        <v>549</v>
      </c>
      <c r="EY331" t="s">
        <v>557</v>
      </c>
      <c r="EZ331" t="s">
        <v>558</v>
      </c>
      <c r="FA331" t="s">
        <v>550</v>
      </c>
      <c r="FB331" t="s">
        <v>559</v>
      </c>
      <c r="FC331" t="s">
        <v>560</v>
      </c>
      <c r="FD331" t="s">
        <v>551</v>
      </c>
      <c r="FE331" t="s">
        <v>561</v>
      </c>
      <c r="FF331" t="s">
        <v>562</v>
      </c>
      <c r="FG331" t="s">
        <v>552</v>
      </c>
      <c r="FH331" t="s">
        <v>553</v>
      </c>
      <c r="FI331" t="s">
        <v>563</v>
      </c>
    </row>
    <row r="332" spans="110:165">
      <c r="DF332" s="35" t="str">
        <f>先發名單!E$13</f>
        <v>Tomoyuki Sugano</v>
      </c>
      <c r="DG332" s="4" t="str">
        <f t="array" ref="DG332">IFERROR(INDEX(球員狀態!$C$2:$C$5000, MATCH(1, (球員狀態!$A$2:$A$5000=$DF$331)*(ISNUMBER(SEARCH($DF332, 球員狀態!$B$2:$B$5000))), 0)), "")</f>
        <v/>
      </c>
      <c r="DJ332" s="4" t="str">
        <f t="array" ref="DJ332">IFERROR(INDEX(球員狀態!$F$2:$F$5000,MATCH(1,(球員狀態!$A$2:$A$5000=$DF$331)*(ISNUMBER(SEARCH($DF332,球員狀態!$B$2:$B$5000))),0)),"")</f>
        <v/>
      </c>
      <c r="DK332" s="4" t="str">
        <f t="array" ref="DK332">IFERROR(INDEX(球員狀態!G$2:G$5000, MATCH(1, (球員狀態!$A$2:$A$5000=$DF$1)*(ISNUMBER(SEARCH($DF332, 球員狀態!$B$2:$B$5000))), 0)), "")</f>
        <v/>
      </c>
      <c r="DL332" s="4" t="str">
        <f t="array" ref="DL332">IFERROR(INDEX(球員狀態!H$2:H$5000, MATCH(1, (球員狀態!$A$2:$A$5000=$DF$331)*(ISNUMBER(SEARCH($DF332, 球員狀態!$B$2:$B$5000))), 0)), "")</f>
        <v/>
      </c>
      <c r="DM332" s="4" t="str">
        <f t="array" ref="DM332">IFERROR(INDEX(球員狀態!I$2:I$5000,MATCH(1,(球員狀態!$A$2:$A$5000=$DF$331)*(ISNUMBER(SEARCH($DF332,球員狀態!$B$2:$B$5000))),0)),"")</f>
        <v/>
      </c>
      <c r="DN332" s="4" t="str">
        <f t="array" ref="DN332">IFERROR(INDEX(球員狀態!J$2:J$5000,MATCH(1,(球員狀態!$A$2:$A$5000=$DF$331)*(ISNUMBER(SEARCH($DF332,球員狀態!$B$2:$B$5000))),0)),"")</f>
        <v/>
      </c>
      <c r="DO332" s="4" t="str">
        <f t="array" ref="DO332">IFERROR(INDEX(球員狀態!K$2:K$5000,MATCH(1,(球員狀態!$A$2:$A$5000=$DF$331)*(ISNUMBER(SEARCH($DF332,球員狀態!$B$2:$B$5000))),0)),"")</f>
        <v/>
      </c>
      <c r="DP332" s="4" t="str">
        <f t="array" ref="DP332">IFERROR(INDEX(球員狀態!L$2:L$5000,MATCH(1,(球員狀態!$A$2:$A$5000=$DF$331)*(ISNUMBER(SEARCH($DF332,球員狀態!$B$2:$B$5000))),0)),"")</f>
        <v/>
      </c>
      <c r="DQ332" s="4" t="str">
        <f t="array" ref="DQ332">IFERROR(INDEX(球員狀態!M$2:M$5000,MATCH(1,(球員狀態!$A$2:$A$5000=$DF$331)*(ISNUMBER(SEARCH($DF332,球員狀態!$B$2:$B$5000))),0)),"")</f>
        <v/>
      </c>
      <c r="DR332" s="4" t="str">
        <f t="array" ref="DR332">IFERROR(INDEX(球員狀態!N$2:N$5000,MATCH(1,(球員狀態!$A$2:$A$5000=$DF$331)*(ISNUMBER(SEARCH($DF332,球員狀態!$B$2:$B$5000))),0)),"")</f>
        <v/>
      </c>
      <c r="DS332" s="4" t="str">
        <f t="array" ref="DS332">IFERROR(INDEX(球員狀態!O$2:O$5000, MATCH(1, (球員狀態!$A$2:$A$5000=$DF$1)*(ISNUMBER(SEARCH($DF332, 球員狀態!$B$2:$B$5000))), 0)), "")</f>
        <v/>
      </c>
      <c r="DT332" s="4" t="str">
        <f t="array" ref="DT332">IFERROR(INDEX(球員狀態!P$2:P$5000, MATCH(1, (球員狀態!$A$2:$A$5000=$DF$1)*(ISNUMBER(SEARCH($DF332, 球員狀態!$B$2:$B$5000))), 0)), "")</f>
        <v/>
      </c>
      <c r="DU332" s="4" t="str">
        <f t="array" ref="DU332">IFERROR(INDEX(球員狀態!Q$2:Q$5000,MATCH(1,(球員狀態!$A$2:$A$5000=$DF$331)*(ISNUMBER(SEARCH($DF332,球員狀態!$B$2:$B$5000))),0)),"")</f>
        <v/>
      </c>
      <c r="DV332" s="4" t="str">
        <f t="array" ref="DV332">IFERROR(INDEX(球員狀態!R$2:R$5000, MATCH(1, (球員狀態!$A$2:$A$5000=$DF$1)*(ISNUMBER(SEARCH($DF332, 球員狀態!$B$2:$B$5000))), 0)), "")</f>
        <v/>
      </c>
      <c r="DW332" s="4" t="str">
        <f t="array" ref="DW332">IFERROR(INDEX(球員狀態!S$2:S$5000, MATCH(1, (球員狀態!$A$2:$A$5000=$DF$1)*(ISNUMBER(SEARCH($DF332, 球員狀態!$B$2:$B$5000))), 0)), "")</f>
        <v/>
      </c>
      <c r="DX332" s="4" t="str">
        <f t="array" ref="DX332">IFERROR(INDEX(球員狀態!T$2:T$5000,MATCH(1,(球員狀態!$A$2:$A$5000=$DF$331)*(ISNUMBER(SEARCH($DF332,球員狀態!$B$2:$B$5000))),0)),"")</f>
        <v/>
      </c>
      <c r="DY332" s="4" t="str">
        <f t="array" ref="DY332">IFERROR(INDEX(球員狀態!U$2:U$5000, MATCH(1, (球員狀態!$A$2:$A$5000=$DF$1)*(ISNUMBER(SEARCH($DF332, 球員狀態!$B$2:$B$5000))), 0)), "")</f>
        <v/>
      </c>
      <c r="DZ332" s="4" t="str">
        <f t="array" ref="DZ332">IFERROR(INDEX(球員狀態!V$2:V$5000, MATCH(1, (球員狀態!$A$2:$A$5000=$DF$1)*(ISNUMBER(SEARCH($DF332, 球員狀態!$B$2:$B$5000))), 0)), "")</f>
        <v/>
      </c>
      <c r="EA332" s="4" t="str">
        <f t="array" ref="EA332">IFERROR(INDEX(球員狀態!W$2:W$5000,MATCH(1,(球員狀態!$A$2:$A$5000=$DF$331)*(ISNUMBER(SEARCH($DF332,球員狀態!$B$2:$B$5000))),0)),"")</f>
        <v/>
      </c>
      <c r="EB332" s="4" t="str">
        <f t="array" ref="EB332">IFERROR(INDEX(球員狀態!X$2:X$5000, MATCH(1, (球員狀態!$A$2:$A$5000=$DF$1)*(ISNUMBER(SEARCH($DF332, 球員狀態!$B$2:$B$5000))), 0)), "")</f>
        <v/>
      </c>
      <c r="EC332" s="4" t="str">
        <f t="array" ref="EC332">IFERROR(INDEX(球員狀態!Y$2:Y$5000, MATCH(1, (球員狀態!$A$2:$A$5000=$DF$1)*(ISNUMBER(SEARCH($DF332, 球員狀態!$B$2:$B$5000))), 0)), "")</f>
        <v/>
      </c>
      <c r="ED332" s="4" t="str">
        <f t="array" ref="ED332">IFERROR(INDEX(球員狀態!Z$2:Z$5000,MATCH(1,(球員狀態!$A$2:$A$5000=$DF$331)*(ISNUMBER(SEARCH($DF332,球員狀態!$B$2:$B$5000))),0)),"")</f>
        <v/>
      </c>
      <c r="EE332" s="4" t="str">
        <f t="array" ref="EE332">IFERROR(INDEX(球員狀態!AA$2:AA$5000,MATCH(1,(球員狀態!$A$2:$A$5000=$DF$331)*(ISNUMBER(SEARCH($DF332,球員狀態!$B$2:$B$5000))),0)),"")</f>
        <v/>
      </c>
      <c r="EF332" s="4" t="str">
        <f t="array" ref="EF332">IFERROR(INDEX(球員狀態!AB$2:AB$5000,MATCH(1,(球員狀態!$A$2:$A$5000=$DF$331)*(ISNUMBER(SEARCH($DF332,球員狀態!$B$2:$B$5000))),0)),"")</f>
        <v/>
      </c>
      <c r="EG332" s="56"/>
      <c r="EI332" s="35" t="str">
        <f>先發名單!O$13</f>
        <v>B. Doyle</v>
      </c>
      <c r="EJ332" s="4" t="str">
        <f t="array" ref="EJ332">IFERROR(INDEX(球員狀態!C$2:C$5000, MATCH(1, (球員狀態!$A$2:$A$5000=$EI$331)*(ISNUMBER(SEARCH($EI332, 球員狀態!$B$2:$B$5000))), 0)), "")</f>
        <v/>
      </c>
      <c r="EM332" s="4" t="str">
        <f t="array" ref="EM332">IFERROR(INDEX(球員狀態!F$2:F$5000, MATCH(1, (球員狀態!$A$2:$A$5000=$EI$331)*(ISNUMBER(SEARCH($EI332, 球員狀態!$B$2:$B$5000))), 0)), "")</f>
        <v/>
      </c>
      <c r="EN332" s="4" t="str">
        <f t="array" ref="EN332">IFERROR(INDEX(球員狀態!G$2:G$5000, MATCH(1, (球員狀態!$A$2:$A$5000=$EI$1)*(ISNUMBER(SEARCH($EI332, 球員狀態!$B$2:$B$5000))), 0)), "")</f>
        <v/>
      </c>
      <c r="EO332" s="4" t="str">
        <f t="array" ref="EO332">IFERROR(INDEX(球員狀態!H$2:H$5000, MATCH(1, (球員狀態!$A$2:$A$5000=$EI$331)*(ISNUMBER(SEARCH($EI332, 球員狀態!$B$2:$B$5000))), 0)), "")</f>
        <v/>
      </c>
      <c r="EP332" s="4" t="str">
        <f t="array" ref="EP332">IFERROR(INDEX(球員狀態!I$2:I$5000, MATCH(1, (球員狀態!$A$2:$A$5000=$EI$331)*(ISNUMBER(SEARCH($EI332, 球員狀態!$B$2:$B$5000))), 0)), "")</f>
        <v/>
      </c>
      <c r="EQ332" s="4" t="str">
        <f t="array" ref="EQ332">IFERROR(INDEX(球員狀態!J$2:J$5000, MATCH(1, (球員狀態!$A$2:$A$5000=$EI$331)*(ISNUMBER(SEARCH($EI332, 球員狀態!$B$2:$B$5000))), 0)), "")</f>
        <v/>
      </c>
      <c r="ER332" s="4" t="str">
        <f t="array" ref="ER332">IFERROR(INDEX(球員狀態!K$2:K$5000, MATCH(1, (球員狀態!$A$2:$A$5000=$EI$331)*(ISNUMBER(SEARCH($EI332, 球員狀態!$B$2:$B$5000))), 0)), "")</f>
        <v/>
      </c>
      <c r="ES332" s="4" t="str">
        <f t="array" ref="ES332">IFERROR(INDEX(球員狀態!L$2:L$5000, MATCH(1, (球員狀態!$A$2:$A$5000=$EI$331)*(ISNUMBER(SEARCH($EI332, 球員狀態!$B$2:$B$5000))), 0)), "")</f>
        <v/>
      </c>
      <c r="ET332" s="4" t="str">
        <f t="array" ref="ET332">IFERROR(INDEX(球員狀態!M$2:M$5000, MATCH(1, (球員狀態!$A$2:$A$5000=$EI$331)*(ISNUMBER(SEARCH($EI332, 球員狀態!$B$2:$B$5000))), 0)), "")</f>
        <v/>
      </c>
      <c r="EU332" s="4" t="str">
        <f t="array" ref="EU332">IFERROR(INDEX(球員狀態!N$2:N$5000, MATCH(1, (球員狀態!$A$2:$A$5000=$EI$331)*(ISNUMBER(SEARCH($EI332, 球員狀態!$B$2:$B$5000))), 0)), "")</f>
        <v/>
      </c>
      <c r="EV332" s="4" t="str">
        <f t="array" ref="EV332">IFERROR(INDEX(球員狀態!O$2:O$5000, MATCH(1, (球員狀態!$A$2:$A$5000=$EI$1)*(ISNUMBER(SEARCH($EI332, 球員狀態!$B$2:$B$5000))), 0)), "")</f>
        <v/>
      </c>
      <c r="EW332" s="4" t="str">
        <f t="array" ref="EW332">IFERROR(INDEX(球員狀態!P$2:P$5000, MATCH(1, (球員狀態!$A$2:$A$5000=$EI$1)*(ISNUMBER(SEARCH($EI332, 球員狀態!$B$2:$B$5000))), 0)), "")</f>
        <v/>
      </c>
      <c r="EX332" s="4" t="str">
        <f t="array" ref="EX332">IFERROR(INDEX(球員狀態!Q$2:Q$5000, MATCH(1, (球員狀態!$A$2:$A$5000=$EI$331)*(ISNUMBER(SEARCH($EI332, 球員狀態!$B$2:$B$5000))), 0)), "")</f>
        <v/>
      </c>
      <c r="EY332" s="4" t="str">
        <f t="array" ref="EY332">IFERROR(INDEX(球員狀態!R$2:R$5000, MATCH(1, (球員狀態!$A$2:$A$5000=$EI$1)*(ISNUMBER(SEARCH($EI332, 球員狀態!$B$2:$B$5000))), 0)), "")</f>
        <v/>
      </c>
      <c r="EZ332" s="4" t="str">
        <f t="array" ref="EZ332">IFERROR(INDEX(球員狀態!S$2:S$5000, MATCH(1, (球員狀態!$A$2:$A$5000=$EI$1)*(ISNUMBER(SEARCH($EI332, 球員狀態!$B$2:$B$5000))), 0)), "")</f>
        <v/>
      </c>
      <c r="FA332" s="4" t="str">
        <f t="array" ref="FA332">IFERROR(INDEX(球員狀態!T$2:T$5000, MATCH(1, (球員狀態!$A$2:$A$5000=$EI$331)*(ISNUMBER(SEARCH($EI332, 球員狀態!$B$2:$B$5000))), 0)), "")</f>
        <v/>
      </c>
      <c r="FB332" s="4" t="str">
        <f t="array" ref="FB332">IFERROR(INDEX(球員狀態!U$2:U$5000, MATCH(1, (球員狀態!$A$2:$A$5000=$EI$1)*(ISNUMBER(SEARCH($EI332, 球員狀態!$B$2:$B$5000))), 0)), "")</f>
        <v/>
      </c>
      <c r="FC332" s="4" t="str">
        <f t="array" ref="FC332">IFERROR(INDEX(球員狀態!V$2:V$5000, MATCH(1, (球員狀態!$A$2:$A$5000=$EI$1)*(ISNUMBER(SEARCH($EI332, 球員狀態!$B$2:$B$5000))), 0)), "")</f>
        <v/>
      </c>
      <c r="FD332" s="4" t="str">
        <f t="array" ref="FD332">IFERROR(INDEX(球員狀態!W$2:W$5000, MATCH(1, (球員狀態!$A$2:$A$5000=$EI$331)*(ISNUMBER(SEARCH($EI332, 球員狀態!$B$2:$B$5000))), 0)), "")</f>
        <v/>
      </c>
      <c r="FE332" s="4" t="str">
        <f t="array" ref="FE332">IFERROR(INDEX(球員狀態!X$2:X$5000, MATCH(1, (球員狀態!$A$2:$A$5000=$EI$1)*(ISNUMBER(SEARCH($EI332, 球員狀態!$B$2:$B$5000))), 0)), "")</f>
        <v/>
      </c>
      <c r="FF332" s="4" t="str">
        <f t="array" ref="FF332">IFERROR(INDEX(球員狀態!Y$2:Y$5000, MATCH(1, (球員狀態!$A$2:$A$5000=$EI$1)*(ISNUMBER(SEARCH($EI332, 球員狀態!$B$2:$B$5000))), 0)), "")</f>
        <v/>
      </c>
      <c r="FG332" s="4" t="str">
        <f t="array" ref="FG332">IFERROR(INDEX(球員狀態!Z$2:Z$5000, MATCH(1, (球員狀態!$A$2:$A$5000=$EI$331)*(ISNUMBER(SEARCH($EI332, 球員狀態!$B$2:$B$5000))), 0)), "")</f>
        <v/>
      </c>
      <c r="FH332" s="4" t="str">
        <f t="array" ref="FH332">IFERROR(INDEX(球員狀態!AA$2:AA$5000, MATCH(1, (球員狀態!$A$2:$A$5000=$EI$331)*(ISNUMBER(SEARCH($EI332, 球員狀態!$B$2:$B$5000))), 0)), "")</f>
        <v/>
      </c>
      <c r="FI332" s="4" t="str">
        <f t="array" ref="FI332">IFERROR(INDEX(球員狀態!AB$2:AB$5000, MATCH(1, (球員狀態!$A$2:$A$5000=$EI$331)*(ISNUMBER(SEARCH($EI332, 球員狀態!$B$2:$B$5000))), 0)), "")</f>
        <v/>
      </c>
    </row>
    <row r="333" spans="110:165">
      <c r="DF333" s="36"/>
      <c r="DG333" s="4"/>
      <c r="DH333" s="40" t="e">
        <f>DJ333+DL333+DM333+DN333+DO333-DP333-DQ333+DR333</f>
        <v>#VALUE!</v>
      </c>
      <c r="DI333" s="42" t="e">
        <f>DU333+DX333+EA333+ED333+EE333+EF333</f>
        <v>#VALUE!</v>
      </c>
      <c r="DJ333" s="38" t="e">
        <f>VLOOKUP(DJ332*1, $FK$2:$FM$12, 3, TRUE)*$FM$1</f>
        <v>#VALUE!</v>
      </c>
      <c r="DL333" s="38" t="e">
        <f>VLOOKUP(DL332*1, $FN$2:$FP$12, 3, TRUE)*$FP$1</f>
        <v>#VALUE!</v>
      </c>
      <c r="DM333" s="38" t="e">
        <f>VLOOKUP(DM332*1, $FQ$2:$FS$12, 3, TRUE)*$FS$1</f>
        <v>#VALUE!</v>
      </c>
      <c r="DN333" s="38" t="e">
        <f>VLOOKUP(DN332*1, $FT$2:$FV$12, 3, TRUE)*$FV$1</f>
        <v>#VALUE!</v>
      </c>
      <c r="DO333" s="38" t="e">
        <f>VLOOKUP(DO332*1, $FW$2:$FY$12, 3, TRUE)*$FY$1</f>
        <v>#VALUE!</v>
      </c>
      <c r="DP333" s="39" t="e">
        <f>VLOOKUP(DP332*1, $FK$14:$FM$25, 3, TRUE)*$FM$14</f>
        <v>#VALUE!</v>
      </c>
      <c r="DQ333" s="39" t="e">
        <f>VLOOKUP(DQ332*1, $FN$14:$FP$25, 3, TRUE)*$FP$14</f>
        <v>#VALUE!</v>
      </c>
      <c r="DR333" s="38" t="e">
        <f>VLOOKUP(DR332*1, $FQ$14:$FS$25, 3, TRUE)*$FS$14</f>
        <v>#VALUE!</v>
      </c>
      <c r="DU333" s="41" t="e">
        <f>VLOOKUP(DU332*1, $FK$27:$FM$38, 3, TRUE)*$FM$27</f>
        <v>#VALUE!</v>
      </c>
      <c r="DX333" s="41" t="e">
        <f>VLOOKUP(DX332*1, $FN$27:$FP$38, 3, TRUE)*$FP$27</f>
        <v>#VALUE!</v>
      </c>
      <c r="EA333" s="41" t="e">
        <f>VLOOKUP(EA332*1, $FQ$27:$FS$38, 3, TRUE)*$FS$27</f>
        <v>#VALUE!</v>
      </c>
      <c r="ED333" s="41" t="e">
        <f>VLOOKUP(ED332*1, $FT$27:$FV$38, 3, TRUE)*$FV$27</f>
        <v>#VALUE!</v>
      </c>
      <c r="EE333" s="41" t="e">
        <f>VLOOKUP(EE332*1, $FW$27:$FY$38, 3, TRUE)*$FY$27</f>
        <v>#VALUE!</v>
      </c>
      <c r="EF333" s="41" t="e">
        <f>VLOOKUP(EF332*1, $FK$40:$FM$51, 3, TRUE)*$FM$40</f>
        <v>#VALUE!</v>
      </c>
      <c r="EG333" s="57"/>
      <c r="EI333" s="36"/>
      <c r="EJ333" s="4"/>
      <c r="EK333" s="40" t="e">
        <f>EM333+EO333+EP333+EQ333+ER333-ES333-ET333+EU333</f>
        <v>#VALUE!</v>
      </c>
      <c r="EL333" s="42" t="e">
        <f>EX333+FA333+FD333+FG333+FH333+FI333</f>
        <v>#VALUE!</v>
      </c>
      <c r="EM333" s="38" t="e">
        <f>VLOOKUP(EM332*1, $FK$2:$FM$12, 3, TRUE)*$FM$1</f>
        <v>#VALUE!</v>
      </c>
      <c r="EO333" s="38" t="e">
        <f>VLOOKUP(EO332*1, $FN$2:$FP$12, 3, TRUE)*$FP$1</f>
        <v>#VALUE!</v>
      </c>
      <c r="EP333" s="38" t="e">
        <f>VLOOKUP(EP332*1, $FQ$2:$FS$12, 3, TRUE)*$FS$1</f>
        <v>#VALUE!</v>
      </c>
      <c r="EQ333" s="38" t="e">
        <f>VLOOKUP(EQ332*1, $FT$2:$FV$12, 3, TRUE)*$FV$1</f>
        <v>#VALUE!</v>
      </c>
      <c r="ER333" s="38" t="e">
        <f>VLOOKUP(ER332*1, $FW$2:$FY$12, 3, TRUE)*$FY$1</f>
        <v>#VALUE!</v>
      </c>
      <c r="ES333" s="39" t="e">
        <f>VLOOKUP(ES332*1, $FK$14:$FM$25, 3, TRUE)*$FM$14</f>
        <v>#VALUE!</v>
      </c>
      <c r="ET333" s="39" t="e">
        <f>VLOOKUP(ET332*1, $FN$14:$FP$25, 3, TRUE)*$FP$14</f>
        <v>#VALUE!</v>
      </c>
      <c r="EU333" s="38" t="e">
        <f>VLOOKUP(EU332*1, $FQ$14:$FS$25, 3, TRUE)*$FS$14</f>
        <v>#VALUE!</v>
      </c>
      <c r="EX333" s="41" t="e">
        <f>VLOOKUP(EX332*1, $FK$27:$FM$38, 3, TRUE)*$FM$27</f>
        <v>#VALUE!</v>
      </c>
      <c r="FA333" s="41" t="e">
        <f>VLOOKUP(FA332*1, $FN$27:$FP$38, 3, TRUE)*$FP$27</f>
        <v>#VALUE!</v>
      </c>
      <c r="FD333" s="41" t="e">
        <f>VLOOKUP(FD332*1, $FQ$27:$FS$38, 3, TRUE)*$FS$27</f>
        <v>#VALUE!</v>
      </c>
      <c r="FG333" s="41" t="e">
        <f>VLOOKUP(FG332*1, $FT$27:$FV$38, 3, TRUE)*$FV$27</f>
        <v>#VALUE!</v>
      </c>
      <c r="FH333" s="41" t="e">
        <f>VLOOKUP(FH332*1, $FW$27:$FY$38, 3, TRUE)*$FY$27</f>
        <v>#VALUE!</v>
      </c>
      <c r="FI333" s="41" t="e">
        <f>VLOOKUP(FI332*1, $FK$40:$FM$51, 3, TRUE)*$FM$40</f>
        <v>#VALUE!</v>
      </c>
    </row>
    <row r="334" spans="110:165">
      <c r="DF334" s="35" t="str">
        <f>先發名單!F13</f>
        <v>Chase Burns</v>
      </c>
      <c r="DG334" s="4" t="str">
        <f t="array" ref="DG334">IFERROR(INDEX(球員狀態!$C$2:$C$5000, MATCH(1, (球員狀態!$A$2:$A$5000=$DF$331)*(ISNUMBER(SEARCH($DF334, 球員狀態!$B$2:$B$5000))), 0)), "")</f>
        <v/>
      </c>
      <c r="DJ334" s="4" t="str">
        <f t="array" ref="DJ334">IFERROR(INDEX(球員狀態!$F$2:$F$5000,MATCH(1,(球員狀態!$A$2:$A$5000=$DF$331)*(ISNUMBER(SEARCH($DF334,球員狀態!$B$2:$B$5000))),0)),"")</f>
        <v/>
      </c>
      <c r="DK334" s="4" t="str">
        <f t="array" ref="DK334">IFERROR(INDEX(球員狀態!G$2:G$5000, MATCH(1, (球員狀態!$A$2:$A$5000=$DF$1)*(ISNUMBER(SEARCH($DF334, 球員狀態!$B$2:$B$5000))), 0)), "")</f>
        <v/>
      </c>
      <c r="DL334" s="4" t="str">
        <f t="array" ref="DL334">IFERROR(INDEX(球員狀態!H$2:H$5000, MATCH(1, (球員狀態!$A$2:$A$5000=$DF$331)*(ISNUMBER(SEARCH($DF334, 球員狀態!$B$2:$B$5000))), 0)), "")</f>
        <v/>
      </c>
      <c r="DM334" s="4" t="str">
        <f t="array" ref="DM334">IFERROR(INDEX(球員狀態!I$2:I$5000,MATCH(1,(球員狀態!$A$2:$A$5000=$DF$331)*(ISNUMBER(SEARCH($DF334,球員狀態!$B$2:$B$5000))),0)),"")</f>
        <v/>
      </c>
      <c r="DN334" s="4" t="str">
        <f t="array" ref="DN334">IFERROR(INDEX(球員狀態!J$2:J$5000,MATCH(1,(球員狀態!$A$2:$A$5000=$DF$331)*(ISNUMBER(SEARCH($DF334,球員狀態!$B$2:$B$5000))),0)),"")</f>
        <v/>
      </c>
      <c r="DO334" s="4" t="str">
        <f t="array" ref="DO334">IFERROR(INDEX(球員狀態!K$2:K$5000,MATCH(1,(球員狀態!$A$2:$A$5000=$DF$331)*(ISNUMBER(SEARCH($DF334,球員狀態!$B$2:$B$5000))),0)),"")</f>
        <v/>
      </c>
      <c r="DP334" s="4" t="str">
        <f t="array" ref="DP334">IFERROR(INDEX(球員狀態!L$2:L$5000,MATCH(1,(球員狀態!$A$2:$A$5000=$DF$331)*(ISNUMBER(SEARCH($DF334,球員狀態!$B$2:$B$5000))),0)),"")</f>
        <v/>
      </c>
      <c r="DQ334" s="4" t="str">
        <f t="array" ref="DQ334">IFERROR(INDEX(球員狀態!M$2:M$5000,MATCH(1,(球員狀態!$A$2:$A$5000=$DF$331)*(ISNUMBER(SEARCH($DF334,球員狀態!$B$2:$B$5000))),0)),"")</f>
        <v/>
      </c>
      <c r="DR334" s="4" t="str">
        <f t="array" ref="DR334">IFERROR(INDEX(球員狀態!N$2:N$5000,MATCH(1,(球員狀態!$A$2:$A$5000=$DF$331)*(ISNUMBER(SEARCH($DF334,球員狀態!$B$2:$B$5000))),0)),"")</f>
        <v/>
      </c>
      <c r="DS334" s="4" t="str">
        <f t="array" ref="DS334">IFERROR(INDEX(球員狀態!O$2:O$5000, MATCH(1, (球員狀態!$A$2:$A$5000=$DF$1)*(ISNUMBER(SEARCH($DF334, 球員狀態!$B$2:$B$5000))), 0)), "")</f>
        <v/>
      </c>
      <c r="DT334" s="4" t="str">
        <f t="array" ref="DT334">IFERROR(INDEX(球員狀態!P$2:P$5000, MATCH(1, (球員狀態!$A$2:$A$5000=$DF$1)*(ISNUMBER(SEARCH($DF334, 球員狀態!$B$2:$B$5000))), 0)), "")</f>
        <v/>
      </c>
      <c r="DU334" s="4" t="str">
        <f t="array" ref="DU334">IFERROR(INDEX(球員狀態!Q$2:Q$5000,MATCH(1,(球員狀態!$A$2:$A$5000=$DF$331)*(ISNUMBER(SEARCH($DF334,球員狀態!$B$2:$B$5000))),0)),"")</f>
        <v/>
      </c>
      <c r="DV334" s="4" t="str">
        <f t="array" ref="DV334">IFERROR(INDEX(球員狀態!R$2:R$5000, MATCH(1, (球員狀態!$A$2:$A$5000=$DF$1)*(ISNUMBER(SEARCH($DF334, 球員狀態!$B$2:$B$5000))), 0)), "")</f>
        <v/>
      </c>
      <c r="DW334" s="4" t="str">
        <f t="array" ref="DW334">IFERROR(INDEX(球員狀態!S$2:S$5000, MATCH(1, (球員狀態!$A$2:$A$5000=$DF$1)*(ISNUMBER(SEARCH($DF334, 球員狀態!$B$2:$B$5000))), 0)), "")</f>
        <v/>
      </c>
      <c r="DX334" s="4" t="str">
        <f t="array" ref="DX334">IFERROR(INDEX(球員狀態!T$2:T$5000,MATCH(1,(球員狀態!$A$2:$A$5000=$DF$331)*(ISNUMBER(SEARCH($DF334,球員狀態!$B$2:$B$5000))),0)),"")</f>
        <v/>
      </c>
      <c r="DY334" s="4" t="str">
        <f t="array" ref="DY334">IFERROR(INDEX(球員狀態!U$2:U$5000, MATCH(1, (球員狀態!$A$2:$A$5000=$DF$1)*(ISNUMBER(SEARCH($DF334, 球員狀態!$B$2:$B$5000))), 0)), "")</f>
        <v/>
      </c>
      <c r="DZ334" s="4" t="str">
        <f t="array" ref="DZ334">IFERROR(INDEX(球員狀態!V$2:V$5000, MATCH(1, (球員狀態!$A$2:$A$5000=$DF$1)*(ISNUMBER(SEARCH($DF334, 球員狀態!$B$2:$B$5000))), 0)), "")</f>
        <v/>
      </c>
      <c r="EA334" s="4" t="str">
        <f t="array" ref="EA334">IFERROR(INDEX(球員狀態!W$2:W$5000,MATCH(1,(球員狀態!$A$2:$A$5000=$DF$331)*(ISNUMBER(SEARCH($DF334,球員狀態!$B$2:$B$5000))),0)),"")</f>
        <v/>
      </c>
      <c r="EB334" s="4" t="str">
        <f t="array" ref="EB334">IFERROR(INDEX(球員狀態!X$2:X$5000, MATCH(1, (球員狀態!$A$2:$A$5000=$DF$1)*(ISNUMBER(SEARCH($DF334, 球員狀態!$B$2:$B$5000))), 0)), "")</f>
        <v/>
      </c>
      <c r="EC334" s="4" t="str">
        <f t="array" ref="EC334">IFERROR(INDEX(球員狀態!Y$2:Y$5000, MATCH(1, (球員狀態!$A$2:$A$5000=$DF$1)*(ISNUMBER(SEARCH($DF334, 球員狀態!$B$2:$B$5000))), 0)), "")</f>
        <v/>
      </c>
      <c r="ED334" s="4" t="str">
        <f t="array" ref="ED334">IFERROR(INDEX(球員狀態!Z$2:Z$5000,MATCH(1,(球員狀態!$A$2:$A$5000=$DF$331)*(ISNUMBER(SEARCH($DF334,球員狀態!$B$2:$B$5000))),0)),"")</f>
        <v/>
      </c>
      <c r="EE334" s="4" t="str">
        <f t="array" ref="EE334">IFERROR(INDEX(球員狀態!AA$2:AA$5000,MATCH(1,(球員狀態!$A$2:$A$5000=$DF$331)*(ISNUMBER(SEARCH($DF334,球員狀態!$B$2:$B$5000))),0)),"")</f>
        <v/>
      </c>
      <c r="EF334" s="4" t="str">
        <f t="array" ref="EF334">IFERROR(INDEX(球員狀態!AB$2:AB$5000,MATCH(1,(球員狀態!$A$2:$A$5000=$DF$331)*(ISNUMBER(SEARCH($DF334,球員狀態!$B$2:$B$5000))),0)),"")</f>
        <v/>
      </c>
      <c r="EG334" s="56"/>
      <c r="EI334" s="35" t="str">
        <f>先發名單!P$13</f>
        <v>TJ Friedl</v>
      </c>
      <c r="EJ334" s="4" t="str">
        <f t="array" ref="EJ334">IFERROR(INDEX(球員狀態!C$2:C$5000, MATCH(1, (球員狀態!$A$2:$A$5000=$EI$331)*(ISNUMBER(SEARCH($EI334, 球員狀態!$B$2:$B$5000))), 0)), "")</f>
        <v/>
      </c>
      <c r="EM334" s="4" t="str">
        <f t="array" ref="EM334">IFERROR(INDEX(球員狀態!F$2:F$5000, MATCH(1, (球員狀態!$A$2:$A$5000=$EI$331)*(ISNUMBER(SEARCH($EI334, 球員狀態!$B$2:$B$5000))), 0)), "")</f>
        <v/>
      </c>
      <c r="EN334" s="4" t="str">
        <f t="array" ref="EN334">IFERROR(INDEX(球員狀態!G$2:G$5000, MATCH(1, (球員狀態!$A$2:$A$5000=$EI$1)*(ISNUMBER(SEARCH($EI334, 球員狀態!$B$2:$B$5000))), 0)), "")</f>
        <v/>
      </c>
      <c r="EO334" s="4" t="str">
        <f t="array" ref="EO334">IFERROR(INDEX(球員狀態!H$2:H$5000, MATCH(1, (球員狀態!$A$2:$A$5000=$EI$331)*(ISNUMBER(SEARCH($EI334, 球員狀態!$B$2:$B$5000))), 0)), "")</f>
        <v/>
      </c>
      <c r="EP334" s="4" t="str">
        <f t="array" ref="EP334">IFERROR(INDEX(球員狀態!I$2:I$5000, MATCH(1, (球員狀態!$A$2:$A$5000=$EI$331)*(ISNUMBER(SEARCH($EI334, 球員狀態!$B$2:$B$5000))), 0)), "")</f>
        <v/>
      </c>
      <c r="EQ334" s="4" t="str">
        <f t="array" ref="EQ334">IFERROR(INDEX(球員狀態!J$2:J$5000, MATCH(1, (球員狀態!$A$2:$A$5000=$EI$331)*(ISNUMBER(SEARCH($EI334, 球員狀態!$B$2:$B$5000))), 0)), "")</f>
        <v/>
      </c>
      <c r="ER334" s="4" t="str">
        <f t="array" ref="ER334">IFERROR(INDEX(球員狀態!K$2:K$5000, MATCH(1, (球員狀態!$A$2:$A$5000=$EI$331)*(ISNUMBER(SEARCH($EI334, 球員狀態!$B$2:$B$5000))), 0)), "")</f>
        <v/>
      </c>
      <c r="ES334" s="4" t="str">
        <f t="array" ref="ES334">IFERROR(INDEX(球員狀態!L$2:L$5000, MATCH(1, (球員狀態!$A$2:$A$5000=$EI$331)*(ISNUMBER(SEARCH($EI334, 球員狀態!$B$2:$B$5000))), 0)), "")</f>
        <v/>
      </c>
      <c r="ET334" s="4" t="str">
        <f t="array" ref="ET334">IFERROR(INDEX(球員狀態!M$2:M$5000, MATCH(1, (球員狀態!$A$2:$A$5000=$EI$331)*(ISNUMBER(SEARCH($EI334, 球員狀態!$B$2:$B$5000))), 0)), "")</f>
        <v/>
      </c>
      <c r="EU334" s="4" t="str">
        <f t="array" ref="EU334">IFERROR(INDEX(球員狀態!N$2:N$5000, MATCH(1, (球員狀態!$A$2:$A$5000=$EI$331)*(ISNUMBER(SEARCH($EI334, 球員狀態!$B$2:$B$5000))), 0)), "")</f>
        <v/>
      </c>
      <c r="EV334" s="4" t="str">
        <f t="array" ref="EV334">IFERROR(INDEX(球員狀態!O$2:O$5000, MATCH(1, (球員狀態!$A$2:$A$5000=$EI$1)*(ISNUMBER(SEARCH($EI334, 球員狀態!$B$2:$B$5000))), 0)), "")</f>
        <v/>
      </c>
      <c r="EW334" s="4" t="str">
        <f t="array" ref="EW334">IFERROR(INDEX(球員狀態!P$2:P$5000, MATCH(1, (球員狀態!$A$2:$A$5000=$EI$1)*(ISNUMBER(SEARCH($EI334, 球員狀態!$B$2:$B$5000))), 0)), "")</f>
        <v/>
      </c>
      <c r="EX334" s="4" t="str">
        <f t="array" ref="EX334">IFERROR(INDEX(球員狀態!Q$2:Q$5000, MATCH(1, (球員狀態!$A$2:$A$5000=$EI$331)*(ISNUMBER(SEARCH($EI334, 球員狀態!$B$2:$B$5000))), 0)), "")</f>
        <v/>
      </c>
      <c r="EY334" s="4" t="str">
        <f t="array" ref="EY334">IFERROR(INDEX(球員狀態!R$2:R$5000, MATCH(1, (球員狀態!$A$2:$A$5000=$EI$1)*(ISNUMBER(SEARCH($EI334, 球員狀態!$B$2:$B$5000))), 0)), "")</f>
        <v/>
      </c>
      <c r="EZ334" s="4" t="str">
        <f t="array" ref="EZ334">IFERROR(INDEX(球員狀態!S$2:S$5000, MATCH(1, (球員狀態!$A$2:$A$5000=$EI$1)*(ISNUMBER(SEARCH($EI334, 球員狀態!$B$2:$B$5000))), 0)), "")</f>
        <v/>
      </c>
      <c r="FA334" s="4" t="str">
        <f t="array" ref="FA334">IFERROR(INDEX(球員狀態!T$2:T$5000, MATCH(1, (球員狀態!$A$2:$A$5000=$EI$331)*(ISNUMBER(SEARCH($EI334, 球員狀態!$B$2:$B$5000))), 0)), "")</f>
        <v/>
      </c>
      <c r="FB334" s="4" t="str">
        <f t="array" ref="FB334">IFERROR(INDEX(球員狀態!U$2:U$5000, MATCH(1, (球員狀態!$A$2:$A$5000=$EI$1)*(ISNUMBER(SEARCH($EI334, 球員狀態!$B$2:$B$5000))), 0)), "")</f>
        <v/>
      </c>
      <c r="FC334" s="4" t="str">
        <f t="array" ref="FC334">IFERROR(INDEX(球員狀態!V$2:V$5000, MATCH(1, (球員狀態!$A$2:$A$5000=$EI$1)*(ISNUMBER(SEARCH($EI334, 球員狀態!$B$2:$B$5000))), 0)), "")</f>
        <v/>
      </c>
      <c r="FD334" s="4" t="str">
        <f t="array" ref="FD334">IFERROR(INDEX(球員狀態!W$2:W$5000, MATCH(1, (球員狀態!$A$2:$A$5000=$EI$331)*(ISNUMBER(SEARCH($EI334, 球員狀態!$B$2:$B$5000))), 0)), "")</f>
        <v/>
      </c>
      <c r="FE334" s="4" t="str">
        <f t="array" ref="FE334">IFERROR(INDEX(球員狀態!X$2:X$5000, MATCH(1, (球員狀態!$A$2:$A$5000=$EI$1)*(ISNUMBER(SEARCH($EI334, 球員狀態!$B$2:$B$5000))), 0)), "")</f>
        <v/>
      </c>
      <c r="FF334" s="4" t="str">
        <f t="array" ref="FF334">IFERROR(INDEX(球員狀態!Y$2:Y$5000, MATCH(1, (球員狀態!$A$2:$A$5000=$EI$1)*(ISNUMBER(SEARCH($EI334, 球員狀態!$B$2:$B$5000))), 0)), "")</f>
        <v/>
      </c>
      <c r="FG334" s="4" t="str">
        <f t="array" ref="FG334">IFERROR(INDEX(球員狀態!Z$2:Z$5000, MATCH(1, (球員狀態!$A$2:$A$5000=$EI$331)*(ISNUMBER(SEARCH($EI334, 球員狀態!$B$2:$B$5000))), 0)), "")</f>
        <v/>
      </c>
      <c r="FH334" s="4" t="str">
        <f t="array" ref="FH334">IFERROR(INDEX(球員狀態!AA$2:AA$5000, MATCH(1, (球員狀態!$A$2:$A$5000=$EI$331)*(ISNUMBER(SEARCH($EI334, 球員狀態!$B$2:$B$5000))), 0)), "")</f>
        <v/>
      </c>
      <c r="FI334" s="4" t="str">
        <f t="array" ref="FI334">IFERROR(INDEX(球員狀態!AB$2:AB$5000, MATCH(1, (球員狀態!$A$2:$A$5000=$EI$331)*(ISNUMBER(SEARCH($EI334, 球員狀態!$B$2:$B$5000))), 0)), "")</f>
        <v/>
      </c>
    </row>
    <row r="335" spans="110:165">
      <c r="DF335" s="36"/>
      <c r="DG335" s="4"/>
      <c r="DH335" s="40" t="e">
        <f>DJ335+DL335+DM335+DN335+DO335-DP335-DQ335+DR335</f>
        <v>#VALUE!</v>
      </c>
      <c r="DI335" s="42" t="e">
        <f>DU335+DX335+EA335+ED335+EE335+EF335</f>
        <v>#VALUE!</v>
      </c>
      <c r="DJ335" s="38" t="e">
        <f>VLOOKUP(DJ334*1, FK$2:FM$12, 3, TRUE)*FM$1</f>
        <v>#VALUE!</v>
      </c>
      <c r="DL335" s="38" t="e">
        <f>VLOOKUP(DL334*1, FN$2:FP$12, 3, TRUE)*FP$1</f>
        <v>#VALUE!</v>
      </c>
      <c r="DM335" s="38" t="e">
        <f>VLOOKUP(DM334*1, FQ$2:FS$12, 3, TRUE)*FS$1</f>
        <v>#VALUE!</v>
      </c>
      <c r="DN335" s="38" t="e">
        <f>VLOOKUP(DN334*1, FT$2:FV$12, 3, TRUE)*FV$1</f>
        <v>#VALUE!</v>
      </c>
      <c r="DO335" s="38" t="e">
        <f>VLOOKUP(DO334*1, FW$2:FY$12, 3, TRUE)*FY$1</f>
        <v>#VALUE!</v>
      </c>
      <c r="DP335" s="39" t="e">
        <f>VLOOKUP(DP334*1, FK$14:FM$25, 3, TRUE)*FM$14</f>
        <v>#VALUE!</v>
      </c>
      <c r="DQ335" s="39" t="e">
        <f>VLOOKUP(DQ334*1, FN$14:FP$25, 3, TRUE)*FP$14</f>
        <v>#VALUE!</v>
      </c>
      <c r="DR335" s="38" t="e">
        <f>VLOOKUP(DR334*1, FQ$14:FS$25, 3, TRUE)*FS$14</f>
        <v>#VALUE!</v>
      </c>
      <c r="DU335" s="41" t="e">
        <f>VLOOKUP(DU334*1, FK$27:FM$38, 3, TRUE)*FM$27</f>
        <v>#VALUE!</v>
      </c>
      <c r="DX335" s="41" t="e">
        <f>VLOOKUP(DX334*1, FN$27:FP$38, 3, TRUE)*FP$27</f>
        <v>#VALUE!</v>
      </c>
      <c r="EA335" s="41" t="e">
        <f>VLOOKUP(EA334*1, FQ$27:FS$38, 3, TRUE)*FS$27</f>
        <v>#VALUE!</v>
      </c>
      <c r="ED335" s="41" t="e">
        <f>VLOOKUP(ED334*1, FT$27:FV$38, 3, TRUE)*FV$27</f>
        <v>#VALUE!</v>
      </c>
      <c r="EE335" s="41" t="e">
        <f>VLOOKUP(EE334*1, FW$27:FY$38, 3, TRUE)*FY$27</f>
        <v>#VALUE!</v>
      </c>
      <c r="EF335" s="41" t="e">
        <f>VLOOKUP(EF334*1, FK$40:FM$51, 3, TRUE)*FM$40</f>
        <v>#VALUE!</v>
      </c>
      <c r="EG335" s="57"/>
      <c r="EI335" s="36"/>
      <c r="EJ335" s="4"/>
      <c r="EK335" s="40" t="e">
        <f>EM335+EO335+EP335+EQ335+ER335-ES335-ET335+EU335</f>
        <v>#VALUE!</v>
      </c>
      <c r="EL335" s="42" t="e">
        <f>EX335+FA335+FD335+FG335+FH335+FI335</f>
        <v>#VALUE!</v>
      </c>
      <c r="EM335" s="38" t="e">
        <f>VLOOKUP(EM334*1, $FK$2:$FM$12, 3, TRUE)*$FM$1</f>
        <v>#VALUE!</v>
      </c>
      <c r="EO335" s="38" t="e">
        <f>VLOOKUP(EO334*1, $FN$2:$FP$12, 3, TRUE)*$FP$1</f>
        <v>#VALUE!</v>
      </c>
      <c r="EP335" s="38" t="e">
        <f>VLOOKUP(EP334*1, $FQ$2:$FS$12, 3, TRUE)*$FS$1</f>
        <v>#VALUE!</v>
      </c>
      <c r="EQ335" s="38" t="e">
        <f>VLOOKUP(EQ334*1, $FT$2:$FV$12, 3, TRUE)*$FV$1</f>
        <v>#VALUE!</v>
      </c>
      <c r="ER335" s="38" t="e">
        <f>VLOOKUP(ER334*1, $FW$2:$FY$12, 3, TRUE)*$FY$1</f>
        <v>#VALUE!</v>
      </c>
      <c r="ES335" s="39" t="e">
        <f>VLOOKUP(ES334*1, $FK$14:$FM$25, 3, TRUE)*$FM$14</f>
        <v>#VALUE!</v>
      </c>
      <c r="ET335" s="39" t="e">
        <f>VLOOKUP(ET334*1, $FN$14:$FP$25, 3, TRUE)*$FP$14</f>
        <v>#VALUE!</v>
      </c>
      <c r="EU335" s="38" t="e">
        <f>VLOOKUP(EU334*1, $FQ$14:$FS$25, 3, TRUE)*$FS$14</f>
        <v>#VALUE!</v>
      </c>
      <c r="EX335" s="41" t="e">
        <f>VLOOKUP(EX334*1, $FK$27:$FM$38, 3, TRUE)*$FM$27</f>
        <v>#VALUE!</v>
      </c>
      <c r="FA335" s="41" t="e">
        <f>VLOOKUP(FA334*1, $FN$27:$FP$38, 3, TRUE)*$FP$27</f>
        <v>#VALUE!</v>
      </c>
      <c r="FD335" s="41" t="e">
        <f>VLOOKUP(FD334*1, $FQ$27:$FS$38, 3, TRUE)*$FS$27</f>
        <v>#VALUE!</v>
      </c>
      <c r="FG335" s="41" t="e">
        <f>VLOOKUP(FG334*1, $FT$27:$FV$38, 3, TRUE)*$FV$27</f>
        <v>#VALUE!</v>
      </c>
      <c r="FH335" s="41" t="e">
        <f>VLOOKUP(FH334*1, $FW$27:$FY$38, 3, TRUE)*$FY$27</f>
        <v>#VALUE!</v>
      </c>
      <c r="FI335" s="41" t="e">
        <f>VLOOKUP(FI334*1, $FK$40:$FM$51, 3, TRUE)*$FM$40</f>
        <v>#VALUE!</v>
      </c>
    </row>
    <row r="336" spans="110:165">
      <c r="DF336" s="35" t="str">
        <f>先發名單!G$13</f>
        <v>E. Julien</v>
      </c>
      <c r="DG336" s="4" t="str">
        <f t="array" ref="DG336">IFERROR(INDEX(球員狀態!$C$2:$C$5000, MATCH(1, (球員狀態!$A$2:$A$5000=$DF$331)*(ISNUMBER(SEARCH($DF336, 球員狀態!$B$2:$B$5000))), 0)), "")</f>
        <v/>
      </c>
      <c r="DJ336" s="4" t="str">
        <f t="array" ref="DJ336">IFERROR(INDEX(球員狀態!$F$2:$F$5000,MATCH(1,(球員狀態!$A$2:$A$5000=$DF$331)*(ISNUMBER(SEARCH($DF336,球員狀態!$B$2:$B$5000))),0)),"")</f>
        <v/>
      </c>
      <c r="DK336" s="4" t="str">
        <f t="array" ref="DK336">IFERROR(INDEX(球員狀態!G$2:G$5000, MATCH(1, (球員狀態!$A$2:$A$5000=$DF$1)*(ISNUMBER(SEARCH($DF336, 球員狀態!$B$2:$B$5000))), 0)), "")</f>
        <v/>
      </c>
      <c r="DL336" s="4" t="str">
        <f t="array" ref="DL336">IFERROR(INDEX(球員狀態!H$2:H$5000, MATCH(1, (球員狀態!$A$2:$A$5000=$DF$331)*(ISNUMBER(SEARCH($DF336, 球員狀態!$B$2:$B$5000))), 0)), "")</f>
        <v/>
      </c>
      <c r="DM336" s="4" t="str">
        <f t="array" ref="DM336">IFERROR(INDEX(球員狀態!I$2:I$5000,MATCH(1,(球員狀態!$A$2:$A$5000=$DF$331)*(ISNUMBER(SEARCH($DF336,球員狀態!$B$2:$B$5000))),0)),"")</f>
        <v/>
      </c>
      <c r="DN336" s="4" t="str">
        <f t="array" ref="DN336">IFERROR(INDEX(球員狀態!J$2:J$5000,MATCH(1,(球員狀態!$A$2:$A$5000=$DF$331)*(ISNUMBER(SEARCH($DF336,球員狀態!$B$2:$B$5000))),0)),"")</f>
        <v/>
      </c>
      <c r="DO336" s="4" t="str">
        <f t="array" ref="DO336">IFERROR(INDEX(球員狀態!K$2:K$5000,MATCH(1,(球員狀態!$A$2:$A$5000=$DF$331)*(ISNUMBER(SEARCH($DF336,球員狀態!$B$2:$B$5000))),0)),"")</f>
        <v/>
      </c>
      <c r="DP336" s="4" t="str">
        <f t="array" ref="DP336">IFERROR(INDEX(球員狀態!L$2:L$5000,MATCH(1,(球員狀態!$A$2:$A$5000=$DF$331)*(ISNUMBER(SEARCH($DF336,球員狀態!$B$2:$B$5000))),0)),"")</f>
        <v/>
      </c>
      <c r="DQ336" s="4" t="str">
        <f t="array" ref="DQ336">IFERROR(INDEX(球員狀態!M$2:M$5000,MATCH(1,(球員狀態!$A$2:$A$5000=$DF$331)*(ISNUMBER(SEARCH($DF336,球員狀態!$B$2:$B$5000))),0)),"")</f>
        <v/>
      </c>
      <c r="DR336" s="4" t="str">
        <f t="array" ref="DR336">IFERROR(INDEX(球員狀態!N$2:N$5000,MATCH(1,(球員狀態!$A$2:$A$5000=$DF$331)*(ISNUMBER(SEARCH($DF336,球員狀態!$B$2:$B$5000))),0)),"")</f>
        <v/>
      </c>
      <c r="DS336" s="4" t="str">
        <f t="array" ref="DS336">IFERROR(INDEX(球員狀態!O$2:O$5000, MATCH(1, (球員狀態!$A$2:$A$5000=$DF$1)*(ISNUMBER(SEARCH($DF336, 球員狀態!$B$2:$B$5000))), 0)), "")</f>
        <v/>
      </c>
      <c r="DT336" s="4" t="str">
        <f t="array" ref="DT336">IFERROR(INDEX(球員狀態!P$2:P$5000, MATCH(1, (球員狀態!$A$2:$A$5000=$DF$1)*(ISNUMBER(SEARCH($DF336, 球員狀態!$B$2:$B$5000))), 0)), "")</f>
        <v/>
      </c>
      <c r="DU336" s="4" t="str">
        <f t="array" ref="DU336">IFERROR(INDEX(球員狀態!Q$2:Q$5000,MATCH(1,(球員狀態!$A$2:$A$5000=$DF$331)*(ISNUMBER(SEARCH($DF336,球員狀態!$B$2:$B$5000))),0)),"")</f>
        <v/>
      </c>
      <c r="DV336" s="4" t="str">
        <f t="array" ref="DV336">IFERROR(INDEX(球員狀態!R$2:R$5000, MATCH(1, (球員狀態!$A$2:$A$5000=$DF$1)*(ISNUMBER(SEARCH($DF336, 球員狀態!$B$2:$B$5000))), 0)), "")</f>
        <v/>
      </c>
      <c r="DW336" s="4" t="str">
        <f t="array" ref="DW336">IFERROR(INDEX(球員狀態!S$2:S$5000, MATCH(1, (球員狀態!$A$2:$A$5000=$DF$1)*(ISNUMBER(SEARCH($DF336, 球員狀態!$B$2:$B$5000))), 0)), "")</f>
        <v/>
      </c>
      <c r="DX336" s="4" t="str">
        <f t="array" ref="DX336">IFERROR(INDEX(球員狀態!T$2:T$5000,MATCH(1,(球員狀態!$A$2:$A$5000=$DF$331)*(ISNUMBER(SEARCH($DF336,球員狀態!$B$2:$B$5000))),0)),"")</f>
        <v/>
      </c>
      <c r="DY336" s="4" t="str">
        <f t="array" ref="DY336">IFERROR(INDEX(球員狀態!U$2:U$5000, MATCH(1, (球員狀態!$A$2:$A$5000=$DF$1)*(ISNUMBER(SEARCH($DF336, 球員狀態!$B$2:$B$5000))), 0)), "")</f>
        <v/>
      </c>
      <c r="DZ336" s="4" t="str">
        <f t="array" ref="DZ336">IFERROR(INDEX(球員狀態!V$2:V$5000, MATCH(1, (球員狀態!$A$2:$A$5000=$DF$1)*(ISNUMBER(SEARCH($DF336, 球員狀態!$B$2:$B$5000))), 0)), "")</f>
        <v/>
      </c>
      <c r="EA336" s="4" t="str">
        <f t="array" ref="EA336">IFERROR(INDEX(球員狀態!W$2:W$5000,MATCH(1,(球員狀態!$A$2:$A$5000=$DF$331)*(ISNUMBER(SEARCH($DF336,球員狀態!$B$2:$B$5000))),0)),"")</f>
        <v/>
      </c>
      <c r="EB336" s="4" t="str">
        <f t="array" ref="EB336">IFERROR(INDEX(球員狀態!X$2:X$5000, MATCH(1, (球員狀態!$A$2:$A$5000=$DF$1)*(ISNUMBER(SEARCH($DF336, 球員狀態!$B$2:$B$5000))), 0)), "")</f>
        <v/>
      </c>
      <c r="EC336" s="4" t="str">
        <f t="array" ref="EC336">IFERROR(INDEX(球員狀態!Y$2:Y$5000, MATCH(1, (球員狀態!$A$2:$A$5000=$DF$1)*(ISNUMBER(SEARCH($DF336, 球員狀態!$B$2:$B$5000))), 0)), "")</f>
        <v/>
      </c>
      <c r="ED336" s="4" t="str">
        <f t="array" ref="ED336">IFERROR(INDEX(球員狀態!Z$2:Z$5000,MATCH(1,(球員狀態!$A$2:$A$5000=$DF$331)*(ISNUMBER(SEARCH($DF336,球員狀態!$B$2:$B$5000))),0)),"")</f>
        <v/>
      </c>
      <c r="EE336" s="4" t="str">
        <f t="array" ref="EE336">IFERROR(INDEX(球員狀態!AA$2:AA$5000,MATCH(1,(球員狀態!$A$2:$A$5000=$DF$331)*(ISNUMBER(SEARCH($DF336,球員狀態!$B$2:$B$5000))),0)),"")</f>
        <v/>
      </c>
      <c r="EF336" s="4" t="str">
        <f t="array" ref="EF336">IFERROR(INDEX(球員狀態!AB$2:AB$5000,MATCH(1,(球員狀態!$A$2:$A$5000=$DF$331)*(ISNUMBER(SEARCH($DF336,球員狀態!$B$2:$B$5000))),0)),"")</f>
        <v/>
      </c>
      <c r="EG336" s="56"/>
      <c r="EI336" s="35" t="str">
        <f>先發名單!Q$13</f>
        <v>Matt McLain</v>
      </c>
      <c r="EJ336" s="4" t="str">
        <f t="array" ref="EJ336">IFERROR(INDEX(球員狀態!C$2:C$5000, MATCH(1, (球員狀態!$A$2:$A$5000=$EI$331)*(ISNUMBER(SEARCH($EI336, 球員狀態!$B$2:$B$5000))), 0)), "")</f>
        <v/>
      </c>
      <c r="EM336" s="4" t="str">
        <f t="array" ref="EM336">IFERROR(INDEX(球員狀態!F$2:F$5000, MATCH(1, (球員狀態!$A$2:$A$5000=$EI$331)*(ISNUMBER(SEARCH($EI336, 球員狀態!$B$2:$B$5000))), 0)), "")</f>
        <v/>
      </c>
      <c r="EN336" s="4" t="str">
        <f t="array" ref="EN336">IFERROR(INDEX(球員狀態!G$2:G$5000, MATCH(1, (球員狀態!$A$2:$A$5000=$EI$1)*(ISNUMBER(SEARCH($EI336, 球員狀態!$B$2:$B$5000))), 0)), "")</f>
        <v/>
      </c>
      <c r="EO336" s="4" t="str">
        <f t="array" ref="EO336">IFERROR(INDEX(球員狀態!H$2:H$5000, MATCH(1, (球員狀態!$A$2:$A$5000=$EI$331)*(ISNUMBER(SEARCH($EI336, 球員狀態!$B$2:$B$5000))), 0)), "")</f>
        <v/>
      </c>
      <c r="EP336" s="4" t="str">
        <f t="array" ref="EP336">IFERROR(INDEX(球員狀態!I$2:I$5000, MATCH(1, (球員狀態!$A$2:$A$5000=$EI$331)*(ISNUMBER(SEARCH($EI336, 球員狀態!$B$2:$B$5000))), 0)), "")</f>
        <v/>
      </c>
      <c r="EQ336" s="4" t="str">
        <f t="array" ref="EQ336">IFERROR(INDEX(球員狀態!J$2:J$5000, MATCH(1, (球員狀態!$A$2:$A$5000=$EI$331)*(ISNUMBER(SEARCH($EI336, 球員狀態!$B$2:$B$5000))), 0)), "")</f>
        <v/>
      </c>
      <c r="ER336" s="4" t="str">
        <f t="array" ref="ER336">IFERROR(INDEX(球員狀態!K$2:K$5000, MATCH(1, (球員狀態!$A$2:$A$5000=$EI$331)*(ISNUMBER(SEARCH($EI336, 球員狀態!$B$2:$B$5000))), 0)), "")</f>
        <v/>
      </c>
      <c r="ES336" s="4" t="str">
        <f t="array" ref="ES336">IFERROR(INDEX(球員狀態!L$2:L$5000, MATCH(1, (球員狀態!$A$2:$A$5000=$EI$331)*(ISNUMBER(SEARCH($EI336, 球員狀態!$B$2:$B$5000))), 0)), "")</f>
        <v/>
      </c>
      <c r="ET336" s="4" t="str">
        <f t="array" ref="ET336">IFERROR(INDEX(球員狀態!M$2:M$5000, MATCH(1, (球員狀態!$A$2:$A$5000=$EI$331)*(ISNUMBER(SEARCH($EI336, 球員狀態!$B$2:$B$5000))), 0)), "")</f>
        <v/>
      </c>
      <c r="EU336" s="4" t="str">
        <f t="array" ref="EU336">IFERROR(INDEX(球員狀態!N$2:N$5000, MATCH(1, (球員狀態!$A$2:$A$5000=$EI$331)*(ISNUMBER(SEARCH($EI336, 球員狀態!$B$2:$B$5000))), 0)), "")</f>
        <v/>
      </c>
      <c r="EV336" s="4" t="str">
        <f t="array" ref="EV336">IFERROR(INDEX(球員狀態!O$2:O$5000, MATCH(1, (球員狀態!$A$2:$A$5000=$EI$1)*(ISNUMBER(SEARCH($EI336, 球員狀態!$B$2:$B$5000))), 0)), "")</f>
        <v/>
      </c>
      <c r="EW336" s="4" t="str">
        <f t="array" ref="EW336">IFERROR(INDEX(球員狀態!P$2:P$5000, MATCH(1, (球員狀態!$A$2:$A$5000=$EI$1)*(ISNUMBER(SEARCH($EI336, 球員狀態!$B$2:$B$5000))), 0)), "")</f>
        <v/>
      </c>
      <c r="EX336" s="4" t="str">
        <f t="array" ref="EX336">IFERROR(INDEX(球員狀態!Q$2:Q$5000, MATCH(1, (球員狀態!$A$2:$A$5000=$EI$331)*(ISNUMBER(SEARCH($EI336, 球員狀態!$B$2:$B$5000))), 0)), "")</f>
        <v/>
      </c>
      <c r="EY336" s="4" t="str">
        <f t="array" ref="EY336">IFERROR(INDEX(球員狀態!R$2:R$5000, MATCH(1, (球員狀態!$A$2:$A$5000=$EI$1)*(ISNUMBER(SEARCH($EI336, 球員狀態!$B$2:$B$5000))), 0)), "")</f>
        <v/>
      </c>
      <c r="EZ336" s="4" t="str">
        <f t="array" ref="EZ336">IFERROR(INDEX(球員狀態!S$2:S$5000, MATCH(1, (球員狀態!$A$2:$A$5000=$EI$1)*(ISNUMBER(SEARCH($EI336, 球員狀態!$B$2:$B$5000))), 0)), "")</f>
        <v/>
      </c>
      <c r="FA336" s="4" t="str">
        <f t="array" ref="FA336">IFERROR(INDEX(球員狀態!T$2:T$5000, MATCH(1, (球員狀態!$A$2:$A$5000=$EI$331)*(ISNUMBER(SEARCH($EI336, 球員狀態!$B$2:$B$5000))), 0)), "")</f>
        <v/>
      </c>
      <c r="FB336" s="4" t="str">
        <f t="array" ref="FB336">IFERROR(INDEX(球員狀態!U$2:U$5000, MATCH(1, (球員狀態!$A$2:$A$5000=$EI$1)*(ISNUMBER(SEARCH($EI336, 球員狀態!$B$2:$B$5000))), 0)), "")</f>
        <v/>
      </c>
      <c r="FC336" s="4" t="str">
        <f t="array" ref="FC336">IFERROR(INDEX(球員狀態!V$2:V$5000, MATCH(1, (球員狀態!$A$2:$A$5000=$EI$1)*(ISNUMBER(SEARCH($EI336, 球員狀態!$B$2:$B$5000))), 0)), "")</f>
        <v/>
      </c>
      <c r="FD336" s="4" t="str">
        <f t="array" ref="FD336">IFERROR(INDEX(球員狀態!W$2:W$5000, MATCH(1, (球員狀態!$A$2:$A$5000=$EI$331)*(ISNUMBER(SEARCH($EI336, 球員狀態!$B$2:$B$5000))), 0)), "")</f>
        <v/>
      </c>
      <c r="FE336" s="4" t="str">
        <f t="array" ref="FE336">IFERROR(INDEX(球員狀態!X$2:X$5000, MATCH(1, (球員狀態!$A$2:$A$5000=$EI$1)*(ISNUMBER(SEARCH($EI336, 球員狀態!$B$2:$B$5000))), 0)), "")</f>
        <v/>
      </c>
      <c r="FF336" s="4" t="str">
        <f t="array" ref="FF336">IFERROR(INDEX(球員狀態!Y$2:Y$5000, MATCH(1, (球員狀態!$A$2:$A$5000=$EI$1)*(ISNUMBER(SEARCH($EI336, 球員狀態!$B$2:$B$5000))), 0)), "")</f>
        <v/>
      </c>
      <c r="FG336" s="4" t="str">
        <f t="array" ref="FG336">IFERROR(INDEX(球員狀態!Z$2:Z$5000, MATCH(1, (球員狀態!$A$2:$A$5000=$EI$331)*(ISNUMBER(SEARCH($EI336, 球員狀態!$B$2:$B$5000))), 0)), "")</f>
        <v/>
      </c>
      <c r="FH336" s="4" t="str">
        <f t="array" ref="FH336">IFERROR(INDEX(球員狀態!AA$2:AA$5000, MATCH(1, (球員狀態!$A$2:$A$5000=$EI$331)*(ISNUMBER(SEARCH($EI336, 球員狀態!$B$2:$B$5000))), 0)), "")</f>
        <v/>
      </c>
      <c r="FI336" s="4" t="str">
        <f t="array" ref="FI336">IFERROR(INDEX(球員狀態!AB$2:AB$5000, MATCH(1, (球員狀態!$A$2:$A$5000=$EI$331)*(ISNUMBER(SEARCH($EI336, 球員狀態!$B$2:$B$5000))), 0)), "")</f>
        <v/>
      </c>
    </row>
    <row r="337" spans="110:165">
      <c r="DF337" s="33"/>
      <c r="DG337" s="4"/>
      <c r="DH337" s="40" t="e">
        <f>DJ337+DL337+DM337+DN337+DO337-DP337-DQ337+DR337</f>
        <v>#VALUE!</v>
      </c>
      <c r="DI337" s="42" t="e">
        <f>DU337+DX337+EA337+ED337+EE337+EF337</f>
        <v>#VALUE!</v>
      </c>
      <c r="DJ337" s="38" t="e">
        <f>VLOOKUP(DJ336*1, FK$2:FM$12, 3, TRUE)*FM$1</f>
        <v>#VALUE!</v>
      </c>
      <c r="DL337" s="38" t="e">
        <f>VLOOKUP(DL336*1, FN$2:FP$12, 3, TRUE)*FP$1</f>
        <v>#VALUE!</v>
      </c>
      <c r="DM337" s="38" t="e">
        <f>VLOOKUP(DM336*1, FQ$2:FS$12, 3, TRUE)*FS$1</f>
        <v>#VALUE!</v>
      </c>
      <c r="DN337" s="38" t="e">
        <f>VLOOKUP(DN336*1, FT$2:FV$12, 3, TRUE)*FV$1</f>
        <v>#VALUE!</v>
      </c>
      <c r="DO337" s="38" t="e">
        <f>VLOOKUP(DO336*1, FW$2:FY$12, 3, TRUE)*FY$1</f>
        <v>#VALUE!</v>
      </c>
      <c r="DP337" s="39" t="e">
        <f>VLOOKUP(DP336*1, FK$14:FM$25, 3, TRUE)*FM$14</f>
        <v>#VALUE!</v>
      </c>
      <c r="DQ337" s="39" t="e">
        <f>VLOOKUP(DQ336*1, FN$14:FP$25, 3, TRUE)*FP$14</f>
        <v>#VALUE!</v>
      </c>
      <c r="DR337" s="38" t="e">
        <f>VLOOKUP(DR336*1, FQ$14:FS$25, 3, TRUE)*FS$14</f>
        <v>#VALUE!</v>
      </c>
      <c r="DU337" s="41" t="e">
        <f>VLOOKUP(DU336*1, FK$27:FM$38, 3, TRUE)*FM$27</f>
        <v>#VALUE!</v>
      </c>
      <c r="DX337" s="41" t="e">
        <f>VLOOKUP(DX336*1, FN$27:FP$38, 3, TRUE)*FP$27</f>
        <v>#VALUE!</v>
      </c>
      <c r="EA337" s="41" t="e">
        <f>VLOOKUP(EA336*1, FQ$27:FS$38, 3, TRUE)*FS$27</f>
        <v>#VALUE!</v>
      </c>
      <c r="ED337" s="41" t="e">
        <f>VLOOKUP(ED336*1, FT$27:FV$38, 3, TRUE)*FV$27</f>
        <v>#VALUE!</v>
      </c>
      <c r="EE337" s="41" t="e">
        <f>VLOOKUP(EE336*1, FW$27:FY$38, 3, TRUE)*FY$27</f>
        <v>#VALUE!</v>
      </c>
      <c r="EF337" s="41" t="e">
        <f>VLOOKUP(EF336*1, FK$40:FM$51, 3, TRUE)*FM$40</f>
        <v>#VALUE!</v>
      </c>
      <c r="EG337" s="57"/>
      <c r="EI337" s="33"/>
      <c r="EJ337" s="4"/>
      <c r="EK337" s="40" t="e">
        <f>EM337+EO337+EP337+EQ337+ER337-ES337-ET337+EU337</f>
        <v>#VALUE!</v>
      </c>
      <c r="EL337" s="42" t="e">
        <f>EX337+FA337+FD337+FG337+FH337+FI337</f>
        <v>#VALUE!</v>
      </c>
      <c r="EM337" s="38" t="e">
        <f>VLOOKUP(EM336*1, $FK$2:$FM$12, 3, TRUE)*$FM$1</f>
        <v>#VALUE!</v>
      </c>
      <c r="EO337" s="38" t="e">
        <f>VLOOKUP(EO336*1, $FN$2:$FP$12, 3, TRUE)*$FP$1</f>
        <v>#VALUE!</v>
      </c>
      <c r="EP337" s="38" t="e">
        <f>VLOOKUP(EP336*1, $FQ$2:$FS$12, 3, TRUE)*$FS$1</f>
        <v>#VALUE!</v>
      </c>
      <c r="EQ337" s="38" t="e">
        <f>VLOOKUP(EQ336*1, $FT$2:$FV$12, 3, TRUE)*$FV$1</f>
        <v>#VALUE!</v>
      </c>
      <c r="ER337" s="38" t="e">
        <f>VLOOKUP(ER336*1, $FW$2:$FY$12, 3, TRUE)*$FY$1</f>
        <v>#VALUE!</v>
      </c>
      <c r="ES337" s="39" t="e">
        <f>VLOOKUP(ES336*1, $FK$14:$FM$25, 3, TRUE)*$FM$14</f>
        <v>#VALUE!</v>
      </c>
      <c r="ET337" s="39" t="e">
        <f>VLOOKUP(ET336*1, $FN$14:$FP$25, 3, TRUE)*$FP$14</f>
        <v>#VALUE!</v>
      </c>
      <c r="EU337" s="38" t="e">
        <f>VLOOKUP(EU336*1, $FQ$14:$FS$25, 3, TRUE)*$FS$14</f>
        <v>#VALUE!</v>
      </c>
      <c r="EX337" s="41" t="e">
        <f>VLOOKUP(EX336*1, $FK$27:$FM$38, 3, TRUE)*$FM$27</f>
        <v>#VALUE!</v>
      </c>
      <c r="FA337" s="41" t="e">
        <f>VLOOKUP(FA336*1, $FN$27:$FP$38, 3, TRUE)*$FP$27</f>
        <v>#VALUE!</v>
      </c>
      <c r="FD337" s="41" t="e">
        <f>VLOOKUP(FD336*1, $FQ$27:$FS$38, 3, TRUE)*$FS$27</f>
        <v>#VALUE!</v>
      </c>
      <c r="FG337" s="41" t="e">
        <f>VLOOKUP(FG336*1, $FT$27:$FV$38, 3, TRUE)*$FV$27</f>
        <v>#VALUE!</v>
      </c>
      <c r="FH337" s="41" t="e">
        <f>VLOOKUP(FH336*1, $FW$27:$FY$38, 3, TRUE)*$FY$27</f>
        <v>#VALUE!</v>
      </c>
      <c r="FI337" s="41" t="e">
        <f>VLOOKUP(FI336*1, $FK$40:$FM$51, 3, TRUE)*$FM$40</f>
        <v>#VALUE!</v>
      </c>
    </row>
    <row r="338" spans="110:165">
      <c r="DF338" s="35" t="str">
        <f>先發名單!H$13</f>
        <v>M. Moniak</v>
      </c>
      <c r="DG338" s="4" t="str">
        <f t="array" ref="DG338">IFERROR(INDEX(球員狀態!$C$2:$C$5000, MATCH(1, (球員狀態!$A$2:$A$5000=$DF$331)*(ISNUMBER(SEARCH($DF338, 球員狀態!$B$2:$B$5000))), 0)), "")</f>
        <v/>
      </c>
      <c r="DJ338" s="4" t="str">
        <f t="array" ref="DJ338">IFERROR(INDEX(球員狀態!$F$2:$F$5000,MATCH(1,(球員狀態!$A$2:$A$5000=$DF$331)*(ISNUMBER(SEARCH($DF338,球員狀態!$B$2:$B$5000))),0)),"")</f>
        <v/>
      </c>
      <c r="DK338" s="4" t="str">
        <f t="array" ref="DK338">IFERROR(INDEX(球員狀態!G$2:G$5000, MATCH(1, (球員狀態!$A$2:$A$5000=$DF$1)*(ISNUMBER(SEARCH($DF338, 球員狀態!$B$2:$B$5000))), 0)), "")</f>
        <v/>
      </c>
      <c r="DL338" s="4" t="str">
        <f t="array" ref="DL338">IFERROR(INDEX(球員狀態!H$2:H$5000, MATCH(1, (球員狀態!$A$2:$A$5000=$DF$331)*(ISNUMBER(SEARCH($DF338, 球員狀態!$B$2:$B$5000))), 0)), "")</f>
        <v/>
      </c>
      <c r="DM338" s="4" t="str">
        <f t="array" ref="DM338">IFERROR(INDEX(球員狀態!I$2:I$5000,MATCH(1,(球員狀態!$A$2:$A$5000=$DF$331)*(ISNUMBER(SEARCH($DF338,球員狀態!$B$2:$B$5000))),0)),"")</f>
        <v/>
      </c>
      <c r="DN338" s="4" t="str">
        <f t="array" ref="DN338">IFERROR(INDEX(球員狀態!J$2:J$5000,MATCH(1,(球員狀態!$A$2:$A$5000=$DF$331)*(ISNUMBER(SEARCH($DF338,球員狀態!$B$2:$B$5000))),0)),"")</f>
        <v/>
      </c>
      <c r="DO338" s="4" t="str">
        <f t="array" ref="DO338">IFERROR(INDEX(球員狀態!K$2:K$5000,MATCH(1,(球員狀態!$A$2:$A$5000=$DF$331)*(ISNUMBER(SEARCH($DF338,球員狀態!$B$2:$B$5000))),0)),"")</f>
        <v/>
      </c>
      <c r="DP338" s="4" t="str">
        <f t="array" ref="DP338">IFERROR(INDEX(球員狀態!L$2:L$5000,MATCH(1,(球員狀態!$A$2:$A$5000=$DF$331)*(ISNUMBER(SEARCH($DF338,球員狀態!$B$2:$B$5000))),0)),"")</f>
        <v/>
      </c>
      <c r="DQ338" s="4" t="str">
        <f t="array" ref="DQ338">IFERROR(INDEX(球員狀態!M$2:M$5000,MATCH(1,(球員狀態!$A$2:$A$5000=$DF$331)*(ISNUMBER(SEARCH($DF338,球員狀態!$B$2:$B$5000))),0)),"")</f>
        <v/>
      </c>
      <c r="DR338" s="4" t="str">
        <f t="array" ref="DR338">IFERROR(INDEX(球員狀態!N$2:N$5000,MATCH(1,(球員狀態!$A$2:$A$5000=$DF$331)*(ISNUMBER(SEARCH($DF338,球員狀態!$B$2:$B$5000))),0)),"")</f>
        <v/>
      </c>
      <c r="DS338" s="4" t="str">
        <f t="array" ref="DS338">IFERROR(INDEX(球員狀態!O$2:O$5000, MATCH(1, (球員狀態!$A$2:$A$5000=$DF$1)*(ISNUMBER(SEARCH($DF338, 球員狀態!$B$2:$B$5000))), 0)), "")</f>
        <v/>
      </c>
      <c r="DT338" s="4" t="str">
        <f t="array" ref="DT338">IFERROR(INDEX(球員狀態!P$2:P$5000, MATCH(1, (球員狀態!$A$2:$A$5000=$DF$1)*(ISNUMBER(SEARCH($DF338, 球員狀態!$B$2:$B$5000))), 0)), "")</f>
        <v/>
      </c>
      <c r="DU338" s="4" t="str">
        <f t="array" ref="DU338">IFERROR(INDEX(球員狀態!Q$2:Q$5000,MATCH(1,(球員狀態!$A$2:$A$5000=$DF$331)*(ISNUMBER(SEARCH($DF338,球員狀態!$B$2:$B$5000))),0)),"")</f>
        <v/>
      </c>
      <c r="DV338" s="4" t="str">
        <f t="array" ref="DV338">IFERROR(INDEX(球員狀態!R$2:R$5000, MATCH(1, (球員狀態!$A$2:$A$5000=$DF$1)*(ISNUMBER(SEARCH($DF338, 球員狀態!$B$2:$B$5000))), 0)), "")</f>
        <v/>
      </c>
      <c r="DW338" s="4" t="str">
        <f t="array" ref="DW338">IFERROR(INDEX(球員狀態!S$2:S$5000, MATCH(1, (球員狀態!$A$2:$A$5000=$DF$1)*(ISNUMBER(SEARCH($DF338, 球員狀態!$B$2:$B$5000))), 0)), "")</f>
        <v/>
      </c>
      <c r="DX338" s="4" t="str">
        <f t="array" ref="DX338">IFERROR(INDEX(球員狀態!T$2:T$5000,MATCH(1,(球員狀態!$A$2:$A$5000=$DF$331)*(ISNUMBER(SEARCH($DF338,球員狀態!$B$2:$B$5000))),0)),"")</f>
        <v/>
      </c>
      <c r="DY338" s="4" t="str">
        <f t="array" ref="DY338">IFERROR(INDEX(球員狀態!U$2:U$5000, MATCH(1, (球員狀態!$A$2:$A$5000=$DF$1)*(ISNUMBER(SEARCH($DF338, 球員狀態!$B$2:$B$5000))), 0)), "")</f>
        <v/>
      </c>
      <c r="DZ338" s="4" t="str">
        <f t="array" ref="DZ338">IFERROR(INDEX(球員狀態!V$2:V$5000, MATCH(1, (球員狀態!$A$2:$A$5000=$DF$1)*(ISNUMBER(SEARCH($DF338, 球員狀態!$B$2:$B$5000))), 0)), "")</f>
        <v/>
      </c>
      <c r="EA338" s="4" t="str">
        <f t="array" ref="EA338">IFERROR(INDEX(球員狀態!W$2:W$5000,MATCH(1,(球員狀態!$A$2:$A$5000=$DF$331)*(ISNUMBER(SEARCH($DF338,球員狀態!$B$2:$B$5000))),0)),"")</f>
        <v/>
      </c>
      <c r="EB338" s="4" t="str">
        <f t="array" ref="EB338">IFERROR(INDEX(球員狀態!X$2:X$5000, MATCH(1, (球員狀態!$A$2:$A$5000=$DF$1)*(ISNUMBER(SEARCH($DF338, 球員狀態!$B$2:$B$5000))), 0)), "")</f>
        <v/>
      </c>
      <c r="EC338" s="4" t="str">
        <f t="array" ref="EC338">IFERROR(INDEX(球員狀態!Y$2:Y$5000, MATCH(1, (球員狀態!$A$2:$A$5000=$DF$1)*(ISNUMBER(SEARCH($DF338, 球員狀態!$B$2:$B$5000))), 0)), "")</f>
        <v/>
      </c>
      <c r="ED338" s="4" t="str">
        <f t="array" ref="ED338">IFERROR(INDEX(球員狀態!Z$2:Z$5000,MATCH(1,(球員狀態!$A$2:$A$5000=$DF$331)*(ISNUMBER(SEARCH($DF338,球員狀態!$B$2:$B$5000))),0)),"")</f>
        <v/>
      </c>
      <c r="EE338" s="4" t="str">
        <f t="array" ref="EE338">IFERROR(INDEX(球員狀態!AA$2:AA$5000,MATCH(1,(球員狀態!$A$2:$A$5000=$DF$331)*(ISNUMBER(SEARCH($DF338,球員狀態!$B$2:$B$5000))),0)),"")</f>
        <v/>
      </c>
      <c r="EF338" s="4" t="str">
        <f t="array" ref="EF338">IFERROR(INDEX(球員狀態!AB$2:AB$5000,MATCH(1,(球員狀態!$A$2:$A$5000=$DF$331)*(ISNUMBER(SEARCH($DF338,球員狀態!$B$2:$B$5000))),0)),"")</f>
        <v/>
      </c>
      <c r="EG338" s="56"/>
      <c r="EI338" s="35" t="str">
        <f>先發名單!R$13</f>
        <v>E. De La Cruz</v>
      </c>
      <c r="EJ338" s="4" t="str">
        <f t="array" ref="EJ338">IFERROR(INDEX(球員狀態!C$2:C$5000, MATCH(1, (球員狀態!$A$2:$A$5000=$EI$331)*(ISNUMBER(SEARCH($EI338, 球員狀態!$B$2:$B$5000))), 0)), "")</f>
        <v/>
      </c>
      <c r="EM338" s="4" t="str">
        <f t="array" ref="EM338">IFERROR(INDEX(球員狀態!F$2:F$5000, MATCH(1, (球員狀態!$A$2:$A$5000=$EI$331)*(ISNUMBER(SEARCH($EI338, 球員狀態!$B$2:$B$5000))), 0)), "")</f>
        <v/>
      </c>
      <c r="EN338" s="4" t="str">
        <f t="array" ref="EN338">IFERROR(INDEX(球員狀態!G$2:G$5000, MATCH(1, (球員狀態!$A$2:$A$5000=$EI$1)*(ISNUMBER(SEARCH($EI338, 球員狀態!$B$2:$B$5000))), 0)), "")</f>
        <v/>
      </c>
      <c r="EO338" s="4" t="str">
        <f t="array" ref="EO338">IFERROR(INDEX(球員狀態!H$2:H$5000, MATCH(1, (球員狀態!$A$2:$A$5000=$EI$331)*(ISNUMBER(SEARCH($EI338, 球員狀態!$B$2:$B$5000))), 0)), "")</f>
        <v/>
      </c>
      <c r="EP338" s="4" t="str">
        <f t="array" ref="EP338">IFERROR(INDEX(球員狀態!I$2:I$5000, MATCH(1, (球員狀態!$A$2:$A$5000=$EI$331)*(ISNUMBER(SEARCH($EI338, 球員狀態!$B$2:$B$5000))), 0)), "")</f>
        <v/>
      </c>
      <c r="EQ338" s="4" t="str">
        <f t="array" ref="EQ338">IFERROR(INDEX(球員狀態!J$2:J$5000, MATCH(1, (球員狀態!$A$2:$A$5000=$EI$331)*(ISNUMBER(SEARCH($EI338, 球員狀態!$B$2:$B$5000))), 0)), "")</f>
        <v/>
      </c>
      <c r="ER338" s="4" t="str">
        <f t="array" ref="ER338">IFERROR(INDEX(球員狀態!K$2:K$5000, MATCH(1, (球員狀態!$A$2:$A$5000=$EI$331)*(ISNUMBER(SEARCH($EI338, 球員狀態!$B$2:$B$5000))), 0)), "")</f>
        <v/>
      </c>
      <c r="ES338" s="4" t="str">
        <f t="array" ref="ES338">IFERROR(INDEX(球員狀態!L$2:L$5000, MATCH(1, (球員狀態!$A$2:$A$5000=$EI$331)*(ISNUMBER(SEARCH($EI338, 球員狀態!$B$2:$B$5000))), 0)), "")</f>
        <v/>
      </c>
      <c r="ET338" s="4" t="str">
        <f t="array" ref="ET338">IFERROR(INDEX(球員狀態!M$2:M$5000, MATCH(1, (球員狀態!$A$2:$A$5000=$EI$331)*(ISNUMBER(SEARCH($EI338, 球員狀態!$B$2:$B$5000))), 0)), "")</f>
        <v/>
      </c>
      <c r="EU338" s="4" t="str">
        <f t="array" ref="EU338">IFERROR(INDEX(球員狀態!N$2:N$5000, MATCH(1, (球員狀態!$A$2:$A$5000=$EI$331)*(ISNUMBER(SEARCH($EI338, 球員狀態!$B$2:$B$5000))), 0)), "")</f>
        <v/>
      </c>
      <c r="EV338" s="4" t="str">
        <f t="array" ref="EV338">IFERROR(INDEX(球員狀態!O$2:O$5000, MATCH(1, (球員狀態!$A$2:$A$5000=$EI$1)*(ISNUMBER(SEARCH($EI338, 球員狀態!$B$2:$B$5000))), 0)), "")</f>
        <v/>
      </c>
      <c r="EW338" s="4" t="str">
        <f t="array" ref="EW338">IFERROR(INDEX(球員狀態!P$2:P$5000, MATCH(1, (球員狀態!$A$2:$A$5000=$EI$1)*(ISNUMBER(SEARCH($EI338, 球員狀態!$B$2:$B$5000))), 0)), "")</f>
        <v/>
      </c>
      <c r="EX338" s="4" t="str">
        <f t="array" ref="EX338">IFERROR(INDEX(球員狀態!Q$2:Q$5000, MATCH(1, (球員狀態!$A$2:$A$5000=$EI$331)*(ISNUMBER(SEARCH($EI338, 球員狀態!$B$2:$B$5000))), 0)), "")</f>
        <v/>
      </c>
      <c r="EY338" s="4" t="str">
        <f t="array" ref="EY338">IFERROR(INDEX(球員狀態!R$2:R$5000, MATCH(1, (球員狀態!$A$2:$A$5000=$EI$1)*(ISNUMBER(SEARCH($EI338, 球員狀態!$B$2:$B$5000))), 0)), "")</f>
        <v/>
      </c>
      <c r="EZ338" s="4" t="str">
        <f t="array" ref="EZ338">IFERROR(INDEX(球員狀態!S$2:S$5000, MATCH(1, (球員狀態!$A$2:$A$5000=$EI$1)*(ISNUMBER(SEARCH($EI338, 球員狀態!$B$2:$B$5000))), 0)), "")</f>
        <v/>
      </c>
      <c r="FA338" s="4" t="str">
        <f t="array" ref="FA338">IFERROR(INDEX(球員狀態!T$2:T$5000, MATCH(1, (球員狀態!$A$2:$A$5000=$EI$331)*(ISNUMBER(SEARCH($EI338, 球員狀態!$B$2:$B$5000))), 0)), "")</f>
        <v/>
      </c>
      <c r="FB338" s="4" t="str">
        <f t="array" ref="FB338">IFERROR(INDEX(球員狀態!U$2:U$5000, MATCH(1, (球員狀態!$A$2:$A$5000=$EI$1)*(ISNUMBER(SEARCH($EI338, 球員狀態!$B$2:$B$5000))), 0)), "")</f>
        <v/>
      </c>
      <c r="FC338" s="4" t="str">
        <f t="array" ref="FC338">IFERROR(INDEX(球員狀態!V$2:V$5000, MATCH(1, (球員狀態!$A$2:$A$5000=$EI$1)*(ISNUMBER(SEARCH($EI338, 球員狀態!$B$2:$B$5000))), 0)), "")</f>
        <v/>
      </c>
      <c r="FD338" s="4" t="str">
        <f t="array" ref="FD338">IFERROR(INDEX(球員狀態!W$2:W$5000, MATCH(1, (球員狀態!$A$2:$A$5000=$EI$331)*(ISNUMBER(SEARCH($EI338, 球員狀態!$B$2:$B$5000))), 0)), "")</f>
        <v/>
      </c>
      <c r="FE338" s="4" t="str">
        <f t="array" ref="FE338">IFERROR(INDEX(球員狀態!X$2:X$5000, MATCH(1, (球員狀態!$A$2:$A$5000=$EI$1)*(ISNUMBER(SEARCH($EI338, 球員狀態!$B$2:$B$5000))), 0)), "")</f>
        <v/>
      </c>
      <c r="FF338" s="4" t="str">
        <f t="array" ref="FF338">IFERROR(INDEX(球員狀態!Y$2:Y$5000, MATCH(1, (球員狀態!$A$2:$A$5000=$EI$1)*(ISNUMBER(SEARCH($EI338, 球員狀態!$B$2:$B$5000))), 0)), "")</f>
        <v/>
      </c>
      <c r="FG338" s="4" t="str">
        <f t="array" ref="FG338">IFERROR(INDEX(球員狀態!Z$2:Z$5000, MATCH(1, (球員狀態!$A$2:$A$5000=$EI$331)*(ISNUMBER(SEARCH($EI338, 球員狀態!$B$2:$B$5000))), 0)), "")</f>
        <v/>
      </c>
      <c r="FH338" s="4" t="str">
        <f t="array" ref="FH338">IFERROR(INDEX(球員狀態!AA$2:AA$5000, MATCH(1, (球員狀態!$A$2:$A$5000=$EI$331)*(ISNUMBER(SEARCH($EI338, 球員狀態!$B$2:$B$5000))), 0)), "")</f>
        <v/>
      </c>
      <c r="FI338" s="4" t="str">
        <f t="array" ref="FI338">IFERROR(INDEX(球員狀態!AB$2:AB$5000, MATCH(1, (球員狀態!$A$2:$A$5000=$EI$331)*(ISNUMBER(SEARCH($EI338, 球員狀態!$B$2:$B$5000))), 0)), "")</f>
        <v/>
      </c>
    </row>
    <row r="339" spans="110:165">
      <c r="DF339" s="33"/>
      <c r="DG339" s="4"/>
      <c r="DH339" s="40" t="e">
        <f>DJ339+DL339+DM339+DN339+DO339-DP339-DQ339+DR339</f>
        <v>#VALUE!</v>
      </c>
      <c r="DI339" s="42" t="e">
        <f>DU339+DX339+EA339+ED339+EE339+EF339</f>
        <v>#VALUE!</v>
      </c>
      <c r="DJ339" s="38" t="e">
        <f>VLOOKUP(DJ338*1, FK$2:FM$12, 3, TRUE)*FM$1</f>
        <v>#VALUE!</v>
      </c>
      <c r="DL339" s="38" t="e">
        <f>VLOOKUP(DL338*1, FN$2:FP$12, 3, TRUE)*FP$1</f>
        <v>#VALUE!</v>
      </c>
      <c r="DM339" s="38" t="e">
        <f>VLOOKUP(DM338*1, FQ$2:FS$12, 3, TRUE)*FS$1</f>
        <v>#VALUE!</v>
      </c>
      <c r="DN339" s="38" t="e">
        <f>VLOOKUP(DN338*1, FT$2:FV$12, 3, TRUE)*FV$1</f>
        <v>#VALUE!</v>
      </c>
      <c r="DO339" s="38" t="e">
        <f>VLOOKUP(DO338*1, FW$2:FY$12, 3, TRUE)*FY$1</f>
        <v>#VALUE!</v>
      </c>
      <c r="DP339" s="39" t="e">
        <f>VLOOKUP(DP338*1, FK$14:FM$25, 3, TRUE)*FM$14</f>
        <v>#VALUE!</v>
      </c>
      <c r="DQ339" s="39" t="e">
        <f>VLOOKUP(DQ338*1, FN$14:FP$25, 3, TRUE)*FP$14</f>
        <v>#VALUE!</v>
      </c>
      <c r="DR339" s="38" t="e">
        <f>VLOOKUP(DR338*1, FQ$14:FS$25, 3, TRUE)*FS$14</f>
        <v>#VALUE!</v>
      </c>
      <c r="DU339" s="41" t="e">
        <f>VLOOKUP(DU338*1, FK$27:FM$38, 3, TRUE)*FM$27</f>
        <v>#VALUE!</v>
      </c>
      <c r="DX339" s="41" t="e">
        <f>VLOOKUP(DX338*1, FN$27:FP$38, 3, TRUE)*FP$27</f>
        <v>#VALUE!</v>
      </c>
      <c r="EA339" s="41" t="e">
        <f>VLOOKUP(EA338*1, FQ$27:FS$38, 3, TRUE)*FS$27</f>
        <v>#VALUE!</v>
      </c>
      <c r="ED339" s="41" t="e">
        <f>VLOOKUP(ED338*1, FT$27:FV$38, 3, TRUE)*FV$27</f>
        <v>#VALUE!</v>
      </c>
      <c r="EE339" s="41" t="e">
        <f>VLOOKUP(EE338*1, FW$27:FY$38, 3, TRUE)*FY$27</f>
        <v>#VALUE!</v>
      </c>
      <c r="EF339" s="41" t="e">
        <f>VLOOKUP(EF338*1, FK$40:FM$51, 3, TRUE)*FM$40</f>
        <v>#VALUE!</v>
      </c>
      <c r="EG339" s="57"/>
      <c r="EI339" s="33"/>
      <c r="EJ339" s="4"/>
      <c r="EK339" s="40" t="e">
        <f>EM339+EO339+EP339+EQ339+ER339-ES339-ET339+EU339</f>
        <v>#VALUE!</v>
      </c>
      <c r="EL339" s="42" t="e">
        <f>EX339+FA339+FD339+FG339+FH339+FI339</f>
        <v>#VALUE!</v>
      </c>
      <c r="EM339" s="38" t="e">
        <f>VLOOKUP(EM338*1, $FK$2:$FM$12, 3, TRUE)*$FM$1</f>
        <v>#VALUE!</v>
      </c>
      <c r="EO339" s="38" t="e">
        <f>VLOOKUP(EO338*1, $FN$2:$FP$12, 3, TRUE)*$FP$1</f>
        <v>#VALUE!</v>
      </c>
      <c r="EP339" s="38" t="e">
        <f>VLOOKUP(EP338*1, $FQ$2:$FS$12, 3, TRUE)*$FS$1</f>
        <v>#VALUE!</v>
      </c>
      <c r="EQ339" s="38" t="e">
        <f>VLOOKUP(EQ338*1, $FT$2:$FV$12, 3, TRUE)*$FV$1</f>
        <v>#VALUE!</v>
      </c>
      <c r="ER339" s="38" t="e">
        <f>VLOOKUP(ER338*1, $FW$2:$FY$12, 3, TRUE)*$FY$1</f>
        <v>#VALUE!</v>
      </c>
      <c r="ES339" s="39" t="e">
        <f>VLOOKUP(ES338*1, $FK$14:$FM$25, 3, TRUE)*$FM$14</f>
        <v>#VALUE!</v>
      </c>
      <c r="ET339" s="39" t="e">
        <f>VLOOKUP(ET338*1, $FN$14:$FP$25, 3, TRUE)*$FP$14</f>
        <v>#VALUE!</v>
      </c>
      <c r="EU339" s="38" t="e">
        <f>VLOOKUP(EU338*1, $FQ$14:$FS$25, 3, TRUE)*$FS$14</f>
        <v>#VALUE!</v>
      </c>
      <c r="EX339" s="41" t="e">
        <f>VLOOKUP(EX338*1, $FK$27:$FM$38, 3, TRUE)*$FM$27</f>
        <v>#VALUE!</v>
      </c>
      <c r="FA339" s="41" t="e">
        <f>VLOOKUP(FA338*1, $FN$27:$FP$38, 3, TRUE)*$FP$27</f>
        <v>#VALUE!</v>
      </c>
      <c r="FD339" s="41" t="e">
        <f>VLOOKUP(FD338*1, $FQ$27:$FS$38, 3, TRUE)*$FS$27</f>
        <v>#VALUE!</v>
      </c>
      <c r="FG339" s="41" t="e">
        <f>VLOOKUP(FG338*1, $FT$27:$FV$38, 3, TRUE)*$FV$27</f>
        <v>#VALUE!</v>
      </c>
      <c r="FH339" s="41" t="e">
        <f>VLOOKUP(FH338*1, $FW$27:$FY$38, 3, TRUE)*$FY$27</f>
        <v>#VALUE!</v>
      </c>
      <c r="FI339" s="41" t="e">
        <f>VLOOKUP(FI338*1, $FK$40:$FM$51, 3, TRUE)*$FM$40</f>
        <v>#VALUE!</v>
      </c>
    </row>
    <row r="340" spans="110:165">
      <c r="DF340" s="35" t="str">
        <f>先發名單!I$13</f>
        <v>H. Goodman</v>
      </c>
      <c r="DG340" s="4" t="str">
        <f t="array" ref="DG340">IFERROR(INDEX(球員狀態!$C$2:$C$5000, MATCH(1, (球員狀態!$A$2:$A$5000=$DF$331)*(ISNUMBER(SEARCH($DF340, 球員狀態!$B$2:$B$5000))), 0)), "")</f>
        <v/>
      </c>
      <c r="DJ340" s="4" t="str">
        <f t="array" ref="DJ340">IFERROR(INDEX(球員狀態!$F$2:$F$5000,MATCH(1,(球員狀態!$A$2:$A$5000=$DF$331)*(ISNUMBER(SEARCH($DF340,球員狀態!$B$2:$B$5000))),0)),"")</f>
        <v/>
      </c>
      <c r="DK340" s="4" t="str">
        <f t="array" ref="DK340">IFERROR(INDEX(球員狀態!G$2:G$5000, MATCH(1, (球員狀態!$A$2:$A$5000=$DF$1)*(ISNUMBER(SEARCH($DF340, 球員狀態!$B$2:$B$5000))), 0)), "")</f>
        <v/>
      </c>
      <c r="DL340" s="4" t="str">
        <f t="array" ref="DL340">IFERROR(INDEX(球員狀態!H$2:H$5000, MATCH(1, (球員狀態!$A$2:$A$5000=$DF$331)*(ISNUMBER(SEARCH($DF340, 球員狀態!$B$2:$B$5000))), 0)), "")</f>
        <v/>
      </c>
      <c r="DM340" s="4" t="str">
        <f t="array" ref="DM340">IFERROR(INDEX(球員狀態!I$2:I$5000,MATCH(1,(球員狀態!$A$2:$A$5000=$DF$331)*(ISNUMBER(SEARCH($DF340,球員狀態!$B$2:$B$5000))),0)),"")</f>
        <v/>
      </c>
      <c r="DN340" s="4" t="str">
        <f t="array" ref="DN340">IFERROR(INDEX(球員狀態!J$2:J$5000,MATCH(1,(球員狀態!$A$2:$A$5000=$DF$331)*(ISNUMBER(SEARCH($DF340,球員狀態!$B$2:$B$5000))),0)),"")</f>
        <v/>
      </c>
      <c r="DO340" s="4" t="str">
        <f t="array" ref="DO340">IFERROR(INDEX(球員狀態!K$2:K$5000,MATCH(1,(球員狀態!$A$2:$A$5000=$DF$331)*(ISNUMBER(SEARCH($DF340,球員狀態!$B$2:$B$5000))),0)),"")</f>
        <v/>
      </c>
      <c r="DP340" s="4" t="str">
        <f t="array" ref="DP340">IFERROR(INDEX(球員狀態!L$2:L$5000,MATCH(1,(球員狀態!$A$2:$A$5000=$DF$331)*(ISNUMBER(SEARCH($DF340,球員狀態!$B$2:$B$5000))),0)),"")</f>
        <v/>
      </c>
      <c r="DQ340" s="4" t="str">
        <f t="array" ref="DQ340">IFERROR(INDEX(球員狀態!M$2:M$5000,MATCH(1,(球員狀態!$A$2:$A$5000=$DF$331)*(ISNUMBER(SEARCH($DF340,球員狀態!$B$2:$B$5000))),0)),"")</f>
        <v/>
      </c>
      <c r="DR340" s="4" t="str">
        <f t="array" ref="DR340">IFERROR(INDEX(球員狀態!N$2:N$5000,MATCH(1,(球員狀態!$A$2:$A$5000=$DF$331)*(ISNUMBER(SEARCH($DF340,球員狀態!$B$2:$B$5000))),0)),"")</f>
        <v/>
      </c>
      <c r="DS340" s="4" t="str">
        <f t="array" ref="DS340">IFERROR(INDEX(球員狀態!O$2:O$5000, MATCH(1, (球員狀態!$A$2:$A$5000=$DF$1)*(ISNUMBER(SEARCH($DF340, 球員狀態!$B$2:$B$5000))), 0)), "")</f>
        <v/>
      </c>
      <c r="DT340" s="4" t="str">
        <f t="array" ref="DT340">IFERROR(INDEX(球員狀態!P$2:P$5000, MATCH(1, (球員狀態!$A$2:$A$5000=$DF$1)*(ISNUMBER(SEARCH($DF340, 球員狀態!$B$2:$B$5000))), 0)), "")</f>
        <v/>
      </c>
      <c r="DU340" s="4" t="str">
        <f t="array" ref="DU340">IFERROR(INDEX(球員狀態!Q$2:Q$5000,MATCH(1,(球員狀態!$A$2:$A$5000=$DF$331)*(ISNUMBER(SEARCH($DF340,球員狀態!$B$2:$B$5000))),0)),"")</f>
        <v/>
      </c>
      <c r="DV340" s="4" t="str">
        <f t="array" ref="DV340">IFERROR(INDEX(球員狀態!R$2:R$5000, MATCH(1, (球員狀態!$A$2:$A$5000=$DF$1)*(ISNUMBER(SEARCH($DF340, 球員狀態!$B$2:$B$5000))), 0)), "")</f>
        <v/>
      </c>
      <c r="DW340" s="4" t="str">
        <f t="array" ref="DW340">IFERROR(INDEX(球員狀態!S$2:S$5000, MATCH(1, (球員狀態!$A$2:$A$5000=$DF$1)*(ISNUMBER(SEARCH($DF340, 球員狀態!$B$2:$B$5000))), 0)), "")</f>
        <v/>
      </c>
      <c r="DX340" s="4" t="str">
        <f t="array" ref="DX340">IFERROR(INDEX(球員狀態!T$2:T$5000,MATCH(1,(球員狀態!$A$2:$A$5000=$DF$331)*(ISNUMBER(SEARCH($DF340,球員狀態!$B$2:$B$5000))),0)),"")</f>
        <v/>
      </c>
      <c r="DY340" s="4" t="str">
        <f t="array" ref="DY340">IFERROR(INDEX(球員狀態!U$2:U$5000, MATCH(1, (球員狀態!$A$2:$A$5000=$DF$1)*(ISNUMBER(SEARCH($DF340, 球員狀態!$B$2:$B$5000))), 0)), "")</f>
        <v/>
      </c>
      <c r="DZ340" s="4" t="str">
        <f t="array" ref="DZ340">IFERROR(INDEX(球員狀態!V$2:V$5000, MATCH(1, (球員狀態!$A$2:$A$5000=$DF$1)*(ISNUMBER(SEARCH($DF340, 球員狀態!$B$2:$B$5000))), 0)), "")</f>
        <v/>
      </c>
      <c r="EA340" s="4" t="str">
        <f t="array" ref="EA340">IFERROR(INDEX(球員狀態!W$2:W$5000,MATCH(1,(球員狀態!$A$2:$A$5000=$DF$331)*(ISNUMBER(SEARCH($DF340,球員狀態!$B$2:$B$5000))),0)),"")</f>
        <v/>
      </c>
      <c r="EB340" s="4" t="str">
        <f t="array" ref="EB340">IFERROR(INDEX(球員狀態!X$2:X$5000, MATCH(1, (球員狀態!$A$2:$A$5000=$DF$1)*(ISNUMBER(SEARCH($DF340, 球員狀態!$B$2:$B$5000))), 0)), "")</f>
        <v/>
      </c>
      <c r="EC340" s="4" t="str">
        <f t="array" ref="EC340">IFERROR(INDEX(球員狀態!Y$2:Y$5000, MATCH(1, (球員狀態!$A$2:$A$5000=$DF$1)*(ISNUMBER(SEARCH($DF340, 球員狀態!$B$2:$B$5000))), 0)), "")</f>
        <v/>
      </c>
      <c r="ED340" s="4" t="str">
        <f t="array" ref="ED340">IFERROR(INDEX(球員狀態!Z$2:Z$5000,MATCH(1,(球員狀態!$A$2:$A$5000=$DF$331)*(ISNUMBER(SEARCH($DF340,球員狀態!$B$2:$B$5000))),0)),"")</f>
        <v/>
      </c>
      <c r="EE340" s="4" t="str">
        <f t="array" ref="EE340">IFERROR(INDEX(球員狀態!AA$2:AA$5000,MATCH(1,(球員狀態!$A$2:$A$5000=$DF$331)*(ISNUMBER(SEARCH($DF340,球員狀態!$B$2:$B$5000))),0)),"")</f>
        <v/>
      </c>
      <c r="EF340" s="4" t="str">
        <f t="array" ref="EF340">IFERROR(INDEX(球員狀態!AB$2:AB$5000,MATCH(1,(球員狀態!$A$2:$A$5000=$DF$331)*(ISNUMBER(SEARCH($DF340,球員狀態!$B$2:$B$5000))),0)),"")</f>
        <v/>
      </c>
      <c r="EG340" s="56"/>
      <c r="EI340" s="35" t="str">
        <f>先發名單!S$13</f>
        <v>Sal Stewart</v>
      </c>
      <c r="EJ340" s="4" t="str">
        <f t="array" ref="EJ340">IFERROR(INDEX(球員狀態!C$2:C$5000, MATCH(1, (球員狀態!$A$2:$A$5000=$EI$331)*(ISNUMBER(SEARCH($EI340, 球員狀態!$B$2:$B$5000))), 0)), "")</f>
        <v/>
      </c>
      <c r="EM340" s="4" t="str">
        <f t="array" ref="EM340">IFERROR(INDEX(球員狀態!F$2:F$5000, MATCH(1, (球員狀態!$A$2:$A$5000=$EI$331)*(ISNUMBER(SEARCH($EI340, 球員狀態!$B$2:$B$5000))), 0)), "")</f>
        <v/>
      </c>
      <c r="EN340" s="4" t="str">
        <f t="array" ref="EN340">IFERROR(INDEX(球員狀態!G$2:G$5000, MATCH(1, (球員狀態!$A$2:$A$5000=$EI$1)*(ISNUMBER(SEARCH($EI340, 球員狀態!$B$2:$B$5000))), 0)), "")</f>
        <v/>
      </c>
      <c r="EO340" s="4" t="str">
        <f t="array" ref="EO340">IFERROR(INDEX(球員狀態!H$2:H$5000, MATCH(1, (球員狀態!$A$2:$A$5000=$EI$331)*(ISNUMBER(SEARCH($EI340, 球員狀態!$B$2:$B$5000))), 0)), "")</f>
        <v/>
      </c>
      <c r="EP340" s="4" t="str">
        <f t="array" ref="EP340">IFERROR(INDEX(球員狀態!I$2:I$5000, MATCH(1, (球員狀態!$A$2:$A$5000=$EI$331)*(ISNUMBER(SEARCH($EI340, 球員狀態!$B$2:$B$5000))), 0)), "")</f>
        <v/>
      </c>
      <c r="EQ340" s="4" t="str">
        <f t="array" ref="EQ340">IFERROR(INDEX(球員狀態!J$2:J$5000, MATCH(1, (球員狀態!$A$2:$A$5000=$EI$331)*(ISNUMBER(SEARCH($EI340, 球員狀態!$B$2:$B$5000))), 0)), "")</f>
        <v/>
      </c>
      <c r="ER340" s="4" t="str">
        <f t="array" ref="ER340">IFERROR(INDEX(球員狀態!K$2:K$5000, MATCH(1, (球員狀態!$A$2:$A$5000=$EI$331)*(ISNUMBER(SEARCH($EI340, 球員狀態!$B$2:$B$5000))), 0)), "")</f>
        <v/>
      </c>
      <c r="ES340" s="4" t="str">
        <f t="array" ref="ES340">IFERROR(INDEX(球員狀態!L$2:L$5000, MATCH(1, (球員狀態!$A$2:$A$5000=$EI$331)*(ISNUMBER(SEARCH($EI340, 球員狀態!$B$2:$B$5000))), 0)), "")</f>
        <v/>
      </c>
      <c r="ET340" s="4" t="str">
        <f t="array" ref="ET340">IFERROR(INDEX(球員狀態!M$2:M$5000, MATCH(1, (球員狀態!$A$2:$A$5000=$EI$331)*(ISNUMBER(SEARCH($EI340, 球員狀態!$B$2:$B$5000))), 0)), "")</f>
        <v/>
      </c>
      <c r="EU340" s="4" t="str">
        <f t="array" ref="EU340">IFERROR(INDEX(球員狀態!N$2:N$5000, MATCH(1, (球員狀態!$A$2:$A$5000=$EI$331)*(ISNUMBER(SEARCH($EI340, 球員狀態!$B$2:$B$5000))), 0)), "")</f>
        <v/>
      </c>
      <c r="EV340" s="4" t="str">
        <f t="array" ref="EV340">IFERROR(INDEX(球員狀態!O$2:O$5000, MATCH(1, (球員狀態!$A$2:$A$5000=$EI$1)*(ISNUMBER(SEARCH($EI340, 球員狀態!$B$2:$B$5000))), 0)), "")</f>
        <v/>
      </c>
      <c r="EW340" s="4" t="str">
        <f t="array" ref="EW340">IFERROR(INDEX(球員狀態!P$2:P$5000, MATCH(1, (球員狀態!$A$2:$A$5000=$EI$1)*(ISNUMBER(SEARCH($EI340, 球員狀態!$B$2:$B$5000))), 0)), "")</f>
        <v/>
      </c>
      <c r="EX340" s="4" t="str">
        <f t="array" ref="EX340">IFERROR(INDEX(球員狀態!Q$2:Q$5000, MATCH(1, (球員狀態!$A$2:$A$5000=$EI$331)*(ISNUMBER(SEARCH($EI340, 球員狀態!$B$2:$B$5000))), 0)), "")</f>
        <v/>
      </c>
      <c r="EY340" s="4" t="str">
        <f t="array" ref="EY340">IFERROR(INDEX(球員狀態!R$2:R$5000, MATCH(1, (球員狀態!$A$2:$A$5000=$EI$1)*(ISNUMBER(SEARCH($EI340, 球員狀態!$B$2:$B$5000))), 0)), "")</f>
        <v/>
      </c>
      <c r="EZ340" s="4" t="str">
        <f t="array" ref="EZ340">IFERROR(INDEX(球員狀態!S$2:S$5000, MATCH(1, (球員狀態!$A$2:$A$5000=$EI$1)*(ISNUMBER(SEARCH($EI340, 球員狀態!$B$2:$B$5000))), 0)), "")</f>
        <v/>
      </c>
      <c r="FA340" s="4" t="str">
        <f t="array" ref="FA340">IFERROR(INDEX(球員狀態!T$2:T$5000, MATCH(1, (球員狀態!$A$2:$A$5000=$EI$331)*(ISNUMBER(SEARCH($EI340, 球員狀態!$B$2:$B$5000))), 0)), "")</f>
        <v/>
      </c>
      <c r="FB340" s="4" t="str">
        <f t="array" ref="FB340">IFERROR(INDEX(球員狀態!U$2:U$5000, MATCH(1, (球員狀態!$A$2:$A$5000=$EI$1)*(ISNUMBER(SEARCH($EI340, 球員狀態!$B$2:$B$5000))), 0)), "")</f>
        <v/>
      </c>
      <c r="FC340" s="4" t="str">
        <f t="array" ref="FC340">IFERROR(INDEX(球員狀態!V$2:V$5000, MATCH(1, (球員狀態!$A$2:$A$5000=$EI$1)*(ISNUMBER(SEARCH($EI340, 球員狀態!$B$2:$B$5000))), 0)), "")</f>
        <v/>
      </c>
      <c r="FD340" s="4" t="str">
        <f t="array" ref="FD340">IFERROR(INDEX(球員狀態!W$2:W$5000, MATCH(1, (球員狀態!$A$2:$A$5000=$EI$331)*(ISNUMBER(SEARCH($EI340, 球員狀態!$B$2:$B$5000))), 0)), "")</f>
        <v/>
      </c>
      <c r="FE340" s="4" t="str">
        <f t="array" ref="FE340">IFERROR(INDEX(球員狀態!X$2:X$5000, MATCH(1, (球員狀態!$A$2:$A$5000=$EI$1)*(ISNUMBER(SEARCH($EI340, 球員狀態!$B$2:$B$5000))), 0)), "")</f>
        <v/>
      </c>
      <c r="FF340" s="4" t="str">
        <f t="array" ref="FF340">IFERROR(INDEX(球員狀態!Y$2:Y$5000, MATCH(1, (球員狀態!$A$2:$A$5000=$EI$1)*(ISNUMBER(SEARCH($EI340, 球員狀態!$B$2:$B$5000))), 0)), "")</f>
        <v/>
      </c>
      <c r="FG340" s="4" t="str">
        <f t="array" ref="FG340">IFERROR(INDEX(球員狀態!Z$2:Z$5000, MATCH(1, (球員狀態!$A$2:$A$5000=$EI$331)*(ISNUMBER(SEARCH($EI340, 球員狀態!$B$2:$B$5000))), 0)), "")</f>
        <v/>
      </c>
      <c r="FH340" s="4" t="str">
        <f t="array" ref="FH340">IFERROR(INDEX(球員狀態!AA$2:AA$5000, MATCH(1, (球員狀態!$A$2:$A$5000=$EI$331)*(ISNUMBER(SEARCH($EI340, 球員狀態!$B$2:$B$5000))), 0)), "")</f>
        <v/>
      </c>
      <c r="FI340" s="4" t="str">
        <f t="array" ref="FI340">IFERROR(INDEX(球員狀態!AB$2:AB$5000, MATCH(1, (球員狀態!$A$2:$A$5000=$EI$331)*(ISNUMBER(SEARCH($EI340, 球員狀態!$B$2:$B$5000))), 0)), "")</f>
        <v/>
      </c>
    </row>
    <row r="341" spans="110:165">
      <c r="DF341" s="33"/>
      <c r="DH341" s="40" t="e">
        <f>DJ341+DL341+DM341+DN341+DO341-DP341-DQ341+DR341</f>
        <v>#VALUE!</v>
      </c>
      <c r="DI341" s="42" t="e">
        <f>DU341+DX341+EA341+ED341+EE341+EF341</f>
        <v>#VALUE!</v>
      </c>
      <c r="DJ341" s="38" t="e">
        <f>VLOOKUP(DJ340*1, FK$2:FM$12, 3, TRUE)*FM$1</f>
        <v>#VALUE!</v>
      </c>
      <c r="DL341" s="38" t="e">
        <f>VLOOKUP(DL340*1, FN$2:FP$12, 3, TRUE)*FP$1</f>
        <v>#VALUE!</v>
      </c>
      <c r="DM341" s="38" t="e">
        <f>VLOOKUP(DM340*1, FQ$2:FS$12, 3, TRUE)*FS$1</f>
        <v>#VALUE!</v>
      </c>
      <c r="DN341" s="38" t="e">
        <f>VLOOKUP(DN340*1, FT$2:FV$12, 3, TRUE)*FV$1</f>
        <v>#VALUE!</v>
      </c>
      <c r="DO341" s="38" t="e">
        <f>VLOOKUP(DO340*1, FW$2:FY$12, 3, TRUE)*FY$1</f>
        <v>#VALUE!</v>
      </c>
      <c r="DP341" s="39" t="e">
        <f>VLOOKUP(DP340*1, FK$14:FM$25, 3, TRUE)*FM$14</f>
        <v>#VALUE!</v>
      </c>
      <c r="DQ341" s="39" t="e">
        <f>VLOOKUP(DQ340*1, FN$14:FP$25, 3, TRUE)*FP$14</f>
        <v>#VALUE!</v>
      </c>
      <c r="DR341" s="38" t="e">
        <f>VLOOKUP(DR340*1, FQ$14:FS$25, 3, TRUE)*FS$14</f>
        <v>#VALUE!</v>
      </c>
      <c r="DU341" s="41" t="e">
        <f>VLOOKUP(DU340*1, FK$27:FM$38, 3, TRUE)*FM$27</f>
        <v>#VALUE!</v>
      </c>
      <c r="DX341" s="41" t="e">
        <f>VLOOKUP(DX340*1, FN$27:FP$38, 3, TRUE)*FP$27</f>
        <v>#VALUE!</v>
      </c>
      <c r="EA341" s="41" t="e">
        <f>VLOOKUP(EA340*1, FQ$27:FS$38, 3, TRUE)*FS$27</f>
        <v>#VALUE!</v>
      </c>
      <c r="ED341" s="41" t="e">
        <f>VLOOKUP(ED340*1, FT$27:FV$38, 3, TRUE)*FV$27</f>
        <v>#VALUE!</v>
      </c>
      <c r="EE341" s="41" t="e">
        <f>VLOOKUP(EE340*1, FW$27:FY$38, 3, TRUE)*FY$27</f>
        <v>#VALUE!</v>
      </c>
      <c r="EF341" s="41" t="e">
        <f>VLOOKUP(EF340*1, FK$40:FM$51, 3, TRUE)*FM$40</f>
        <v>#VALUE!</v>
      </c>
      <c r="EG341" s="57"/>
      <c r="EI341" s="33"/>
      <c r="EK341" s="40" t="e">
        <f>EM341+EO341+EP341+EQ341+ER341-ES341-ET341+EU341</f>
        <v>#VALUE!</v>
      </c>
      <c r="EL341" s="42" t="e">
        <f>EX341+FA341+FD341+FG341+FH341+FI341</f>
        <v>#VALUE!</v>
      </c>
      <c r="EM341" s="38" t="e">
        <f>VLOOKUP(EM340*1, $FK$2:$FM$12, 3, TRUE)*$FM$1</f>
        <v>#VALUE!</v>
      </c>
      <c r="EO341" s="38" t="e">
        <f>VLOOKUP(EO340*1, $FN$2:$FP$12, 3, TRUE)*$FP$1</f>
        <v>#VALUE!</v>
      </c>
      <c r="EP341" s="38" t="e">
        <f>VLOOKUP(EP340*1, $FQ$2:$FS$12, 3, TRUE)*$FS$1</f>
        <v>#VALUE!</v>
      </c>
      <c r="EQ341" s="38" t="e">
        <f>VLOOKUP(EQ340*1, $FT$2:$FV$12, 3, TRUE)*$FV$1</f>
        <v>#VALUE!</v>
      </c>
      <c r="ER341" s="38" t="e">
        <f>VLOOKUP(ER340*1, $FW$2:$FY$12, 3, TRUE)*$FY$1</f>
        <v>#VALUE!</v>
      </c>
      <c r="ES341" s="39" t="e">
        <f>VLOOKUP(ES340*1, $FK$14:$FM$25, 3, TRUE)*$FM$14</f>
        <v>#VALUE!</v>
      </c>
      <c r="ET341" s="39" t="e">
        <f>VLOOKUP(ET340*1, $FN$14:$FP$25, 3, TRUE)*$FP$14</f>
        <v>#VALUE!</v>
      </c>
      <c r="EU341" s="38" t="e">
        <f>VLOOKUP(EU340*1, $FQ$14:$FS$25, 3, TRUE)*$FS$14</f>
        <v>#VALUE!</v>
      </c>
      <c r="EX341" s="41" t="e">
        <f>VLOOKUP(EX340*1, $FK$27:$FM$38, 3, TRUE)*$FM$27</f>
        <v>#VALUE!</v>
      </c>
      <c r="FA341" s="41" t="e">
        <f>VLOOKUP(FA340*1, $FN$27:$FP$38, 3, TRUE)*$FP$27</f>
        <v>#VALUE!</v>
      </c>
      <c r="FD341" s="41" t="e">
        <f>VLOOKUP(FD340*1, $FQ$27:$FS$38, 3, TRUE)*$FS$27</f>
        <v>#VALUE!</v>
      </c>
      <c r="FG341" s="41" t="e">
        <f>VLOOKUP(FG340*1, $FT$27:$FV$38, 3, TRUE)*$FV$27</f>
        <v>#VALUE!</v>
      </c>
      <c r="FH341" s="41" t="e">
        <f>VLOOKUP(FH340*1, $FW$27:$FY$38, 3, TRUE)*$FY$27</f>
        <v>#VALUE!</v>
      </c>
      <c r="FI341" s="41" t="e">
        <f>VLOOKUP(FI340*1, $FK$40:$FM$51, 3, TRUE)*$FM$40</f>
        <v>#VALUE!</v>
      </c>
    </row>
    <row r="342" spans="110:165">
      <c r="DF342" s="37" t="str">
        <f>先發名單!J$13</f>
        <v>TJ Rumfield</v>
      </c>
      <c r="DG342" s="4" t="str">
        <f t="array" ref="DG342">IFERROR(INDEX(球員狀態!$C$2:$C$5000, MATCH(1, (球員狀態!$A$2:$A$5000=$DF$331)*(ISNUMBER(SEARCH($DF342, 球員狀態!$B$2:$B$5000))), 0)), "")</f>
        <v/>
      </c>
      <c r="DJ342" s="4" t="str">
        <f t="array" ref="DJ342">IFERROR(INDEX(球員狀態!$F$2:$F$5000,MATCH(1,(球員狀態!$A$2:$A$5000=$DF$331)*(ISNUMBER(SEARCH($DF342,球員狀態!$B$2:$B$5000))),0)),"")</f>
        <v/>
      </c>
      <c r="DK342" s="4" t="str">
        <f t="array" ref="DK342">IFERROR(INDEX(球員狀態!G$2:G$5000, MATCH(1, (球員狀態!$A$2:$A$5000=$DF$1)*(ISNUMBER(SEARCH($DF342, 球員狀態!$B$2:$B$5000))), 0)), "")</f>
        <v/>
      </c>
      <c r="DL342" s="4" t="str">
        <f t="array" ref="DL342">IFERROR(INDEX(球員狀態!H$2:H$5000, MATCH(1, (球員狀態!$A$2:$A$5000=$DF$331)*(ISNUMBER(SEARCH($DF342, 球員狀態!$B$2:$B$5000))), 0)), "")</f>
        <v/>
      </c>
      <c r="DM342" s="4" t="str">
        <f t="array" ref="DM342">IFERROR(INDEX(球員狀態!I$2:I$5000,MATCH(1,(球員狀態!$A$2:$A$5000=$DF$331)*(ISNUMBER(SEARCH($DF342,球員狀態!$B$2:$B$5000))),0)),"")</f>
        <v/>
      </c>
      <c r="DN342" s="4" t="str">
        <f t="array" ref="DN342">IFERROR(INDEX(球員狀態!J$2:J$5000,MATCH(1,(球員狀態!$A$2:$A$5000=$DF$331)*(ISNUMBER(SEARCH($DF342,球員狀態!$B$2:$B$5000))),0)),"")</f>
        <v/>
      </c>
      <c r="DO342" s="4" t="str">
        <f t="array" ref="DO342">IFERROR(INDEX(球員狀態!K$2:K$5000,MATCH(1,(球員狀態!$A$2:$A$5000=$DF$331)*(ISNUMBER(SEARCH($DF342,球員狀態!$B$2:$B$5000))),0)),"")</f>
        <v/>
      </c>
      <c r="DP342" s="4" t="str">
        <f t="array" ref="DP342">IFERROR(INDEX(球員狀態!L$2:L$5000,MATCH(1,(球員狀態!$A$2:$A$5000=$DF$331)*(ISNUMBER(SEARCH($DF342,球員狀態!$B$2:$B$5000))),0)),"")</f>
        <v/>
      </c>
      <c r="DQ342" s="4" t="str">
        <f t="array" ref="DQ342">IFERROR(INDEX(球員狀態!M$2:M$5000,MATCH(1,(球員狀態!$A$2:$A$5000=$DF$331)*(ISNUMBER(SEARCH($DF342,球員狀態!$B$2:$B$5000))),0)),"")</f>
        <v/>
      </c>
      <c r="DR342" s="4" t="str">
        <f t="array" ref="DR342">IFERROR(INDEX(球員狀態!N$2:N$5000,MATCH(1,(球員狀態!$A$2:$A$5000=$DF$331)*(ISNUMBER(SEARCH($DF342,球員狀態!$B$2:$B$5000))),0)),"")</f>
        <v/>
      </c>
      <c r="DS342" s="4" t="str">
        <f t="array" ref="DS342">IFERROR(INDEX(球員狀態!O$2:O$5000, MATCH(1, (球員狀態!$A$2:$A$5000=$DF$1)*(ISNUMBER(SEARCH($DF342, 球員狀態!$B$2:$B$5000))), 0)), "")</f>
        <v/>
      </c>
      <c r="DT342" s="4" t="str">
        <f t="array" ref="DT342">IFERROR(INDEX(球員狀態!P$2:P$5000, MATCH(1, (球員狀態!$A$2:$A$5000=$DF$1)*(ISNUMBER(SEARCH($DF342, 球員狀態!$B$2:$B$5000))), 0)), "")</f>
        <v/>
      </c>
      <c r="DU342" s="4" t="str">
        <f t="array" ref="DU342">IFERROR(INDEX(球員狀態!Q$2:Q$5000,MATCH(1,(球員狀態!$A$2:$A$5000=$DF$331)*(ISNUMBER(SEARCH($DF342,球員狀態!$B$2:$B$5000))),0)),"")</f>
        <v/>
      </c>
      <c r="DV342" s="4" t="str">
        <f t="array" ref="DV342">IFERROR(INDEX(球員狀態!R$2:R$5000, MATCH(1, (球員狀態!$A$2:$A$5000=$DF$1)*(ISNUMBER(SEARCH($DF342, 球員狀態!$B$2:$B$5000))), 0)), "")</f>
        <v/>
      </c>
      <c r="DW342" s="4" t="str">
        <f t="array" ref="DW342">IFERROR(INDEX(球員狀態!S$2:S$5000, MATCH(1, (球員狀態!$A$2:$A$5000=$DF$1)*(ISNUMBER(SEARCH($DF342, 球員狀態!$B$2:$B$5000))), 0)), "")</f>
        <v/>
      </c>
      <c r="DX342" s="4" t="str">
        <f t="array" ref="DX342">IFERROR(INDEX(球員狀態!T$2:T$5000,MATCH(1,(球員狀態!$A$2:$A$5000=$DF$331)*(ISNUMBER(SEARCH($DF342,球員狀態!$B$2:$B$5000))),0)),"")</f>
        <v/>
      </c>
      <c r="DY342" s="4" t="str">
        <f t="array" ref="DY342">IFERROR(INDEX(球員狀態!U$2:U$5000, MATCH(1, (球員狀態!$A$2:$A$5000=$DF$1)*(ISNUMBER(SEARCH($DF342, 球員狀態!$B$2:$B$5000))), 0)), "")</f>
        <v/>
      </c>
      <c r="DZ342" s="4" t="str">
        <f t="array" ref="DZ342">IFERROR(INDEX(球員狀態!V$2:V$5000, MATCH(1, (球員狀態!$A$2:$A$5000=$DF$1)*(ISNUMBER(SEARCH($DF342, 球員狀態!$B$2:$B$5000))), 0)), "")</f>
        <v/>
      </c>
      <c r="EA342" s="4" t="str">
        <f t="array" ref="EA342">IFERROR(INDEX(球員狀態!W$2:W$5000,MATCH(1,(球員狀態!$A$2:$A$5000=$DF$331)*(ISNUMBER(SEARCH($DF342,球員狀態!$B$2:$B$5000))),0)),"")</f>
        <v/>
      </c>
      <c r="EB342" s="4" t="str">
        <f t="array" ref="EB342">IFERROR(INDEX(球員狀態!X$2:X$5000, MATCH(1, (球員狀態!$A$2:$A$5000=$DF$1)*(ISNUMBER(SEARCH($DF342, 球員狀態!$B$2:$B$5000))), 0)), "")</f>
        <v/>
      </c>
      <c r="EC342" s="4" t="str">
        <f t="array" ref="EC342">IFERROR(INDEX(球員狀態!Y$2:Y$5000, MATCH(1, (球員狀態!$A$2:$A$5000=$DF$1)*(ISNUMBER(SEARCH($DF342, 球員狀態!$B$2:$B$5000))), 0)), "")</f>
        <v/>
      </c>
      <c r="ED342" s="4" t="str">
        <f t="array" ref="ED342">IFERROR(INDEX(球員狀態!Z$2:Z$5000,MATCH(1,(球員狀態!$A$2:$A$5000=$DF$331)*(ISNUMBER(SEARCH($DF342,球員狀態!$B$2:$B$5000))),0)),"")</f>
        <v/>
      </c>
      <c r="EE342" s="4" t="str">
        <f t="array" ref="EE342">IFERROR(INDEX(球員狀態!AA$2:AA$5000,MATCH(1,(球員狀態!$A$2:$A$5000=$DF$331)*(ISNUMBER(SEARCH($DF342,球員狀態!$B$2:$B$5000))),0)),"")</f>
        <v/>
      </c>
      <c r="EF342" s="4" t="str">
        <f t="array" ref="EF342">IFERROR(INDEX(球員狀態!AB$2:AB$5000,MATCH(1,(球員狀態!$A$2:$A$5000=$DF$331)*(ISNUMBER(SEARCH($DF342,球員狀態!$B$2:$B$5000))),0)),"")</f>
        <v/>
      </c>
      <c r="EG342" s="56"/>
      <c r="EI342" s="37" t="str">
        <f>先發名單!T$13</f>
        <v>N. Lowe</v>
      </c>
      <c r="EJ342" s="4" t="str">
        <f t="array" ref="EJ342">IFERROR(INDEX(球員狀態!C$2:C$5000, MATCH(1, (球員狀態!$A$2:$A$5000=$EI$331)*(ISNUMBER(SEARCH($EI342, 球員狀態!$B$2:$B$5000))), 0)), "")</f>
        <v/>
      </c>
      <c r="EM342" s="4" t="str">
        <f t="array" ref="EM342">IFERROR(INDEX(球員狀態!F$2:F$5000, MATCH(1, (球員狀態!$A$2:$A$5000=$EI$331)*(ISNUMBER(SEARCH($EI342, 球員狀態!$B$2:$B$5000))), 0)), "")</f>
        <v/>
      </c>
      <c r="EN342" s="4" t="str">
        <f t="array" ref="EN342">IFERROR(INDEX(球員狀態!G$2:G$5000, MATCH(1, (球員狀態!$A$2:$A$5000=$EI$1)*(ISNUMBER(SEARCH($EI342, 球員狀態!$B$2:$B$5000))), 0)), "")</f>
        <v/>
      </c>
      <c r="EO342" s="4" t="str">
        <f t="array" ref="EO342">IFERROR(INDEX(球員狀態!H$2:H$5000, MATCH(1, (球員狀態!$A$2:$A$5000=$EI$331)*(ISNUMBER(SEARCH($EI342, 球員狀態!$B$2:$B$5000))), 0)), "")</f>
        <v/>
      </c>
      <c r="EP342" s="4" t="str">
        <f t="array" ref="EP342">IFERROR(INDEX(球員狀態!I$2:I$5000, MATCH(1, (球員狀態!$A$2:$A$5000=$EI$331)*(ISNUMBER(SEARCH($EI342, 球員狀態!$B$2:$B$5000))), 0)), "")</f>
        <v/>
      </c>
      <c r="EQ342" s="4" t="str">
        <f t="array" ref="EQ342">IFERROR(INDEX(球員狀態!J$2:J$5000, MATCH(1, (球員狀態!$A$2:$A$5000=$EI$331)*(ISNUMBER(SEARCH($EI342, 球員狀態!$B$2:$B$5000))), 0)), "")</f>
        <v/>
      </c>
      <c r="ER342" s="4" t="str">
        <f t="array" ref="ER342">IFERROR(INDEX(球員狀態!K$2:K$5000, MATCH(1, (球員狀態!$A$2:$A$5000=$EI$331)*(ISNUMBER(SEARCH($EI342, 球員狀態!$B$2:$B$5000))), 0)), "")</f>
        <v/>
      </c>
      <c r="ES342" s="4" t="str">
        <f t="array" ref="ES342">IFERROR(INDEX(球員狀態!L$2:L$5000, MATCH(1, (球員狀態!$A$2:$A$5000=$EI$331)*(ISNUMBER(SEARCH($EI342, 球員狀態!$B$2:$B$5000))), 0)), "")</f>
        <v/>
      </c>
      <c r="ET342" s="4" t="str">
        <f t="array" ref="ET342">IFERROR(INDEX(球員狀態!M$2:M$5000, MATCH(1, (球員狀態!$A$2:$A$5000=$EI$331)*(ISNUMBER(SEARCH($EI342, 球員狀態!$B$2:$B$5000))), 0)), "")</f>
        <v/>
      </c>
      <c r="EU342" s="4" t="str">
        <f t="array" ref="EU342">IFERROR(INDEX(球員狀態!N$2:N$5000, MATCH(1, (球員狀態!$A$2:$A$5000=$EI$331)*(ISNUMBER(SEARCH($EI342, 球員狀態!$B$2:$B$5000))), 0)), "")</f>
        <v/>
      </c>
      <c r="EV342" s="4" t="str">
        <f t="array" ref="EV342">IFERROR(INDEX(球員狀態!O$2:O$5000, MATCH(1, (球員狀態!$A$2:$A$5000=$EI$1)*(ISNUMBER(SEARCH($EI342, 球員狀態!$B$2:$B$5000))), 0)), "")</f>
        <v/>
      </c>
      <c r="EW342" s="4" t="str">
        <f t="array" ref="EW342">IFERROR(INDEX(球員狀態!P$2:P$5000, MATCH(1, (球員狀態!$A$2:$A$5000=$EI$1)*(ISNUMBER(SEARCH($EI342, 球員狀態!$B$2:$B$5000))), 0)), "")</f>
        <v/>
      </c>
      <c r="EX342" s="4" t="str">
        <f t="array" ref="EX342">IFERROR(INDEX(球員狀態!Q$2:Q$5000, MATCH(1, (球員狀態!$A$2:$A$5000=$EI$331)*(ISNUMBER(SEARCH($EI342, 球員狀態!$B$2:$B$5000))), 0)), "")</f>
        <v/>
      </c>
      <c r="EY342" s="4" t="str">
        <f t="array" ref="EY342">IFERROR(INDEX(球員狀態!R$2:R$5000, MATCH(1, (球員狀態!$A$2:$A$5000=$EI$1)*(ISNUMBER(SEARCH($EI342, 球員狀態!$B$2:$B$5000))), 0)), "")</f>
        <v/>
      </c>
      <c r="EZ342" s="4" t="str">
        <f t="array" ref="EZ342">IFERROR(INDEX(球員狀態!S$2:S$5000, MATCH(1, (球員狀態!$A$2:$A$5000=$EI$1)*(ISNUMBER(SEARCH($EI342, 球員狀態!$B$2:$B$5000))), 0)), "")</f>
        <v/>
      </c>
      <c r="FA342" s="4" t="str">
        <f t="array" ref="FA342">IFERROR(INDEX(球員狀態!T$2:T$5000, MATCH(1, (球員狀態!$A$2:$A$5000=$EI$331)*(ISNUMBER(SEARCH($EI342, 球員狀態!$B$2:$B$5000))), 0)), "")</f>
        <v/>
      </c>
      <c r="FB342" s="4" t="str">
        <f t="array" ref="FB342">IFERROR(INDEX(球員狀態!U$2:U$5000, MATCH(1, (球員狀態!$A$2:$A$5000=$EI$1)*(ISNUMBER(SEARCH($EI342, 球員狀態!$B$2:$B$5000))), 0)), "")</f>
        <v/>
      </c>
      <c r="FC342" s="4" t="str">
        <f t="array" ref="FC342">IFERROR(INDEX(球員狀態!V$2:V$5000, MATCH(1, (球員狀態!$A$2:$A$5000=$EI$1)*(ISNUMBER(SEARCH($EI342, 球員狀態!$B$2:$B$5000))), 0)), "")</f>
        <v/>
      </c>
      <c r="FD342" s="4" t="str">
        <f t="array" ref="FD342">IFERROR(INDEX(球員狀態!W$2:W$5000, MATCH(1, (球員狀態!$A$2:$A$5000=$EI$331)*(ISNUMBER(SEARCH($EI342, 球員狀態!$B$2:$B$5000))), 0)), "")</f>
        <v/>
      </c>
      <c r="FE342" s="4" t="str">
        <f t="array" ref="FE342">IFERROR(INDEX(球員狀態!X$2:X$5000, MATCH(1, (球員狀態!$A$2:$A$5000=$EI$1)*(ISNUMBER(SEARCH($EI342, 球員狀態!$B$2:$B$5000))), 0)), "")</f>
        <v/>
      </c>
      <c r="FF342" s="4" t="str">
        <f t="array" ref="FF342">IFERROR(INDEX(球員狀態!Y$2:Y$5000, MATCH(1, (球員狀態!$A$2:$A$5000=$EI$1)*(ISNUMBER(SEARCH($EI342, 球員狀態!$B$2:$B$5000))), 0)), "")</f>
        <v/>
      </c>
      <c r="FG342" s="4" t="str">
        <f t="array" ref="FG342">IFERROR(INDEX(球員狀態!Z$2:Z$5000, MATCH(1, (球員狀態!$A$2:$A$5000=$EI$331)*(ISNUMBER(SEARCH($EI342, 球員狀態!$B$2:$B$5000))), 0)), "")</f>
        <v/>
      </c>
      <c r="FH342" s="4" t="str">
        <f t="array" ref="FH342">IFERROR(INDEX(球員狀態!AA$2:AA$5000, MATCH(1, (球員狀態!$A$2:$A$5000=$EI$331)*(ISNUMBER(SEARCH($EI342, 球員狀態!$B$2:$B$5000))), 0)), "")</f>
        <v/>
      </c>
      <c r="FI342" s="4" t="str">
        <f t="array" ref="FI342">IFERROR(INDEX(球員狀態!AB$2:AB$5000, MATCH(1, (球員狀態!$A$2:$A$5000=$EI$331)*(ISNUMBER(SEARCH($EI342, 球員狀態!$B$2:$B$5000))), 0)), "")</f>
        <v/>
      </c>
    </row>
    <row r="343" spans="110:165">
      <c r="DF343" s="33"/>
      <c r="DH343" s="40" t="e">
        <f>DJ343+DL343+DM343+DN343+DO343-DP343-DQ343+DR343</f>
        <v>#VALUE!</v>
      </c>
      <c r="DI343" s="42" t="e">
        <f>DU343+DX343+EA343+ED343+EE343+EF343</f>
        <v>#VALUE!</v>
      </c>
      <c r="DJ343" s="38" t="e">
        <f>VLOOKUP(DJ342*1, FK$2:FM$12, 3, TRUE)*FM$1</f>
        <v>#VALUE!</v>
      </c>
      <c r="DL343" s="38" t="e">
        <f>VLOOKUP(DL342*1, FN$2:FP$12, 3, TRUE)*FP$1</f>
        <v>#VALUE!</v>
      </c>
      <c r="DM343" s="38" t="e">
        <f>VLOOKUP(DM342*1, FQ$2:FS$12, 3, TRUE)*FS$1</f>
        <v>#VALUE!</v>
      </c>
      <c r="DN343" s="38" t="e">
        <f>VLOOKUP(DN342*1, FT$2:FV$12, 3, TRUE)*FV$1</f>
        <v>#VALUE!</v>
      </c>
      <c r="DO343" s="38" t="e">
        <f>VLOOKUP(DO342*1, FW$2:FY$12, 3, TRUE)*FY$1</f>
        <v>#VALUE!</v>
      </c>
      <c r="DP343" s="39" t="e">
        <f>VLOOKUP(DP342*1, FK$14:FM$25, 3, TRUE)*FM$14</f>
        <v>#VALUE!</v>
      </c>
      <c r="DQ343" s="39" t="e">
        <f>VLOOKUP(DQ342*1, FN$14:FP$25, 3, TRUE)*FP$14</f>
        <v>#VALUE!</v>
      </c>
      <c r="DR343" s="38" t="e">
        <f>VLOOKUP(DR342*1, FQ$14:FS$25, 3, TRUE)*FS$14</f>
        <v>#VALUE!</v>
      </c>
      <c r="DU343" s="41" t="e">
        <f>VLOOKUP(DU342*1, FK$27:FM$38, 3, TRUE)*FM$27</f>
        <v>#VALUE!</v>
      </c>
      <c r="DX343" s="41" t="e">
        <f>VLOOKUP(DX342*1, FN$27:FP$38, 3, TRUE)*FP$27</f>
        <v>#VALUE!</v>
      </c>
      <c r="EA343" s="41" t="e">
        <f>VLOOKUP(EA342*1, FQ$27:FS$38, 3, TRUE)*FS$27</f>
        <v>#VALUE!</v>
      </c>
      <c r="ED343" s="41" t="e">
        <f>VLOOKUP(ED342*1, FT$27:FV$38, 3, TRUE)*FV$27</f>
        <v>#VALUE!</v>
      </c>
      <c r="EE343" s="41" t="e">
        <f>VLOOKUP(EE342*1, FW$27:FY$38, 3, TRUE)*FY$27</f>
        <v>#VALUE!</v>
      </c>
      <c r="EF343" s="41" t="e">
        <f>VLOOKUP(EF342*1, FK$40:FM$51, 3, TRUE)*FM$40</f>
        <v>#VALUE!</v>
      </c>
      <c r="EG343" s="57"/>
      <c r="EI343" s="33"/>
      <c r="EK343" s="40" t="e">
        <f>EM343+EO343+EP343+EQ343+ER343-ES343-ET343+EU343</f>
        <v>#VALUE!</v>
      </c>
      <c r="EL343" s="42" t="e">
        <f>EX343+FA343+FD343+FG343+FH343+FI343</f>
        <v>#VALUE!</v>
      </c>
      <c r="EM343" s="38" t="e">
        <f>VLOOKUP(EM342*1, $FK$2:$FM$12, 3, TRUE)*$FM$1</f>
        <v>#VALUE!</v>
      </c>
      <c r="EO343" s="38" t="e">
        <f>VLOOKUP(EO342*1, $FN$2:$FP$12, 3, TRUE)*$FP$1</f>
        <v>#VALUE!</v>
      </c>
      <c r="EP343" s="38" t="e">
        <f>VLOOKUP(EP342*1, $FQ$2:$FS$12, 3, TRUE)*$FS$1</f>
        <v>#VALUE!</v>
      </c>
      <c r="EQ343" s="38" t="e">
        <f>VLOOKUP(EQ342*1, $FT$2:$FV$12, 3, TRUE)*$FV$1</f>
        <v>#VALUE!</v>
      </c>
      <c r="ER343" s="38" t="e">
        <f>VLOOKUP(ER342*1, $FW$2:$FY$12, 3, TRUE)*$FY$1</f>
        <v>#VALUE!</v>
      </c>
      <c r="ES343" s="39" t="e">
        <f>VLOOKUP(ES342*1, $FK$14:$FM$25, 3, TRUE)*$FM$14</f>
        <v>#VALUE!</v>
      </c>
      <c r="ET343" s="39" t="e">
        <f>VLOOKUP(ET342*1, $FN$14:$FP$25, 3, TRUE)*$FP$14</f>
        <v>#VALUE!</v>
      </c>
      <c r="EU343" s="38" t="e">
        <f>VLOOKUP(EU342*1, $FQ$14:$FS$25, 3, TRUE)*$FS$14</f>
        <v>#VALUE!</v>
      </c>
      <c r="EX343" s="41" t="e">
        <f>VLOOKUP(EX342*1, $FK$27:$FM$38, 3, TRUE)*$FM$27</f>
        <v>#VALUE!</v>
      </c>
      <c r="FA343" s="41" t="e">
        <f>VLOOKUP(FA342*1, $FN$27:$FP$38, 3, TRUE)*$FP$27</f>
        <v>#VALUE!</v>
      </c>
      <c r="FD343" s="41" t="e">
        <f>VLOOKUP(FD342*1, $FQ$27:$FS$38, 3, TRUE)*$FS$27</f>
        <v>#VALUE!</v>
      </c>
      <c r="FG343" s="41" t="e">
        <f>VLOOKUP(FG342*1, $FT$27:$FV$38, 3, TRUE)*$FV$27</f>
        <v>#VALUE!</v>
      </c>
      <c r="FH343" s="41" t="e">
        <f>VLOOKUP(FH342*1, $FW$27:$FY$38, 3, TRUE)*$FY$27</f>
        <v>#VALUE!</v>
      </c>
      <c r="FI343" s="41" t="e">
        <f>VLOOKUP(FI342*1, $FK$40:$FM$51, 3, TRUE)*$FM$40</f>
        <v>#VALUE!</v>
      </c>
    </row>
    <row r="344" spans="110:165">
      <c r="DF344" s="37" t="str">
        <f>先發名單!K$13</f>
        <v>T. Johnston</v>
      </c>
      <c r="DG344" s="4" t="str">
        <f t="array" ref="DG344">IFERROR(INDEX(球員狀態!$C$2:$C$5000, MATCH(1, (球員狀態!$A$2:$A$5000=$DF$331)*(ISNUMBER(SEARCH($DF344, 球員狀態!$B$2:$B$5000))), 0)), "")</f>
        <v/>
      </c>
      <c r="DJ344" s="4" t="str">
        <f t="array" ref="DJ344">IFERROR(INDEX(球員狀態!$F$2:$F$5000,MATCH(1,(球員狀態!$A$2:$A$5000=$DF$331)*(ISNUMBER(SEARCH($DF344,球員狀態!$B$2:$B$5000))),0)),"")</f>
        <v/>
      </c>
      <c r="DK344" s="4" t="str">
        <f t="array" ref="DK344">IFERROR(INDEX(球員狀態!G$2:G$5000, MATCH(1, (球員狀態!$A$2:$A$5000=$DF$1)*(ISNUMBER(SEARCH($DF344, 球員狀態!$B$2:$B$5000))), 0)), "")</f>
        <v/>
      </c>
      <c r="DL344" s="4" t="str">
        <f t="array" ref="DL344">IFERROR(INDEX(球員狀態!H$2:H$5000, MATCH(1, (球員狀態!$A$2:$A$5000=$DF$331)*(ISNUMBER(SEARCH($DF344, 球員狀態!$B$2:$B$5000))), 0)), "")</f>
        <v/>
      </c>
      <c r="DM344" s="4" t="str">
        <f t="array" ref="DM344">IFERROR(INDEX(球員狀態!I$2:I$5000,MATCH(1,(球員狀態!$A$2:$A$5000=$DF$331)*(ISNUMBER(SEARCH($DF344,球員狀態!$B$2:$B$5000))),0)),"")</f>
        <v/>
      </c>
      <c r="DN344" s="4" t="str">
        <f t="array" ref="DN344">IFERROR(INDEX(球員狀態!J$2:J$5000,MATCH(1,(球員狀態!$A$2:$A$5000=$DF$331)*(ISNUMBER(SEARCH($DF344,球員狀態!$B$2:$B$5000))),0)),"")</f>
        <v/>
      </c>
      <c r="DO344" s="4" t="str">
        <f t="array" ref="DO344">IFERROR(INDEX(球員狀態!K$2:K$5000,MATCH(1,(球員狀態!$A$2:$A$5000=$DF$331)*(ISNUMBER(SEARCH($DF344,球員狀態!$B$2:$B$5000))),0)),"")</f>
        <v/>
      </c>
      <c r="DP344" s="4" t="str">
        <f t="array" ref="DP344">IFERROR(INDEX(球員狀態!L$2:L$5000,MATCH(1,(球員狀態!$A$2:$A$5000=$DF$331)*(ISNUMBER(SEARCH($DF344,球員狀態!$B$2:$B$5000))),0)),"")</f>
        <v/>
      </c>
      <c r="DQ344" s="4" t="str">
        <f t="array" ref="DQ344">IFERROR(INDEX(球員狀態!M$2:M$5000,MATCH(1,(球員狀態!$A$2:$A$5000=$DF$331)*(ISNUMBER(SEARCH($DF344,球員狀態!$B$2:$B$5000))),0)),"")</f>
        <v/>
      </c>
      <c r="DR344" s="4" t="str">
        <f t="array" ref="DR344">IFERROR(INDEX(球員狀態!N$2:N$5000,MATCH(1,(球員狀態!$A$2:$A$5000=$DF$331)*(ISNUMBER(SEARCH($DF344,球員狀態!$B$2:$B$5000))),0)),"")</f>
        <v/>
      </c>
      <c r="DS344" s="4" t="str">
        <f t="array" ref="DS344">IFERROR(INDEX(球員狀態!O$2:O$5000, MATCH(1, (球員狀態!$A$2:$A$5000=$DF$1)*(ISNUMBER(SEARCH($DF344, 球員狀態!$B$2:$B$5000))), 0)), "")</f>
        <v/>
      </c>
      <c r="DT344" s="4" t="str">
        <f t="array" ref="DT344">IFERROR(INDEX(球員狀態!P$2:P$5000, MATCH(1, (球員狀態!$A$2:$A$5000=$DF$1)*(ISNUMBER(SEARCH($DF344, 球員狀態!$B$2:$B$5000))), 0)), "")</f>
        <v/>
      </c>
      <c r="DU344" s="4" t="str">
        <f t="array" ref="DU344">IFERROR(INDEX(球員狀態!Q$2:Q$5000,MATCH(1,(球員狀態!$A$2:$A$5000=$DF$331)*(ISNUMBER(SEARCH($DF344,球員狀態!$B$2:$B$5000))),0)),"")</f>
        <v/>
      </c>
      <c r="DV344" s="4" t="str">
        <f t="array" ref="DV344">IFERROR(INDEX(球員狀態!R$2:R$5000, MATCH(1, (球員狀態!$A$2:$A$5000=$DF$1)*(ISNUMBER(SEARCH($DF344, 球員狀態!$B$2:$B$5000))), 0)), "")</f>
        <v/>
      </c>
      <c r="DW344" s="4" t="str">
        <f t="array" ref="DW344">IFERROR(INDEX(球員狀態!S$2:S$5000, MATCH(1, (球員狀態!$A$2:$A$5000=$DF$1)*(ISNUMBER(SEARCH($DF344, 球員狀態!$B$2:$B$5000))), 0)), "")</f>
        <v/>
      </c>
      <c r="DX344" s="4" t="str">
        <f t="array" ref="DX344">IFERROR(INDEX(球員狀態!T$2:T$5000,MATCH(1,(球員狀態!$A$2:$A$5000=$DF$331)*(ISNUMBER(SEARCH($DF344,球員狀態!$B$2:$B$5000))),0)),"")</f>
        <v/>
      </c>
      <c r="DY344" s="4" t="str">
        <f t="array" ref="DY344">IFERROR(INDEX(球員狀態!U$2:U$5000, MATCH(1, (球員狀態!$A$2:$A$5000=$DF$1)*(ISNUMBER(SEARCH($DF344, 球員狀態!$B$2:$B$5000))), 0)), "")</f>
        <v/>
      </c>
      <c r="DZ344" s="4" t="str">
        <f t="array" ref="DZ344">IFERROR(INDEX(球員狀態!V$2:V$5000, MATCH(1, (球員狀態!$A$2:$A$5000=$DF$1)*(ISNUMBER(SEARCH($DF344, 球員狀態!$B$2:$B$5000))), 0)), "")</f>
        <v/>
      </c>
      <c r="EA344" s="4" t="str">
        <f t="array" ref="EA344">IFERROR(INDEX(球員狀態!W$2:W$5000,MATCH(1,(球員狀態!$A$2:$A$5000=$DF$331)*(ISNUMBER(SEARCH($DF344,球員狀態!$B$2:$B$5000))),0)),"")</f>
        <v/>
      </c>
      <c r="EB344" s="4" t="str">
        <f t="array" ref="EB344">IFERROR(INDEX(球員狀態!X$2:X$5000, MATCH(1, (球員狀態!$A$2:$A$5000=$DF$1)*(ISNUMBER(SEARCH($DF344, 球員狀態!$B$2:$B$5000))), 0)), "")</f>
        <v/>
      </c>
      <c r="EC344" s="4" t="str">
        <f t="array" ref="EC344">IFERROR(INDEX(球員狀態!Y$2:Y$5000, MATCH(1, (球員狀態!$A$2:$A$5000=$DF$1)*(ISNUMBER(SEARCH($DF344, 球員狀態!$B$2:$B$5000))), 0)), "")</f>
        <v/>
      </c>
      <c r="ED344" s="4" t="str">
        <f t="array" ref="ED344">IFERROR(INDEX(球員狀態!Z$2:Z$5000,MATCH(1,(球員狀態!$A$2:$A$5000=$DF$331)*(ISNUMBER(SEARCH($DF344,球員狀態!$B$2:$B$5000))),0)),"")</f>
        <v/>
      </c>
      <c r="EE344" s="4" t="str">
        <f t="array" ref="EE344">IFERROR(INDEX(球員狀態!AA$2:AA$5000,MATCH(1,(球員狀態!$A$2:$A$5000=$DF$331)*(ISNUMBER(SEARCH($DF344,球員狀態!$B$2:$B$5000))),0)),"")</f>
        <v/>
      </c>
      <c r="EF344" s="4" t="str">
        <f t="array" ref="EF344">IFERROR(INDEX(球員狀態!AB$2:AB$5000,MATCH(1,(球員狀態!$A$2:$A$5000=$DF$331)*(ISNUMBER(SEARCH($DF344,球員狀態!$B$2:$B$5000))),0)),"")</f>
        <v/>
      </c>
      <c r="EG344" s="56"/>
      <c r="EI344" s="37" t="str">
        <f>先發名單!U$13</f>
        <v>S. Steer</v>
      </c>
      <c r="EJ344" s="4" t="str">
        <f t="array" ref="EJ344">IFERROR(INDEX(球員狀態!C$2:C$5000, MATCH(1, (球員狀態!$A$2:$A$5000=$EI$331)*(ISNUMBER(SEARCH($EI344, 球員狀態!$B$2:$B$5000))), 0)), "")</f>
        <v/>
      </c>
      <c r="EM344" s="4" t="str">
        <f t="array" ref="EM344">IFERROR(INDEX(球員狀態!F$2:F$5000, MATCH(1, (球員狀態!$A$2:$A$5000=$EI$331)*(ISNUMBER(SEARCH($EI344, 球員狀態!$B$2:$B$5000))), 0)), "")</f>
        <v/>
      </c>
      <c r="EN344" s="4" t="str">
        <f t="array" ref="EN344">IFERROR(INDEX(球員狀態!G$2:G$5000, MATCH(1, (球員狀態!$A$2:$A$5000=$EI$1)*(ISNUMBER(SEARCH($EI344, 球員狀態!$B$2:$B$5000))), 0)), "")</f>
        <v/>
      </c>
      <c r="EO344" s="4" t="str">
        <f t="array" ref="EO344">IFERROR(INDEX(球員狀態!H$2:H$5000, MATCH(1, (球員狀態!$A$2:$A$5000=$EI$331)*(ISNUMBER(SEARCH($EI344, 球員狀態!$B$2:$B$5000))), 0)), "")</f>
        <v/>
      </c>
      <c r="EP344" s="4" t="str">
        <f t="array" ref="EP344">IFERROR(INDEX(球員狀態!I$2:I$5000, MATCH(1, (球員狀態!$A$2:$A$5000=$EI$331)*(ISNUMBER(SEARCH($EI344, 球員狀態!$B$2:$B$5000))), 0)), "")</f>
        <v/>
      </c>
      <c r="EQ344" s="4" t="str">
        <f t="array" ref="EQ344">IFERROR(INDEX(球員狀態!J$2:J$5000, MATCH(1, (球員狀態!$A$2:$A$5000=$EI$331)*(ISNUMBER(SEARCH($EI344, 球員狀態!$B$2:$B$5000))), 0)), "")</f>
        <v/>
      </c>
      <c r="ER344" s="4" t="str">
        <f t="array" ref="ER344">IFERROR(INDEX(球員狀態!K$2:K$5000, MATCH(1, (球員狀態!$A$2:$A$5000=$EI$331)*(ISNUMBER(SEARCH($EI344, 球員狀態!$B$2:$B$5000))), 0)), "")</f>
        <v/>
      </c>
      <c r="ES344" s="4" t="str">
        <f t="array" ref="ES344">IFERROR(INDEX(球員狀態!L$2:L$5000, MATCH(1, (球員狀態!$A$2:$A$5000=$EI$331)*(ISNUMBER(SEARCH($EI344, 球員狀態!$B$2:$B$5000))), 0)), "")</f>
        <v/>
      </c>
      <c r="ET344" s="4" t="str">
        <f t="array" ref="ET344">IFERROR(INDEX(球員狀態!M$2:M$5000, MATCH(1, (球員狀態!$A$2:$A$5000=$EI$331)*(ISNUMBER(SEARCH($EI344, 球員狀態!$B$2:$B$5000))), 0)), "")</f>
        <v/>
      </c>
      <c r="EU344" s="4" t="str">
        <f t="array" ref="EU344">IFERROR(INDEX(球員狀態!N$2:N$5000, MATCH(1, (球員狀態!$A$2:$A$5000=$EI$331)*(ISNUMBER(SEARCH($EI344, 球員狀態!$B$2:$B$5000))), 0)), "")</f>
        <v/>
      </c>
      <c r="EV344" s="4" t="str">
        <f t="array" ref="EV344">IFERROR(INDEX(球員狀態!O$2:O$5000, MATCH(1, (球員狀態!$A$2:$A$5000=$EI$1)*(ISNUMBER(SEARCH($EI344, 球員狀態!$B$2:$B$5000))), 0)), "")</f>
        <v/>
      </c>
      <c r="EW344" s="4" t="str">
        <f t="array" ref="EW344">IFERROR(INDEX(球員狀態!P$2:P$5000, MATCH(1, (球員狀態!$A$2:$A$5000=$EI$1)*(ISNUMBER(SEARCH($EI344, 球員狀態!$B$2:$B$5000))), 0)), "")</f>
        <v/>
      </c>
      <c r="EX344" s="4" t="str">
        <f t="array" ref="EX344">IFERROR(INDEX(球員狀態!Q$2:Q$5000, MATCH(1, (球員狀態!$A$2:$A$5000=$EI$331)*(ISNUMBER(SEARCH($EI344, 球員狀態!$B$2:$B$5000))), 0)), "")</f>
        <v/>
      </c>
      <c r="EY344" s="4" t="str">
        <f t="array" ref="EY344">IFERROR(INDEX(球員狀態!R$2:R$5000, MATCH(1, (球員狀態!$A$2:$A$5000=$EI$1)*(ISNUMBER(SEARCH($EI344, 球員狀態!$B$2:$B$5000))), 0)), "")</f>
        <v/>
      </c>
      <c r="EZ344" s="4" t="str">
        <f t="array" ref="EZ344">IFERROR(INDEX(球員狀態!S$2:S$5000, MATCH(1, (球員狀態!$A$2:$A$5000=$EI$1)*(ISNUMBER(SEARCH($EI344, 球員狀態!$B$2:$B$5000))), 0)), "")</f>
        <v/>
      </c>
      <c r="FA344" s="4" t="str">
        <f t="array" ref="FA344">IFERROR(INDEX(球員狀態!T$2:T$5000, MATCH(1, (球員狀態!$A$2:$A$5000=$EI$331)*(ISNUMBER(SEARCH($EI344, 球員狀態!$B$2:$B$5000))), 0)), "")</f>
        <v/>
      </c>
      <c r="FB344" s="4" t="str">
        <f t="array" ref="FB344">IFERROR(INDEX(球員狀態!U$2:U$5000, MATCH(1, (球員狀態!$A$2:$A$5000=$EI$1)*(ISNUMBER(SEARCH($EI344, 球員狀態!$B$2:$B$5000))), 0)), "")</f>
        <v/>
      </c>
      <c r="FC344" s="4" t="str">
        <f t="array" ref="FC344">IFERROR(INDEX(球員狀態!V$2:V$5000, MATCH(1, (球員狀態!$A$2:$A$5000=$EI$1)*(ISNUMBER(SEARCH($EI344, 球員狀態!$B$2:$B$5000))), 0)), "")</f>
        <v/>
      </c>
      <c r="FD344" s="4" t="str">
        <f t="array" ref="FD344">IFERROR(INDEX(球員狀態!W$2:W$5000, MATCH(1, (球員狀態!$A$2:$A$5000=$EI$331)*(ISNUMBER(SEARCH($EI344, 球員狀態!$B$2:$B$5000))), 0)), "")</f>
        <v/>
      </c>
      <c r="FE344" s="4" t="str">
        <f t="array" ref="FE344">IFERROR(INDEX(球員狀態!X$2:X$5000, MATCH(1, (球員狀態!$A$2:$A$5000=$EI$1)*(ISNUMBER(SEARCH($EI344, 球員狀態!$B$2:$B$5000))), 0)), "")</f>
        <v/>
      </c>
      <c r="FF344" s="4" t="str">
        <f t="array" ref="FF344">IFERROR(INDEX(球員狀態!Y$2:Y$5000, MATCH(1, (球員狀態!$A$2:$A$5000=$EI$1)*(ISNUMBER(SEARCH($EI344, 球員狀態!$B$2:$B$5000))), 0)), "")</f>
        <v/>
      </c>
      <c r="FG344" s="4" t="str">
        <f t="array" ref="FG344">IFERROR(INDEX(球員狀態!Z$2:Z$5000, MATCH(1, (球員狀態!$A$2:$A$5000=$EI$331)*(ISNUMBER(SEARCH($EI344, 球員狀態!$B$2:$B$5000))), 0)), "")</f>
        <v/>
      </c>
      <c r="FH344" s="4" t="str">
        <f t="array" ref="FH344">IFERROR(INDEX(球員狀態!AA$2:AA$5000, MATCH(1, (球員狀態!$A$2:$A$5000=$EI$331)*(ISNUMBER(SEARCH($EI344, 球員狀態!$B$2:$B$5000))), 0)), "")</f>
        <v/>
      </c>
      <c r="FI344" s="4" t="str">
        <f t="array" ref="FI344">IFERROR(INDEX(球員狀態!AB$2:AB$5000, MATCH(1, (球員狀態!$A$2:$A$5000=$EI$331)*(ISNUMBER(SEARCH($EI344, 球員狀態!$B$2:$B$5000))), 0)), "")</f>
        <v/>
      </c>
    </row>
    <row r="345" spans="110:165">
      <c r="DH345" s="40" t="e">
        <f>DJ345+DL345+DM345+DN345+DO345-DP345-DQ345+DR345</f>
        <v>#VALUE!</v>
      </c>
      <c r="DI345" s="42" t="e">
        <f>DU345+DX345+EA345+ED345+EE345+EF345</f>
        <v>#VALUE!</v>
      </c>
      <c r="DJ345" s="38" t="e">
        <f>VLOOKUP(DJ344*1, FK$2:FM$12, 3, TRUE)*FM$1</f>
        <v>#VALUE!</v>
      </c>
      <c r="DL345" s="38" t="e">
        <f>VLOOKUP(DL344*1, FN$2:FP$12, 3, TRUE)*FP$1</f>
        <v>#VALUE!</v>
      </c>
      <c r="DM345" s="38" t="e">
        <f>VLOOKUP(DM344*1, FQ$2:FS$12, 3, TRUE)*FS$1</f>
        <v>#VALUE!</v>
      </c>
      <c r="DN345" s="38" t="e">
        <f>VLOOKUP(DN344*1, FT$2:FV$12, 3, TRUE)*FV$1</f>
        <v>#VALUE!</v>
      </c>
      <c r="DO345" s="38" t="e">
        <f>VLOOKUP(DO344*1, FW$2:FY$12, 3, TRUE)*FY$1</f>
        <v>#VALUE!</v>
      </c>
      <c r="DP345" s="39" t="e">
        <f>VLOOKUP(DP344*1, FK$14:FM$25, 3, TRUE)*FM$14</f>
        <v>#VALUE!</v>
      </c>
      <c r="DQ345" s="39" t="e">
        <f>VLOOKUP(DQ344*1, FN$14:FP$25, 3, TRUE)*FP$14</f>
        <v>#VALUE!</v>
      </c>
      <c r="DR345" s="38" t="e">
        <f>VLOOKUP(DR344*1, FQ$14:FS$25, 3, TRUE)*FS$14</f>
        <v>#VALUE!</v>
      </c>
      <c r="DU345" s="41" t="e">
        <f>VLOOKUP(DU344*1, FK$27:FM$38, 3, TRUE)*FM$27</f>
        <v>#VALUE!</v>
      </c>
      <c r="DX345" s="41" t="e">
        <f>VLOOKUP(DX344*1, FN$27:FP$38, 3, TRUE)*FP$27</f>
        <v>#VALUE!</v>
      </c>
      <c r="EA345" s="41" t="e">
        <f>VLOOKUP(EA344*1, FQ$27:FS$38, 3, TRUE)*FS$27</f>
        <v>#VALUE!</v>
      </c>
      <c r="ED345" s="41" t="e">
        <f>VLOOKUP(ED344*1, FT$27:FV$38, 3, TRUE)*FV$27</f>
        <v>#VALUE!</v>
      </c>
      <c r="EE345" s="41" t="e">
        <f>VLOOKUP(EE344*1, FW$27:FY$38, 3, TRUE)*FY$27</f>
        <v>#VALUE!</v>
      </c>
      <c r="EF345" s="41" t="e">
        <f>VLOOKUP(EF344*1, FK$40:FM$51, 3, TRUE)*FM$40</f>
        <v>#VALUE!</v>
      </c>
      <c r="EG345" s="57"/>
      <c r="EK345" s="40" t="e">
        <f>EM345+EO345+EP345+EQ345+ER345-ES345-ET345+EU345</f>
        <v>#VALUE!</v>
      </c>
      <c r="EL345" s="42" t="e">
        <f>EX345+FA345+FD345+FG345+FH345+FI345</f>
        <v>#VALUE!</v>
      </c>
      <c r="EM345" s="38" t="e">
        <f>VLOOKUP(EM344*1, $FK$2:$FM$12, 3, TRUE)*$FM$1</f>
        <v>#VALUE!</v>
      </c>
      <c r="EO345" s="38" t="e">
        <f>VLOOKUP(EO344*1, $FN$2:$FP$12, 3, TRUE)*$FP$1</f>
        <v>#VALUE!</v>
      </c>
      <c r="EP345" s="38" t="e">
        <f>VLOOKUP(EP344*1, $FQ$2:$FS$12, 3, TRUE)*$FS$1</f>
        <v>#VALUE!</v>
      </c>
      <c r="EQ345" s="38" t="e">
        <f>VLOOKUP(EQ344*1, $FT$2:$FV$12, 3, TRUE)*$FV$1</f>
        <v>#VALUE!</v>
      </c>
      <c r="ER345" s="38" t="e">
        <f>VLOOKUP(ER344*1, $FW$2:$FY$12, 3, TRUE)*$FY$1</f>
        <v>#VALUE!</v>
      </c>
      <c r="ES345" s="39" t="e">
        <f>VLOOKUP(ES344*1, $FK$14:$FM$25, 3, TRUE)*$FM$14</f>
        <v>#VALUE!</v>
      </c>
      <c r="ET345" s="39" t="e">
        <f>VLOOKUP(ET344*1, $FN$14:$FP$25, 3, TRUE)*$FP$14</f>
        <v>#VALUE!</v>
      </c>
      <c r="EU345" s="38" t="e">
        <f>VLOOKUP(EU344*1, $FQ$14:$FS$25, 3, TRUE)*$FS$14</f>
        <v>#VALUE!</v>
      </c>
      <c r="EX345" s="41" t="e">
        <f>VLOOKUP(EX344*1, $FK$27:$FM$38, 3, TRUE)*$FM$27</f>
        <v>#VALUE!</v>
      </c>
      <c r="FA345" s="41" t="e">
        <f>VLOOKUP(FA344*1, $FN$27:$FP$38, 3, TRUE)*$FP$27</f>
        <v>#VALUE!</v>
      </c>
      <c r="FD345" s="41" t="e">
        <f>VLOOKUP(FD344*1, $FQ$27:$FS$38, 3, TRUE)*$FS$27</f>
        <v>#VALUE!</v>
      </c>
      <c r="FG345" s="41" t="e">
        <f>VLOOKUP(FG344*1, $FT$27:$FV$38, 3, TRUE)*$FV$27</f>
        <v>#VALUE!</v>
      </c>
      <c r="FH345" s="41" t="e">
        <f>VLOOKUP(FH344*1, $FW$27:$FY$38, 3, TRUE)*$FY$27</f>
        <v>#VALUE!</v>
      </c>
      <c r="FI345" s="41" t="e">
        <f>VLOOKUP(FI344*1, $FK$40:$FM$51, 3, TRUE)*$FM$40</f>
        <v>#VALUE!</v>
      </c>
    </row>
    <row r="346" spans="110:165">
      <c r="DF346" s="37" t="str">
        <f>先發名單!L$13</f>
        <v>E. Tovar</v>
      </c>
      <c r="DG346" s="4" t="str">
        <f t="array" ref="DG346">IFERROR(INDEX(球員狀態!$C$2:$C$5000, MATCH(1, (球員狀態!$A$2:$A$5000=$DF$331)*(ISNUMBER(SEARCH($DF346, 球員狀態!$B$2:$B$5000))), 0)), "")</f>
        <v/>
      </c>
      <c r="DJ346" s="4" t="str">
        <f t="array" ref="DJ346">IFERROR(INDEX(球員狀態!$F$2:$F$5000,MATCH(1,(球員狀態!$A$2:$A$5000=$DF$331)*(ISNUMBER(SEARCH($DF346,球員狀態!$B$2:$B$5000))),0)),"")</f>
        <v/>
      </c>
      <c r="DK346" s="4" t="str">
        <f t="array" ref="DK346">IFERROR(INDEX(球員狀態!G$2:G$5000, MATCH(1, (球員狀態!$A$2:$A$5000=$DF$1)*(ISNUMBER(SEARCH($DF346, 球員狀態!$B$2:$B$5000))), 0)), "")</f>
        <v/>
      </c>
      <c r="DL346" s="4" t="str">
        <f t="array" ref="DL346">IFERROR(INDEX(球員狀態!H$2:H$5000, MATCH(1, (球員狀態!$A$2:$A$5000=$DF$331)*(ISNUMBER(SEARCH($DF346, 球員狀態!$B$2:$B$5000))), 0)), "")</f>
        <v/>
      </c>
      <c r="DM346" s="4" t="str">
        <f t="array" ref="DM346">IFERROR(INDEX(球員狀態!I$2:I$5000,MATCH(1,(球員狀態!$A$2:$A$5000=$DF$331)*(ISNUMBER(SEARCH($DF346,球員狀態!$B$2:$B$5000))),0)),"")</f>
        <v/>
      </c>
      <c r="DN346" s="4" t="str">
        <f t="array" ref="DN346">IFERROR(INDEX(球員狀態!J$2:J$5000,MATCH(1,(球員狀態!$A$2:$A$5000=$DF$331)*(ISNUMBER(SEARCH($DF346,球員狀態!$B$2:$B$5000))),0)),"")</f>
        <v/>
      </c>
      <c r="DO346" s="4" t="str">
        <f t="array" ref="DO346">IFERROR(INDEX(球員狀態!K$2:K$5000,MATCH(1,(球員狀態!$A$2:$A$5000=$DF$331)*(ISNUMBER(SEARCH($DF346,球員狀態!$B$2:$B$5000))),0)),"")</f>
        <v/>
      </c>
      <c r="DP346" s="4" t="str">
        <f t="array" ref="DP346">IFERROR(INDEX(球員狀態!L$2:L$5000,MATCH(1,(球員狀態!$A$2:$A$5000=$DF$331)*(ISNUMBER(SEARCH($DF346,球員狀態!$B$2:$B$5000))),0)),"")</f>
        <v/>
      </c>
      <c r="DQ346" s="4" t="str">
        <f t="array" ref="DQ346">IFERROR(INDEX(球員狀態!M$2:M$5000,MATCH(1,(球員狀態!$A$2:$A$5000=$DF$331)*(ISNUMBER(SEARCH($DF346,球員狀態!$B$2:$B$5000))),0)),"")</f>
        <v/>
      </c>
      <c r="DR346" s="4" t="str">
        <f t="array" ref="DR346">IFERROR(INDEX(球員狀態!N$2:N$5000,MATCH(1,(球員狀態!$A$2:$A$5000=$DF$331)*(ISNUMBER(SEARCH($DF346,球員狀態!$B$2:$B$5000))),0)),"")</f>
        <v/>
      </c>
      <c r="DS346" s="4" t="str">
        <f t="array" ref="DS346">IFERROR(INDEX(球員狀態!O$2:O$5000, MATCH(1, (球員狀態!$A$2:$A$5000=$DF$1)*(ISNUMBER(SEARCH($DF346, 球員狀態!$B$2:$B$5000))), 0)), "")</f>
        <v/>
      </c>
      <c r="DT346" s="4" t="str">
        <f t="array" ref="DT346">IFERROR(INDEX(球員狀態!P$2:P$5000, MATCH(1, (球員狀態!$A$2:$A$5000=$DF$1)*(ISNUMBER(SEARCH($DF346, 球員狀態!$B$2:$B$5000))), 0)), "")</f>
        <v/>
      </c>
      <c r="DU346" s="4" t="str">
        <f t="array" ref="DU346">IFERROR(INDEX(球員狀態!Q$2:Q$5000,MATCH(1,(球員狀態!$A$2:$A$5000=$DF$331)*(ISNUMBER(SEARCH($DF346,球員狀態!$B$2:$B$5000))),0)),"")</f>
        <v/>
      </c>
      <c r="DV346" s="4" t="str">
        <f t="array" ref="DV346">IFERROR(INDEX(球員狀態!R$2:R$5000, MATCH(1, (球員狀態!$A$2:$A$5000=$DF$1)*(ISNUMBER(SEARCH($DF346, 球員狀態!$B$2:$B$5000))), 0)), "")</f>
        <v/>
      </c>
      <c r="DW346" s="4" t="str">
        <f t="array" ref="DW346">IFERROR(INDEX(球員狀態!S$2:S$5000, MATCH(1, (球員狀態!$A$2:$A$5000=$DF$1)*(ISNUMBER(SEARCH($DF346, 球員狀態!$B$2:$B$5000))), 0)), "")</f>
        <v/>
      </c>
      <c r="DX346" s="4" t="str">
        <f t="array" ref="DX346">IFERROR(INDEX(球員狀態!T$2:T$5000,MATCH(1,(球員狀態!$A$2:$A$5000=$DF$331)*(ISNUMBER(SEARCH($DF346,球員狀態!$B$2:$B$5000))),0)),"")</f>
        <v/>
      </c>
      <c r="DY346" s="4" t="str">
        <f t="array" ref="DY346">IFERROR(INDEX(球員狀態!U$2:U$5000, MATCH(1, (球員狀態!$A$2:$A$5000=$DF$1)*(ISNUMBER(SEARCH($DF346, 球員狀態!$B$2:$B$5000))), 0)), "")</f>
        <v/>
      </c>
      <c r="DZ346" s="4" t="str">
        <f t="array" ref="DZ346">IFERROR(INDEX(球員狀態!V$2:V$5000, MATCH(1, (球員狀態!$A$2:$A$5000=$DF$1)*(ISNUMBER(SEARCH($DF346, 球員狀態!$B$2:$B$5000))), 0)), "")</f>
        <v/>
      </c>
      <c r="EA346" s="4" t="str">
        <f t="array" ref="EA346">IFERROR(INDEX(球員狀態!W$2:W$5000,MATCH(1,(球員狀態!$A$2:$A$5000=$DF$331)*(ISNUMBER(SEARCH($DF346,球員狀態!$B$2:$B$5000))),0)),"")</f>
        <v/>
      </c>
      <c r="EB346" s="4" t="str">
        <f t="array" ref="EB346">IFERROR(INDEX(球員狀態!X$2:X$5000, MATCH(1, (球員狀態!$A$2:$A$5000=$DF$1)*(ISNUMBER(SEARCH($DF346, 球員狀態!$B$2:$B$5000))), 0)), "")</f>
        <v/>
      </c>
      <c r="EC346" s="4" t="str">
        <f t="array" ref="EC346">IFERROR(INDEX(球員狀態!Y$2:Y$5000, MATCH(1, (球員狀態!$A$2:$A$5000=$DF$1)*(ISNUMBER(SEARCH($DF346, 球員狀態!$B$2:$B$5000))), 0)), "")</f>
        <v/>
      </c>
      <c r="ED346" s="4" t="str">
        <f t="array" ref="ED346">IFERROR(INDEX(球員狀態!Z$2:Z$5000,MATCH(1,(球員狀態!$A$2:$A$5000=$DF$331)*(ISNUMBER(SEARCH($DF346,球員狀態!$B$2:$B$5000))),0)),"")</f>
        <v/>
      </c>
      <c r="EE346" s="4" t="str">
        <f t="array" ref="EE346">IFERROR(INDEX(球員狀態!AA$2:AA$5000,MATCH(1,(球員狀態!$A$2:$A$5000=$DF$331)*(ISNUMBER(SEARCH($DF346,球員狀態!$B$2:$B$5000))),0)),"")</f>
        <v/>
      </c>
      <c r="EF346" s="4" t="str">
        <f t="array" ref="EF346">IFERROR(INDEX(球員狀態!AB$2:AB$5000,MATCH(1,(球員狀態!$A$2:$A$5000=$DF$331)*(ISNUMBER(SEARCH($DF346,球員狀態!$B$2:$B$5000))),0)),"")</f>
        <v/>
      </c>
      <c r="EG346" s="56"/>
      <c r="EI346" s="37" t="str">
        <f>先發名單!V$13</f>
        <v>T. Stephenson</v>
      </c>
      <c r="EJ346" s="4" t="str">
        <f t="array" ref="EJ346">IFERROR(INDEX(球員狀態!C$2:C$5000, MATCH(1, (球員狀態!$A$2:$A$5000=$EI$331)*(ISNUMBER(SEARCH($EI346, 球員狀態!$B$2:$B$5000))), 0)), "")</f>
        <v/>
      </c>
      <c r="EM346" s="4" t="str">
        <f t="array" ref="EM346">IFERROR(INDEX(球員狀態!F$2:F$5000, MATCH(1, (球員狀態!$A$2:$A$5000=$EI$331)*(ISNUMBER(SEARCH($EI346, 球員狀態!$B$2:$B$5000))), 0)), "")</f>
        <v/>
      </c>
      <c r="EN346" s="4" t="str">
        <f t="array" ref="EN346">IFERROR(INDEX(球員狀態!G$2:G$5000, MATCH(1, (球員狀態!$A$2:$A$5000=$EI$1)*(ISNUMBER(SEARCH($EI346, 球員狀態!$B$2:$B$5000))), 0)), "")</f>
        <v/>
      </c>
      <c r="EO346" s="4" t="str">
        <f t="array" ref="EO346">IFERROR(INDEX(球員狀態!H$2:H$5000, MATCH(1, (球員狀態!$A$2:$A$5000=$EI$331)*(ISNUMBER(SEARCH($EI346, 球員狀態!$B$2:$B$5000))), 0)), "")</f>
        <v/>
      </c>
      <c r="EP346" s="4" t="str">
        <f t="array" ref="EP346">IFERROR(INDEX(球員狀態!I$2:I$5000, MATCH(1, (球員狀態!$A$2:$A$5000=$EI$331)*(ISNUMBER(SEARCH($EI346, 球員狀態!$B$2:$B$5000))), 0)), "")</f>
        <v/>
      </c>
      <c r="EQ346" s="4" t="str">
        <f t="array" ref="EQ346">IFERROR(INDEX(球員狀態!J$2:J$5000, MATCH(1, (球員狀態!$A$2:$A$5000=$EI$331)*(ISNUMBER(SEARCH($EI346, 球員狀態!$B$2:$B$5000))), 0)), "")</f>
        <v/>
      </c>
      <c r="ER346" s="4" t="str">
        <f t="array" ref="ER346">IFERROR(INDEX(球員狀態!K$2:K$5000, MATCH(1, (球員狀態!$A$2:$A$5000=$EI$331)*(ISNUMBER(SEARCH($EI346, 球員狀態!$B$2:$B$5000))), 0)), "")</f>
        <v/>
      </c>
      <c r="ES346" s="4" t="str">
        <f t="array" ref="ES346">IFERROR(INDEX(球員狀態!L$2:L$5000, MATCH(1, (球員狀態!$A$2:$A$5000=$EI$331)*(ISNUMBER(SEARCH($EI346, 球員狀態!$B$2:$B$5000))), 0)), "")</f>
        <v/>
      </c>
      <c r="ET346" s="4" t="str">
        <f t="array" ref="ET346">IFERROR(INDEX(球員狀態!M$2:M$5000, MATCH(1, (球員狀態!$A$2:$A$5000=$EI$331)*(ISNUMBER(SEARCH($EI346, 球員狀態!$B$2:$B$5000))), 0)), "")</f>
        <v/>
      </c>
      <c r="EU346" s="4" t="str">
        <f t="array" ref="EU346">IFERROR(INDEX(球員狀態!N$2:N$5000, MATCH(1, (球員狀態!$A$2:$A$5000=$EI$331)*(ISNUMBER(SEARCH($EI346, 球員狀態!$B$2:$B$5000))), 0)), "")</f>
        <v/>
      </c>
      <c r="EV346" s="4" t="str">
        <f t="array" ref="EV346">IFERROR(INDEX(球員狀態!O$2:O$5000, MATCH(1, (球員狀態!$A$2:$A$5000=$EI$1)*(ISNUMBER(SEARCH($EI346, 球員狀態!$B$2:$B$5000))), 0)), "")</f>
        <v/>
      </c>
      <c r="EW346" s="4" t="str">
        <f t="array" ref="EW346">IFERROR(INDEX(球員狀態!P$2:P$5000, MATCH(1, (球員狀態!$A$2:$A$5000=$EI$1)*(ISNUMBER(SEARCH($EI346, 球員狀態!$B$2:$B$5000))), 0)), "")</f>
        <v/>
      </c>
      <c r="EX346" s="4" t="str">
        <f t="array" ref="EX346">IFERROR(INDEX(球員狀態!Q$2:Q$5000, MATCH(1, (球員狀態!$A$2:$A$5000=$EI$331)*(ISNUMBER(SEARCH($EI346, 球員狀態!$B$2:$B$5000))), 0)), "")</f>
        <v/>
      </c>
      <c r="EY346" s="4" t="str">
        <f t="array" ref="EY346">IFERROR(INDEX(球員狀態!R$2:R$5000, MATCH(1, (球員狀態!$A$2:$A$5000=$EI$1)*(ISNUMBER(SEARCH($EI346, 球員狀態!$B$2:$B$5000))), 0)), "")</f>
        <v/>
      </c>
      <c r="EZ346" s="4" t="str">
        <f t="array" ref="EZ346">IFERROR(INDEX(球員狀態!S$2:S$5000, MATCH(1, (球員狀態!$A$2:$A$5000=$EI$1)*(ISNUMBER(SEARCH($EI346, 球員狀態!$B$2:$B$5000))), 0)), "")</f>
        <v/>
      </c>
      <c r="FA346" s="4" t="str">
        <f t="array" ref="FA346">IFERROR(INDEX(球員狀態!T$2:T$5000, MATCH(1, (球員狀態!$A$2:$A$5000=$EI$331)*(ISNUMBER(SEARCH($EI346, 球員狀態!$B$2:$B$5000))), 0)), "")</f>
        <v/>
      </c>
      <c r="FB346" s="4" t="str">
        <f t="array" ref="FB346">IFERROR(INDEX(球員狀態!U$2:U$5000, MATCH(1, (球員狀態!$A$2:$A$5000=$EI$1)*(ISNUMBER(SEARCH($EI346, 球員狀態!$B$2:$B$5000))), 0)), "")</f>
        <v/>
      </c>
      <c r="FC346" s="4" t="str">
        <f t="array" ref="FC346">IFERROR(INDEX(球員狀態!V$2:V$5000, MATCH(1, (球員狀態!$A$2:$A$5000=$EI$1)*(ISNUMBER(SEARCH($EI346, 球員狀態!$B$2:$B$5000))), 0)), "")</f>
        <v/>
      </c>
      <c r="FD346" s="4" t="str">
        <f t="array" ref="FD346">IFERROR(INDEX(球員狀態!W$2:W$5000, MATCH(1, (球員狀態!$A$2:$A$5000=$EI$331)*(ISNUMBER(SEARCH($EI346, 球員狀態!$B$2:$B$5000))), 0)), "")</f>
        <v/>
      </c>
      <c r="FE346" s="4" t="str">
        <f t="array" ref="FE346">IFERROR(INDEX(球員狀態!X$2:X$5000, MATCH(1, (球員狀態!$A$2:$A$5000=$EI$1)*(ISNUMBER(SEARCH($EI346, 球員狀態!$B$2:$B$5000))), 0)), "")</f>
        <v/>
      </c>
      <c r="FF346" s="4" t="str">
        <f t="array" ref="FF346">IFERROR(INDEX(球員狀態!Y$2:Y$5000, MATCH(1, (球員狀態!$A$2:$A$5000=$EI$1)*(ISNUMBER(SEARCH($EI346, 球員狀態!$B$2:$B$5000))), 0)), "")</f>
        <v/>
      </c>
      <c r="FG346" s="4" t="str">
        <f t="array" ref="FG346">IFERROR(INDEX(球員狀態!Z$2:Z$5000, MATCH(1, (球員狀態!$A$2:$A$5000=$EI$331)*(ISNUMBER(SEARCH($EI346, 球員狀態!$B$2:$B$5000))), 0)), "")</f>
        <v/>
      </c>
      <c r="FH346" s="4" t="str">
        <f t="array" ref="FH346">IFERROR(INDEX(球員狀態!AA$2:AA$5000, MATCH(1, (球員狀態!$A$2:$A$5000=$EI$331)*(ISNUMBER(SEARCH($EI346, 球員狀態!$B$2:$B$5000))), 0)), "")</f>
        <v/>
      </c>
      <c r="FI346" s="4" t="str">
        <f t="array" ref="FI346">IFERROR(INDEX(球員狀態!AB$2:AB$5000, MATCH(1, (球員狀態!$A$2:$A$5000=$EI$331)*(ISNUMBER(SEARCH($EI346, 球員狀態!$B$2:$B$5000))), 0)), "")</f>
        <v/>
      </c>
    </row>
    <row r="347" spans="110:165">
      <c r="DH347" s="40" t="e">
        <f>DJ347+DL347+DM347+DN347+DO347-DP347-DQ347+DR347</f>
        <v>#VALUE!</v>
      </c>
      <c r="DI347" s="42" t="e">
        <f>DU347+DX347+EA347+ED347+EE347+EF347</f>
        <v>#VALUE!</v>
      </c>
      <c r="DJ347" s="38" t="e">
        <f>VLOOKUP(DJ346*1, FK$2:FM$12, 3, TRUE)*FM$1</f>
        <v>#VALUE!</v>
      </c>
      <c r="DL347" s="38" t="e">
        <f>VLOOKUP(DL346*1, FN$2:FP$12, 3, TRUE)*FP$1</f>
        <v>#VALUE!</v>
      </c>
      <c r="DM347" s="38" t="e">
        <f>VLOOKUP(DM346*1, FQ$2:FS$12, 3, TRUE)*FS$1</f>
        <v>#VALUE!</v>
      </c>
      <c r="DN347" s="38" t="e">
        <f>VLOOKUP(DN346*1, FT$2:FV$12, 3, TRUE)*FV$1</f>
        <v>#VALUE!</v>
      </c>
      <c r="DO347" s="38" t="e">
        <f>VLOOKUP(DO346*1, FW$2:FY$12, 3, TRUE)*FY$1</f>
        <v>#VALUE!</v>
      </c>
      <c r="DP347" s="39" t="e">
        <f>VLOOKUP(DP346*1, FK$14:FM$25, 3, TRUE)*FM$14</f>
        <v>#VALUE!</v>
      </c>
      <c r="DQ347" s="39" t="e">
        <f>VLOOKUP(DQ346*1, FN$14:FP$25, 3, TRUE)*FP$14</f>
        <v>#VALUE!</v>
      </c>
      <c r="DR347" s="38" t="e">
        <f>VLOOKUP(DR346*1, FQ$14:FS$25, 3, TRUE)*FS$14</f>
        <v>#VALUE!</v>
      </c>
      <c r="DU347" s="41" t="e">
        <f>VLOOKUP(DU346*1, FK$27:FM$38, 3, TRUE)*FM$27</f>
        <v>#VALUE!</v>
      </c>
      <c r="DX347" s="41" t="e">
        <f>VLOOKUP(DX346*1, FN$27:FP$38, 3, TRUE)*FP$27</f>
        <v>#VALUE!</v>
      </c>
      <c r="EA347" s="41" t="e">
        <f>VLOOKUP(EA346*1, FQ$27:FS$38, 3, TRUE)*FS$27</f>
        <v>#VALUE!</v>
      </c>
      <c r="ED347" s="41" t="e">
        <f>VLOOKUP(ED346*1, FT$27:FV$38, 3, TRUE)*FV$27</f>
        <v>#VALUE!</v>
      </c>
      <c r="EE347" s="41" t="e">
        <f>VLOOKUP(EE346*1, FW$27:FY$38, 3, TRUE)*FY$27</f>
        <v>#VALUE!</v>
      </c>
      <c r="EF347" s="41" t="e">
        <f>VLOOKUP(EF346*1, FK$40:FM$51, 3, TRUE)*FM$40</f>
        <v>#VALUE!</v>
      </c>
      <c r="EG347" s="57"/>
      <c r="EK347" s="40" t="e">
        <f>EM347+EO347+EP347+EQ347+ER347-ES347-ET347+EU347</f>
        <v>#VALUE!</v>
      </c>
      <c r="EL347" s="42" t="e">
        <f>EX347+FA347+FD347+FG347+FH347+FI347</f>
        <v>#VALUE!</v>
      </c>
      <c r="EM347" s="38" t="e">
        <f>VLOOKUP(EM346*1, $FK$2:$FM$12, 3, TRUE)*$FM$1</f>
        <v>#VALUE!</v>
      </c>
      <c r="EO347" s="38" t="e">
        <f>VLOOKUP(EO346*1, $FN$2:$FP$12, 3, TRUE)*$FP$1</f>
        <v>#VALUE!</v>
      </c>
      <c r="EP347" s="38" t="e">
        <f>VLOOKUP(EP346*1, $FQ$2:$FS$12, 3, TRUE)*$FS$1</f>
        <v>#VALUE!</v>
      </c>
      <c r="EQ347" s="38" t="e">
        <f>VLOOKUP(EQ346*1, $FT$2:$FV$12, 3, TRUE)*$FV$1</f>
        <v>#VALUE!</v>
      </c>
      <c r="ER347" s="38" t="e">
        <f>VLOOKUP(ER346*1, $FW$2:$FY$12, 3, TRUE)*$FY$1</f>
        <v>#VALUE!</v>
      </c>
      <c r="ES347" s="39" t="e">
        <f>VLOOKUP(ES346*1, $FK$14:$FM$25, 3, TRUE)*$FM$14</f>
        <v>#VALUE!</v>
      </c>
      <c r="ET347" s="39" t="e">
        <f>VLOOKUP(ET346*1, $FN$14:$FP$25, 3, TRUE)*$FP$14</f>
        <v>#VALUE!</v>
      </c>
      <c r="EU347" s="38" t="e">
        <f>VLOOKUP(EU346*1, $FQ$14:$FS$25, 3, TRUE)*$FS$14</f>
        <v>#VALUE!</v>
      </c>
      <c r="EX347" s="41" t="e">
        <f>VLOOKUP(EX346*1, $FK$27:$FM$38, 3, TRUE)*$FM$27</f>
        <v>#VALUE!</v>
      </c>
      <c r="FA347" s="41" t="e">
        <f>VLOOKUP(FA346*1, $FN$27:$FP$38, 3, TRUE)*$FP$27</f>
        <v>#VALUE!</v>
      </c>
      <c r="FD347" s="41" t="e">
        <f>VLOOKUP(FD346*1, $FQ$27:$FS$38, 3, TRUE)*$FS$27</f>
        <v>#VALUE!</v>
      </c>
      <c r="FG347" s="41" t="e">
        <f>VLOOKUP(FG346*1, $FT$27:$FV$38, 3, TRUE)*$FV$27</f>
        <v>#VALUE!</v>
      </c>
      <c r="FH347" s="41" t="e">
        <f>VLOOKUP(FH346*1, $FW$27:$FY$38, 3, TRUE)*$FY$27</f>
        <v>#VALUE!</v>
      </c>
      <c r="FI347" s="41" t="e">
        <f>VLOOKUP(FI346*1, $FK$40:$FM$51, 3, TRUE)*$FM$40</f>
        <v>#VALUE!</v>
      </c>
    </row>
    <row r="348" spans="110:165">
      <c r="DF348" s="37" t="str">
        <f>先發名單!M$13</f>
        <v>Kyle Karros</v>
      </c>
      <c r="DG348" s="4" t="str">
        <f t="array" ref="DG348">IFERROR(INDEX(球員狀態!$C$2:$C$5000, MATCH(1, (球員狀態!$A$2:$A$5000=$DF$331)*(ISNUMBER(SEARCH($DF348, 球員狀態!$B$2:$B$5000))), 0)), "")</f>
        <v/>
      </c>
      <c r="DJ348" s="4" t="str">
        <f t="array" ref="DJ348">IFERROR(INDEX(球員狀態!$F$2:$F$5000,MATCH(1,(球員狀態!$A$2:$A$5000=$DF$331)*(ISNUMBER(SEARCH($DF348,球員狀態!$B$2:$B$5000))),0)),"")</f>
        <v/>
      </c>
      <c r="DK348" s="4" t="str">
        <f t="array" ref="DK348">IFERROR(INDEX(球員狀態!G$2:G$5000, MATCH(1, (球員狀態!$A$2:$A$5000=$DF$1)*(ISNUMBER(SEARCH($DF348, 球員狀態!$B$2:$B$5000))), 0)), "")</f>
        <v/>
      </c>
      <c r="DL348" s="4" t="str">
        <f t="array" ref="DL348">IFERROR(INDEX(球員狀態!H$2:H$5000, MATCH(1, (球員狀態!$A$2:$A$5000=$DF$331)*(ISNUMBER(SEARCH($DF348, 球員狀態!$B$2:$B$5000))), 0)), "")</f>
        <v/>
      </c>
      <c r="DM348" s="4" t="str">
        <f t="array" ref="DM348">IFERROR(INDEX(球員狀態!I$2:I$5000,MATCH(1,(球員狀態!$A$2:$A$5000=$DF$331)*(ISNUMBER(SEARCH($DF348,球員狀態!$B$2:$B$5000))),0)),"")</f>
        <v/>
      </c>
      <c r="DN348" s="4" t="str">
        <f t="array" ref="DN348">IFERROR(INDEX(球員狀態!J$2:J$5000,MATCH(1,(球員狀態!$A$2:$A$5000=$DF$331)*(ISNUMBER(SEARCH($DF348,球員狀態!$B$2:$B$5000))),0)),"")</f>
        <v/>
      </c>
      <c r="DO348" s="4" t="str">
        <f t="array" ref="DO348">IFERROR(INDEX(球員狀態!K$2:K$5000,MATCH(1,(球員狀態!$A$2:$A$5000=$DF$331)*(ISNUMBER(SEARCH($DF348,球員狀態!$B$2:$B$5000))),0)),"")</f>
        <v/>
      </c>
      <c r="DP348" s="4" t="str">
        <f t="array" ref="DP348">IFERROR(INDEX(球員狀態!L$2:L$5000,MATCH(1,(球員狀態!$A$2:$A$5000=$DF$331)*(ISNUMBER(SEARCH($DF348,球員狀態!$B$2:$B$5000))),0)),"")</f>
        <v/>
      </c>
      <c r="DQ348" s="4" t="str">
        <f t="array" ref="DQ348">IFERROR(INDEX(球員狀態!M$2:M$5000,MATCH(1,(球員狀態!$A$2:$A$5000=$DF$331)*(ISNUMBER(SEARCH($DF348,球員狀態!$B$2:$B$5000))),0)),"")</f>
        <v/>
      </c>
      <c r="DR348" s="4" t="str">
        <f t="array" ref="DR348">IFERROR(INDEX(球員狀態!N$2:N$5000,MATCH(1,(球員狀態!$A$2:$A$5000=$DF$331)*(ISNUMBER(SEARCH($DF348,球員狀態!$B$2:$B$5000))),0)),"")</f>
        <v/>
      </c>
      <c r="DS348" s="4" t="str">
        <f t="array" ref="DS348">IFERROR(INDEX(球員狀態!O$2:O$5000, MATCH(1, (球員狀態!$A$2:$A$5000=$DF$1)*(ISNUMBER(SEARCH($DF348, 球員狀態!$B$2:$B$5000))), 0)), "")</f>
        <v/>
      </c>
      <c r="DT348" s="4" t="str">
        <f t="array" ref="DT348">IFERROR(INDEX(球員狀態!P$2:P$5000, MATCH(1, (球員狀態!$A$2:$A$5000=$DF$1)*(ISNUMBER(SEARCH($DF348, 球員狀態!$B$2:$B$5000))), 0)), "")</f>
        <v/>
      </c>
      <c r="DU348" s="4" t="str">
        <f t="array" ref="DU348">IFERROR(INDEX(球員狀態!Q$2:Q$5000,MATCH(1,(球員狀態!$A$2:$A$5000=$DF$331)*(ISNUMBER(SEARCH($DF348,球員狀態!$B$2:$B$5000))),0)),"")</f>
        <v/>
      </c>
      <c r="DV348" s="4" t="str">
        <f t="array" ref="DV348">IFERROR(INDEX(球員狀態!R$2:R$5000, MATCH(1, (球員狀態!$A$2:$A$5000=$DF$1)*(ISNUMBER(SEARCH($DF348, 球員狀態!$B$2:$B$5000))), 0)), "")</f>
        <v/>
      </c>
      <c r="DW348" s="4" t="str">
        <f t="array" ref="DW348">IFERROR(INDEX(球員狀態!S$2:S$5000, MATCH(1, (球員狀態!$A$2:$A$5000=$DF$1)*(ISNUMBER(SEARCH($DF348, 球員狀態!$B$2:$B$5000))), 0)), "")</f>
        <v/>
      </c>
      <c r="DX348" s="4" t="str">
        <f t="array" ref="DX348">IFERROR(INDEX(球員狀態!T$2:T$5000,MATCH(1,(球員狀態!$A$2:$A$5000=$DF$331)*(ISNUMBER(SEARCH($DF348,球員狀態!$B$2:$B$5000))),0)),"")</f>
        <v/>
      </c>
      <c r="DY348" s="4" t="str">
        <f t="array" ref="DY348">IFERROR(INDEX(球員狀態!U$2:U$5000, MATCH(1, (球員狀態!$A$2:$A$5000=$DF$1)*(ISNUMBER(SEARCH($DF348, 球員狀態!$B$2:$B$5000))), 0)), "")</f>
        <v/>
      </c>
      <c r="DZ348" s="4" t="str">
        <f t="array" ref="DZ348">IFERROR(INDEX(球員狀態!V$2:V$5000, MATCH(1, (球員狀態!$A$2:$A$5000=$DF$1)*(ISNUMBER(SEARCH($DF348, 球員狀態!$B$2:$B$5000))), 0)), "")</f>
        <v/>
      </c>
      <c r="EA348" s="4" t="str">
        <f t="array" ref="EA348">IFERROR(INDEX(球員狀態!W$2:W$5000,MATCH(1,(球員狀態!$A$2:$A$5000=$DF$331)*(ISNUMBER(SEARCH($DF348,球員狀態!$B$2:$B$5000))),0)),"")</f>
        <v/>
      </c>
      <c r="EB348" s="4" t="str">
        <f t="array" ref="EB348">IFERROR(INDEX(球員狀態!X$2:X$5000, MATCH(1, (球員狀態!$A$2:$A$5000=$DF$1)*(ISNUMBER(SEARCH($DF348, 球員狀態!$B$2:$B$5000))), 0)), "")</f>
        <v/>
      </c>
      <c r="EC348" s="4" t="str">
        <f t="array" ref="EC348">IFERROR(INDEX(球員狀態!Y$2:Y$5000, MATCH(1, (球員狀態!$A$2:$A$5000=$DF$1)*(ISNUMBER(SEARCH($DF348, 球員狀態!$B$2:$B$5000))), 0)), "")</f>
        <v/>
      </c>
      <c r="ED348" s="4" t="str">
        <f t="array" ref="ED348">IFERROR(INDEX(球員狀態!Z$2:Z$5000,MATCH(1,(球員狀態!$A$2:$A$5000=$DF$331)*(ISNUMBER(SEARCH($DF348,球員狀態!$B$2:$B$5000))),0)),"")</f>
        <v/>
      </c>
      <c r="EE348" s="4" t="str">
        <f t="array" ref="EE348">IFERROR(INDEX(球員狀態!AA$2:AA$5000,MATCH(1,(球員狀態!$A$2:$A$5000=$DF$331)*(ISNUMBER(SEARCH($DF348,球員狀態!$B$2:$B$5000))),0)),"")</f>
        <v/>
      </c>
      <c r="EF348" s="4" t="str">
        <f t="array" ref="EF348">IFERROR(INDEX(球員狀態!AB$2:AB$5000,MATCH(1,(球員狀態!$A$2:$A$5000=$DF$331)*(ISNUMBER(SEARCH($DF348,球員狀態!$B$2:$B$5000))),0)),"")</f>
        <v/>
      </c>
      <c r="EG348" s="56"/>
      <c r="EI348" s="37" t="str">
        <f>先發名單!W$13</f>
        <v>Rece Hinds</v>
      </c>
      <c r="EJ348" s="4" t="str">
        <f t="array" ref="EJ348">IFERROR(INDEX(球員狀態!C$2:C$5000, MATCH(1, (球員狀態!$A$2:$A$5000=$EI$331)*(ISNUMBER(SEARCH($EI348, 球員狀態!$B$2:$B$5000))), 0)), "")</f>
        <v/>
      </c>
      <c r="EM348" s="4" t="str">
        <f t="array" ref="EM348">IFERROR(INDEX(球員狀態!F$2:F$5000, MATCH(1, (球員狀態!$A$2:$A$5000=$EI$331)*(ISNUMBER(SEARCH($EI348, 球員狀態!$B$2:$B$5000))), 0)), "")</f>
        <v/>
      </c>
      <c r="EN348" s="4" t="str">
        <f t="array" ref="EN348">IFERROR(INDEX(球員狀態!G$2:G$5000, MATCH(1, (球員狀態!$A$2:$A$5000=$EI$1)*(ISNUMBER(SEARCH($EI348, 球員狀態!$B$2:$B$5000))), 0)), "")</f>
        <v/>
      </c>
      <c r="EO348" s="4" t="str">
        <f t="array" ref="EO348">IFERROR(INDEX(球員狀態!H$2:H$5000, MATCH(1, (球員狀態!$A$2:$A$5000=$EI$331)*(ISNUMBER(SEARCH($EI348, 球員狀態!$B$2:$B$5000))), 0)), "")</f>
        <v/>
      </c>
      <c r="EP348" s="4" t="str">
        <f t="array" ref="EP348">IFERROR(INDEX(球員狀態!I$2:I$5000, MATCH(1, (球員狀態!$A$2:$A$5000=$EI$331)*(ISNUMBER(SEARCH($EI348, 球員狀態!$B$2:$B$5000))), 0)), "")</f>
        <v/>
      </c>
      <c r="EQ348" s="4" t="str">
        <f t="array" ref="EQ348">IFERROR(INDEX(球員狀態!J$2:J$5000, MATCH(1, (球員狀態!$A$2:$A$5000=$EI$331)*(ISNUMBER(SEARCH($EI348, 球員狀態!$B$2:$B$5000))), 0)), "")</f>
        <v/>
      </c>
      <c r="ER348" s="4" t="str">
        <f t="array" ref="ER348">IFERROR(INDEX(球員狀態!K$2:K$5000, MATCH(1, (球員狀態!$A$2:$A$5000=$EI$331)*(ISNUMBER(SEARCH($EI348, 球員狀態!$B$2:$B$5000))), 0)), "")</f>
        <v/>
      </c>
      <c r="ES348" s="4" t="str">
        <f t="array" ref="ES348">IFERROR(INDEX(球員狀態!L$2:L$5000, MATCH(1, (球員狀態!$A$2:$A$5000=$EI$331)*(ISNUMBER(SEARCH($EI348, 球員狀態!$B$2:$B$5000))), 0)), "")</f>
        <v/>
      </c>
      <c r="ET348" s="4" t="str">
        <f t="array" ref="ET348">IFERROR(INDEX(球員狀態!M$2:M$5000, MATCH(1, (球員狀態!$A$2:$A$5000=$EI$331)*(ISNUMBER(SEARCH($EI348, 球員狀態!$B$2:$B$5000))), 0)), "")</f>
        <v/>
      </c>
      <c r="EU348" s="4" t="str">
        <f t="array" ref="EU348">IFERROR(INDEX(球員狀態!N$2:N$5000, MATCH(1, (球員狀態!$A$2:$A$5000=$EI$331)*(ISNUMBER(SEARCH($EI348, 球員狀態!$B$2:$B$5000))), 0)), "")</f>
        <v/>
      </c>
      <c r="EV348" s="4" t="str">
        <f t="array" ref="EV348">IFERROR(INDEX(球員狀態!O$2:O$5000, MATCH(1, (球員狀態!$A$2:$A$5000=$EI$1)*(ISNUMBER(SEARCH($EI348, 球員狀態!$B$2:$B$5000))), 0)), "")</f>
        <v/>
      </c>
      <c r="EW348" s="4" t="str">
        <f t="array" ref="EW348">IFERROR(INDEX(球員狀態!P$2:P$5000, MATCH(1, (球員狀態!$A$2:$A$5000=$EI$1)*(ISNUMBER(SEARCH($EI348, 球員狀態!$B$2:$B$5000))), 0)), "")</f>
        <v/>
      </c>
      <c r="EX348" s="4" t="str">
        <f t="array" ref="EX348">IFERROR(INDEX(球員狀態!Q$2:Q$5000, MATCH(1, (球員狀態!$A$2:$A$5000=$EI$331)*(ISNUMBER(SEARCH($EI348, 球員狀態!$B$2:$B$5000))), 0)), "")</f>
        <v/>
      </c>
      <c r="EY348" s="4" t="str">
        <f t="array" ref="EY348">IFERROR(INDEX(球員狀態!R$2:R$5000, MATCH(1, (球員狀態!$A$2:$A$5000=$EI$1)*(ISNUMBER(SEARCH($EI348, 球員狀態!$B$2:$B$5000))), 0)), "")</f>
        <v/>
      </c>
      <c r="EZ348" s="4" t="str">
        <f t="array" ref="EZ348">IFERROR(INDEX(球員狀態!S$2:S$5000, MATCH(1, (球員狀態!$A$2:$A$5000=$EI$1)*(ISNUMBER(SEARCH($EI348, 球員狀態!$B$2:$B$5000))), 0)), "")</f>
        <v/>
      </c>
      <c r="FA348" s="4" t="str">
        <f t="array" ref="FA348">IFERROR(INDEX(球員狀態!T$2:T$5000, MATCH(1, (球員狀態!$A$2:$A$5000=$EI$331)*(ISNUMBER(SEARCH($EI348, 球員狀態!$B$2:$B$5000))), 0)), "")</f>
        <v/>
      </c>
      <c r="FB348" s="4" t="str">
        <f t="array" ref="FB348">IFERROR(INDEX(球員狀態!U$2:U$5000, MATCH(1, (球員狀態!$A$2:$A$5000=$EI$1)*(ISNUMBER(SEARCH($EI348, 球員狀態!$B$2:$B$5000))), 0)), "")</f>
        <v/>
      </c>
      <c r="FC348" s="4" t="str">
        <f t="array" ref="FC348">IFERROR(INDEX(球員狀態!V$2:V$5000, MATCH(1, (球員狀態!$A$2:$A$5000=$EI$1)*(ISNUMBER(SEARCH($EI348, 球員狀態!$B$2:$B$5000))), 0)), "")</f>
        <v/>
      </c>
      <c r="FD348" s="4" t="str">
        <f t="array" ref="FD348">IFERROR(INDEX(球員狀態!W$2:W$5000, MATCH(1, (球員狀態!$A$2:$A$5000=$EI$331)*(ISNUMBER(SEARCH($EI348, 球員狀態!$B$2:$B$5000))), 0)), "")</f>
        <v/>
      </c>
      <c r="FE348" s="4" t="str">
        <f t="array" ref="FE348">IFERROR(INDEX(球員狀態!X$2:X$5000, MATCH(1, (球員狀態!$A$2:$A$5000=$EI$1)*(ISNUMBER(SEARCH($EI348, 球員狀態!$B$2:$B$5000))), 0)), "")</f>
        <v/>
      </c>
      <c r="FF348" s="4" t="str">
        <f t="array" ref="FF348">IFERROR(INDEX(球員狀態!Y$2:Y$5000, MATCH(1, (球員狀態!$A$2:$A$5000=$EI$1)*(ISNUMBER(SEARCH($EI348, 球員狀態!$B$2:$B$5000))), 0)), "")</f>
        <v/>
      </c>
      <c r="FG348" s="4" t="str">
        <f t="array" ref="FG348">IFERROR(INDEX(球員狀態!Z$2:Z$5000, MATCH(1, (球員狀態!$A$2:$A$5000=$EI$331)*(ISNUMBER(SEARCH($EI348, 球員狀態!$B$2:$B$5000))), 0)), "")</f>
        <v/>
      </c>
      <c r="FH348" s="4" t="str">
        <f t="array" ref="FH348">IFERROR(INDEX(球員狀態!AA$2:AA$5000, MATCH(1, (球員狀態!$A$2:$A$5000=$EI$331)*(ISNUMBER(SEARCH($EI348, 球員狀態!$B$2:$B$5000))), 0)), "")</f>
        <v/>
      </c>
      <c r="FI348" s="4" t="str">
        <f t="array" ref="FI348">IFERROR(INDEX(球員狀態!AB$2:AB$5000, MATCH(1, (球員狀態!$A$2:$A$5000=$EI$331)*(ISNUMBER(SEARCH($EI348, 球員狀態!$B$2:$B$5000))), 0)), "")</f>
        <v/>
      </c>
    </row>
    <row r="349" spans="110:165">
      <c r="DH349" s="40" t="e">
        <f>DJ349+DL349+DM349+DN349+DO349-DP349-DQ349+DR349</f>
        <v>#VALUE!</v>
      </c>
      <c r="DI349" s="42" t="e">
        <f>DU349+DX349+EA349+ED349+EE349+EF349</f>
        <v>#VALUE!</v>
      </c>
      <c r="DJ349" s="38" t="e">
        <f>VLOOKUP(DJ348*1, FK$2:FM$12, 3, TRUE)*FM$1</f>
        <v>#VALUE!</v>
      </c>
      <c r="DL349" s="38" t="e">
        <f>VLOOKUP(DL348*1, FN$2:FP$12, 3, TRUE)*FP$1</f>
        <v>#VALUE!</v>
      </c>
      <c r="DM349" s="38" t="e">
        <f>VLOOKUP(DM348*1, FQ$2:FS$12, 3, TRUE)*FS$1</f>
        <v>#VALUE!</v>
      </c>
      <c r="DN349" s="38" t="e">
        <f>VLOOKUP(DN348*1, FT$2:FV$12, 3, TRUE)*FV$1</f>
        <v>#VALUE!</v>
      </c>
      <c r="DO349" s="38" t="e">
        <f>VLOOKUP(DO348*1, FW$2:FY$12, 3, TRUE)*FY$1</f>
        <v>#VALUE!</v>
      </c>
      <c r="DP349" s="39" t="e">
        <f>VLOOKUP(DP348*1, FK$14:FM$25, 3, TRUE)*FM$14</f>
        <v>#VALUE!</v>
      </c>
      <c r="DQ349" s="39" t="e">
        <f>VLOOKUP(DQ348*1, FN$14:FP$25, 3, TRUE)*FP$14</f>
        <v>#VALUE!</v>
      </c>
      <c r="DR349" s="38" t="e">
        <f>VLOOKUP(DR348*1, FQ$14:FS$25, 3, TRUE)*FS$14</f>
        <v>#VALUE!</v>
      </c>
      <c r="DU349" s="41" t="e">
        <f>VLOOKUP(DU348*1, FK$27:FM$38, 3, TRUE)*FM$27</f>
        <v>#VALUE!</v>
      </c>
      <c r="DX349" s="41" t="e">
        <f>VLOOKUP(DX348*1, FN$27:FP$38, 3, TRUE)*FP$27</f>
        <v>#VALUE!</v>
      </c>
      <c r="EA349" s="41" t="e">
        <f>VLOOKUP(EA348*1, FQ$27:FS$38, 3, TRUE)*FS$27</f>
        <v>#VALUE!</v>
      </c>
      <c r="ED349" s="41" t="e">
        <f>VLOOKUP(ED348*1, FT$27:FV$38, 3, TRUE)*FV$27</f>
        <v>#VALUE!</v>
      </c>
      <c r="EE349" s="41" t="e">
        <f>VLOOKUP(EE348*1, FW$27:FY$38, 3, TRUE)*FY$27</f>
        <v>#VALUE!</v>
      </c>
      <c r="EF349" s="41" t="e">
        <f>VLOOKUP(EF348*1, FK$40:FM$51, 3, TRUE)*FM$40</f>
        <v>#VALUE!</v>
      </c>
      <c r="EG349" s="57"/>
      <c r="EK349" s="40" t="e">
        <f>EM349+EO349+EP349+EQ349+ER349-ES349-ET349+EU349</f>
        <v>#VALUE!</v>
      </c>
      <c r="EL349" s="42" t="e">
        <f>EX349+FA349+FD349+FG349+FH349+FI349</f>
        <v>#VALUE!</v>
      </c>
      <c r="EM349" s="38" t="e">
        <f>VLOOKUP(EM348*1, $FK$2:$FM$12, 3, TRUE)*$FM$1</f>
        <v>#VALUE!</v>
      </c>
      <c r="EO349" s="38" t="e">
        <f>VLOOKUP(EO348*1, $FN$2:$FP$12, 3, TRUE)*$FP$1</f>
        <v>#VALUE!</v>
      </c>
      <c r="EP349" s="38" t="e">
        <f>VLOOKUP(EP348*1, $FQ$2:$FS$12, 3, TRUE)*$FS$1</f>
        <v>#VALUE!</v>
      </c>
      <c r="EQ349" s="38" t="e">
        <f>VLOOKUP(EQ348*1, $FT$2:$FV$12, 3, TRUE)*$FV$1</f>
        <v>#VALUE!</v>
      </c>
      <c r="ER349" s="38" t="e">
        <f>VLOOKUP(ER348*1, $FW$2:$FY$12, 3, TRUE)*$FY$1</f>
        <v>#VALUE!</v>
      </c>
      <c r="ES349" s="39" t="e">
        <f>VLOOKUP(ES348*1, $FK$14:$FM$25, 3, TRUE)*$FM$14</f>
        <v>#VALUE!</v>
      </c>
      <c r="ET349" s="39" t="e">
        <f>VLOOKUP(ET348*1, $FN$14:$FP$25, 3, TRUE)*$FP$14</f>
        <v>#VALUE!</v>
      </c>
      <c r="EU349" s="38" t="e">
        <f>VLOOKUP(EU348*1, $FQ$14:$FS$25, 3, TRUE)*$FS$14</f>
        <v>#VALUE!</v>
      </c>
      <c r="EX349" s="41" t="e">
        <f>VLOOKUP(EX348*1, $FK$27:$FM$38, 3, TRUE)*$FM$27</f>
        <v>#VALUE!</v>
      </c>
      <c r="FA349" s="41" t="e">
        <f>VLOOKUP(FA348*1, $FN$27:$FP$38, 3, TRUE)*$FP$27</f>
        <v>#VALUE!</v>
      </c>
      <c r="FD349" s="41" t="e">
        <f>VLOOKUP(FD348*1, $FQ$27:$FS$38, 3, TRUE)*$FS$27</f>
        <v>#VALUE!</v>
      </c>
      <c r="FG349" s="41" t="e">
        <f>VLOOKUP(FG348*1, $FT$27:$FV$38, 3, TRUE)*$FV$27</f>
        <v>#VALUE!</v>
      </c>
      <c r="FH349" s="41" t="e">
        <f>VLOOKUP(FH348*1, $FW$27:$FY$38, 3, TRUE)*$FY$27</f>
        <v>#VALUE!</v>
      </c>
      <c r="FI349" s="41" t="e">
        <f>VLOOKUP(FI348*1, $FK$40:$FM$51, 3, TRUE)*$FM$40</f>
        <v>#VALUE!</v>
      </c>
    </row>
    <row r="350" spans="110:165">
      <c r="DF350" s="37" t="e">
        <f>先發名單!#REF!</f>
        <v>#REF!</v>
      </c>
      <c r="DG350" s="4" t="str">
        <f t="array" ref="DG350">IFERROR(INDEX(球員狀態!$C$2:$C$5000, MATCH(1, (球員狀態!$A$2:$A$5000=$DF$331)*(ISNUMBER(SEARCH($DF350, 球員狀態!$B$2:$B$5000))), 0)), "")</f>
        <v/>
      </c>
      <c r="DJ350" s="4" t="str">
        <f t="array" ref="DJ350">IFERROR(INDEX(球員狀態!$F$2:$F$5000,MATCH(1,(球員狀態!$A$2:$A$5000=$DF$331)*(ISNUMBER(SEARCH($DF350,球員狀態!$B$2:$B$5000))),0)),"")</f>
        <v/>
      </c>
      <c r="DK350" s="4" t="str">
        <f t="array" ref="DK350">IFERROR(INDEX(球員狀態!G$2:G$5000, MATCH(1, (球員狀態!$A$2:$A$5000=$DF$1)*(ISNUMBER(SEARCH($DF350, 球員狀態!$B$2:$B$5000))), 0)), "")</f>
        <v/>
      </c>
      <c r="DL350" s="4" t="str">
        <f t="array" ref="DL350">IFERROR(INDEX(球員狀態!H$2:H$5000, MATCH(1, (球員狀態!$A$2:$A$5000=$DF$331)*(ISNUMBER(SEARCH($DF350, 球員狀態!$B$2:$B$5000))), 0)), "")</f>
        <v/>
      </c>
      <c r="DM350" s="4" t="str">
        <f t="array" ref="DM350">IFERROR(INDEX(球員狀態!I$2:I$5000,MATCH(1,(球員狀態!$A$2:$A$5000=$DF$331)*(ISNUMBER(SEARCH($DF350,球員狀態!$B$2:$B$5000))),0)),"")</f>
        <v/>
      </c>
      <c r="DN350" s="4" t="str">
        <f t="array" ref="DN350">IFERROR(INDEX(球員狀態!J$2:J$5000,MATCH(1,(球員狀態!$A$2:$A$5000=$DF$331)*(ISNUMBER(SEARCH($DF350,球員狀態!$B$2:$B$5000))),0)),"")</f>
        <v/>
      </c>
      <c r="DO350" s="4" t="str">
        <f t="array" ref="DO350">IFERROR(INDEX(球員狀態!K$2:K$5000,MATCH(1,(球員狀態!$A$2:$A$5000=$DF$331)*(ISNUMBER(SEARCH($DF350,球員狀態!$B$2:$B$5000))),0)),"")</f>
        <v/>
      </c>
      <c r="DP350" s="4" t="str">
        <f t="array" ref="DP350">IFERROR(INDEX(球員狀態!L$2:L$5000,MATCH(1,(球員狀態!$A$2:$A$5000=$DF$331)*(ISNUMBER(SEARCH($DF350,球員狀態!$B$2:$B$5000))),0)),"")</f>
        <v/>
      </c>
      <c r="DQ350" s="4" t="str">
        <f t="array" ref="DQ350">IFERROR(INDEX(球員狀態!M$2:M$5000,MATCH(1,(球員狀態!$A$2:$A$5000=$DF$331)*(ISNUMBER(SEARCH($DF350,球員狀態!$B$2:$B$5000))),0)),"")</f>
        <v/>
      </c>
      <c r="DR350" s="4" t="str">
        <f t="array" ref="DR350">IFERROR(INDEX(球員狀態!N$2:N$5000,MATCH(1,(球員狀態!$A$2:$A$5000=$DF$331)*(ISNUMBER(SEARCH($DF350,球員狀態!$B$2:$B$5000))),0)),"")</f>
        <v/>
      </c>
      <c r="DS350" s="4" t="str">
        <f t="array" ref="DS350">IFERROR(INDEX(球員狀態!O$2:O$5000, MATCH(1, (球員狀態!$A$2:$A$5000=$DF$1)*(ISNUMBER(SEARCH($DF350, 球員狀態!$B$2:$B$5000))), 0)), "")</f>
        <v/>
      </c>
      <c r="DT350" s="4" t="str">
        <f t="array" ref="DT350">IFERROR(INDEX(球員狀態!P$2:P$5000, MATCH(1, (球員狀態!$A$2:$A$5000=$DF$1)*(ISNUMBER(SEARCH($DF350, 球員狀態!$B$2:$B$5000))), 0)), "")</f>
        <v/>
      </c>
      <c r="DU350" s="4" t="str">
        <f t="array" ref="DU350">IFERROR(INDEX(球員狀態!Q$2:Q$5000,MATCH(1,(球員狀態!$A$2:$A$5000=$DF$331)*(ISNUMBER(SEARCH($DF350,球員狀態!$B$2:$B$5000))),0)),"")</f>
        <v/>
      </c>
      <c r="DV350" s="4" t="str">
        <f t="array" ref="DV350">IFERROR(INDEX(球員狀態!R$2:R$5000, MATCH(1, (球員狀態!$A$2:$A$5000=$DF$1)*(ISNUMBER(SEARCH($DF350, 球員狀態!$B$2:$B$5000))), 0)), "")</f>
        <v/>
      </c>
      <c r="DW350" s="4" t="str">
        <f t="array" ref="DW350">IFERROR(INDEX(球員狀態!S$2:S$5000, MATCH(1, (球員狀態!$A$2:$A$5000=$DF$1)*(ISNUMBER(SEARCH($DF350, 球員狀態!$B$2:$B$5000))), 0)), "")</f>
        <v/>
      </c>
      <c r="DX350" s="4" t="str">
        <f t="array" ref="DX350">IFERROR(INDEX(球員狀態!T$2:T$5000,MATCH(1,(球員狀態!$A$2:$A$5000=$DF$331)*(ISNUMBER(SEARCH($DF350,球員狀態!$B$2:$B$5000))),0)),"")</f>
        <v/>
      </c>
      <c r="DY350" s="4" t="str">
        <f t="array" ref="DY350">IFERROR(INDEX(球員狀態!U$2:U$5000, MATCH(1, (球員狀態!$A$2:$A$5000=$DF$1)*(ISNUMBER(SEARCH($DF350, 球員狀態!$B$2:$B$5000))), 0)), "")</f>
        <v/>
      </c>
      <c r="DZ350" s="4" t="str">
        <f t="array" ref="DZ350">IFERROR(INDEX(球員狀態!V$2:V$5000, MATCH(1, (球員狀態!$A$2:$A$5000=$DF$1)*(ISNUMBER(SEARCH($DF350, 球員狀態!$B$2:$B$5000))), 0)), "")</f>
        <v/>
      </c>
      <c r="EA350" s="4" t="str">
        <f t="array" ref="EA350">IFERROR(INDEX(球員狀態!W$2:W$5000,MATCH(1,(球員狀態!$A$2:$A$5000=$DF$331)*(ISNUMBER(SEARCH($DF350,球員狀態!$B$2:$B$5000))),0)),"")</f>
        <v/>
      </c>
      <c r="EB350" s="4" t="str">
        <f t="array" ref="EB350">IFERROR(INDEX(球員狀態!X$2:X$5000, MATCH(1, (球員狀態!$A$2:$A$5000=$DF$1)*(ISNUMBER(SEARCH($DF350, 球員狀態!$B$2:$B$5000))), 0)), "")</f>
        <v/>
      </c>
      <c r="EC350" s="4" t="str">
        <f t="array" ref="EC350">IFERROR(INDEX(球員狀態!Y$2:Y$5000, MATCH(1, (球員狀態!$A$2:$A$5000=$DF$1)*(ISNUMBER(SEARCH($DF350, 球員狀態!$B$2:$B$5000))), 0)), "")</f>
        <v/>
      </c>
      <c r="ED350" s="4" t="str">
        <f t="array" ref="ED350">IFERROR(INDEX(球員狀態!Z$2:Z$5000,MATCH(1,(球員狀態!$A$2:$A$5000=$DF$331)*(ISNUMBER(SEARCH($DF350,球員狀態!$B$2:$B$5000))),0)),"")</f>
        <v/>
      </c>
      <c r="EE350" s="4" t="str">
        <f t="array" ref="EE350">IFERROR(INDEX(球員狀態!AA$2:AA$5000,MATCH(1,(球員狀態!$A$2:$A$5000=$DF$331)*(ISNUMBER(SEARCH($DF350,球員狀態!$B$2:$B$5000))),0)),"")</f>
        <v/>
      </c>
      <c r="EF350" s="4" t="str">
        <f t="array" ref="EF350">IFERROR(INDEX(球員狀態!AB$2:AB$5000,MATCH(1,(球員狀態!$A$2:$A$5000=$DF$331)*(ISNUMBER(SEARCH($DF350,球員狀態!$B$2:$B$5000))),0)),"")</f>
        <v/>
      </c>
      <c r="EG350" s="56"/>
      <c r="EI350" s="37" t="str">
        <f>先發名單!X$13</f>
        <v>K. Hayes</v>
      </c>
      <c r="EJ350" s="4" t="str">
        <f t="array" ref="EJ350">IFERROR(INDEX(球員狀態!C$2:C$5000, MATCH(1, (球員狀態!$A$2:$A$5000=$EI$331)*(ISNUMBER(SEARCH($EI350, 球員狀態!$B$2:$B$5000))), 0)), "")</f>
        <v/>
      </c>
      <c r="EM350" s="4" t="str">
        <f t="array" ref="EM350">IFERROR(INDEX(球員狀態!F$2:F$5000, MATCH(1, (球員狀態!$A$2:$A$5000=$EI$331)*(ISNUMBER(SEARCH($EI350, 球員狀態!$B$2:$B$5000))), 0)), "")</f>
        <v/>
      </c>
      <c r="EN350" s="4" t="str">
        <f t="array" ref="EN350">IFERROR(INDEX(球員狀態!G$2:G$5000, MATCH(1, (球員狀態!$A$2:$A$5000=$EI$1)*(ISNUMBER(SEARCH($EI350, 球員狀態!$B$2:$B$5000))), 0)), "")</f>
        <v/>
      </c>
      <c r="EO350" s="4" t="str">
        <f t="array" ref="EO350">IFERROR(INDEX(球員狀態!H$2:H$5000, MATCH(1, (球員狀態!$A$2:$A$5000=$EI$331)*(ISNUMBER(SEARCH($EI350, 球員狀態!$B$2:$B$5000))), 0)), "")</f>
        <v/>
      </c>
      <c r="EP350" s="4" t="str">
        <f t="array" ref="EP350">IFERROR(INDEX(球員狀態!I$2:I$5000, MATCH(1, (球員狀態!$A$2:$A$5000=$EI$331)*(ISNUMBER(SEARCH($EI350, 球員狀態!$B$2:$B$5000))), 0)), "")</f>
        <v/>
      </c>
      <c r="EQ350" s="4" t="str">
        <f t="array" ref="EQ350">IFERROR(INDEX(球員狀態!J$2:J$5000, MATCH(1, (球員狀態!$A$2:$A$5000=$EI$331)*(ISNUMBER(SEARCH($EI350, 球員狀態!$B$2:$B$5000))), 0)), "")</f>
        <v/>
      </c>
      <c r="ER350" s="4" t="str">
        <f t="array" ref="ER350">IFERROR(INDEX(球員狀態!K$2:K$5000, MATCH(1, (球員狀態!$A$2:$A$5000=$EI$331)*(ISNUMBER(SEARCH($EI350, 球員狀態!$B$2:$B$5000))), 0)), "")</f>
        <v/>
      </c>
      <c r="ES350" s="4" t="str">
        <f t="array" ref="ES350">IFERROR(INDEX(球員狀態!L$2:L$5000, MATCH(1, (球員狀態!$A$2:$A$5000=$EI$331)*(ISNUMBER(SEARCH($EI350, 球員狀態!$B$2:$B$5000))), 0)), "")</f>
        <v/>
      </c>
      <c r="ET350" s="4" t="str">
        <f t="array" ref="ET350">IFERROR(INDEX(球員狀態!M$2:M$5000, MATCH(1, (球員狀態!$A$2:$A$5000=$EI$331)*(ISNUMBER(SEARCH($EI350, 球員狀態!$B$2:$B$5000))), 0)), "")</f>
        <v/>
      </c>
      <c r="EU350" s="4" t="str">
        <f t="array" ref="EU350">IFERROR(INDEX(球員狀態!N$2:N$5000, MATCH(1, (球員狀態!$A$2:$A$5000=$EI$331)*(ISNUMBER(SEARCH($EI350, 球員狀態!$B$2:$B$5000))), 0)), "")</f>
        <v/>
      </c>
      <c r="EV350" s="4" t="str">
        <f t="array" ref="EV350">IFERROR(INDEX(球員狀態!O$2:O$5000, MATCH(1, (球員狀態!$A$2:$A$5000=$EI$1)*(ISNUMBER(SEARCH($EI350, 球員狀態!$B$2:$B$5000))), 0)), "")</f>
        <v/>
      </c>
      <c r="EW350" s="4" t="str">
        <f t="array" ref="EW350">IFERROR(INDEX(球員狀態!P$2:P$5000, MATCH(1, (球員狀態!$A$2:$A$5000=$EI$1)*(ISNUMBER(SEARCH($EI350, 球員狀態!$B$2:$B$5000))), 0)), "")</f>
        <v/>
      </c>
      <c r="EX350" s="4" t="str">
        <f t="array" ref="EX350">IFERROR(INDEX(球員狀態!Q$2:Q$5000, MATCH(1, (球員狀態!$A$2:$A$5000=$EI$331)*(ISNUMBER(SEARCH($EI350, 球員狀態!$B$2:$B$5000))), 0)), "")</f>
        <v/>
      </c>
      <c r="EY350" s="4" t="str">
        <f t="array" ref="EY350">IFERROR(INDEX(球員狀態!R$2:R$5000, MATCH(1, (球員狀態!$A$2:$A$5000=$EI$1)*(ISNUMBER(SEARCH($EI350, 球員狀態!$B$2:$B$5000))), 0)), "")</f>
        <v/>
      </c>
      <c r="EZ350" s="4" t="str">
        <f t="array" ref="EZ350">IFERROR(INDEX(球員狀態!S$2:S$5000, MATCH(1, (球員狀態!$A$2:$A$5000=$EI$1)*(ISNUMBER(SEARCH($EI350, 球員狀態!$B$2:$B$5000))), 0)), "")</f>
        <v/>
      </c>
      <c r="FA350" s="4" t="str">
        <f t="array" ref="FA350">IFERROR(INDEX(球員狀態!T$2:T$5000, MATCH(1, (球員狀態!$A$2:$A$5000=$EI$331)*(ISNUMBER(SEARCH($EI350, 球員狀態!$B$2:$B$5000))), 0)), "")</f>
        <v/>
      </c>
      <c r="FB350" s="4" t="str">
        <f t="array" ref="FB350">IFERROR(INDEX(球員狀態!U$2:U$5000, MATCH(1, (球員狀態!$A$2:$A$5000=$EI$1)*(ISNUMBER(SEARCH($EI350, 球員狀態!$B$2:$B$5000))), 0)), "")</f>
        <v/>
      </c>
      <c r="FC350" s="4" t="str">
        <f t="array" ref="FC350">IFERROR(INDEX(球員狀態!V$2:V$5000, MATCH(1, (球員狀態!$A$2:$A$5000=$EI$1)*(ISNUMBER(SEARCH($EI350, 球員狀態!$B$2:$B$5000))), 0)), "")</f>
        <v/>
      </c>
      <c r="FD350" s="4" t="str">
        <f t="array" ref="FD350">IFERROR(INDEX(球員狀態!W$2:W$5000, MATCH(1, (球員狀態!$A$2:$A$5000=$EI$331)*(ISNUMBER(SEARCH($EI350, 球員狀態!$B$2:$B$5000))), 0)), "")</f>
        <v/>
      </c>
      <c r="FE350" s="4" t="str">
        <f t="array" ref="FE350">IFERROR(INDEX(球員狀態!X$2:X$5000, MATCH(1, (球員狀態!$A$2:$A$5000=$EI$1)*(ISNUMBER(SEARCH($EI350, 球員狀態!$B$2:$B$5000))), 0)), "")</f>
        <v/>
      </c>
      <c r="FF350" s="4" t="str">
        <f t="array" ref="FF350">IFERROR(INDEX(球員狀態!Y$2:Y$5000, MATCH(1, (球員狀態!$A$2:$A$5000=$EI$1)*(ISNUMBER(SEARCH($EI350, 球員狀態!$B$2:$B$5000))), 0)), "")</f>
        <v/>
      </c>
      <c r="FG350" s="4" t="str">
        <f t="array" ref="FG350">IFERROR(INDEX(球員狀態!Z$2:Z$5000, MATCH(1, (球員狀態!$A$2:$A$5000=$EI$331)*(ISNUMBER(SEARCH($EI350, 球員狀態!$B$2:$B$5000))), 0)), "")</f>
        <v/>
      </c>
      <c r="FH350" s="4" t="str">
        <f t="array" ref="FH350">IFERROR(INDEX(球員狀態!AA$2:AA$5000, MATCH(1, (球員狀態!$A$2:$A$5000=$EI$331)*(ISNUMBER(SEARCH($EI350, 球員狀態!$B$2:$B$5000))), 0)), "")</f>
        <v/>
      </c>
      <c r="FI350" s="4" t="str">
        <f t="array" ref="FI350">IFERROR(INDEX(球員狀態!AB$2:AB$5000, MATCH(1, (球員狀態!$A$2:$A$5000=$EI$331)*(ISNUMBER(SEARCH($EI350, 球員狀態!$B$2:$B$5000))), 0)), "")</f>
        <v/>
      </c>
    </row>
    <row r="351" spans="110:165">
      <c r="DH351" s="40" t="e">
        <f>DJ351+DL351+DM351+DN351+DO351-DP351-DQ351+DR351</f>
        <v>#VALUE!</v>
      </c>
      <c r="DI351" s="42" t="e">
        <f>DU351+DX351+EA351+ED351+EE351+EF351</f>
        <v>#VALUE!</v>
      </c>
      <c r="DJ351" s="38" t="e">
        <f>VLOOKUP(DJ350*1, FK$2:FM$12, 3, TRUE)*FM$1</f>
        <v>#VALUE!</v>
      </c>
      <c r="DL351" s="38" t="e">
        <f>VLOOKUP(DL350*1, FN$2:FP$12, 3, TRUE)*FP$1</f>
        <v>#VALUE!</v>
      </c>
      <c r="DM351" s="38" t="e">
        <f>VLOOKUP(DM350*1, FQ$2:FS$12, 3, TRUE)*FS$1</f>
        <v>#VALUE!</v>
      </c>
      <c r="DN351" s="38" t="e">
        <f>VLOOKUP(DN350*1, FT$2:FV$12, 3, TRUE)*FV$1</f>
        <v>#VALUE!</v>
      </c>
      <c r="DO351" s="38" t="e">
        <f>VLOOKUP(DO350*1, FW$2:FY$12, 3, TRUE)*FY$1</f>
        <v>#VALUE!</v>
      </c>
      <c r="DP351" s="39" t="e">
        <f>VLOOKUP(DP350*1, FK$14:FM$25, 3, TRUE)*FM$14</f>
        <v>#VALUE!</v>
      </c>
      <c r="DQ351" s="39" t="e">
        <f>VLOOKUP(DQ350*1, FN$14:FP$25, 3, TRUE)*FP$14</f>
        <v>#VALUE!</v>
      </c>
      <c r="DR351" s="38" t="e">
        <f>VLOOKUP(DR350*1, FQ$14:FS$25, 3, TRUE)*FS$14</f>
        <v>#VALUE!</v>
      </c>
      <c r="DU351" s="41" t="e">
        <f>VLOOKUP(DU350*1, FK$27:FM$38, 3, TRUE)*FM$27</f>
        <v>#VALUE!</v>
      </c>
      <c r="DX351" s="41" t="e">
        <f>VLOOKUP(DX350*1, FN$27:FP$38, 3, TRUE)*FP$27</f>
        <v>#VALUE!</v>
      </c>
      <c r="EA351" s="41" t="e">
        <f>VLOOKUP(EA350*1, FQ$27:FS$38, 3, TRUE)*FS$27</f>
        <v>#VALUE!</v>
      </c>
      <c r="ED351" s="41" t="e">
        <f>VLOOKUP(ED350*1, FT$27:FV$38, 3, TRUE)*FV$27</f>
        <v>#VALUE!</v>
      </c>
      <c r="EE351" s="41" t="e">
        <f>VLOOKUP(EE350*1, FW$27:FY$38, 3, TRUE)*FY$27</f>
        <v>#VALUE!</v>
      </c>
      <c r="EF351" s="41" t="e">
        <f>VLOOKUP(EF350*1, FK$40:FM$51, 3, TRUE)*FM$40</f>
        <v>#VALUE!</v>
      </c>
      <c r="EG351" s="57"/>
      <c r="EK351" s="40" t="e">
        <f>EM351+EO351+EP351+EQ351+ER351-ES351-ET351+EU351</f>
        <v>#VALUE!</v>
      </c>
      <c r="EL351" s="42" t="e">
        <f>EX351+FA351+FD351+FG351+FH351+FI351</f>
        <v>#VALUE!</v>
      </c>
      <c r="EM351" s="38" t="e">
        <f>VLOOKUP(EM350*1, $FK$2:$FM$12, 3, TRUE)*$FM$1</f>
        <v>#VALUE!</v>
      </c>
      <c r="EO351" s="38" t="e">
        <f>VLOOKUP(EO350*1, $FN$2:$FP$12, 3, TRUE)*$FP$1</f>
        <v>#VALUE!</v>
      </c>
      <c r="EP351" s="38" t="e">
        <f>VLOOKUP(EP350*1, $FQ$2:$FS$12, 3, TRUE)*$FS$1</f>
        <v>#VALUE!</v>
      </c>
      <c r="EQ351" s="38" t="e">
        <f>VLOOKUP(EQ350*1, $FT$2:$FV$12, 3, TRUE)*$FV$1</f>
        <v>#VALUE!</v>
      </c>
      <c r="ER351" s="38" t="e">
        <f>VLOOKUP(ER350*1, $FW$2:$FY$12, 3, TRUE)*$FY$1</f>
        <v>#VALUE!</v>
      </c>
      <c r="ES351" s="39" t="e">
        <f>VLOOKUP(ES350*1, $FK$14:$FM$25, 3, TRUE)*$FM$14</f>
        <v>#VALUE!</v>
      </c>
      <c r="ET351" s="39" t="e">
        <f>VLOOKUP(ET350*1, $FN$14:$FP$25, 3, TRUE)*$FP$14</f>
        <v>#VALUE!</v>
      </c>
      <c r="EU351" s="38" t="e">
        <f>VLOOKUP(EU350*1, $FQ$14:$FS$25, 3, TRUE)*$FS$14</f>
        <v>#VALUE!</v>
      </c>
      <c r="EX351" s="41" t="e">
        <f>VLOOKUP(EX350*1, $FK$27:$FM$38, 3, TRUE)*$FM$27</f>
        <v>#VALUE!</v>
      </c>
      <c r="FA351" s="41" t="e">
        <f>VLOOKUP(FA350*1, $FN$27:$FP$38, 3, TRUE)*$FP$27</f>
        <v>#VALUE!</v>
      </c>
      <c r="FD351" s="41" t="e">
        <f>VLOOKUP(FD350*1, $FQ$27:$FS$38, 3, TRUE)*$FS$27</f>
        <v>#VALUE!</v>
      </c>
      <c r="FG351" s="41" t="e">
        <f>VLOOKUP(FG350*1, $FT$27:$FV$38, 3, TRUE)*$FV$27</f>
        <v>#VALUE!</v>
      </c>
      <c r="FH351" s="41" t="e">
        <f>VLOOKUP(FH350*1, $FW$27:$FY$38, 3, TRUE)*$FY$27</f>
        <v>#VALUE!</v>
      </c>
      <c r="FI351" s="41" t="e">
        <f>VLOOKUP(FI350*1, $FK$40:$FM$51, 3, TRUE)*$FM$40</f>
        <v>#VALUE!</v>
      </c>
    </row>
    <row r="352" spans="110:165">
      <c r="DF352" s="37" t="e">
        <f>先發名單!#REF!</f>
        <v>#REF!</v>
      </c>
      <c r="DG352" s="4" t="str">
        <f t="array" ref="DG352">IFERROR(INDEX(球員狀態!$C$2:$C$5000, MATCH(1, (球員狀態!$A$2:$A$5000=$DF$331)*(ISNUMBER(SEARCH($DF352, 球員狀態!$B$2:$B$5000))), 0)), "")</f>
        <v/>
      </c>
      <c r="DJ352" s="4" t="str">
        <f t="array" ref="DJ352">IFERROR(INDEX(球員狀態!$F$2:$F$5000,MATCH(1,(球員狀態!$A$2:$A$5000=$DF$331)*(ISNUMBER(SEARCH($DF352,球員狀態!$B$2:$B$5000))),0)),"")</f>
        <v/>
      </c>
      <c r="DK352" s="4" t="str">
        <f t="array" ref="DK352">IFERROR(INDEX(球員狀態!G$2:G$5000, MATCH(1, (球員狀態!$A$2:$A$5000=$DF$1)*(ISNUMBER(SEARCH($DF352, 球員狀態!$B$2:$B$5000))), 0)), "")</f>
        <v/>
      </c>
      <c r="DL352" s="4" t="str">
        <f t="array" ref="DL352">IFERROR(INDEX(球員狀態!H$2:H$5000, MATCH(1, (球員狀態!$A$2:$A$5000=$DF$331)*(ISNUMBER(SEARCH($DF352, 球員狀態!$B$2:$B$5000))), 0)), "")</f>
        <v/>
      </c>
      <c r="DM352" s="4" t="str">
        <f t="array" ref="DM352">IFERROR(INDEX(球員狀態!I$2:I$5000,MATCH(1,(球員狀態!$A$2:$A$5000=$DF$331)*(ISNUMBER(SEARCH($DF352,球員狀態!$B$2:$B$5000))),0)),"")</f>
        <v/>
      </c>
      <c r="DN352" s="4" t="str">
        <f t="array" ref="DN352">IFERROR(INDEX(球員狀態!J$2:J$5000,MATCH(1,(球員狀態!$A$2:$A$5000=$DF$331)*(ISNUMBER(SEARCH($DF352,球員狀態!$B$2:$B$5000))),0)),"")</f>
        <v/>
      </c>
      <c r="DO352" s="4" t="str">
        <f t="array" ref="DO352">IFERROR(INDEX(球員狀態!K$2:K$5000,MATCH(1,(球員狀態!$A$2:$A$5000=$DF$331)*(ISNUMBER(SEARCH($DF352,球員狀態!$B$2:$B$5000))),0)),"")</f>
        <v/>
      </c>
      <c r="DP352" s="4" t="str">
        <f t="array" ref="DP352">IFERROR(INDEX(球員狀態!L$2:L$5000,MATCH(1,(球員狀態!$A$2:$A$5000=$DF$331)*(ISNUMBER(SEARCH($DF352,球員狀態!$B$2:$B$5000))),0)),"")</f>
        <v/>
      </c>
      <c r="DQ352" s="4" t="str">
        <f t="array" ref="DQ352">IFERROR(INDEX(球員狀態!M$2:M$5000,MATCH(1,(球員狀態!$A$2:$A$5000=$DF$331)*(ISNUMBER(SEARCH($DF352,球員狀態!$B$2:$B$5000))),0)),"")</f>
        <v/>
      </c>
      <c r="DR352" s="4" t="str">
        <f t="array" ref="DR352">IFERROR(INDEX(球員狀態!N$2:N$5000,MATCH(1,(球員狀態!$A$2:$A$5000=$DF$331)*(ISNUMBER(SEARCH($DF352,球員狀態!$B$2:$B$5000))),0)),"")</f>
        <v/>
      </c>
      <c r="DS352" s="4" t="str">
        <f t="array" ref="DS352">IFERROR(INDEX(球員狀態!O$2:O$5000, MATCH(1, (球員狀態!$A$2:$A$5000=$DF$1)*(ISNUMBER(SEARCH($DF352, 球員狀態!$B$2:$B$5000))), 0)), "")</f>
        <v/>
      </c>
      <c r="DT352" s="4" t="str">
        <f t="array" ref="DT352">IFERROR(INDEX(球員狀態!P$2:P$5000, MATCH(1, (球員狀態!$A$2:$A$5000=$DF$1)*(ISNUMBER(SEARCH($DF352, 球員狀態!$B$2:$B$5000))), 0)), "")</f>
        <v/>
      </c>
      <c r="DU352" s="4" t="str">
        <f t="array" ref="DU352">IFERROR(INDEX(球員狀態!Q$2:Q$5000,MATCH(1,(球員狀態!$A$2:$A$5000=$DF$331)*(ISNUMBER(SEARCH($DF352,球員狀態!$B$2:$B$5000))),0)),"")</f>
        <v/>
      </c>
      <c r="DV352" s="4" t="str">
        <f t="array" ref="DV352">IFERROR(INDEX(球員狀態!R$2:R$5000, MATCH(1, (球員狀態!$A$2:$A$5000=$DF$1)*(ISNUMBER(SEARCH($DF352, 球員狀態!$B$2:$B$5000))), 0)), "")</f>
        <v/>
      </c>
      <c r="DW352" s="4" t="str">
        <f t="array" ref="DW352">IFERROR(INDEX(球員狀態!S$2:S$5000, MATCH(1, (球員狀態!$A$2:$A$5000=$DF$1)*(ISNUMBER(SEARCH($DF352, 球員狀態!$B$2:$B$5000))), 0)), "")</f>
        <v/>
      </c>
      <c r="DX352" s="4" t="str">
        <f t="array" ref="DX352">IFERROR(INDEX(球員狀態!T$2:T$5000,MATCH(1,(球員狀態!$A$2:$A$5000=$DF$331)*(ISNUMBER(SEARCH($DF352,球員狀態!$B$2:$B$5000))),0)),"")</f>
        <v/>
      </c>
      <c r="DY352" s="4" t="str">
        <f t="array" ref="DY352">IFERROR(INDEX(球員狀態!U$2:U$5000, MATCH(1, (球員狀態!$A$2:$A$5000=$DF$1)*(ISNUMBER(SEARCH($DF352, 球員狀態!$B$2:$B$5000))), 0)), "")</f>
        <v/>
      </c>
      <c r="DZ352" s="4" t="str">
        <f t="array" ref="DZ352">IFERROR(INDEX(球員狀態!V$2:V$5000, MATCH(1, (球員狀態!$A$2:$A$5000=$DF$1)*(ISNUMBER(SEARCH($DF352, 球員狀態!$B$2:$B$5000))), 0)), "")</f>
        <v/>
      </c>
      <c r="EA352" s="4" t="str">
        <f t="array" ref="EA352">IFERROR(INDEX(球員狀態!W$2:W$5000,MATCH(1,(球員狀態!$A$2:$A$5000=$DF$331)*(ISNUMBER(SEARCH($DF352,球員狀態!$B$2:$B$5000))),0)),"")</f>
        <v/>
      </c>
      <c r="EB352" s="4" t="str">
        <f t="array" ref="EB352">IFERROR(INDEX(球員狀態!X$2:X$5000, MATCH(1, (球員狀態!$A$2:$A$5000=$DF$1)*(ISNUMBER(SEARCH($DF352, 球員狀態!$B$2:$B$5000))), 0)), "")</f>
        <v/>
      </c>
      <c r="EC352" s="4" t="str">
        <f t="array" ref="EC352">IFERROR(INDEX(球員狀態!Y$2:Y$5000, MATCH(1, (球員狀態!$A$2:$A$5000=$DF$1)*(ISNUMBER(SEARCH($DF352, 球員狀態!$B$2:$B$5000))), 0)), "")</f>
        <v/>
      </c>
      <c r="ED352" s="4" t="str">
        <f t="array" ref="ED352">IFERROR(INDEX(球員狀態!Z$2:Z$5000,MATCH(1,(球員狀態!$A$2:$A$5000=$DF$331)*(ISNUMBER(SEARCH($DF352,球員狀態!$B$2:$B$5000))),0)),"")</f>
        <v/>
      </c>
      <c r="EE352" s="4" t="str">
        <f t="array" ref="EE352">IFERROR(INDEX(球員狀態!AA$2:AA$5000,MATCH(1,(球員狀態!$A$2:$A$5000=$DF$331)*(ISNUMBER(SEARCH($DF352,球員狀態!$B$2:$B$5000))),0)),"")</f>
        <v/>
      </c>
      <c r="EF352" s="4" t="str">
        <f t="array" ref="EF352">IFERROR(INDEX(球員狀態!AB$2:AB$5000,MATCH(1,(球員狀態!$A$2:$A$5000=$DF$331)*(ISNUMBER(SEARCH($DF352,球員狀態!$B$2:$B$5000))),0)),"")</f>
        <v/>
      </c>
      <c r="EG352" s="56"/>
      <c r="EI352" s="37">
        <f>先發名單!Y$13</f>
        <v>0</v>
      </c>
      <c r="EJ352" s="4" t="str">
        <f t="array" ref="EJ352">IFERROR(INDEX(球員狀態!C$2:C$5000, MATCH(1, (球員狀態!$A$2:$A$5000=$EI$331)*(ISNUMBER(SEARCH($EI352, 球員狀態!$B$2:$B$5000))), 0)), "")</f>
        <v/>
      </c>
      <c r="EM352" s="4" t="str">
        <f t="array" ref="EM352">IFERROR(INDEX(球員狀態!F$2:F$5000, MATCH(1, (球員狀態!$A$2:$A$5000=$EI$331)*(ISNUMBER(SEARCH($EI352, 球員狀態!$B$2:$B$5000))), 0)), "")</f>
        <v/>
      </c>
      <c r="EN352" s="4" t="str">
        <f t="array" ref="EN352">IFERROR(INDEX(球員狀態!G$2:G$5000, MATCH(1, (球員狀態!$A$2:$A$5000=$EI$1)*(ISNUMBER(SEARCH($EI352, 球員狀態!$B$2:$B$5000))), 0)), "")</f>
        <v/>
      </c>
      <c r="EO352" s="4" t="str">
        <f t="array" ref="EO352">IFERROR(INDEX(球員狀態!H$2:H$5000, MATCH(1, (球員狀態!$A$2:$A$5000=$EI$331)*(ISNUMBER(SEARCH($EI352, 球員狀態!$B$2:$B$5000))), 0)), "")</f>
        <v/>
      </c>
      <c r="EP352" s="4" t="str">
        <f t="array" ref="EP352">IFERROR(INDEX(球員狀態!I$2:I$5000, MATCH(1, (球員狀態!$A$2:$A$5000=$EI$331)*(ISNUMBER(SEARCH($EI352, 球員狀態!$B$2:$B$5000))), 0)), "")</f>
        <v/>
      </c>
      <c r="EQ352" s="4" t="str">
        <f t="array" ref="EQ352">IFERROR(INDEX(球員狀態!J$2:J$5000, MATCH(1, (球員狀態!$A$2:$A$5000=$EI$331)*(ISNUMBER(SEARCH($EI352, 球員狀態!$B$2:$B$5000))), 0)), "")</f>
        <v/>
      </c>
      <c r="ER352" s="4" t="str">
        <f t="array" ref="ER352">IFERROR(INDEX(球員狀態!K$2:K$5000, MATCH(1, (球員狀態!$A$2:$A$5000=$EI$331)*(ISNUMBER(SEARCH($EI352, 球員狀態!$B$2:$B$5000))), 0)), "")</f>
        <v/>
      </c>
      <c r="ES352" s="4" t="str">
        <f t="array" ref="ES352">IFERROR(INDEX(球員狀態!L$2:L$5000, MATCH(1, (球員狀態!$A$2:$A$5000=$EI$331)*(ISNUMBER(SEARCH($EI352, 球員狀態!$B$2:$B$5000))), 0)), "")</f>
        <v/>
      </c>
      <c r="ET352" s="4" t="str">
        <f t="array" ref="ET352">IFERROR(INDEX(球員狀態!M$2:M$5000, MATCH(1, (球員狀態!$A$2:$A$5000=$EI$331)*(ISNUMBER(SEARCH($EI352, 球員狀態!$B$2:$B$5000))), 0)), "")</f>
        <v/>
      </c>
      <c r="EU352" s="4" t="str">
        <f t="array" ref="EU352">IFERROR(INDEX(球員狀態!N$2:N$5000, MATCH(1, (球員狀態!$A$2:$A$5000=$EI$331)*(ISNUMBER(SEARCH($EI352, 球員狀態!$B$2:$B$5000))), 0)), "")</f>
        <v/>
      </c>
      <c r="EV352" s="4" t="str">
        <f t="array" ref="EV352">IFERROR(INDEX(球員狀態!O$2:O$5000, MATCH(1, (球員狀態!$A$2:$A$5000=$EI$1)*(ISNUMBER(SEARCH($EI352, 球員狀態!$B$2:$B$5000))), 0)), "")</f>
        <v/>
      </c>
      <c r="EW352" s="4" t="str">
        <f t="array" ref="EW352">IFERROR(INDEX(球員狀態!P$2:P$5000, MATCH(1, (球員狀態!$A$2:$A$5000=$EI$1)*(ISNUMBER(SEARCH($EI352, 球員狀態!$B$2:$B$5000))), 0)), "")</f>
        <v/>
      </c>
      <c r="EX352" s="4" t="str">
        <f t="array" ref="EX352">IFERROR(INDEX(球員狀態!Q$2:Q$5000, MATCH(1, (球員狀態!$A$2:$A$5000=$EI$331)*(ISNUMBER(SEARCH($EI352, 球員狀態!$B$2:$B$5000))), 0)), "")</f>
        <v/>
      </c>
      <c r="EY352" s="4" t="str">
        <f t="array" ref="EY352">IFERROR(INDEX(球員狀態!R$2:R$5000, MATCH(1, (球員狀態!$A$2:$A$5000=$EI$1)*(ISNUMBER(SEARCH($EI352, 球員狀態!$B$2:$B$5000))), 0)), "")</f>
        <v/>
      </c>
      <c r="EZ352" s="4" t="str">
        <f t="array" ref="EZ352">IFERROR(INDEX(球員狀態!S$2:S$5000, MATCH(1, (球員狀態!$A$2:$A$5000=$EI$1)*(ISNUMBER(SEARCH($EI352, 球員狀態!$B$2:$B$5000))), 0)), "")</f>
        <v/>
      </c>
      <c r="FA352" s="4" t="str">
        <f t="array" ref="FA352">IFERROR(INDEX(球員狀態!T$2:T$5000, MATCH(1, (球員狀態!$A$2:$A$5000=$EI$331)*(ISNUMBER(SEARCH($EI352, 球員狀態!$B$2:$B$5000))), 0)), "")</f>
        <v/>
      </c>
      <c r="FB352" s="4" t="str">
        <f t="array" ref="FB352">IFERROR(INDEX(球員狀態!U$2:U$5000, MATCH(1, (球員狀態!$A$2:$A$5000=$EI$1)*(ISNUMBER(SEARCH($EI352, 球員狀態!$B$2:$B$5000))), 0)), "")</f>
        <v/>
      </c>
      <c r="FC352" s="4" t="str">
        <f t="array" ref="FC352">IFERROR(INDEX(球員狀態!V$2:V$5000, MATCH(1, (球員狀態!$A$2:$A$5000=$EI$1)*(ISNUMBER(SEARCH($EI352, 球員狀態!$B$2:$B$5000))), 0)), "")</f>
        <v/>
      </c>
      <c r="FD352" s="4" t="str">
        <f t="array" ref="FD352">IFERROR(INDEX(球員狀態!W$2:W$5000, MATCH(1, (球員狀態!$A$2:$A$5000=$EI$331)*(ISNUMBER(SEARCH($EI352, 球員狀態!$B$2:$B$5000))), 0)), "")</f>
        <v/>
      </c>
      <c r="FE352" s="4" t="str">
        <f t="array" ref="FE352">IFERROR(INDEX(球員狀態!X$2:X$5000, MATCH(1, (球員狀態!$A$2:$A$5000=$EI$1)*(ISNUMBER(SEARCH($EI352, 球員狀態!$B$2:$B$5000))), 0)), "")</f>
        <v/>
      </c>
      <c r="FF352" s="4" t="str">
        <f t="array" ref="FF352">IFERROR(INDEX(球員狀態!Y$2:Y$5000, MATCH(1, (球員狀態!$A$2:$A$5000=$EI$1)*(ISNUMBER(SEARCH($EI352, 球員狀態!$B$2:$B$5000))), 0)), "")</f>
        <v/>
      </c>
      <c r="FG352" s="4" t="str">
        <f t="array" ref="FG352">IFERROR(INDEX(球員狀態!Z$2:Z$5000, MATCH(1, (球員狀態!$A$2:$A$5000=$EI$331)*(ISNUMBER(SEARCH($EI352, 球員狀態!$B$2:$B$5000))), 0)), "")</f>
        <v/>
      </c>
      <c r="FH352" s="4" t="str">
        <f t="array" ref="FH352">IFERROR(INDEX(球員狀態!AA$2:AA$5000, MATCH(1, (球員狀態!$A$2:$A$5000=$EI$331)*(ISNUMBER(SEARCH($EI352, 球員狀態!$B$2:$B$5000))), 0)), "")</f>
        <v/>
      </c>
      <c r="FI352" s="4" t="str">
        <f t="array" ref="FI352">IFERROR(INDEX(球員狀態!AB$2:AB$5000, MATCH(1, (球員狀態!$A$2:$A$5000=$EI$331)*(ISNUMBER(SEARCH($EI352, 球員狀態!$B$2:$B$5000))), 0)), "")</f>
        <v/>
      </c>
    </row>
    <row r="353" spans="110:165">
      <c r="DH353" s="40" t="e">
        <f>DJ353+DL353+DM353+DN353+DO353-DP353-DQ353+DR353</f>
        <v>#VALUE!</v>
      </c>
      <c r="DI353" s="42" t="e">
        <f>DU353+DX353+EA353+ED353+EE353+EF353</f>
        <v>#VALUE!</v>
      </c>
      <c r="DJ353" s="38" t="e">
        <f>VLOOKUP(DJ352*1, FK$2:FM$12, 3, TRUE)*FM$1</f>
        <v>#VALUE!</v>
      </c>
      <c r="DL353" s="38" t="e">
        <f>VLOOKUP(DL352*1, FN$2:FP$12, 3, TRUE)*FP$1</f>
        <v>#VALUE!</v>
      </c>
      <c r="DM353" s="38" t="e">
        <f>VLOOKUP(DM352*1, FQ$2:FS$12, 3, TRUE)*FS$1</f>
        <v>#VALUE!</v>
      </c>
      <c r="DN353" s="38" t="e">
        <f>VLOOKUP(DN352*1, FT$2:FV$12, 3, TRUE)*FV$1</f>
        <v>#VALUE!</v>
      </c>
      <c r="DO353" s="38" t="e">
        <f>VLOOKUP(DO352*1, FW$2:FY$12, 3, TRUE)*FY$1</f>
        <v>#VALUE!</v>
      </c>
      <c r="DP353" s="39" t="e">
        <f>VLOOKUP(DP352*1, FK$14:FM$25, 3, TRUE)*FM$14</f>
        <v>#VALUE!</v>
      </c>
      <c r="DQ353" s="39" t="e">
        <f>VLOOKUP(DQ352*1, FN$14:FP$25, 3, TRUE)*FP$14</f>
        <v>#VALUE!</v>
      </c>
      <c r="DR353" s="38" t="e">
        <f>VLOOKUP(DR352*1, FQ$14:FS$25, 3, TRUE)*FS$14</f>
        <v>#VALUE!</v>
      </c>
      <c r="DU353" s="41" t="e">
        <f>VLOOKUP(DU352*1, FK$27:FM$38, 3, TRUE)*FM$27</f>
        <v>#VALUE!</v>
      </c>
      <c r="DX353" s="41" t="e">
        <f>VLOOKUP(DX352*1, FN$27:FP$38, 3, TRUE)*FP$27</f>
        <v>#VALUE!</v>
      </c>
      <c r="EA353" s="41" t="e">
        <f>VLOOKUP(EA352*1, FQ$27:FS$38, 3, TRUE)*FS$27</f>
        <v>#VALUE!</v>
      </c>
      <c r="ED353" s="41" t="e">
        <f>VLOOKUP(ED352*1, FT$27:FV$38, 3, TRUE)*FV$27</f>
        <v>#VALUE!</v>
      </c>
      <c r="EE353" s="41" t="e">
        <f>VLOOKUP(EE352*1, FW$27:FY$38, 3, TRUE)*FY$27</f>
        <v>#VALUE!</v>
      </c>
      <c r="EF353" s="41" t="e">
        <f>VLOOKUP(EF352*1, FK$40:FM$51, 3, TRUE)*FM$40</f>
        <v>#VALUE!</v>
      </c>
      <c r="EG353" s="57"/>
      <c r="EK353" s="40" t="e">
        <f>EM353+EO353+EP353+EQ353+ER353-ES353-ET353+EU353</f>
        <v>#VALUE!</v>
      </c>
      <c r="EL353" s="42" t="e">
        <f>EX353+FA353+FD353+FG353+FH353+FI353</f>
        <v>#VALUE!</v>
      </c>
      <c r="EM353" s="38" t="e">
        <f>VLOOKUP(EM352*1, $FK$2:$FM$12, 3, TRUE)*$FM$1</f>
        <v>#VALUE!</v>
      </c>
      <c r="EO353" s="38" t="e">
        <f>VLOOKUP(EO352*1, $FN$2:$FP$12, 3, TRUE)*$FP$1</f>
        <v>#VALUE!</v>
      </c>
      <c r="EP353" s="38" t="e">
        <f>VLOOKUP(EP352*1, $FQ$2:$FS$12, 3, TRUE)*$FS$1</f>
        <v>#VALUE!</v>
      </c>
      <c r="EQ353" s="38" t="e">
        <f>VLOOKUP(EQ352*1, $FT$2:$FV$12, 3, TRUE)*$FV$1</f>
        <v>#VALUE!</v>
      </c>
      <c r="ER353" s="38" t="e">
        <f>VLOOKUP(ER352*1, $FW$2:$FY$12, 3, TRUE)*$FY$1</f>
        <v>#VALUE!</v>
      </c>
      <c r="ES353" s="39" t="e">
        <f>VLOOKUP(ES352*1, $FK$14:$FM$25, 3, TRUE)*$FM$14</f>
        <v>#VALUE!</v>
      </c>
      <c r="ET353" s="39" t="e">
        <f>VLOOKUP(ET352*1, $FN$14:$FP$25, 3, TRUE)*$FP$14</f>
        <v>#VALUE!</v>
      </c>
      <c r="EU353" s="38" t="e">
        <f>VLOOKUP(EU352*1, $FQ$14:$FS$25, 3, TRUE)*$FS$14</f>
        <v>#VALUE!</v>
      </c>
      <c r="EX353" s="41" t="e">
        <f>VLOOKUP(EX352*1, $FK$27:$FM$38, 3, TRUE)*$FM$27</f>
        <v>#VALUE!</v>
      </c>
      <c r="FA353" s="41" t="e">
        <f>VLOOKUP(FA352*1, $FN$27:$FP$38, 3, TRUE)*$FP$27</f>
        <v>#VALUE!</v>
      </c>
      <c r="FD353" s="41" t="e">
        <f>VLOOKUP(FD352*1, $FQ$27:$FS$38, 3, TRUE)*$FS$27</f>
        <v>#VALUE!</v>
      </c>
      <c r="FG353" s="41" t="e">
        <f>VLOOKUP(FG352*1, $FT$27:$FV$38, 3, TRUE)*$FV$27</f>
        <v>#VALUE!</v>
      </c>
      <c r="FH353" s="41" t="e">
        <f>VLOOKUP(FH352*1, $FW$27:$FY$38, 3, TRUE)*$FY$27</f>
        <v>#VALUE!</v>
      </c>
      <c r="FI353" s="41" t="e">
        <f>VLOOKUP(FI352*1, $FK$40:$FM$51, 3, TRUE)*$FM$40</f>
        <v>#VALUE!</v>
      </c>
    </row>
    <row r="354" spans="110:165">
      <c r="DF354" s="37" t="e">
        <f>先發名單!#REF!</f>
        <v>#REF!</v>
      </c>
      <c r="DG354" s="4" t="str">
        <f t="array" ref="DG354">IFERROR(INDEX(球員狀態!$C$2:$C$5000, MATCH(1, (球員狀態!$A$2:$A$5000=$DF$331)*(ISNUMBER(SEARCH($DF354, 球員狀態!$B$2:$B$5000))), 0)), "")</f>
        <v/>
      </c>
      <c r="DJ354" s="4" t="str">
        <f t="array" ref="DJ354">IFERROR(INDEX(球員狀態!$F$2:$F$5000,MATCH(1,(球員狀態!$A$2:$A$5000=$DF$331)*(ISNUMBER(SEARCH($DF354,球員狀態!$B$2:$B$5000))),0)),"")</f>
        <v/>
      </c>
      <c r="DK354" s="4" t="str">
        <f t="array" ref="DK354">IFERROR(INDEX(球員狀態!G$2:G$5000, MATCH(1, (球員狀態!$A$2:$A$5000=$DF$1)*(ISNUMBER(SEARCH($DF354, 球員狀態!$B$2:$B$5000))), 0)), "")</f>
        <v/>
      </c>
      <c r="DL354" s="4" t="str">
        <f t="array" ref="DL354">IFERROR(INDEX(球員狀態!H$2:H$5000, MATCH(1, (球員狀態!$A$2:$A$5000=$DF$331)*(ISNUMBER(SEARCH($DF354, 球員狀態!$B$2:$B$5000))), 0)), "")</f>
        <v/>
      </c>
      <c r="DM354" s="4" t="str">
        <f t="array" ref="DM354">IFERROR(INDEX(球員狀態!I$2:I$5000,MATCH(1,(球員狀態!$A$2:$A$5000=$DF$331)*(ISNUMBER(SEARCH($DF354,球員狀態!$B$2:$B$5000))),0)),"")</f>
        <v/>
      </c>
      <c r="DN354" s="4" t="str">
        <f t="array" ref="DN354">IFERROR(INDEX(球員狀態!J$2:J$5000,MATCH(1,(球員狀態!$A$2:$A$5000=$DF$331)*(ISNUMBER(SEARCH($DF354,球員狀態!$B$2:$B$5000))),0)),"")</f>
        <v/>
      </c>
      <c r="DO354" s="4" t="str">
        <f t="array" ref="DO354">IFERROR(INDEX(球員狀態!K$2:K$5000,MATCH(1,(球員狀態!$A$2:$A$5000=$DF$331)*(ISNUMBER(SEARCH($DF354,球員狀態!$B$2:$B$5000))),0)),"")</f>
        <v/>
      </c>
      <c r="DP354" s="4" t="str">
        <f t="array" ref="DP354">IFERROR(INDEX(球員狀態!L$2:L$5000,MATCH(1,(球員狀態!$A$2:$A$5000=$DF$331)*(ISNUMBER(SEARCH($DF354,球員狀態!$B$2:$B$5000))),0)),"")</f>
        <v/>
      </c>
      <c r="DQ354" s="4" t="str">
        <f t="array" ref="DQ354">IFERROR(INDEX(球員狀態!M$2:M$5000,MATCH(1,(球員狀態!$A$2:$A$5000=$DF$331)*(ISNUMBER(SEARCH($DF354,球員狀態!$B$2:$B$5000))),0)),"")</f>
        <v/>
      </c>
      <c r="DR354" s="4" t="str">
        <f t="array" ref="DR354">IFERROR(INDEX(球員狀態!N$2:N$5000,MATCH(1,(球員狀態!$A$2:$A$5000=$DF$331)*(ISNUMBER(SEARCH($DF354,球員狀態!$B$2:$B$5000))),0)),"")</f>
        <v/>
      </c>
      <c r="DS354" s="4" t="str">
        <f t="array" ref="DS354">IFERROR(INDEX(球員狀態!O$2:O$5000, MATCH(1, (球員狀態!$A$2:$A$5000=$DF$1)*(ISNUMBER(SEARCH($DF354, 球員狀態!$B$2:$B$5000))), 0)), "")</f>
        <v/>
      </c>
      <c r="DT354" s="4" t="str">
        <f t="array" ref="DT354">IFERROR(INDEX(球員狀態!P$2:P$5000, MATCH(1, (球員狀態!$A$2:$A$5000=$DF$1)*(ISNUMBER(SEARCH($DF354, 球員狀態!$B$2:$B$5000))), 0)), "")</f>
        <v/>
      </c>
      <c r="DU354" s="4" t="str">
        <f t="array" ref="DU354">IFERROR(INDEX(球員狀態!Q$2:Q$5000,MATCH(1,(球員狀態!$A$2:$A$5000=$DF$331)*(ISNUMBER(SEARCH($DF354,球員狀態!$B$2:$B$5000))),0)),"")</f>
        <v/>
      </c>
      <c r="DV354" s="4" t="str">
        <f t="array" ref="DV354">IFERROR(INDEX(球員狀態!R$2:R$5000, MATCH(1, (球員狀態!$A$2:$A$5000=$DF$1)*(ISNUMBER(SEARCH($DF354, 球員狀態!$B$2:$B$5000))), 0)), "")</f>
        <v/>
      </c>
      <c r="DW354" s="4" t="str">
        <f t="array" ref="DW354">IFERROR(INDEX(球員狀態!S$2:S$5000, MATCH(1, (球員狀態!$A$2:$A$5000=$DF$1)*(ISNUMBER(SEARCH($DF354, 球員狀態!$B$2:$B$5000))), 0)), "")</f>
        <v/>
      </c>
      <c r="DX354" s="4" t="str">
        <f t="array" ref="DX354">IFERROR(INDEX(球員狀態!T$2:T$5000,MATCH(1,(球員狀態!$A$2:$A$5000=$DF$331)*(ISNUMBER(SEARCH($DF354,球員狀態!$B$2:$B$5000))),0)),"")</f>
        <v/>
      </c>
      <c r="DY354" s="4" t="str">
        <f t="array" ref="DY354">IFERROR(INDEX(球員狀態!U$2:U$5000, MATCH(1, (球員狀態!$A$2:$A$5000=$DF$1)*(ISNUMBER(SEARCH($DF354, 球員狀態!$B$2:$B$5000))), 0)), "")</f>
        <v/>
      </c>
      <c r="DZ354" s="4" t="str">
        <f t="array" ref="DZ354">IFERROR(INDEX(球員狀態!V$2:V$5000, MATCH(1, (球員狀態!$A$2:$A$5000=$DF$1)*(ISNUMBER(SEARCH($DF354, 球員狀態!$B$2:$B$5000))), 0)), "")</f>
        <v/>
      </c>
      <c r="EA354" s="4" t="str">
        <f t="array" ref="EA354">IFERROR(INDEX(球員狀態!W$2:W$5000,MATCH(1,(球員狀態!$A$2:$A$5000=$DF$331)*(ISNUMBER(SEARCH($DF354,球員狀態!$B$2:$B$5000))),0)),"")</f>
        <v/>
      </c>
      <c r="EB354" s="4" t="str">
        <f t="array" ref="EB354">IFERROR(INDEX(球員狀態!X$2:X$5000, MATCH(1, (球員狀態!$A$2:$A$5000=$DF$1)*(ISNUMBER(SEARCH($DF354, 球員狀態!$B$2:$B$5000))), 0)), "")</f>
        <v/>
      </c>
      <c r="EC354" s="4" t="str">
        <f t="array" ref="EC354">IFERROR(INDEX(球員狀態!Y$2:Y$5000, MATCH(1, (球員狀態!$A$2:$A$5000=$DF$1)*(ISNUMBER(SEARCH($DF354, 球員狀態!$B$2:$B$5000))), 0)), "")</f>
        <v/>
      </c>
      <c r="ED354" s="4" t="str">
        <f t="array" ref="ED354">IFERROR(INDEX(球員狀態!Z$2:Z$5000,MATCH(1,(球員狀態!$A$2:$A$5000=$DF$331)*(ISNUMBER(SEARCH($DF354,球員狀態!$B$2:$B$5000))),0)),"")</f>
        <v/>
      </c>
      <c r="EE354" s="4" t="str">
        <f t="array" ref="EE354">IFERROR(INDEX(球員狀態!AA$2:AA$5000,MATCH(1,(球員狀態!$A$2:$A$5000=$DF$331)*(ISNUMBER(SEARCH($DF354,球員狀態!$B$2:$B$5000))),0)),"")</f>
        <v/>
      </c>
      <c r="EF354" s="4" t="str">
        <f t="array" ref="EF354">IFERROR(INDEX(球員狀態!AB$2:AB$5000,MATCH(1,(球員狀態!$A$2:$A$5000=$DF$331)*(ISNUMBER(SEARCH($DF354,球員狀態!$B$2:$B$5000))),0)),"")</f>
        <v/>
      </c>
      <c r="EG354" s="56"/>
      <c r="EI354" s="37">
        <f>先發名單!Z$13</f>
        <v>0</v>
      </c>
      <c r="EJ354" s="4" t="str">
        <f t="array" ref="EJ354">IFERROR(INDEX(球員狀態!C$2:C$5000, MATCH(1, (球員狀態!$A$2:$A$5000=$EI$331)*(ISNUMBER(SEARCH($EI354, 球員狀態!$B$2:$B$5000))), 0)), "")</f>
        <v/>
      </c>
      <c r="EM354" s="4" t="str">
        <f t="array" ref="EM354">IFERROR(INDEX(球員狀態!F$2:F$5000, MATCH(1, (球員狀態!$A$2:$A$5000=$EI$331)*(ISNUMBER(SEARCH($EI354, 球員狀態!$B$2:$B$5000))), 0)), "")</f>
        <v/>
      </c>
      <c r="EN354" s="4" t="str">
        <f t="array" ref="EN354">IFERROR(INDEX(球員狀態!G$2:G$5000, MATCH(1, (球員狀態!$A$2:$A$5000=$EI$1)*(ISNUMBER(SEARCH($EI354, 球員狀態!$B$2:$B$5000))), 0)), "")</f>
        <v/>
      </c>
      <c r="EO354" s="4" t="str">
        <f t="array" ref="EO354">IFERROR(INDEX(球員狀態!H$2:H$5000, MATCH(1, (球員狀態!$A$2:$A$5000=$EI$331)*(ISNUMBER(SEARCH($EI354, 球員狀態!$B$2:$B$5000))), 0)), "")</f>
        <v/>
      </c>
      <c r="EP354" s="4" t="str">
        <f t="array" ref="EP354">IFERROR(INDEX(球員狀態!I$2:I$5000, MATCH(1, (球員狀態!$A$2:$A$5000=$EI$331)*(ISNUMBER(SEARCH($EI354, 球員狀態!$B$2:$B$5000))), 0)), "")</f>
        <v/>
      </c>
      <c r="EQ354" s="4" t="str">
        <f t="array" ref="EQ354">IFERROR(INDEX(球員狀態!J$2:J$5000, MATCH(1, (球員狀態!$A$2:$A$5000=$EI$331)*(ISNUMBER(SEARCH($EI354, 球員狀態!$B$2:$B$5000))), 0)), "")</f>
        <v/>
      </c>
      <c r="ER354" s="4" t="str">
        <f t="array" ref="ER354">IFERROR(INDEX(球員狀態!K$2:K$5000, MATCH(1, (球員狀態!$A$2:$A$5000=$EI$331)*(ISNUMBER(SEARCH($EI354, 球員狀態!$B$2:$B$5000))), 0)), "")</f>
        <v/>
      </c>
      <c r="ES354" s="4" t="str">
        <f t="array" ref="ES354">IFERROR(INDEX(球員狀態!L$2:L$5000, MATCH(1, (球員狀態!$A$2:$A$5000=$EI$331)*(ISNUMBER(SEARCH($EI354, 球員狀態!$B$2:$B$5000))), 0)), "")</f>
        <v/>
      </c>
      <c r="ET354" s="4" t="str">
        <f t="array" ref="ET354">IFERROR(INDEX(球員狀態!M$2:M$5000, MATCH(1, (球員狀態!$A$2:$A$5000=$EI$331)*(ISNUMBER(SEARCH($EI354, 球員狀態!$B$2:$B$5000))), 0)), "")</f>
        <v/>
      </c>
      <c r="EU354" s="4" t="str">
        <f t="array" ref="EU354">IFERROR(INDEX(球員狀態!N$2:N$5000, MATCH(1, (球員狀態!$A$2:$A$5000=$EI$331)*(ISNUMBER(SEARCH($EI354, 球員狀態!$B$2:$B$5000))), 0)), "")</f>
        <v/>
      </c>
      <c r="EV354" s="4" t="str">
        <f t="array" ref="EV354">IFERROR(INDEX(球員狀態!O$2:O$5000, MATCH(1, (球員狀態!$A$2:$A$5000=$EI$1)*(ISNUMBER(SEARCH($EI354, 球員狀態!$B$2:$B$5000))), 0)), "")</f>
        <v/>
      </c>
      <c r="EW354" s="4" t="str">
        <f t="array" ref="EW354">IFERROR(INDEX(球員狀態!P$2:P$5000, MATCH(1, (球員狀態!$A$2:$A$5000=$EI$1)*(ISNUMBER(SEARCH($EI354, 球員狀態!$B$2:$B$5000))), 0)), "")</f>
        <v/>
      </c>
      <c r="EX354" s="4" t="str">
        <f t="array" ref="EX354">IFERROR(INDEX(球員狀態!Q$2:Q$5000, MATCH(1, (球員狀態!$A$2:$A$5000=$EI$331)*(ISNUMBER(SEARCH($EI354, 球員狀態!$B$2:$B$5000))), 0)), "")</f>
        <v/>
      </c>
      <c r="EY354" s="4" t="str">
        <f t="array" ref="EY354">IFERROR(INDEX(球員狀態!R$2:R$5000, MATCH(1, (球員狀態!$A$2:$A$5000=$EI$1)*(ISNUMBER(SEARCH($EI354, 球員狀態!$B$2:$B$5000))), 0)), "")</f>
        <v/>
      </c>
      <c r="EZ354" s="4" t="str">
        <f t="array" ref="EZ354">IFERROR(INDEX(球員狀態!S$2:S$5000, MATCH(1, (球員狀態!$A$2:$A$5000=$EI$1)*(ISNUMBER(SEARCH($EI354, 球員狀態!$B$2:$B$5000))), 0)), "")</f>
        <v/>
      </c>
      <c r="FA354" s="4" t="str">
        <f t="array" ref="FA354">IFERROR(INDEX(球員狀態!T$2:T$5000, MATCH(1, (球員狀態!$A$2:$A$5000=$EI$331)*(ISNUMBER(SEARCH($EI354, 球員狀態!$B$2:$B$5000))), 0)), "")</f>
        <v/>
      </c>
      <c r="FB354" s="4" t="str">
        <f t="array" ref="FB354">IFERROR(INDEX(球員狀態!U$2:U$5000, MATCH(1, (球員狀態!$A$2:$A$5000=$EI$1)*(ISNUMBER(SEARCH($EI354, 球員狀態!$B$2:$B$5000))), 0)), "")</f>
        <v/>
      </c>
      <c r="FC354" s="4" t="str">
        <f t="array" ref="FC354">IFERROR(INDEX(球員狀態!V$2:V$5000, MATCH(1, (球員狀態!$A$2:$A$5000=$EI$1)*(ISNUMBER(SEARCH($EI354, 球員狀態!$B$2:$B$5000))), 0)), "")</f>
        <v/>
      </c>
      <c r="FD354" s="4" t="str">
        <f t="array" ref="FD354">IFERROR(INDEX(球員狀態!W$2:W$5000, MATCH(1, (球員狀態!$A$2:$A$5000=$EI$331)*(ISNUMBER(SEARCH($EI354, 球員狀態!$B$2:$B$5000))), 0)), "")</f>
        <v/>
      </c>
      <c r="FE354" s="4" t="str">
        <f t="array" ref="FE354">IFERROR(INDEX(球員狀態!X$2:X$5000, MATCH(1, (球員狀態!$A$2:$A$5000=$EI$1)*(ISNUMBER(SEARCH($EI354, 球員狀態!$B$2:$B$5000))), 0)), "")</f>
        <v/>
      </c>
      <c r="FF354" s="4" t="str">
        <f t="array" ref="FF354">IFERROR(INDEX(球員狀態!Y$2:Y$5000, MATCH(1, (球員狀態!$A$2:$A$5000=$EI$1)*(ISNUMBER(SEARCH($EI354, 球員狀態!$B$2:$B$5000))), 0)), "")</f>
        <v/>
      </c>
      <c r="FG354" s="4" t="str">
        <f t="array" ref="FG354">IFERROR(INDEX(球員狀態!Z$2:Z$5000, MATCH(1, (球員狀態!$A$2:$A$5000=$EI$331)*(ISNUMBER(SEARCH($EI354, 球員狀態!$B$2:$B$5000))), 0)), "")</f>
        <v/>
      </c>
      <c r="FH354" s="4" t="str">
        <f t="array" ref="FH354">IFERROR(INDEX(球員狀態!AA$2:AA$5000, MATCH(1, (球員狀態!$A$2:$A$5000=$EI$331)*(ISNUMBER(SEARCH($EI354, 球員狀態!$B$2:$B$5000))), 0)), "")</f>
        <v/>
      </c>
      <c r="FI354" s="4" t="str">
        <f t="array" ref="FI354">IFERROR(INDEX(球員狀態!AB$2:AB$5000, MATCH(1, (球員狀態!$A$2:$A$5000=$EI$331)*(ISNUMBER(SEARCH($EI354, 球員狀態!$B$2:$B$5000))), 0)), "")</f>
        <v/>
      </c>
    </row>
    <row r="355" spans="110:165">
      <c r="DH355" s="40" t="e">
        <f>DJ355+DL355+DM355+DN355+DO355-DP355-DQ355+DR355</f>
        <v>#VALUE!</v>
      </c>
      <c r="DI355" s="42" t="e">
        <f>DU355+DX355+EA355+ED355+EE355+EF355</f>
        <v>#VALUE!</v>
      </c>
      <c r="DJ355" s="38" t="e">
        <f>VLOOKUP(DJ354*1, FK$2:FM$12, 3, TRUE)*FM$1</f>
        <v>#VALUE!</v>
      </c>
      <c r="DL355" s="38" t="e">
        <f>VLOOKUP(DL354*1, FN$2:FP$12, 3, TRUE)*FP$1</f>
        <v>#VALUE!</v>
      </c>
      <c r="DM355" s="38" t="e">
        <f>VLOOKUP(DM354*1, FQ$2:FS$12, 3, TRUE)*FS$1</f>
        <v>#VALUE!</v>
      </c>
      <c r="DN355" s="38" t="e">
        <f>VLOOKUP(DN354*1, FT$2:FV$12, 3, TRUE)*FV$1</f>
        <v>#VALUE!</v>
      </c>
      <c r="DO355" s="38" t="e">
        <f>VLOOKUP(DO354*1, FW$2:FY$12, 3, TRUE)*FY$1</f>
        <v>#VALUE!</v>
      </c>
      <c r="DP355" s="39" t="e">
        <f>VLOOKUP(DP354*1, FK$14:FM$25, 3, TRUE)*FM$14</f>
        <v>#VALUE!</v>
      </c>
      <c r="DQ355" s="39" t="e">
        <f>VLOOKUP(DQ354*1, FN$14:FP$25, 3, TRUE)*FP$14</f>
        <v>#VALUE!</v>
      </c>
      <c r="DR355" s="38" t="e">
        <f>VLOOKUP(DR354*1, FQ$14:FS$25, 3, TRUE)*FS$14</f>
        <v>#VALUE!</v>
      </c>
      <c r="DU355" s="41" t="e">
        <f>VLOOKUP(DU354*1, FK$27:FM$38, 3, TRUE)*FM$27</f>
        <v>#VALUE!</v>
      </c>
      <c r="DX355" s="41" t="e">
        <f>VLOOKUP(DX354*1, FN$27:FP$38, 3, TRUE)*FP$27</f>
        <v>#VALUE!</v>
      </c>
      <c r="EA355" s="41" t="e">
        <f>VLOOKUP(EA354*1, FQ$27:FS$38, 3, TRUE)*FS$27</f>
        <v>#VALUE!</v>
      </c>
      <c r="ED355" s="41" t="e">
        <f>VLOOKUP(ED354*1, FT$27:FV$38, 3, TRUE)*FV$27</f>
        <v>#VALUE!</v>
      </c>
      <c r="EE355" s="41" t="e">
        <f>VLOOKUP(EE354*1, FW$27:FY$38, 3, TRUE)*FY$27</f>
        <v>#VALUE!</v>
      </c>
      <c r="EF355" s="41" t="e">
        <f>VLOOKUP(EF354*1, FK$40:FM$51, 3, TRUE)*FM$40</f>
        <v>#VALUE!</v>
      </c>
      <c r="EG355" s="57"/>
      <c r="EK355" s="40" t="e">
        <f>EM355+EO355+EP355+EQ355+ER355-ES355-ET355+EU355</f>
        <v>#VALUE!</v>
      </c>
      <c r="EL355" s="42" t="e">
        <f>EX355+FA355+FD355+FG355+FH355+FI355</f>
        <v>#VALUE!</v>
      </c>
      <c r="EM355" s="38" t="e">
        <f>VLOOKUP(EM354*1, $FK$2:$FM$12, 3, TRUE)*$FM$1</f>
        <v>#VALUE!</v>
      </c>
      <c r="EO355" s="38" t="e">
        <f>VLOOKUP(EO354*1, $FN$2:$FP$12, 3, TRUE)*$FP$1</f>
        <v>#VALUE!</v>
      </c>
      <c r="EP355" s="38" t="e">
        <f>VLOOKUP(EP354*1, $FQ$2:$FS$12, 3, TRUE)*$FS$1</f>
        <v>#VALUE!</v>
      </c>
      <c r="EQ355" s="38" t="e">
        <f>VLOOKUP(EQ354*1, $FT$2:$FV$12, 3, TRUE)*$FV$1</f>
        <v>#VALUE!</v>
      </c>
      <c r="ER355" s="38" t="e">
        <f>VLOOKUP(ER354*1, $FW$2:$FY$12, 3, TRUE)*$FY$1</f>
        <v>#VALUE!</v>
      </c>
      <c r="ES355" s="39" t="e">
        <f>VLOOKUP(ES354*1, $FK$14:$FM$25, 3, TRUE)*$FM$14</f>
        <v>#VALUE!</v>
      </c>
      <c r="ET355" s="39" t="e">
        <f>VLOOKUP(ET354*1, $FN$14:$FP$25, 3, TRUE)*$FP$14</f>
        <v>#VALUE!</v>
      </c>
      <c r="EU355" s="38" t="e">
        <f>VLOOKUP(EU354*1, $FQ$14:$FS$25, 3, TRUE)*$FS$14</f>
        <v>#VALUE!</v>
      </c>
      <c r="EX355" s="41" t="e">
        <f>VLOOKUP(EX354*1, $FK$27:$FM$38, 3, TRUE)*$FM$27</f>
        <v>#VALUE!</v>
      </c>
      <c r="FA355" s="41" t="e">
        <f>VLOOKUP(FA354*1, $FN$27:$FP$38, 3, TRUE)*$FP$27</f>
        <v>#VALUE!</v>
      </c>
      <c r="FD355" s="41" t="e">
        <f>VLOOKUP(FD354*1, $FQ$27:$FS$38, 3, TRUE)*$FS$27</f>
        <v>#VALUE!</v>
      </c>
      <c r="FG355" s="41" t="e">
        <f>VLOOKUP(FG354*1, $FT$27:$FV$38, 3, TRUE)*$FV$27</f>
        <v>#VALUE!</v>
      </c>
      <c r="FH355" s="41" t="e">
        <f>VLOOKUP(FH354*1, $FW$27:$FY$38, 3, TRUE)*$FY$27</f>
        <v>#VALUE!</v>
      </c>
      <c r="FI355" s="41" t="e">
        <f>VLOOKUP(FI354*1, $FK$40:$FM$51, 3, TRUE)*$FM$40</f>
        <v>#VALUE!</v>
      </c>
    </row>
    <row r="356" spans="110:165">
      <c r="DF356" s="37" t="e">
        <f>先發名單!#REF!</f>
        <v>#REF!</v>
      </c>
      <c r="DG356" s="4" t="str">
        <f t="array" ref="DG356">IFERROR(INDEX(球員狀態!$C$2:$C$5000, MATCH(1, (球員狀態!$A$2:$A$5000=$DF$331)*(ISNUMBER(SEARCH($DF356, 球員狀態!$B$2:$B$5000))), 0)), "")</f>
        <v/>
      </c>
      <c r="DJ356" s="4" t="str">
        <f t="array" ref="DJ356">IFERROR(INDEX(球員狀態!$F$2:$F$5000,MATCH(1,(球員狀態!$A$2:$A$5000=$DF$331)*(ISNUMBER(SEARCH($DF356,球員狀態!$B$2:$B$5000))),0)),"")</f>
        <v/>
      </c>
      <c r="DK356" s="4" t="str">
        <f t="array" ref="DK356">IFERROR(INDEX(球員狀態!G$2:G$5000, MATCH(1, (球員狀態!$A$2:$A$5000=$DF$1)*(ISNUMBER(SEARCH($DF356, 球員狀態!$B$2:$B$5000))), 0)), "")</f>
        <v/>
      </c>
      <c r="DL356" s="4" t="str">
        <f t="array" ref="DL356">IFERROR(INDEX(球員狀態!H$2:H$5000, MATCH(1, (球員狀態!$A$2:$A$5000=$DF$331)*(ISNUMBER(SEARCH($DF356, 球員狀態!$B$2:$B$5000))), 0)), "")</f>
        <v/>
      </c>
      <c r="DM356" s="4" t="str">
        <f t="array" ref="DM356">IFERROR(INDEX(球員狀態!I$2:I$5000,MATCH(1,(球員狀態!$A$2:$A$5000=$DF$331)*(ISNUMBER(SEARCH($DF356,球員狀態!$B$2:$B$5000))),0)),"")</f>
        <v/>
      </c>
      <c r="DN356" s="4" t="str">
        <f t="array" ref="DN356">IFERROR(INDEX(球員狀態!J$2:J$5000,MATCH(1,(球員狀態!$A$2:$A$5000=$DF$331)*(ISNUMBER(SEARCH($DF356,球員狀態!$B$2:$B$5000))),0)),"")</f>
        <v/>
      </c>
      <c r="DO356" s="4" t="str">
        <f t="array" ref="DO356">IFERROR(INDEX(球員狀態!K$2:K$5000,MATCH(1,(球員狀態!$A$2:$A$5000=$DF$331)*(ISNUMBER(SEARCH($DF356,球員狀態!$B$2:$B$5000))),0)),"")</f>
        <v/>
      </c>
      <c r="DP356" s="4" t="str">
        <f t="array" ref="DP356">IFERROR(INDEX(球員狀態!L$2:L$5000,MATCH(1,(球員狀態!$A$2:$A$5000=$DF$331)*(ISNUMBER(SEARCH($DF356,球員狀態!$B$2:$B$5000))),0)),"")</f>
        <v/>
      </c>
      <c r="DQ356" s="4" t="str">
        <f t="array" ref="DQ356">IFERROR(INDEX(球員狀態!M$2:M$5000,MATCH(1,(球員狀態!$A$2:$A$5000=$DF$331)*(ISNUMBER(SEARCH($DF356,球員狀態!$B$2:$B$5000))),0)),"")</f>
        <v/>
      </c>
      <c r="DR356" s="4" t="str">
        <f t="array" ref="DR356">IFERROR(INDEX(球員狀態!N$2:N$5000,MATCH(1,(球員狀態!$A$2:$A$5000=$DF$331)*(ISNUMBER(SEARCH($DF356,球員狀態!$B$2:$B$5000))),0)),"")</f>
        <v/>
      </c>
      <c r="DS356" s="4" t="str">
        <f t="array" ref="DS356">IFERROR(INDEX(球員狀態!O$2:O$5000, MATCH(1, (球員狀態!$A$2:$A$5000=$DF$1)*(ISNUMBER(SEARCH($DF356, 球員狀態!$B$2:$B$5000))), 0)), "")</f>
        <v/>
      </c>
      <c r="DT356" s="4" t="str">
        <f t="array" ref="DT356">IFERROR(INDEX(球員狀態!P$2:P$5000, MATCH(1, (球員狀態!$A$2:$A$5000=$DF$1)*(ISNUMBER(SEARCH($DF356, 球員狀態!$B$2:$B$5000))), 0)), "")</f>
        <v/>
      </c>
      <c r="DU356" s="4" t="str">
        <f t="array" ref="DU356">IFERROR(INDEX(球員狀態!Q$2:Q$5000,MATCH(1,(球員狀態!$A$2:$A$5000=$DF$331)*(ISNUMBER(SEARCH($DF356,球員狀態!$B$2:$B$5000))),0)),"")</f>
        <v/>
      </c>
      <c r="DV356" s="4" t="str">
        <f t="array" ref="DV356">IFERROR(INDEX(球員狀態!R$2:R$5000, MATCH(1, (球員狀態!$A$2:$A$5000=$DF$1)*(ISNUMBER(SEARCH($DF356, 球員狀態!$B$2:$B$5000))), 0)), "")</f>
        <v/>
      </c>
      <c r="DW356" s="4" t="str">
        <f t="array" ref="DW356">IFERROR(INDEX(球員狀態!S$2:S$5000, MATCH(1, (球員狀態!$A$2:$A$5000=$DF$1)*(ISNUMBER(SEARCH($DF356, 球員狀態!$B$2:$B$5000))), 0)), "")</f>
        <v/>
      </c>
      <c r="DX356" s="4" t="str">
        <f t="array" ref="DX356">IFERROR(INDEX(球員狀態!T$2:T$5000,MATCH(1,(球員狀態!$A$2:$A$5000=$DF$331)*(ISNUMBER(SEARCH($DF356,球員狀態!$B$2:$B$5000))),0)),"")</f>
        <v/>
      </c>
      <c r="DY356" s="4" t="str">
        <f t="array" ref="DY356">IFERROR(INDEX(球員狀態!U$2:U$5000, MATCH(1, (球員狀態!$A$2:$A$5000=$DF$1)*(ISNUMBER(SEARCH($DF356, 球員狀態!$B$2:$B$5000))), 0)), "")</f>
        <v/>
      </c>
      <c r="DZ356" s="4" t="str">
        <f t="array" ref="DZ356">IFERROR(INDEX(球員狀態!V$2:V$5000, MATCH(1, (球員狀態!$A$2:$A$5000=$DF$1)*(ISNUMBER(SEARCH($DF356, 球員狀態!$B$2:$B$5000))), 0)), "")</f>
        <v/>
      </c>
      <c r="EA356" s="4" t="str">
        <f t="array" ref="EA356">IFERROR(INDEX(球員狀態!W$2:W$5000,MATCH(1,(球員狀態!$A$2:$A$5000=$DF$331)*(ISNUMBER(SEARCH($DF356,球員狀態!$B$2:$B$5000))),0)),"")</f>
        <v/>
      </c>
      <c r="EB356" s="4" t="str">
        <f t="array" ref="EB356">IFERROR(INDEX(球員狀態!X$2:X$5000, MATCH(1, (球員狀態!$A$2:$A$5000=$DF$1)*(ISNUMBER(SEARCH($DF356, 球員狀態!$B$2:$B$5000))), 0)), "")</f>
        <v/>
      </c>
      <c r="EC356" s="4" t="str">
        <f t="array" ref="EC356">IFERROR(INDEX(球員狀態!Y$2:Y$5000, MATCH(1, (球員狀態!$A$2:$A$5000=$DF$1)*(ISNUMBER(SEARCH($DF356, 球員狀態!$B$2:$B$5000))), 0)), "")</f>
        <v/>
      </c>
      <c r="ED356" s="4" t="str">
        <f t="array" ref="ED356">IFERROR(INDEX(球員狀態!Z$2:Z$5000,MATCH(1,(球員狀態!$A$2:$A$5000=$DF$331)*(ISNUMBER(SEARCH($DF356,球員狀態!$B$2:$B$5000))),0)),"")</f>
        <v/>
      </c>
      <c r="EE356" s="4" t="str">
        <f t="array" ref="EE356">IFERROR(INDEX(球員狀態!AA$2:AA$5000,MATCH(1,(球員狀態!$A$2:$A$5000=$DF$331)*(ISNUMBER(SEARCH($DF356,球員狀態!$B$2:$B$5000))),0)),"")</f>
        <v/>
      </c>
      <c r="EF356" s="4" t="str">
        <f t="array" ref="EF356">IFERROR(INDEX(球員狀態!AB$2:AB$5000,MATCH(1,(球員狀態!$A$2:$A$5000=$DF$331)*(ISNUMBER(SEARCH($DF356,球員狀態!$B$2:$B$5000))),0)),"")</f>
        <v/>
      </c>
      <c r="EG356" s="56"/>
      <c r="EI356" s="37">
        <f>先發名單!AA$13</f>
        <v>0</v>
      </c>
      <c r="EJ356" s="4" t="str">
        <f t="array" ref="EJ356">IFERROR(INDEX(球員狀態!C$2:C$5000, MATCH(1, (球員狀態!$A$2:$A$5000=$EI$331)*(ISNUMBER(SEARCH($EI356, 球員狀態!$B$2:$B$5000))), 0)), "")</f>
        <v/>
      </c>
      <c r="EM356" s="4" t="str">
        <f t="array" ref="EM356">IFERROR(INDEX(球員狀態!F$2:F$5000, MATCH(1, (球員狀態!$A$2:$A$5000=$EI$331)*(ISNUMBER(SEARCH($EI356, 球員狀態!$B$2:$B$5000))), 0)), "")</f>
        <v/>
      </c>
      <c r="EN356" s="4" t="str">
        <f t="array" ref="EN356">IFERROR(INDEX(球員狀態!G$2:G$5000, MATCH(1, (球員狀態!$A$2:$A$5000=$EI$1)*(ISNUMBER(SEARCH($EI356, 球員狀態!$B$2:$B$5000))), 0)), "")</f>
        <v/>
      </c>
      <c r="EO356" s="4" t="str">
        <f t="array" ref="EO356">IFERROR(INDEX(球員狀態!H$2:H$5000, MATCH(1, (球員狀態!$A$2:$A$5000=$EI$331)*(ISNUMBER(SEARCH($EI356, 球員狀態!$B$2:$B$5000))), 0)), "")</f>
        <v/>
      </c>
      <c r="EP356" s="4" t="str">
        <f t="array" ref="EP356">IFERROR(INDEX(球員狀態!I$2:I$5000, MATCH(1, (球員狀態!$A$2:$A$5000=$EI$331)*(ISNUMBER(SEARCH($EI356, 球員狀態!$B$2:$B$5000))), 0)), "")</f>
        <v/>
      </c>
      <c r="EQ356" s="4" t="str">
        <f t="array" ref="EQ356">IFERROR(INDEX(球員狀態!J$2:J$5000, MATCH(1, (球員狀態!$A$2:$A$5000=$EI$331)*(ISNUMBER(SEARCH($EI356, 球員狀態!$B$2:$B$5000))), 0)), "")</f>
        <v/>
      </c>
      <c r="ER356" s="4" t="str">
        <f t="array" ref="ER356">IFERROR(INDEX(球員狀態!K$2:K$5000, MATCH(1, (球員狀態!$A$2:$A$5000=$EI$331)*(ISNUMBER(SEARCH($EI356, 球員狀態!$B$2:$B$5000))), 0)), "")</f>
        <v/>
      </c>
      <c r="ES356" s="4" t="str">
        <f t="array" ref="ES356">IFERROR(INDEX(球員狀態!L$2:L$5000, MATCH(1, (球員狀態!$A$2:$A$5000=$EI$331)*(ISNUMBER(SEARCH($EI356, 球員狀態!$B$2:$B$5000))), 0)), "")</f>
        <v/>
      </c>
      <c r="ET356" s="4" t="str">
        <f t="array" ref="ET356">IFERROR(INDEX(球員狀態!M$2:M$5000, MATCH(1, (球員狀態!$A$2:$A$5000=$EI$331)*(ISNUMBER(SEARCH($EI356, 球員狀態!$B$2:$B$5000))), 0)), "")</f>
        <v/>
      </c>
      <c r="EU356" s="4" t="str">
        <f t="array" ref="EU356">IFERROR(INDEX(球員狀態!N$2:N$5000, MATCH(1, (球員狀態!$A$2:$A$5000=$EI$331)*(ISNUMBER(SEARCH($EI356, 球員狀態!$B$2:$B$5000))), 0)), "")</f>
        <v/>
      </c>
      <c r="EV356" s="4" t="str">
        <f t="array" ref="EV356">IFERROR(INDEX(球員狀態!O$2:O$5000, MATCH(1, (球員狀態!$A$2:$A$5000=$EI$1)*(ISNUMBER(SEARCH($EI356, 球員狀態!$B$2:$B$5000))), 0)), "")</f>
        <v/>
      </c>
      <c r="EW356" s="4" t="str">
        <f t="array" ref="EW356">IFERROR(INDEX(球員狀態!P$2:P$5000, MATCH(1, (球員狀態!$A$2:$A$5000=$EI$1)*(ISNUMBER(SEARCH($EI356, 球員狀態!$B$2:$B$5000))), 0)), "")</f>
        <v/>
      </c>
      <c r="EX356" s="4" t="str">
        <f t="array" ref="EX356">IFERROR(INDEX(球員狀態!Q$2:Q$5000, MATCH(1, (球員狀態!$A$2:$A$5000=$EI$331)*(ISNUMBER(SEARCH($EI356, 球員狀態!$B$2:$B$5000))), 0)), "")</f>
        <v/>
      </c>
      <c r="EY356" s="4" t="str">
        <f t="array" ref="EY356">IFERROR(INDEX(球員狀態!R$2:R$5000, MATCH(1, (球員狀態!$A$2:$A$5000=$EI$1)*(ISNUMBER(SEARCH($EI356, 球員狀態!$B$2:$B$5000))), 0)), "")</f>
        <v/>
      </c>
      <c r="EZ356" s="4" t="str">
        <f t="array" ref="EZ356">IFERROR(INDEX(球員狀態!S$2:S$5000, MATCH(1, (球員狀態!$A$2:$A$5000=$EI$1)*(ISNUMBER(SEARCH($EI356, 球員狀態!$B$2:$B$5000))), 0)), "")</f>
        <v/>
      </c>
      <c r="FA356" s="4" t="str">
        <f t="array" ref="FA356">IFERROR(INDEX(球員狀態!T$2:T$5000, MATCH(1, (球員狀態!$A$2:$A$5000=$EI$331)*(ISNUMBER(SEARCH($EI356, 球員狀態!$B$2:$B$5000))), 0)), "")</f>
        <v/>
      </c>
      <c r="FB356" s="4" t="str">
        <f t="array" ref="FB356">IFERROR(INDEX(球員狀態!U$2:U$5000, MATCH(1, (球員狀態!$A$2:$A$5000=$EI$1)*(ISNUMBER(SEARCH($EI356, 球員狀態!$B$2:$B$5000))), 0)), "")</f>
        <v/>
      </c>
      <c r="FC356" s="4" t="str">
        <f t="array" ref="FC356">IFERROR(INDEX(球員狀態!V$2:V$5000, MATCH(1, (球員狀態!$A$2:$A$5000=$EI$1)*(ISNUMBER(SEARCH($EI356, 球員狀態!$B$2:$B$5000))), 0)), "")</f>
        <v/>
      </c>
      <c r="FD356" s="4" t="str">
        <f t="array" ref="FD356">IFERROR(INDEX(球員狀態!W$2:W$5000, MATCH(1, (球員狀態!$A$2:$A$5000=$EI$331)*(ISNUMBER(SEARCH($EI356, 球員狀態!$B$2:$B$5000))), 0)), "")</f>
        <v/>
      </c>
      <c r="FE356" s="4" t="str">
        <f t="array" ref="FE356">IFERROR(INDEX(球員狀態!X$2:X$5000, MATCH(1, (球員狀態!$A$2:$A$5000=$EI$1)*(ISNUMBER(SEARCH($EI356, 球員狀態!$B$2:$B$5000))), 0)), "")</f>
        <v/>
      </c>
      <c r="FF356" s="4" t="str">
        <f t="array" ref="FF356">IFERROR(INDEX(球員狀態!Y$2:Y$5000, MATCH(1, (球員狀態!$A$2:$A$5000=$EI$1)*(ISNUMBER(SEARCH($EI356, 球員狀態!$B$2:$B$5000))), 0)), "")</f>
        <v/>
      </c>
      <c r="FG356" s="4" t="str">
        <f t="array" ref="FG356">IFERROR(INDEX(球員狀態!Z$2:Z$5000, MATCH(1, (球員狀態!$A$2:$A$5000=$EI$331)*(ISNUMBER(SEARCH($EI356, 球員狀態!$B$2:$B$5000))), 0)), "")</f>
        <v/>
      </c>
      <c r="FH356" s="4" t="str">
        <f t="array" ref="FH356">IFERROR(INDEX(球員狀態!AA$2:AA$5000, MATCH(1, (球員狀態!$A$2:$A$5000=$EI$331)*(ISNUMBER(SEARCH($EI356, 球員狀態!$B$2:$B$5000))), 0)), "")</f>
        <v/>
      </c>
      <c r="FI356" s="4" t="str">
        <f t="array" ref="FI356">IFERROR(INDEX(球員狀態!AB$2:AB$5000, MATCH(1, (球員狀態!$A$2:$A$5000=$EI$331)*(ISNUMBER(SEARCH($EI356, 球員狀態!$B$2:$B$5000))), 0)), "")</f>
        <v/>
      </c>
    </row>
    <row r="357" spans="110:165">
      <c r="DH357" s="40" t="e">
        <f>DJ357+DL357+DM357+DN357+DO357-DP357-DQ357+DR357</f>
        <v>#VALUE!</v>
      </c>
      <c r="DI357" s="42" t="e">
        <f>DU357+DX357+EA357+ED357+EE357+EF357</f>
        <v>#VALUE!</v>
      </c>
      <c r="DJ357" s="38" t="e">
        <f>VLOOKUP(DJ356*1, FK$2:FM$12, 3, TRUE)*FM$1</f>
        <v>#VALUE!</v>
      </c>
      <c r="DL357" s="38" t="e">
        <f>VLOOKUP(DL356*1, FN$2:FP$12, 3, TRUE)*FP$1</f>
        <v>#VALUE!</v>
      </c>
      <c r="DM357" s="38" t="e">
        <f>VLOOKUP(DM356*1, FQ$2:FS$12, 3, TRUE)*FS$1</f>
        <v>#VALUE!</v>
      </c>
      <c r="DN357" s="38" t="e">
        <f>VLOOKUP(DN356*1, FT$2:FV$12, 3, TRUE)*FV$1</f>
        <v>#VALUE!</v>
      </c>
      <c r="DO357" s="38" t="e">
        <f>VLOOKUP(DO356*1, FW$2:FY$12, 3, TRUE)*FY$1</f>
        <v>#VALUE!</v>
      </c>
      <c r="DP357" s="39" t="e">
        <f>VLOOKUP(DP356*1, FK$14:FM$25, 3, TRUE)*FM$14</f>
        <v>#VALUE!</v>
      </c>
      <c r="DQ357" s="39" t="e">
        <f>VLOOKUP(DQ356*1, FN$14:FP$25, 3, TRUE)*FP$14</f>
        <v>#VALUE!</v>
      </c>
      <c r="DR357" s="38" t="e">
        <f>VLOOKUP(DR356*1, FQ$14:FS$25, 3, TRUE)*FS$14</f>
        <v>#VALUE!</v>
      </c>
      <c r="DU357" s="41" t="e">
        <f>VLOOKUP(DU356*1, FK$27:FM$38, 3, TRUE)*FM$27</f>
        <v>#VALUE!</v>
      </c>
      <c r="DX357" s="41" t="e">
        <f>VLOOKUP(DX356*1, FN$27:FP$38, 3, TRUE)*FP$27</f>
        <v>#VALUE!</v>
      </c>
      <c r="EA357" s="41" t="e">
        <f>VLOOKUP(EA356*1, FQ$27:FS$38, 3, TRUE)*FS$27</f>
        <v>#VALUE!</v>
      </c>
      <c r="ED357" s="41" t="e">
        <f>VLOOKUP(ED356*1, FT$27:FV$38, 3, TRUE)*FV$27</f>
        <v>#VALUE!</v>
      </c>
      <c r="EE357" s="41" t="e">
        <f>VLOOKUP(EE356*1, FW$27:FY$38, 3, TRUE)*FY$27</f>
        <v>#VALUE!</v>
      </c>
      <c r="EF357" s="41" t="e">
        <f>VLOOKUP(EF356*1, FK$40:FM$51, 3, TRUE)*FM$40</f>
        <v>#VALUE!</v>
      </c>
      <c r="EG357" s="57"/>
      <c r="EK357" s="40" t="e">
        <f>EM357+EO357+EP357+EQ357+ER357-ES357-ET357+EU357</f>
        <v>#VALUE!</v>
      </c>
      <c r="EL357" s="42" t="e">
        <f>EX357+FA357+FD357+FG357+FH357+FI357</f>
        <v>#VALUE!</v>
      </c>
      <c r="EM357" s="38" t="e">
        <f>VLOOKUP(EM356*1, $FK$2:$FM$12, 3, TRUE)*$FM$1</f>
        <v>#VALUE!</v>
      </c>
      <c r="EO357" s="38" t="e">
        <f>VLOOKUP(EO356*1, $FN$2:$FP$12, 3, TRUE)*$FP$1</f>
        <v>#VALUE!</v>
      </c>
      <c r="EP357" s="38" t="e">
        <f>VLOOKUP(EP356*1, $FQ$2:$FS$12, 3, TRUE)*$FS$1</f>
        <v>#VALUE!</v>
      </c>
      <c r="EQ357" s="38" t="e">
        <f>VLOOKUP(EQ356*1, $FT$2:$FV$12, 3, TRUE)*$FV$1</f>
        <v>#VALUE!</v>
      </c>
      <c r="ER357" s="38" t="e">
        <f>VLOOKUP(ER356*1, $FW$2:$FY$12, 3, TRUE)*$FY$1</f>
        <v>#VALUE!</v>
      </c>
      <c r="ES357" s="39" t="e">
        <f>VLOOKUP(ES356*1, $FK$14:$FM$25, 3, TRUE)*$FM$14</f>
        <v>#VALUE!</v>
      </c>
      <c r="ET357" s="39" t="e">
        <f>VLOOKUP(ET356*1, $FN$14:$FP$25, 3, TRUE)*$FP$14</f>
        <v>#VALUE!</v>
      </c>
      <c r="EU357" s="38" t="e">
        <f>VLOOKUP(EU356*1, $FQ$14:$FS$25, 3, TRUE)*$FS$14</f>
        <v>#VALUE!</v>
      </c>
      <c r="EX357" s="41" t="e">
        <f>VLOOKUP(EX356*1, $FK$27:$FM$38, 3, TRUE)*$FM$27</f>
        <v>#VALUE!</v>
      </c>
      <c r="FA357" s="41" t="e">
        <f>VLOOKUP(FA356*1, $FN$27:$FP$38, 3, TRUE)*$FP$27</f>
        <v>#VALUE!</v>
      </c>
      <c r="FD357" s="41" t="e">
        <f>VLOOKUP(FD356*1, $FQ$27:$FS$38, 3, TRUE)*$FS$27</f>
        <v>#VALUE!</v>
      </c>
      <c r="FG357" s="41" t="e">
        <f>VLOOKUP(FG356*1, $FT$27:$FV$38, 3, TRUE)*$FV$27</f>
        <v>#VALUE!</v>
      </c>
      <c r="FH357" s="41" t="e">
        <f>VLOOKUP(FH356*1, $FW$27:$FY$38, 3, TRUE)*$FY$27</f>
        <v>#VALUE!</v>
      </c>
      <c r="FI357" s="41" t="e">
        <f>VLOOKUP(FI356*1, $FK$40:$FM$51, 3, TRUE)*$FM$40</f>
        <v>#VALUE!</v>
      </c>
    </row>
    <row r="358" spans="110:165">
      <c r="DF358" s="82" t="e">
        <f>$DF331&amp;"整體"</f>
        <v>#N/A</v>
      </c>
      <c r="DG358" t="s">
        <v>487</v>
      </c>
      <c r="DH358" t="s">
        <v>488</v>
      </c>
      <c r="DJ358" s="82" t="e">
        <f>$DF331&amp;"先發"</f>
        <v>#N/A</v>
      </c>
      <c r="DK358" s="78"/>
      <c r="DL358" t="s">
        <v>487</v>
      </c>
      <c r="DM358" t="s">
        <v>488</v>
      </c>
      <c r="DO358" s="82" t="e">
        <f>$DF331&amp;"板凳"</f>
        <v>#N/A</v>
      </c>
      <c r="DP358" s="78"/>
      <c r="DQ358" t="s">
        <v>487</v>
      </c>
      <c r="DR358" t="s">
        <v>488</v>
      </c>
      <c r="EI358" s="82" t="e">
        <f>$EI331&amp;"整體"</f>
        <v>#N/A</v>
      </c>
      <c r="EJ358" t="s">
        <v>487</v>
      </c>
      <c r="EK358" t="s">
        <v>488</v>
      </c>
      <c r="EM358" s="82" t="e">
        <f>$EI331&amp;"先發"</f>
        <v>#N/A</v>
      </c>
      <c r="EN358" s="78"/>
      <c r="EO358" t="s">
        <v>487</v>
      </c>
      <c r="EP358" t="s">
        <v>488</v>
      </c>
      <c r="ER358" s="82" t="e">
        <f>$EI331&amp;"板凳"</f>
        <v>#N/A</v>
      </c>
      <c r="ES358" s="78"/>
      <c r="ET358" t="s">
        <v>487</v>
      </c>
      <c r="EU358" t="s">
        <v>488</v>
      </c>
    </row>
    <row r="359" spans="110:165">
      <c r="DF359" s="78"/>
      <c r="DG359" s="43" t="e">
        <f>(DH333+DH335+DH337+DH339+DH341+DH343+DH345+DH347+DH349+DH351+DH353+DH355+DH357)/13</f>
        <v>#VALUE!</v>
      </c>
      <c r="DH359" s="43" t="e">
        <f>(DI333+DI335+DI337+DI339+DI341+DI343+DI345+DI347+DI349+DI351+DI353+DI355+DI357)/13</f>
        <v>#VALUE!</v>
      </c>
      <c r="DJ359" s="78"/>
      <c r="DK359" s="78"/>
      <c r="DL359" s="4" t="e">
        <f>(DH333+DH335+DH337+DH339+DH341)/5</f>
        <v>#VALUE!</v>
      </c>
      <c r="DM359" s="4" t="e">
        <f>(DI333+DI335+DI337+DI339+DI341)/5</f>
        <v>#VALUE!</v>
      </c>
      <c r="DO359" s="78"/>
      <c r="DP359" s="78"/>
      <c r="DQ359" s="43" t="e">
        <f>(DH343+DH345+DH347+DH349+DH351+DH353+DH355+DH355+DH357)/8</f>
        <v>#VALUE!</v>
      </c>
      <c r="DR359" s="43" t="e">
        <f>(DI343+DI345+DI347+DI349+DI351+DI353+DI355+DI357)/8</f>
        <v>#VALUE!</v>
      </c>
      <c r="EI359" s="78"/>
      <c r="EJ359" s="43" t="e">
        <f>(EK333+EK335+EK337+EK339+EK341+EK343+EK345+EK347+EK349+EK351+EK353+EK355+EK357)/13</f>
        <v>#VALUE!</v>
      </c>
      <c r="EK359" s="43" t="e">
        <f>(EL333+EL335+EL337+EL339+EL341+EL343+EL345+EL347+EL349+EL351+EL353+EL355+EL357)/13</f>
        <v>#VALUE!</v>
      </c>
      <c r="EM359" s="78"/>
      <c r="EN359" s="78"/>
      <c r="EO359" s="4" t="e">
        <f>(EK333+EK335+EK337+EK339+EK341)/5</f>
        <v>#VALUE!</v>
      </c>
      <c r="EP359" s="4" t="e">
        <f>(EL333+EL335+EL337+EL339+EL341)/5</f>
        <v>#VALUE!</v>
      </c>
      <c r="ER359" s="78"/>
      <c r="ES359" s="78"/>
      <c r="ET359" s="43" t="e">
        <f>(EK343+EK345+EK347+EK349+EK351+EK353+EK355+EK355+EK357)/8</f>
        <v>#VALUE!</v>
      </c>
      <c r="EU359" s="43" t="e">
        <f>(EL343+EL345+EL347+EL349+EL351+EL353+EL355+EL357)/8</f>
        <v>#VALUE!</v>
      </c>
    </row>
  </sheetData>
  <mergeCells count="214">
    <mergeCell ref="FW27:FX27"/>
    <mergeCell ref="AB16:AD16"/>
    <mergeCell ref="A1:A2"/>
    <mergeCell ref="EM358:EN359"/>
    <mergeCell ref="Y3:AA3"/>
    <mergeCell ref="DF208:DF209"/>
    <mergeCell ref="ER118:ES119"/>
    <mergeCell ref="CM19:CN19"/>
    <mergeCell ref="EM268:EN269"/>
    <mergeCell ref="DO58:DP59"/>
    <mergeCell ref="FQ27:FR27"/>
    <mergeCell ref="V8:V9"/>
    <mergeCell ref="CM3:CN3"/>
    <mergeCell ref="AB32:AD32"/>
    <mergeCell ref="Y9:AA9"/>
    <mergeCell ref="ER298:ES299"/>
    <mergeCell ref="AB26:AD26"/>
    <mergeCell ref="DJ298:DK299"/>
    <mergeCell ref="CM39:CN39"/>
    <mergeCell ref="DJ208:DK209"/>
    <mergeCell ref="BP27:BQ27"/>
    <mergeCell ref="ER328:ES329"/>
    <mergeCell ref="CM31:CN31"/>
    <mergeCell ref="DO178:DP179"/>
    <mergeCell ref="AB13:AD13"/>
    <mergeCell ref="AB7:AD7"/>
    <mergeCell ref="Y33:AA33"/>
    <mergeCell ref="FN27:FO27"/>
    <mergeCell ref="EM58:EN59"/>
    <mergeCell ref="FQ1:FR1"/>
    <mergeCell ref="FK40:FL40"/>
    <mergeCell ref="CM17:CN17"/>
    <mergeCell ref="DO118:DP119"/>
    <mergeCell ref="FK27:FL27"/>
    <mergeCell ref="EM88:EN89"/>
    <mergeCell ref="BP1:BQ1"/>
    <mergeCell ref="DF298:DF299"/>
    <mergeCell ref="V4:V5"/>
    <mergeCell ref="AB31:AD31"/>
    <mergeCell ref="EI268:EI269"/>
    <mergeCell ref="DO208:DP209"/>
    <mergeCell ref="CM45:CN45"/>
    <mergeCell ref="BV14:BW14"/>
    <mergeCell ref="AB12:AD12"/>
    <mergeCell ref="V28:V29"/>
    <mergeCell ref="DJ358:DK359"/>
    <mergeCell ref="AB21:AD21"/>
    <mergeCell ref="V6:V7"/>
    <mergeCell ref="Y7:AA7"/>
    <mergeCell ref="DF28:DF29"/>
    <mergeCell ref="Y16:AA16"/>
    <mergeCell ref="CM65:CN65"/>
    <mergeCell ref="Y27:AA27"/>
    <mergeCell ref="AB23:AD23"/>
    <mergeCell ref="EI58:EI59"/>
    <mergeCell ref="DJ28:DK29"/>
    <mergeCell ref="Y18:AA18"/>
    <mergeCell ref="EI358:EI359"/>
    <mergeCell ref="V16:V17"/>
    <mergeCell ref="V32:V33"/>
    <mergeCell ref="EM328:EN329"/>
    <mergeCell ref="DJ178:DK179"/>
    <mergeCell ref="BY14:BZ14"/>
    <mergeCell ref="DJ268:DK269"/>
    <mergeCell ref="DO238:DP239"/>
    <mergeCell ref="EI118:EI119"/>
    <mergeCell ref="Y15:AA15"/>
    <mergeCell ref="EI238:EI239"/>
    <mergeCell ref="V20:V21"/>
    <mergeCell ref="Y21:AA21"/>
    <mergeCell ref="V14:V15"/>
    <mergeCell ref="DO328:DP329"/>
    <mergeCell ref="DJ58:DK59"/>
    <mergeCell ref="AB22:AD22"/>
    <mergeCell ref="V18:V19"/>
    <mergeCell ref="DJ118:DK119"/>
    <mergeCell ref="CM11:CN11"/>
    <mergeCell ref="DF178:DF179"/>
    <mergeCell ref="DO268:DP269"/>
    <mergeCell ref="AB10:AD10"/>
    <mergeCell ref="EM148:EN149"/>
    <mergeCell ref="AB33:AD33"/>
    <mergeCell ref="AB18:AD18"/>
    <mergeCell ref="EI28:EI29"/>
    <mergeCell ref="DF358:DF359"/>
    <mergeCell ref="EM28:EN29"/>
    <mergeCell ref="BV27:BW27"/>
    <mergeCell ref="ER178:ES179"/>
    <mergeCell ref="V26:V27"/>
    <mergeCell ref="AB19:AD19"/>
    <mergeCell ref="Y32:AA32"/>
    <mergeCell ref="AB28:AD28"/>
    <mergeCell ref="ER88:ES89"/>
    <mergeCell ref="DF268:DF269"/>
    <mergeCell ref="DJ148:DK149"/>
    <mergeCell ref="CM61:CN61"/>
    <mergeCell ref="Y23:AA23"/>
    <mergeCell ref="AB30:AD30"/>
    <mergeCell ref="ER268:ES269"/>
    <mergeCell ref="BY27:BZ27"/>
    <mergeCell ref="AB20:AD20"/>
    <mergeCell ref="Y24:AA24"/>
    <mergeCell ref="AB29:AD29"/>
    <mergeCell ref="EM118:EN119"/>
    <mergeCell ref="CM43:CN43"/>
    <mergeCell ref="DF238:DF239"/>
    <mergeCell ref="CM37:CN37"/>
    <mergeCell ref="EM298:EN299"/>
    <mergeCell ref="DJ328:DK329"/>
    <mergeCell ref="CM33:CN33"/>
    <mergeCell ref="DO358:DP359"/>
    <mergeCell ref="Y22:AA22"/>
    <mergeCell ref="CM25:CN25"/>
    <mergeCell ref="FN14:FO14"/>
    <mergeCell ref="ER28:ES29"/>
    <mergeCell ref="Y31:AA31"/>
    <mergeCell ref="BV1:BW1"/>
    <mergeCell ref="ER208:ES209"/>
    <mergeCell ref="FN1:FO1"/>
    <mergeCell ref="CM53:CN53"/>
    <mergeCell ref="Y6:AA6"/>
    <mergeCell ref="AB2:AD2"/>
    <mergeCell ref="BS14:BT14"/>
    <mergeCell ref="CM35:CN35"/>
    <mergeCell ref="Y28:AA28"/>
    <mergeCell ref="AB17:AD17"/>
    <mergeCell ref="BM1:BN1"/>
    <mergeCell ref="CM59:CN59"/>
    <mergeCell ref="CM55:CN55"/>
    <mergeCell ref="DF88:DF89"/>
    <mergeCell ref="EI328:EI329"/>
    <mergeCell ref="BM14:BN14"/>
    <mergeCell ref="V2:V3"/>
    <mergeCell ref="Y30:AA30"/>
    <mergeCell ref="FK14:FL14"/>
    <mergeCell ref="Y5:AA5"/>
    <mergeCell ref="Y20:AA20"/>
    <mergeCell ref="CM49:CN49"/>
    <mergeCell ref="Y2:AA2"/>
    <mergeCell ref="Y14:AA14"/>
    <mergeCell ref="Y29:AA29"/>
    <mergeCell ref="V24:V25"/>
    <mergeCell ref="Y12:AA12"/>
    <mergeCell ref="AB3:AD3"/>
    <mergeCell ref="Y4:AA4"/>
    <mergeCell ref="V12:V13"/>
    <mergeCell ref="CM13:CN13"/>
    <mergeCell ref="AB5:AD5"/>
    <mergeCell ref="AB14:AD14"/>
    <mergeCell ref="AB4:AD4"/>
    <mergeCell ref="CM15:CN15"/>
    <mergeCell ref="Y10:AA10"/>
    <mergeCell ref="Y19:AA19"/>
    <mergeCell ref="Y17:AA17"/>
    <mergeCell ref="V10:V11"/>
    <mergeCell ref="Y25:AA25"/>
    <mergeCell ref="DF328:DF329"/>
    <mergeCell ref="BS1:BT1"/>
    <mergeCell ref="DF118:DF119"/>
    <mergeCell ref="ER358:ES359"/>
    <mergeCell ref="V30:V31"/>
    <mergeCell ref="BP14:BQ14"/>
    <mergeCell ref="BM27:BN27"/>
    <mergeCell ref="FW1:FX1"/>
    <mergeCell ref="CM23:CN23"/>
    <mergeCell ref="EI178:EI179"/>
    <mergeCell ref="EI88:EI89"/>
    <mergeCell ref="Y8:AA8"/>
    <mergeCell ref="CM51:CN51"/>
    <mergeCell ref="CM7:CN7"/>
    <mergeCell ref="AB6:AD6"/>
    <mergeCell ref="EM178:EN179"/>
    <mergeCell ref="V22:V23"/>
    <mergeCell ref="BS27:BT27"/>
    <mergeCell ref="AB15:AD15"/>
    <mergeCell ref="AB24:AD24"/>
    <mergeCell ref="FT27:FU27"/>
    <mergeCell ref="EI208:EI209"/>
    <mergeCell ref="CM27:CN27"/>
    <mergeCell ref="ER238:ES239"/>
    <mergeCell ref="EI298:EI299"/>
    <mergeCell ref="DO28:DP29"/>
    <mergeCell ref="AB11:AD11"/>
    <mergeCell ref="DJ88:DK89"/>
    <mergeCell ref="FT1:FU1"/>
    <mergeCell ref="ER58:ES59"/>
    <mergeCell ref="Y13:AA13"/>
    <mergeCell ref="FQ14:FR14"/>
    <mergeCell ref="DF148:DF149"/>
    <mergeCell ref="CM21:CN21"/>
    <mergeCell ref="DO88:DP89"/>
    <mergeCell ref="EM208:EN209"/>
    <mergeCell ref="DJ238:DK239"/>
    <mergeCell ref="CM57:CN57"/>
    <mergeCell ref="CM63:CN63"/>
    <mergeCell ref="DO298:DP299"/>
    <mergeCell ref="CM9:CN9"/>
    <mergeCell ref="DO148:DP149"/>
    <mergeCell ref="CM41:CN41"/>
    <mergeCell ref="AB8:AD8"/>
    <mergeCell ref="EI148:EI149"/>
    <mergeCell ref="BY1:BZ1"/>
    <mergeCell ref="FK1:FL1"/>
    <mergeCell ref="ER148:ES149"/>
    <mergeCell ref="AB25:AD25"/>
    <mergeCell ref="Y11:AA11"/>
    <mergeCell ref="CM5:CN5"/>
    <mergeCell ref="EM238:EN239"/>
    <mergeCell ref="AB9:AD9"/>
    <mergeCell ref="AB27:AD27"/>
    <mergeCell ref="CM29:CN29"/>
    <mergeCell ref="CM47:CN47"/>
    <mergeCell ref="DF58:DF59"/>
    <mergeCell ref="Y26:AA26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50"/>
  <sheetViews>
    <sheetView workbookViewId="0"/>
  </sheetViews>
  <sheetFormatPr defaultRowHeight="15"/>
  <cols>
    <col min="1" max="1" width="9.5" bestFit="1" customWidth="1"/>
    <col min="4" max="4" width="26.125" bestFit="1" customWidth="1"/>
    <col min="8" max="8" width="23" style="2" bestFit="1" customWidth="1"/>
    <col min="13" max="13" width="9" style="12" customWidth="1"/>
    <col min="17" max="17" width="9" style="13" customWidth="1"/>
  </cols>
  <sheetData>
    <row r="1" spans="1:10">
      <c r="A1" s="64" t="s">
        <v>522</v>
      </c>
      <c r="B1" s="65" t="s">
        <v>564</v>
      </c>
      <c r="C1" s="65" t="s">
        <v>565</v>
      </c>
      <c r="D1" s="65" t="s">
        <v>455</v>
      </c>
      <c r="E1" s="65" t="s">
        <v>566</v>
      </c>
      <c r="F1" s="65" t="s">
        <v>567</v>
      </c>
      <c r="G1" s="65" t="s">
        <v>568</v>
      </c>
      <c r="H1" s="66" t="s">
        <v>527</v>
      </c>
      <c r="I1" s="65" t="s">
        <v>569</v>
      </c>
      <c r="J1" s="65" t="s">
        <v>570</v>
      </c>
    </row>
    <row r="2" spans="1:10">
      <c r="A2" s="67" t="s">
        <v>571</v>
      </c>
      <c r="B2" s="67" t="s">
        <v>572</v>
      </c>
      <c r="C2" s="67">
        <v>7</v>
      </c>
      <c r="D2" s="67" t="s">
        <v>35</v>
      </c>
      <c r="E2" s="67" t="s">
        <v>573</v>
      </c>
      <c r="F2" s="68">
        <v>0.54</v>
      </c>
      <c r="G2" s="67">
        <v>0</v>
      </c>
      <c r="H2" s="67" t="s">
        <v>110</v>
      </c>
      <c r="I2" s="67"/>
      <c r="J2" s="68">
        <v>0.46</v>
      </c>
    </row>
    <row r="3" spans="1:10">
      <c r="A3" s="69"/>
      <c r="B3" s="69"/>
      <c r="C3" s="69"/>
      <c r="D3" s="69"/>
      <c r="E3" s="69"/>
      <c r="F3" s="70"/>
      <c r="G3" s="69"/>
      <c r="H3" s="69"/>
      <c r="I3" s="69"/>
      <c r="J3" s="70"/>
    </row>
    <row r="4" spans="1:10">
      <c r="A4" s="67" t="s">
        <v>574</v>
      </c>
      <c r="B4" s="67" t="s">
        <v>575</v>
      </c>
      <c r="C4" s="67">
        <v>7</v>
      </c>
      <c r="D4" s="67" t="s">
        <v>61</v>
      </c>
      <c r="E4" s="67"/>
      <c r="F4" s="68">
        <v>0.51</v>
      </c>
      <c r="G4" s="67">
        <v>11</v>
      </c>
      <c r="H4" s="67" t="s">
        <v>71</v>
      </c>
      <c r="I4" s="67" t="s">
        <v>573</v>
      </c>
      <c r="J4" s="68">
        <v>0.49</v>
      </c>
    </row>
    <row r="5" spans="1:10">
      <c r="A5" s="67" t="s">
        <v>574</v>
      </c>
      <c r="B5" s="67" t="s">
        <v>576</v>
      </c>
      <c r="C5" s="67">
        <v>2</v>
      </c>
      <c r="D5" s="67" t="s">
        <v>3</v>
      </c>
      <c r="E5" s="67"/>
      <c r="F5" s="68">
        <v>0.23</v>
      </c>
      <c r="G5" s="67">
        <v>14</v>
      </c>
      <c r="H5" s="68" t="s">
        <v>51</v>
      </c>
      <c r="I5" s="67" t="s">
        <v>577</v>
      </c>
      <c r="J5" s="68">
        <v>0.77</v>
      </c>
    </row>
    <row r="6" spans="1:10">
      <c r="A6" s="67" t="s">
        <v>574</v>
      </c>
      <c r="B6" s="67" t="s">
        <v>578</v>
      </c>
      <c r="C6" s="67">
        <v>10</v>
      </c>
      <c r="D6" s="67" t="s">
        <v>76</v>
      </c>
      <c r="E6" s="67"/>
      <c r="F6" s="68">
        <v>0.22</v>
      </c>
      <c r="G6" s="67">
        <v>4</v>
      </c>
      <c r="H6" s="67" t="s">
        <v>41</v>
      </c>
      <c r="I6" s="67" t="s">
        <v>577</v>
      </c>
      <c r="J6" s="68">
        <v>0.78</v>
      </c>
    </row>
    <row r="7" spans="1:10">
      <c r="A7" s="67" t="s">
        <v>574</v>
      </c>
      <c r="B7" s="67" t="s">
        <v>579</v>
      </c>
      <c r="C7" s="67">
        <v>1</v>
      </c>
      <c r="D7" s="67" t="s">
        <v>83</v>
      </c>
      <c r="E7" s="67"/>
      <c r="F7" s="68">
        <v>0.32</v>
      </c>
      <c r="G7" s="67">
        <v>2</v>
      </c>
      <c r="H7" s="67" t="s">
        <v>33</v>
      </c>
      <c r="I7" s="67" t="s">
        <v>577</v>
      </c>
      <c r="J7" s="68">
        <v>0.68</v>
      </c>
    </row>
    <row r="8" spans="1:10">
      <c r="A8" s="67" t="s">
        <v>574</v>
      </c>
      <c r="B8" s="67" t="s">
        <v>580</v>
      </c>
      <c r="C8" s="67">
        <v>3</v>
      </c>
      <c r="D8" s="67" t="s">
        <v>105</v>
      </c>
      <c r="E8" s="67" t="s">
        <v>577</v>
      </c>
      <c r="F8" s="68">
        <v>0.6</v>
      </c>
      <c r="G8" s="67">
        <v>0</v>
      </c>
      <c r="H8" s="67" t="s">
        <v>159</v>
      </c>
      <c r="I8" s="67"/>
      <c r="J8" s="68">
        <v>0.4</v>
      </c>
    </row>
    <row r="9" spans="1:10">
      <c r="A9" s="67" t="s">
        <v>574</v>
      </c>
      <c r="B9" s="67" t="s">
        <v>580</v>
      </c>
      <c r="C9" s="67">
        <v>3</v>
      </c>
      <c r="D9" s="67" t="s">
        <v>37</v>
      </c>
      <c r="E9" s="67"/>
      <c r="F9" s="68">
        <v>0.35</v>
      </c>
      <c r="G9" s="67">
        <v>0</v>
      </c>
      <c r="H9" s="68" t="s">
        <v>56</v>
      </c>
      <c r="I9" s="67" t="s">
        <v>577</v>
      </c>
      <c r="J9" s="68">
        <v>0.65</v>
      </c>
    </row>
    <row r="10" spans="1:10">
      <c r="A10" s="67" t="s">
        <v>574</v>
      </c>
      <c r="B10" s="67" t="s">
        <v>580</v>
      </c>
      <c r="C10" s="67">
        <v>8</v>
      </c>
      <c r="D10" s="67" t="s">
        <v>126</v>
      </c>
      <c r="E10" s="67" t="s">
        <v>573</v>
      </c>
      <c r="F10" s="68">
        <v>0.74</v>
      </c>
      <c r="G10" s="67">
        <v>2</v>
      </c>
      <c r="H10" s="67" t="s">
        <v>175</v>
      </c>
      <c r="I10" s="67"/>
      <c r="J10" s="68">
        <v>0.26</v>
      </c>
    </row>
    <row r="11" spans="1:10">
      <c r="A11" s="67" t="s">
        <v>574</v>
      </c>
      <c r="B11" s="67" t="s">
        <v>581</v>
      </c>
      <c r="C11" s="67">
        <v>7</v>
      </c>
      <c r="D11" s="67" t="s">
        <v>68</v>
      </c>
      <c r="E11" s="67" t="s">
        <v>573</v>
      </c>
      <c r="F11" s="68">
        <v>0.5</v>
      </c>
      <c r="G11" s="67">
        <v>9</v>
      </c>
      <c r="H11" s="67" t="s">
        <v>6</v>
      </c>
      <c r="I11" s="67"/>
      <c r="J11" s="68">
        <v>0.5</v>
      </c>
    </row>
    <row r="12" spans="1:10">
      <c r="A12" s="67" t="s">
        <v>574</v>
      </c>
      <c r="B12" s="67" t="s">
        <v>581</v>
      </c>
      <c r="C12" s="67">
        <v>3</v>
      </c>
      <c r="D12" s="67" t="s">
        <v>25</v>
      </c>
      <c r="E12" s="67"/>
      <c r="F12" s="68">
        <v>0.33</v>
      </c>
      <c r="G12" s="67">
        <v>5</v>
      </c>
      <c r="H12" s="67" t="s">
        <v>14</v>
      </c>
      <c r="I12" s="67" t="s">
        <v>573</v>
      </c>
      <c r="J12" s="68">
        <v>0.67</v>
      </c>
    </row>
    <row r="13" spans="1:10">
      <c r="A13" s="67" t="s">
        <v>574</v>
      </c>
      <c r="B13" s="67" t="s">
        <v>582</v>
      </c>
      <c r="C13" s="67">
        <v>2</v>
      </c>
      <c r="D13" s="67" t="s">
        <v>8</v>
      </c>
      <c r="E13" s="67"/>
      <c r="F13" s="68">
        <v>0.28999999999999998</v>
      </c>
      <c r="G13" s="67">
        <v>8</v>
      </c>
      <c r="H13" s="68" t="s">
        <v>11</v>
      </c>
      <c r="I13" s="67" t="s">
        <v>583</v>
      </c>
      <c r="J13" s="68">
        <v>0.71</v>
      </c>
    </row>
    <row r="14" spans="1:10">
      <c r="A14" s="67" t="s">
        <v>574</v>
      </c>
      <c r="B14" s="67" t="s">
        <v>584</v>
      </c>
      <c r="C14" s="67">
        <v>6</v>
      </c>
      <c r="D14" s="67" t="s">
        <v>20</v>
      </c>
      <c r="E14" s="67"/>
      <c r="F14" s="68">
        <v>0.57999999999999996</v>
      </c>
      <c r="G14" s="67">
        <v>4</v>
      </c>
      <c r="H14" s="67" t="s">
        <v>117</v>
      </c>
      <c r="I14" s="67" t="s">
        <v>573</v>
      </c>
      <c r="J14" s="68">
        <v>0.42</v>
      </c>
    </row>
    <row r="15" spans="1:10">
      <c r="A15" s="71"/>
      <c r="B15" s="71"/>
      <c r="C15" s="71"/>
      <c r="D15" s="71"/>
      <c r="E15" s="71"/>
      <c r="F15" s="72"/>
      <c r="G15" s="71"/>
      <c r="H15" s="71"/>
      <c r="I15" s="71"/>
      <c r="J15" s="72"/>
    </row>
    <row r="16" spans="1:10">
      <c r="A16" s="67" t="s">
        <v>585</v>
      </c>
      <c r="B16" s="67" t="s">
        <v>586</v>
      </c>
      <c r="C16" s="67">
        <v>3</v>
      </c>
      <c r="D16" s="67" t="s">
        <v>35</v>
      </c>
      <c r="E16" s="67" t="s">
        <v>577</v>
      </c>
      <c r="F16" s="68">
        <v>0.57999999999999996</v>
      </c>
      <c r="G16" s="67">
        <v>0</v>
      </c>
      <c r="H16" s="67" t="s">
        <v>110</v>
      </c>
      <c r="I16" s="67"/>
      <c r="J16" s="68">
        <v>0.42</v>
      </c>
    </row>
    <row r="17" spans="1:10">
      <c r="A17" s="67" t="s">
        <v>585</v>
      </c>
      <c r="B17" s="67" t="s">
        <v>587</v>
      </c>
      <c r="C17" s="67">
        <v>2</v>
      </c>
      <c r="D17" s="67" t="s">
        <v>79</v>
      </c>
      <c r="E17" s="67"/>
      <c r="F17" s="68">
        <v>0.26</v>
      </c>
      <c r="G17" s="67">
        <v>3</v>
      </c>
      <c r="H17" s="67" t="s">
        <v>17</v>
      </c>
      <c r="I17" s="67" t="s">
        <v>588</v>
      </c>
      <c r="J17" s="68">
        <v>0.74</v>
      </c>
    </row>
    <row r="18" spans="1:10">
      <c r="A18" s="67" t="s">
        <v>585</v>
      </c>
      <c r="B18" s="67" t="s">
        <v>589</v>
      </c>
      <c r="C18" s="67">
        <v>1</v>
      </c>
      <c r="D18" s="67" t="s">
        <v>48</v>
      </c>
      <c r="E18" s="67"/>
      <c r="F18" s="68">
        <v>0.37</v>
      </c>
      <c r="G18" s="67">
        <v>2</v>
      </c>
      <c r="H18" s="68" t="s">
        <v>30</v>
      </c>
      <c r="I18" s="67" t="s">
        <v>577</v>
      </c>
      <c r="J18" s="68">
        <v>0.63</v>
      </c>
    </row>
    <row r="19" spans="1:10">
      <c r="A19" s="67" t="s">
        <v>585</v>
      </c>
      <c r="B19" s="67" t="s">
        <v>590</v>
      </c>
      <c r="C19" s="67">
        <v>0</v>
      </c>
      <c r="D19" s="67" t="s">
        <v>74</v>
      </c>
      <c r="E19" s="67"/>
      <c r="F19" s="68">
        <v>0.25</v>
      </c>
      <c r="G19" s="67">
        <v>6</v>
      </c>
      <c r="H19" s="67" t="s">
        <v>44</v>
      </c>
      <c r="I19" s="67" t="s">
        <v>577</v>
      </c>
      <c r="J19" s="68">
        <v>0.75</v>
      </c>
    </row>
    <row r="20" spans="1:10">
      <c r="A20" s="67" t="s">
        <v>585</v>
      </c>
      <c r="B20" s="67" t="s">
        <v>591</v>
      </c>
      <c r="C20" s="67">
        <v>6</v>
      </c>
      <c r="D20" s="67" t="s">
        <v>37</v>
      </c>
      <c r="E20" s="67"/>
      <c r="F20" s="68">
        <v>0.43</v>
      </c>
      <c r="G20" s="67">
        <v>2</v>
      </c>
      <c r="H20" s="67" t="s">
        <v>56</v>
      </c>
      <c r="I20" s="67" t="s">
        <v>577</v>
      </c>
      <c r="J20" s="68">
        <v>0.56999999999999995</v>
      </c>
    </row>
    <row r="21" spans="1:10">
      <c r="A21" s="67" t="s">
        <v>585</v>
      </c>
      <c r="B21" s="67" t="s">
        <v>592</v>
      </c>
      <c r="C21" s="67">
        <v>5</v>
      </c>
      <c r="D21" s="67" t="s">
        <v>126</v>
      </c>
      <c r="E21" s="67"/>
      <c r="F21" s="68">
        <v>0.48</v>
      </c>
      <c r="G21" s="67">
        <v>2</v>
      </c>
      <c r="H21" s="67" t="s">
        <v>175</v>
      </c>
      <c r="I21" s="67" t="s">
        <v>573</v>
      </c>
      <c r="J21" s="68">
        <v>0.52</v>
      </c>
    </row>
    <row r="22" spans="1:10">
      <c r="A22" s="67" t="s">
        <v>585</v>
      </c>
      <c r="B22" s="67" t="s">
        <v>593</v>
      </c>
      <c r="C22" s="67">
        <v>1</v>
      </c>
      <c r="D22" s="67" t="s">
        <v>20</v>
      </c>
      <c r="E22" s="67"/>
      <c r="F22" s="68">
        <v>0.45</v>
      </c>
      <c r="G22" s="67">
        <v>5</v>
      </c>
      <c r="H22" s="68" t="s">
        <v>117</v>
      </c>
      <c r="I22" s="67" t="s">
        <v>573</v>
      </c>
      <c r="J22" s="68">
        <v>0.55000000000000004</v>
      </c>
    </row>
    <row r="23" spans="1:10">
      <c r="A23" s="67" t="s">
        <v>585</v>
      </c>
      <c r="B23" s="67" t="s">
        <v>584</v>
      </c>
      <c r="C23" s="67">
        <v>4</v>
      </c>
      <c r="D23" s="67" t="s">
        <v>8</v>
      </c>
      <c r="E23" s="67"/>
      <c r="F23" s="68">
        <v>0.27</v>
      </c>
      <c r="G23" s="67">
        <v>5</v>
      </c>
      <c r="H23" s="67" t="s">
        <v>11</v>
      </c>
      <c r="I23" s="67" t="s">
        <v>583</v>
      </c>
      <c r="J23" s="68">
        <v>0.73</v>
      </c>
    </row>
    <row r="24" spans="1:10">
      <c r="A24" s="71"/>
      <c r="B24" s="71"/>
      <c r="C24" s="71"/>
      <c r="D24" s="71"/>
      <c r="E24" s="71"/>
      <c r="F24" s="72"/>
      <c r="G24" s="71"/>
      <c r="H24" s="71"/>
      <c r="I24" s="71"/>
      <c r="J24" s="72"/>
    </row>
    <row r="25" spans="1:10">
      <c r="A25" s="67" t="s">
        <v>594</v>
      </c>
      <c r="B25" s="67" t="s">
        <v>595</v>
      </c>
      <c r="C25" s="67">
        <v>5</v>
      </c>
      <c r="D25" s="67" t="s">
        <v>68</v>
      </c>
      <c r="E25" s="67"/>
      <c r="F25" s="68">
        <v>0.28000000000000003</v>
      </c>
      <c r="G25" s="67">
        <v>6</v>
      </c>
      <c r="H25" s="67" t="s">
        <v>6</v>
      </c>
      <c r="I25" s="67" t="s">
        <v>573</v>
      </c>
      <c r="J25" s="68">
        <v>0.72</v>
      </c>
    </row>
    <row r="26" spans="1:10">
      <c r="A26" s="67" t="s">
        <v>594</v>
      </c>
      <c r="B26" s="67" t="s">
        <v>578</v>
      </c>
      <c r="C26" s="67">
        <v>2</v>
      </c>
      <c r="D26" s="67" t="s">
        <v>76</v>
      </c>
      <c r="E26" s="67"/>
      <c r="F26" s="68">
        <v>0.22</v>
      </c>
      <c r="G26" s="67">
        <v>10</v>
      </c>
      <c r="H26" s="67" t="s">
        <v>41</v>
      </c>
      <c r="I26" s="67" t="s">
        <v>588</v>
      </c>
      <c r="J26" s="68">
        <v>0.78</v>
      </c>
    </row>
    <row r="27" spans="1:10">
      <c r="A27" s="67" t="s">
        <v>594</v>
      </c>
      <c r="B27" s="67" t="s">
        <v>596</v>
      </c>
      <c r="C27" s="67">
        <v>7</v>
      </c>
      <c r="D27" s="67" t="s">
        <v>79</v>
      </c>
      <c r="E27" s="67"/>
      <c r="F27" s="68">
        <v>0.25</v>
      </c>
      <c r="G27" s="67">
        <v>8</v>
      </c>
      <c r="H27" s="68" t="s">
        <v>17</v>
      </c>
      <c r="I27" s="67" t="s">
        <v>577</v>
      </c>
      <c r="J27" s="68">
        <v>0.75</v>
      </c>
    </row>
    <row r="28" spans="1:10">
      <c r="A28" s="67" t="s">
        <v>594</v>
      </c>
      <c r="B28" s="67" t="s">
        <v>597</v>
      </c>
      <c r="C28" s="67">
        <v>4</v>
      </c>
      <c r="D28" s="67" t="s">
        <v>83</v>
      </c>
      <c r="E28" s="67"/>
      <c r="F28" s="68">
        <v>0.43</v>
      </c>
      <c r="G28" s="67">
        <v>1</v>
      </c>
      <c r="H28" s="67" t="s">
        <v>33</v>
      </c>
      <c r="I28" s="67" t="s">
        <v>573</v>
      </c>
      <c r="J28" s="68">
        <v>0.56999999999999995</v>
      </c>
    </row>
    <row r="29" spans="1:10">
      <c r="A29" s="67" t="s">
        <v>594</v>
      </c>
      <c r="B29" s="67" t="s">
        <v>597</v>
      </c>
      <c r="C29" s="67">
        <v>5</v>
      </c>
      <c r="D29" s="67" t="s">
        <v>25</v>
      </c>
      <c r="E29" s="67"/>
      <c r="F29" s="68">
        <v>0.4</v>
      </c>
      <c r="G29" s="67">
        <v>4</v>
      </c>
      <c r="H29" s="67" t="s">
        <v>14</v>
      </c>
      <c r="I29" s="67" t="s">
        <v>573</v>
      </c>
      <c r="J29" s="68">
        <v>0.6</v>
      </c>
    </row>
    <row r="30" spans="1:10">
      <c r="A30" s="67" t="s">
        <v>594</v>
      </c>
      <c r="B30" s="67" t="s">
        <v>580</v>
      </c>
      <c r="C30" s="67">
        <v>5</v>
      </c>
      <c r="D30" s="67" t="s">
        <v>105</v>
      </c>
      <c r="E30" s="67" t="s">
        <v>573</v>
      </c>
      <c r="F30" s="68">
        <v>0.56999999999999995</v>
      </c>
      <c r="G30" s="67">
        <v>6</v>
      </c>
      <c r="H30" s="67" t="s">
        <v>159</v>
      </c>
      <c r="I30" s="67"/>
      <c r="J30" s="68">
        <v>0.43</v>
      </c>
    </row>
    <row r="31" spans="1:10">
      <c r="A31" s="67" t="s">
        <v>594</v>
      </c>
      <c r="B31" s="67" t="s">
        <v>580</v>
      </c>
      <c r="C31" s="67">
        <v>2</v>
      </c>
      <c r="D31" s="67" t="s">
        <v>61</v>
      </c>
      <c r="E31" s="67"/>
      <c r="F31" s="68">
        <v>0.37</v>
      </c>
      <c r="G31" s="67">
        <v>4</v>
      </c>
      <c r="H31" s="68" t="s">
        <v>71</v>
      </c>
      <c r="I31" s="67" t="s">
        <v>577</v>
      </c>
      <c r="J31" s="68">
        <v>0.63</v>
      </c>
    </row>
    <row r="32" spans="1:10">
      <c r="A32" s="67" t="s">
        <v>594</v>
      </c>
      <c r="B32" s="67" t="s">
        <v>580</v>
      </c>
      <c r="C32" s="67">
        <v>3</v>
      </c>
      <c r="D32" s="67" t="s">
        <v>48</v>
      </c>
      <c r="E32" s="67"/>
      <c r="F32" s="68">
        <v>0.32</v>
      </c>
      <c r="G32" s="67">
        <v>4</v>
      </c>
      <c r="H32" s="67" t="s">
        <v>30</v>
      </c>
      <c r="I32" s="67" t="s">
        <v>577</v>
      </c>
      <c r="J32" s="68">
        <v>0.68</v>
      </c>
    </row>
    <row r="33" spans="1:10">
      <c r="A33" s="67" t="s">
        <v>594</v>
      </c>
      <c r="B33" s="67" t="s">
        <v>589</v>
      </c>
      <c r="C33" s="67">
        <v>9</v>
      </c>
      <c r="D33" s="67" t="s">
        <v>37</v>
      </c>
      <c r="E33" s="67"/>
      <c r="F33" s="68">
        <v>0.26</v>
      </c>
      <c r="G33" s="67">
        <v>11</v>
      </c>
      <c r="H33" s="67" t="s">
        <v>56</v>
      </c>
      <c r="I33" s="67" t="s">
        <v>577</v>
      </c>
      <c r="J33" s="68">
        <v>0.74</v>
      </c>
    </row>
    <row r="34" spans="1:10">
      <c r="A34" s="67" t="s">
        <v>594</v>
      </c>
      <c r="B34" s="67" t="s">
        <v>589</v>
      </c>
      <c r="C34" s="67">
        <v>1</v>
      </c>
      <c r="D34" s="67" t="s">
        <v>3</v>
      </c>
      <c r="E34" s="67"/>
      <c r="F34" s="68">
        <v>0.19</v>
      </c>
      <c r="G34" s="67">
        <v>6</v>
      </c>
      <c r="H34" s="67" t="s">
        <v>51</v>
      </c>
      <c r="I34" s="67" t="s">
        <v>577</v>
      </c>
      <c r="J34" s="68">
        <v>0.81</v>
      </c>
    </row>
    <row r="35" spans="1:10">
      <c r="A35" s="67" t="s">
        <v>594</v>
      </c>
      <c r="B35" s="67" t="s">
        <v>590</v>
      </c>
      <c r="C35" s="67">
        <v>2</v>
      </c>
      <c r="D35" s="67" t="s">
        <v>74</v>
      </c>
      <c r="E35" s="67"/>
      <c r="F35" s="68">
        <v>0.32</v>
      </c>
      <c r="G35" s="67">
        <v>6</v>
      </c>
      <c r="H35" s="68" t="s">
        <v>44</v>
      </c>
      <c r="I35" s="67" t="s">
        <v>577</v>
      </c>
      <c r="J35" s="68">
        <v>0.68</v>
      </c>
    </row>
    <row r="36" spans="1:10">
      <c r="A36" s="67" t="s">
        <v>594</v>
      </c>
      <c r="B36" s="67" t="s">
        <v>590</v>
      </c>
      <c r="C36" s="67">
        <v>3</v>
      </c>
      <c r="D36" s="67" t="s">
        <v>35</v>
      </c>
      <c r="E36" s="67" t="s">
        <v>577</v>
      </c>
      <c r="F36" s="68">
        <v>0.73</v>
      </c>
      <c r="G36" s="67">
        <v>1</v>
      </c>
      <c r="H36" s="67" t="s">
        <v>110</v>
      </c>
      <c r="I36" s="67"/>
      <c r="J36" s="68">
        <v>0.27</v>
      </c>
    </row>
    <row r="37" spans="1:10">
      <c r="A37" s="67" t="s">
        <v>594</v>
      </c>
      <c r="B37" s="67" t="s">
        <v>598</v>
      </c>
      <c r="C37" s="67">
        <v>0</v>
      </c>
      <c r="D37" s="67" t="s">
        <v>126</v>
      </c>
      <c r="E37" s="67"/>
      <c r="F37" s="68">
        <v>0.4</v>
      </c>
      <c r="G37" s="67">
        <v>3</v>
      </c>
      <c r="H37" s="67" t="s">
        <v>175</v>
      </c>
      <c r="I37" s="67" t="s">
        <v>573</v>
      </c>
      <c r="J37" s="68">
        <v>0.6</v>
      </c>
    </row>
    <row r="38" spans="1:10">
      <c r="A38" s="67" t="s">
        <v>594</v>
      </c>
      <c r="B38" s="67" t="s">
        <v>599</v>
      </c>
      <c r="C38" s="67">
        <v>2</v>
      </c>
      <c r="D38" s="67" t="s">
        <v>8</v>
      </c>
      <c r="E38" s="67"/>
      <c r="F38" s="68">
        <v>0.22</v>
      </c>
      <c r="G38" s="67">
        <v>3</v>
      </c>
      <c r="H38" s="67" t="s">
        <v>11</v>
      </c>
      <c r="I38" s="67" t="s">
        <v>588</v>
      </c>
      <c r="J38" s="68">
        <v>0.78</v>
      </c>
    </row>
    <row r="39" spans="1:10">
      <c r="A39" s="67" t="s">
        <v>594</v>
      </c>
      <c r="B39" s="67" t="s">
        <v>592</v>
      </c>
      <c r="C39" s="67">
        <v>6</v>
      </c>
      <c r="D39" s="67" t="s">
        <v>20</v>
      </c>
      <c r="E39" s="67"/>
      <c r="F39" s="68">
        <v>0.53</v>
      </c>
      <c r="G39" s="67">
        <v>5</v>
      </c>
      <c r="H39" s="68" t="s">
        <v>117</v>
      </c>
      <c r="I39" s="67" t="s">
        <v>577</v>
      </c>
      <c r="J39" s="68">
        <v>0.47</v>
      </c>
    </row>
    <row r="40" spans="1:10">
      <c r="A40" s="71"/>
      <c r="B40" s="71"/>
      <c r="C40" s="71"/>
      <c r="D40" s="71"/>
      <c r="E40" s="71"/>
      <c r="F40" s="72"/>
      <c r="G40" s="71"/>
      <c r="H40" s="72"/>
      <c r="I40" s="71"/>
      <c r="J40" s="72"/>
    </row>
    <row r="41" spans="1:10">
      <c r="A41" s="67" t="s">
        <v>600</v>
      </c>
      <c r="B41" s="67" t="s">
        <v>601</v>
      </c>
      <c r="C41" s="67">
        <v>6</v>
      </c>
      <c r="D41" s="67" t="s">
        <v>83</v>
      </c>
      <c r="E41" s="67"/>
      <c r="F41" s="68">
        <v>0.41</v>
      </c>
      <c r="G41" s="67">
        <v>8</v>
      </c>
      <c r="H41" s="67" t="s">
        <v>33</v>
      </c>
      <c r="I41" s="67" t="s">
        <v>577</v>
      </c>
      <c r="J41" s="68">
        <v>0.59</v>
      </c>
    </row>
    <row r="42" spans="1:10">
      <c r="A42" s="67" t="s">
        <v>600</v>
      </c>
      <c r="B42" s="67" t="s">
        <v>601</v>
      </c>
      <c r="C42" s="67">
        <v>8</v>
      </c>
      <c r="D42" s="67" t="s">
        <v>25</v>
      </c>
      <c r="E42" s="67"/>
      <c r="F42" s="68">
        <v>0.3</v>
      </c>
      <c r="G42" s="67">
        <v>3</v>
      </c>
      <c r="H42" s="67" t="s">
        <v>14</v>
      </c>
      <c r="I42" s="67" t="s">
        <v>577</v>
      </c>
      <c r="J42" s="68">
        <v>0.7</v>
      </c>
    </row>
    <row r="43" spans="1:10">
      <c r="A43" s="67" t="s">
        <v>600</v>
      </c>
      <c r="B43" s="67" t="s">
        <v>601</v>
      </c>
      <c r="C43" s="67">
        <v>4</v>
      </c>
      <c r="D43" s="67" t="s">
        <v>74</v>
      </c>
      <c r="E43" s="67"/>
      <c r="F43" s="68">
        <v>0.38</v>
      </c>
      <c r="G43" s="67">
        <v>1</v>
      </c>
      <c r="H43" s="67" t="s">
        <v>44</v>
      </c>
      <c r="I43" s="67" t="s">
        <v>577</v>
      </c>
      <c r="J43" s="68">
        <v>0.62</v>
      </c>
    </row>
    <row r="44" spans="1:10">
      <c r="A44" s="67" t="s">
        <v>600</v>
      </c>
      <c r="B44" s="67" t="s">
        <v>602</v>
      </c>
      <c r="C44" s="67">
        <v>2</v>
      </c>
      <c r="D44" s="67" t="s">
        <v>79</v>
      </c>
      <c r="E44" s="67"/>
      <c r="F44" s="68">
        <v>0.41</v>
      </c>
      <c r="G44" s="67">
        <v>5</v>
      </c>
      <c r="H44" s="68" t="s">
        <v>17</v>
      </c>
      <c r="I44" s="67" t="s">
        <v>577</v>
      </c>
      <c r="J44" s="68">
        <v>0.59</v>
      </c>
    </row>
    <row r="45" spans="1:10">
      <c r="A45" s="67" t="s">
        <v>600</v>
      </c>
      <c r="B45" s="67" t="s">
        <v>603</v>
      </c>
      <c r="C45" s="67">
        <v>2</v>
      </c>
      <c r="D45" s="67" t="s">
        <v>105</v>
      </c>
      <c r="E45" s="67" t="s">
        <v>573</v>
      </c>
      <c r="F45" s="68">
        <v>0.64</v>
      </c>
      <c r="G45" s="67">
        <v>3</v>
      </c>
      <c r="H45" s="67" t="s">
        <v>159</v>
      </c>
      <c r="I45" s="67"/>
      <c r="J45" s="68">
        <v>0.36</v>
      </c>
    </row>
    <row r="46" spans="1:10">
      <c r="A46" s="67" t="s">
        <v>600</v>
      </c>
      <c r="B46" s="67" t="s">
        <v>603</v>
      </c>
      <c r="C46" s="67">
        <v>4</v>
      </c>
      <c r="D46" s="67" t="s">
        <v>61</v>
      </c>
      <c r="E46" s="67"/>
      <c r="F46" s="68">
        <v>0.33</v>
      </c>
      <c r="G46" s="67">
        <v>3</v>
      </c>
      <c r="H46" s="67" t="s">
        <v>71</v>
      </c>
      <c r="I46" s="67" t="s">
        <v>577</v>
      </c>
      <c r="J46" s="68">
        <v>0.67</v>
      </c>
    </row>
    <row r="47" spans="1:10">
      <c r="A47" s="67" t="s">
        <v>600</v>
      </c>
      <c r="B47" s="67" t="s">
        <v>603</v>
      </c>
      <c r="C47" s="67">
        <v>3</v>
      </c>
      <c r="D47" s="67" t="s">
        <v>48</v>
      </c>
      <c r="E47" s="67"/>
      <c r="F47" s="68">
        <v>0.51</v>
      </c>
      <c r="G47" s="67">
        <v>4</v>
      </c>
      <c r="H47" s="67" t="s">
        <v>30</v>
      </c>
      <c r="I47" s="67" t="s">
        <v>577</v>
      </c>
      <c r="J47" s="68">
        <v>0.49</v>
      </c>
    </row>
    <row r="48" spans="1:10">
      <c r="A48" s="67" t="s">
        <v>600</v>
      </c>
      <c r="B48" s="67" t="s">
        <v>576</v>
      </c>
      <c r="C48" s="67">
        <v>7</v>
      </c>
      <c r="D48" s="67" t="s">
        <v>37</v>
      </c>
      <c r="E48" s="67"/>
      <c r="F48" s="68">
        <v>0.35</v>
      </c>
      <c r="G48" s="67">
        <v>9</v>
      </c>
      <c r="H48" s="68" t="s">
        <v>56</v>
      </c>
      <c r="I48" s="67" t="s">
        <v>577</v>
      </c>
      <c r="J48" s="68">
        <v>0.65</v>
      </c>
    </row>
    <row r="49" spans="1:10">
      <c r="A49" s="67" t="s">
        <v>600</v>
      </c>
      <c r="B49" s="67" t="s">
        <v>576</v>
      </c>
      <c r="C49" s="67">
        <v>7</v>
      </c>
      <c r="D49" s="67" t="s">
        <v>3</v>
      </c>
      <c r="E49" s="67"/>
      <c r="F49" s="68">
        <v>0.22</v>
      </c>
      <c r="G49" s="67">
        <v>9</v>
      </c>
      <c r="H49" s="67" t="s">
        <v>51</v>
      </c>
      <c r="I49" s="67" t="s">
        <v>577</v>
      </c>
      <c r="J49" s="68">
        <v>0.78</v>
      </c>
    </row>
    <row r="50" spans="1:10">
      <c r="A50" s="67" t="s">
        <v>600</v>
      </c>
      <c r="B50" s="67" t="s">
        <v>595</v>
      </c>
      <c r="C50" s="67">
        <v>11</v>
      </c>
      <c r="D50" s="67" t="s">
        <v>68</v>
      </c>
      <c r="E50" s="67" t="s">
        <v>573</v>
      </c>
      <c r="F50" s="68">
        <v>0.52</v>
      </c>
      <c r="G50" s="67">
        <v>7</v>
      </c>
      <c r="H50" s="67" t="s">
        <v>6</v>
      </c>
      <c r="I50" s="67"/>
      <c r="J50" s="68">
        <v>0.48</v>
      </c>
    </row>
    <row r="51" spans="1:10">
      <c r="A51" s="67" t="s">
        <v>600</v>
      </c>
      <c r="B51" s="67" t="s">
        <v>578</v>
      </c>
      <c r="C51" s="67">
        <v>6</v>
      </c>
      <c r="D51" s="67" t="s">
        <v>76</v>
      </c>
      <c r="E51" s="67"/>
      <c r="F51" s="68">
        <v>0.19</v>
      </c>
      <c r="G51" s="67">
        <v>3</v>
      </c>
      <c r="H51" s="67" t="s">
        <v>41</v>
      </c>
      <c r="I51" s="67" t="s">
        <v>588</v>
      </c>
      <c r="J51" s="68">
        <v>0.81</v>
      </c>
    </row>
    <row r="52" spans="1:10">
      <c r="A52" s="67" t="s">
        <v>600</v>
      </c>
      <c r="B52" s="67" t="s">
        <v>604</v>
      </c>
      <c r="C52" s="67">
        <v>0</v>
      </c>
      <c r="D52" s="67" t="s">
        <v>20</v>
      </c>
      <c r="E52" s="67"/>
      <c r="F52" s="68">
        <v>0.36</v>
      </c>
      <c r="G52" s="67">
        <v>8</v>
      </c>
      <c r="H52" s="68" t="s">
        <v>117</v>
      </c>
      <c r="I52" s="67" t="s">
        <v>573</v>
      </c>
      <c r="J52" s="68">
        <v>0.64</v>
      </c>
    </row>
    <row r="53" spans="1:10">
      <c r="A53" s="71"/>
      <c r="B53" s="71"/>
      <c r="C53" s="71"/>
      <c r="D53" s="71"/>
      <c r="E53" s="71"/>
      <c r="F53" s="72"/>
      <c r="G53" s="71"/>
      <c r="H53" s="71"/>
      <c r="I53" s="71"/>
      <c r="J53" s="72"/>
    </row>
    <row r="54" spans="1:10">
      <c r="A54" s="67" t="s">
        <v>605</v>
      </c>
      <c r="B54" s="67" t="s">
        <v>580</v>
      </c>
      <c r="C54" s="67">
        <v>1</v>
      </c>
      <c r="D54" s="67" t="s">
        <v>83</v>
      </c>
      <c r="E54" s="67"/>
      <c r="F54" s="68">
        <v>0.46</v>
      </c>
      <c r="G54" s="67">
        <v>3</v>
      </c>
      <c r="H54" s="67" t="s">
        <v>74</v>
      </c>
      <c r="I54" s="67" t="s">
        <v>577</v>
      </c>
      <c r="J54" s="68">
        <v>0.54</v>
      </c>
    </row>
    <row r="55" spans="1:10">
      <c r="A55" s="67" t="s">
        <v>605</v>
      </c>
      <c r="B55" s="67" t="s">
        <v>606</v>
      </c>
      <c r="C55" s="67">
        <v>5</v>
      </c>
      <c r="D55" s="67" t="s">
        <v>25</v>
      </c>
      <c r="E55" s="67"/>
      <c r="F55" s="68">
        <v>0.47</v>
      </c>
      <c r="G55" s="67">
        <v>2</v>
      </c>
      <c r="H55" s="67" t="s">
        <v>33</v>
      </c>
      <c r="I55" s="67" t="s">
        <v>573</v>
      </c>
      <c r="J55" s="68">
        <v>0.53</v>
      </c>
    </row>
    <row r="56" spans="1:10">
      <c r="A56" s="67" t="s">
        <v>605</v>
      </c>
      <c r="B56" s="67" t="s">
        <v>607</v>
      </c>
      <c r="C56" s="67">
        <v>0</v>
      </c>
      <c r="D56" s="67" t="s">
        <v>61</v>
      </c>
      <c r="E56" s="67"/>
      <c r="F56" s="68">
        <v>0.31</v>
      </c>
      <c r="G56" s="67">
        <v>2</v>
      </c>
      <c r="H56" s="67" t="s">
        <v>159</v>
      </c>
      <c r="I56" s="67" t="s">
        <v>573</v>
      </c>
      <c r="J56" s="68">
        <v>0.69</v>
      </c>
    </row>
    <row r="57" spans="1:10">
      <c r="A57" s="67" t="s">
        <v>605</v>
      </c>
      <c r="B57" s="67" t="s">
        <v>607</v>
      </c>
      <c r="C57" s="67">
        <v>13</v>
      </c>
      <c r="D57" s="67" t="s">
        <v>76</v>
      </c>
      <c r="E57" s="67"/>
      <c r="F57" s="68">
        <v>0.32</v>
      </c>
      <c r="G57" s="67">
        <v>2</v>
      </c>
      <c r="H57" s="68" t="s">
        <v>14</v>
      </c>
      <c r="I57" s="67" t="s">
        <v>577</v>
      </c>
      <c r="J57" s="68">
        <v>0.68</v>
      </c>
    </row>
    <row r="58" spans="1:10">
      <c r="A58" s="67" t="s">
        <v>605</v>
      </c>
      <c r="B58" s="67" t="s">
        <v>607</v>
      </c>
      <c r="C58" s="67">
        <v>9</v>
      </c>
      <c r="D58" s="67" t="s">
        <v>3</v>
      </c>
      <c r="E58" s="67"/>
      <c r="F58" s="68">
        <v>0.32</v>
      </c>
      <c r="G58" s="67">
        <v>4</v>
      </c>
      <c r="H58" s="67" t="s">
        <v>30</v>
      </c>
      <c r="I58" s="67" t="s">
        <v>573</v>
      </c>
      <c r="J58" s="68">
        <v>0.68</v>
      </c>
    </row>
    <row r="59" spans="1:10">
      <c r="A59" s="67" t="s">
        <v>605</v>
      </c>
      <c r="B59" s="67" t="s">
        <v>587</v>
      </c>
      <c r="C59" s="67">
        <v>14</v>
      </c>
      <c r="D59" s="67" t="s">
        <v>48</v>
      </c>
      <c r="E59" s="67"/>
      <c r="F59" s="68">
        <v>0.25</v>
      </c>
      <c r="G59" s="67">
        <v>5</v>
      </c>
      <c r="H59" s="67" t="s">
        <v>17</v>
      </c>
      <c r="I59" s="67" t="s">
        <v>583</v>
      </c>
      <c r="J59" s="68">
        <v>0.75</v>
      </c>
    </row>
    <row r="60" spans="1:10">
      <c r="A60" s="67" t="s">
        <v>605</v>
      </c>
      <c r="B60" s="67" t="s">
        <v>590</v>
      </c>
      <c r="C60" s="67">
        <v>0</v>
      </c>
      <c r="D60" s="67" t="s">
        <v>79</v>
      </c>
      <c r="E60" s="67"/>
      <c r="F60" s="68">
        <v>0.24</v>
      </c>
      <c r="G60" s="67">
        <v>4</v>
      </c>
      <c r="H60" s="67" t="s">
        <v>44</v>
      </c>
      <c r="I60" s="67" t="s">
        <v>573</v>
      </c>
      <c r="J60" s="68">
        <v>0.76</v>
      </c>
    </row>
    <row r="61" spans="1:10">
      <c r="A61" s="67" t="s">
        <v>605</v>
      </c>
      <c r="B61" s="67" t="s">
        <v>608</v>
      </c>
      <c r="C61" s="67">
        <v>2</v>
      </c>
      <c r="D61" s="67" t="s">
        <v>37</v>
      </c>
      <c r="E61" s="67"/>
      <c r="F61" s="68">
        <v>0.45</v>
      </c>
      <c r="G61" s="67">
        <v>7</v>
      </c>
      <c r="H61" s="68" t="s">
        <v>41</v>
      </c>
      <c r="I61" s="67" t="s">
        <v>577</v>
      </c>
      <c r="J61" s="68">
        <v>0.55000000000000004</v>
      </c>
    </row>
    <row r="62" spans="1:10">
      <c r="A62" s="67" t="s">
        <v>605</v>
      </c>
      <c r="B62" s="67" t="s">
        <v>608</v>
      </c>
      <c r="C62" s="67">
        <v>3</v>
      </c>
      <c r="D62" s="67" t="s">
        <v>68</v>
      </c>
      <c r="E62" s="67"/>
      <c r="F62" s="68">
        <v>0.26</v>
      </c>
      <c r="G62" s="67">
        <v>2</v>
      </c>
      <c r="H62" s="67" t="s">
        <v>51</v>
      </c>
      <c r="I62" s="67" t="s">
        <v>577</v>
      </c>
      <c r="J62" s="68">
        <v>0.74</v>
      </c>
    </row>
    <row r="63" spans="1:10">
      <c r="A63" s="67" t="s">
        <v>605</v>
      </c>
      <c r="B63" s="67" t="s">
        <v>609</v>
      </c>
      <c r="C63" s="67">
        <v>4</v>
      </c>
      <c r="D63" s="67" t="s">
        <v>71</v>
      </c>
      <c r="E63" s="67" t="s">
        <v>577</v>
      </c>
      <c r="F63" s="68">
        <v>0.5</v>
      </c>
      <c r="G63" s="67">
        <v>2</v>
      </c>
      <c r="H63" s="67" t="s">
        <v>6</v>
      </c>
      <c r="I63" s="67"/>
      <c r="J63" s="68">
        <v>0.5</v>
      </c>
    </row>
    <row r="64" spans="1:10">
      <c r="A64" s="67" t="s">
        <v>605</v>
      </c>
      <c r="B64" s="67" t="s">
        <v>610</v>
      </c>
      <c r="C64" s="67">
        <v>1</v>
      </c>
      <c r="D64" s="67" t="s">
        <v>105</v>
      </c>
      <c r="E64" s="67" t="s">
        <v>573</v>
      </c>
      <c r="F64" s="68">
        <v>0.51</v>
      </c>
      <c r="G64" s="67">
        <v>8</v>
      </c>
      <c r="H64" s="67" t="s">
        <v>56</v>
      </c>
      <c r="I64" s="67"/>
      <c r="J64" s="68">
        <v>0.49</v>
      </c>
    </row>
    <row r="65" spans="1:10">
      <c r="A65" s="67" t="s">
        <v>605</v>
      </c>
      <c r="B65" s="67" t="s">
        <v>592</v>
      </c>
      <c r="C65" s="67">
        <v>3</v>
      </c>
      <c r="D65" s="67" t="s">
        <v>110</v>
      </c>
      <c r="E65" s="67"/>
      <c r="F65" s="68">
        <v>0.37</v>
      </c>
      <c r="G65" s="67">
        <v>2</v>
      </c>
      <c r="H65" s="68" t="s">
        <v>175</v>
      </c>
      <c r="I65" s="67" t="s">
        <v>573</v>
      </c>
      <c r="J65" s="68">
        <v>0.63</v>
      </c>
    </row>
    <row r="66" spans="1:10">
      <c r="A66" s="67" t="s">
        <v>605</v>
      </c>
      <c r="B66" s="67" t="s">
        <v>592</v>
      </c>
      <c r="C66" s="67">
        <v>1</v>
      </c>
      <c r="D66" s="67" t="s">
        <v>35</v>
      </c>
      <c r="E66" s="67" t="s">
        <v>573</v>
      </c>
      <c r="F66" s="68">
        <v>0.66</v>
      </c>
      <c r="G66" s="67">
        <v>2</v>
      </c>
      <c r="H66" s="67" t="s">
        <v>117</v>
      </c>
      <c r="I66" s="67"/>
      <c r="J66" s="68">
        <v>0.34</v>
      </c>
    </row>
    <row r="67" spans="1:10">
      <c r="A67" s="67" t="s">
        <v>605</v>
      </c>
      <c r="B67" s="67" t="s">
        <v>584</v>
      </c>
      <c r="C67" s="67">
        <v>6</v>
      </c>
      <c r="D67" s="67" t="s">
        <v>126</v>
      </c>
      <c r="E67" s="67"/>
      <c r="F67" s="68">
        <v>0.46</v>
      </c>
      <c r="G67" s="67">
        <v>9</v>
      </c>
      <c r="H67" s="67" t="s">
        <v>8</v>
      </c>
      <c r="I67" s="67" t="s">
        <v>573</v>
      </c>
      <c r="J67" s="68">
        <v>0.54</v>
      </c>
    </row>
    <row r="68" spans="1:10">
      <c r="A68" s="67" t="s">
        <v>605</v>
      </c>
      <c r="B68" s="67" t="s">
        <v>584</v>
      </c>
      <c r="C68" s="67">
        <v>4</v>
      </c>
      <c r="D68" s="67" t="s">
        <v>20</v>
      </c>
      <c r="E68" s="67"/>
      <c r="F68" s="68">
        <v>0.4</v>
      </c>
      <c r="G68" s="67">
        <v>2</v>
      </c>
      <c r="H68" s="67" t="s">
        <v>11</v>
      </c>
      <c r="I68" s="67" t="s">
        <v>577</v>
      </c>
      <c r="J68" s="68">
        <v>0.6</v>
      </c>
    </row>
    <row r="69" spans="1:10">
      <c r="A69" s="71"/>
      <c r="B69" s="71"/>
      <c r="C69" s="71"/>
      <c r="D69" s="71"/>
      <c r="E69" s="71"/>
      <c r="F69" s="72"/>
      <c r="G69" s="71"/>
      <c r="H69" s="71"/>
      <c r="I69" s="71"/>
      <c r="J69" s="72"/>
    </row>
    <row r="70" spans="1:10">
      <c r="A70" s="67" t="s">
        <v>611</v>
      </c>
      <c r="B70" s="67" t="s">
        <v>606</v>
      </c>
      <c r="C70" s="67">
        <v>8</v>
      </c>
      <c r="D70" s="67" t="s">
        <v>25</v>
      </c>
      <c r="E70" s="67" t="s">
        <v>573</v>
      </c>
      <c r="F70" s="68">
        <v>0.62</v>
      </c>
      <c r="G70" s="67">
        <v>5</v>
      </c>
      <c r="H70" s="68" t="s">
        <v>33</v>
      </c>
      <c r="I70" s="67"/>
      <c r="J70" s="68">
        <v>0.38</v>
      </c>
    </row>
    <row r="71" spans="1:10">
      <c r="A71" s="67" t="s">
        <v>611</v>
      </c>
      <c r="B71" s="67" t="s">
        <v>607</v>
      </c>
      <c r="C71" s="67">
        <v>8</v>
      </c>
      <c r="D71" s="67" t="s">
        <v>61</v>
      </c>
      <c r="E71" s="67" t="s">
        <v>573</v>
      </c>
      <c r="F71" s="68">
        <v>0.45</v>
      </c>
      <c r="G71" s="67">
        <v>3</v>
      </c>
      <c r="H71" s="67" t="s">
        <v>159</v>
      </c>
      <c r="I71" s="67"/>
      <c r="J71" s="68">
        <v>0.55000000000000004</v>
      </c>
    </row>
    <row r="72" spans="1:10">
      <c r="A72" s="67" t="s">
        <v>611</v>
      </c>
      <c r="B72" s="67" t="s">
        <v>607</v>
      </c>
      <c r="C72" s="67">
        <v>2</v>
      </c>
      <c r="D72" s="67" t="s">
        <v>76</v>
      </c>
      <c r="E72" s="67"/>
      <c r="F72" s="68">
        <v>0.42</v>
      </c>
      <c r="G72" s="67">
        <v>3</v>
      </c>
      <c r="H72" s="67" t="s">
        <v>14</v>
      </c>
      <c r="I72" s="67" t="s">
        <v>577</v>
      </c>
      <c r="J72" s="68">
        <v>0.57999999999999996</v>
      </c>
    </row>
    <row r="73" spans="1:10">
      <c r="A73" s="67" t="s">
        <v>611</v>
      </c>
      <c r="B73" s="67" t="s">
        <v>607</v>
      </c>
      <c r="C73" s="67">
        <v>2</v>
      </c>
      <c r="D73" s="67" t="s">
        <v>3</v>
      </c>
      <c r="E73" s="67"/>
      <c r="F73" s="68">
        <v>0.48</v>
      </c>
      <c r="G73" s="67">
        <v>9</v>
      </c>
      <c r="H73" s="67" t="s">
        <v>30</v>
      </c>
      <c r="I73" s="67" t="s">
        <v>573</v>
      </c>
      <c r="J73" s="68">
        <v>0.52</v>
      </c>
    </row>
    <row r="74" spans="1:10">
      <c r="A74" s="67" t="s">
        <v>611</v>
      </c>
      <c r="B74" s="67" t="s">
        <v>587</v>
      </c>
      <c r="C74" s="67">
        <v>1</v>
      </c>
      <c r="D74" s="67" t="s">
        <v>48</v>
      </c>
      <c r="E74" s="67"/>
      <c r="F74" s="68">
        <v>0.19</v>
      </c>
      <c r="G74" s="67">
        <v>5</v>
      </c>
      <c r="H74" s="68" t="s">
        <v>17</v>
      </c>
      <c r="I74" s="67" t="s">
        <v>588</v>
      </c>
      <c r="J74" s="68">
        <v>0.81</v>
      </c>
    </row>
    <row r="75" spans="1:10">
      <c r="A75" s="67" t="s">
        <v>611</v>
      </c>
      <c r="B75" s="67" t="s">
        <v>590</v>
      </c>
      <c r="C75" s="67">
        <v>5</v>
      </c>
      <c r="D75" s="67" t="s">
        <v>79</v>
      </c>
      <c r="E75" s="67"/>
      <c r="F75" s="68">
        <v>0.28000000000000003</v>
      </c>
      <c r="G75" s="67">
        <v>2</v>
      </c>
      <c r="H75" s="67" t="s">
        <v>44</v>
      </c>
      <c r="I75" s="67" t="s">
        <v>577</v>
      </c>
      <c r="J75" s="68">
        <v>0.72</v>
      </c>
    </row>
    <row r="76" spans="1:10">
      <c r="A76" s="67" t="s">
        <v>611</v>
      </c>
      <c r="B76" s="67" t="s">
        <v>608</v>
      </c>
      <c r="C76" s="67">
        <v>2</v>
      </c>
      <c r="D76" s="67" t="s">
        <v>37</v>
      </c>
      <c r="E76" s="67"/>
      <c r="F76" s="68">
        <v>0.38</v>
      </c>
      <c r="G76" s="67">
        <v>0</v>
      </c>
      <c r="H76" s="67" t="s">
        <v>41</v>
      </c>
      <c r="I76" s="67" t="s">
        <v>573</v>
      </c>
      <c r="J76" s="68">
        <v>0.62</v>
      </c>
    </row>
    <row r="77" spans="1:10">
      <c r="A77" s="67" t="s">
        <v>611</v>
      </c>
      <c r="B77" s="67" t="s">
        <v>608</v>
      </c>
      <c r="C77" s="67">
        <v>2</v>
      </c>
      <c r="D77" s="67" t="s">
        <v>68</v>
      </c>
      <c r="E77" s="67"/>
      <c r="F77" s="68">
        <v>0.27</v>
      </c>
      <c r="G77" s="67">
        <v>6</v>
      </c>
      <c r="H77" s="67" t="s">
        <v>51</v>
      </c>
      <c r="I77" s="67" t="s">
        <v>573</v>
      </c>
      <c r="J77" s="68">
        <v>0.73</v>
      </c>
    </row>
    <row r="78" spans="1:10">
      <c r="A78" s="67" t="s">
        <v>611</v>
      </c>
      <c r="B78" s="67" t="s">
        <v>609</v>
      </c>
      <c r="C78" s="67">
        <v>0</v>
      </c>
      <c r="D78" s="67" t="s">
        <v>71</v>
      </c>
      <c r="E78" s="67" t="s">
        <v>577</v>
      </c>
      <c r="F78" s="68">
        <v>0.66</v>
      </c>
      <c r="G78" s="67">
        <v>3</v>
      </c>
      <c r="H78" s="68" t="s">
        <v>6</v>
      </c>
      <c r="I78" s="67"/>
      <c r="J78" s="68">
        <v>0.34</v>
      </c>
    </row>
    <row r="79" spans="1:10">
      <c r="A79" s="67" t="s">
        <v>611</v>
      </c>
      <c r="B79" s="67" t="s">
        <v>610</v>
      </c>
      <c r="C79" s="67">
        <v>2</v>
      </c>
      <c r="D79" s="67" t="s">
        <v>105</v>
      </c>
      <c r="E79" s="67"/>
      <c r="F79" s="68">
        <v>0.36</v>
      </c>
      <c r="G79" s="67">
        <v>9</v>
      </c>
      <c r="H79" s="67" t="s">
        <v>56</v>
      </c>
      <c r="I79" s="67" t="s">
        <v>573</v>
      </c>
      <c r="J79" s="68">
        <v>0.64</v>
      </c>
    </row>
    <row r="80" spans="1:10">
      <c r="A80" s="67" t="s">
        <v>611</v>
      </c>
      <c r="B80" s="67" t="s">
        <v>592</v>
      </c>
      <c r="C80" s="67">
        <v>5</v>
      </c>
      <c r="D80" s="67" t="s">
        <v>126</v>
      </c>
      <c r="E80" s="67"/>
      <c r="F80" s="68">
        <v>0.43</v>
      </c>
      <c r="G80" s="67">
        <v>7</v>
      </c>
      <c r="H80" s="67" t="s">
        <v>8</v>
      </c>
      <c r="I80" s="67" t="s">
        <v>612</v>
      </c>
      <c r="J80" s="68">
        <v>0.56999999999999995</v>
      </c>
    </row>
    <row r="81" spans="1:10">
      <c r="A81" s="67" t="s">
        <v>611</v>
      </c>
      <c r="B81" s="67" t="s">
        <v>592</v>
      </c>
      <c r="C81" s="67">
        <v>9</v>
      </c>
      <c r="D81" s="67" t="s">
        <v>110</v>
      </c>
      <c r="E81" s="67" t="s">
        <v>573</v>
      </c>
      <c r="F81" s="68">
        <v>0.6</v>
      </c>
      <c r="G81" s="67">
        <v>3</v>
      </c>
      <c r="H81" s="67" t="s">
        <v>175</v>
      </c>
      <c r="I81" s="67"/>
      <c r="J81" s="68">
        <v>0.4</v>
      </c>
    </row>
    <row r="82" spans="1:10">
      <c r="A82" s="67" t="s">
        <v>611</v>
      </c>
      <c r="B82" s="67" t="s">
        <v>592</v>
      </c>
      <c r="C82" s="67">
        <v>5</v>
      </c>
      <c r="D82" s="67" t="s">
        <v>35</v>
      </c>
      <c r="E82" s="67" t="s">
        <v>573</v>
      </c>
      <c r="F82" s="68">
        <v>0.77</v>
      </c>
      <c r="G82" s="67">
        <v>0</v>
      </c>
      <c r="H82" s="68" t="s">
        <v>117</v>
      </c>
      <c r="I82" s="67"/>
      <c r="J82" s="68">
        <v>0.23</v>
      </c>
    </row>
    <row r="83" spans="1:10">
      <c r="A83" s="67" t="s">
        <v>611</v>
      </c>
      <c r="B83" s="67" t="s">
        <v>584</v>
      </c>
      <c r="C83" s="67">
        <v>1</v>
      </c>
      <c r="D83" s="67" t="s">
        <v>20</v>
      </c>
      <c r="E83" s="67"/>
      <c r="F83" s="68">
        <v>0.21</v>
      </c>
      <c r="G83" s="67">
        <v>4</v>
      </c>
      <c r="H83" s="67" t="s">
        <v>11</v>
      </c>
      <c r="I83" s="67" t="s">
        <v>583</v>
      </c>
      <c r="J83" s="68">
        <v>0.79</v>
      </c>
    </row>
    <row r="84" spans="1:10">
      <c r="A84" s="71"/>
      <c r="B84" s="71"/>
      <c r="C84" s="71"/>
      <c r="D84" s="71"/>
      <c r="E84" s="71"/>
      <c r="F84" s="72"/>
      <c r="G84" s="71"/>
      <c r="H84" s="71"/>
      <c r="I84" s="71"/>
      <c r="J84" s="72"/>
    </row>
    <row r="85" spans="1:10">
      <c r="A85" s="67" t="s">
        <v>613</v>
      </c>
      <c r="B85" s="67" t="s">
        <v>614</v>
      </c>
      <c r="C85" s="67">
        <v>5</v>
      </c>
      <c r="D85" s="67" t="s">
        <v>76</v>
      </c>
      <c r="E85" s="67"/>
      <c r="F85" s="68">
        <v>0.23</v>
      </c>
      <c r="G85" s="67">
        <v>6</v>
      </c>
      <c r="H85" s="67" t="s">
        <v>14</v>
      </c>
      <c r="I85" s="67" t="s">
        <v>588</v>
      </c>
      <c r="J85" s="68">
        <v>0.77</v>
      </c>
    </row>
    <row r="86" spans="1:10">
      <c r="A86" s="67" t="s">
        <v>613</v>
      </c>
      <c r="B86" s="67" t="s">
        <v>615</v>
      </c>
      <c r="C86" s="67">
        <v>2</v>
      </c>
      <c r="D86" s="67" t="s">
        <v>48</v>
      </c>
      <c r="E86" s="67"/>
      <c r="F86" s="68">
        <v>0.19</v>
      </c>
      <c r="G86" s="67">
        <v>1</v>
      </c>
      <c r="H86" s="67" t="s">
        <v>17</v>
      </c>
      <c r="I86" s="67" t="s">
        <v>588</v>
      </c>
      <c r="J86" s="68">
        <v>0.81</v>
      </c>
    </row>
    <row r="87" spans="1:10">
      <c r="A87" s="67" t="s">
        <v>613</v>
      </c>
      <c r="B87" s="67" t="s">
        <v>616</v>
      </c>
      <c r="C87" s="67">
        <v>0</v>
      </c>
      <c r="D87" s="67" t="s">
        <v>3</v>
      </c>
      <c r="E87" s="67"/>
      <c r="F87" s="68">
        <v>0.33</v>
      </c>
      <c r="G87" s="67">
        <v>10</v>
      </c>
      <c r="H87" s="68" t="s">
        <v>30</v>
      </c>
      <c r="I87" s="67" t="s">
        <v>573</v>
      </c>
      <c r="J87" s="68">
        <v>0.67</v>
      </c>
    </row>
    <row r="88" spans="1:10">
      <c r="A88" s="67" t="s">
        <v>613</v>
      </c>
      <c r="B88" s="67" t="s">
        <v>575</v>
      </c>
      <c r="C88" s="67">
        <v>1</v>
      </c>
      <c r="D88" s="67" t="s">
        <v>71</v>
      </c>
      <c r="E88" s="67" t="s">
        <v>577</v>
      </c>
      <c r="F88" s="68">
        <v>0.5</v>
      </c>
      <c r="G88" s="67">
        <v>2</v>
      </c>
      <c r="H88" s="67" t="s">
        <v>6</v>
      </c>
      <c r="I88" s="67"/>
      <c r="J88" s="68">
        <v>0.5</v>
      </c>
    </row>
    <row r="89" spans="1:10">
      <c r="A89" s="67" t="s">
        <v>613</v>
      </c>
      <c r="B89" s="67" t="s">
        <v>603</v>
      </c>
      <c r="C89" s="67">
        <v>2</v>
      </c>
      <c r="D89" s="67" t="s">
        <v>68</v>
      </c>
      <c r="E89" s="67"/>
      <c r="F89" s="68">
        <v>0.3</v>
      </c>
      <c r="G89" s="67">
        <v>8</v>
      </c>
      <c r="H89" s="67" t="s">
        <v>51</v>
      </c>
      <c r="I89" s="67" t="s">
        <v>577</v>
      </c>
      <c r="J89" s="68">
        <v>0.7</v>
      </c>
    </row>
    <row r="90" spans="1:10">
      <c r="A90" s="67" t="s">
        <v>613</v>
      </c>
      <c r="B90" s="67" t="s">
        <v>576</v>
      </c>
      <c r="C90" s="67">
        <v>4</v>
      </c>
      <c r="D90" s="67" t="s">
        <v>105</v>
      </c>
      <c r="E90" s="67" t="s">
        <v>573</v>
      </c>
      <c r="F90" s="68">
        <v>0.55000000000000004</v>
      </c>
      <c r="G90" s="67">
        <v>6</v>
      </c>
      <c r="H90" s="67" t="s">
        <v>56</v>
      </c>
      <c r="I90" s="67"/>
      <c r="J90" s="68">
        <v>0.45</v>
      </c>
    </row>
    <row r="91" spans="1:10">
      <c r="A91" s="67" t="s">
        <v>613</v>
      </c>
      <c r="B91" s="67" t="s">
        <v>578</v>
      </c>
      <c r="C91" s="67">
        <v>2</v>
      </c>
      <c r="D91" s="67" t="s">
        <v>37</v>
      </c>
      <c r="E91" s="67"/>
      <c r="F91" s="68">
        <v>0.34</v>
      </c>
      <c r="G91" s="67">
        <v>6</v>
      </c>
      <c r="H91" s="68" t="s">
        <v>41</v>
      </c>
      <c r="I91" s="67" t="s">
        <v>577</v>
      </c>
      <c r="J91" s="68">
        <v>0.66</v>
      </c>
    </row>
    <row r="92" spans="1:10">
      <c r="A92" s="67" t="s">
        <v>613</v>
      </c>
      <c r="B92" s="67" t="s">
        <v>617</v>
      </c>
      <c r="C92" s="67">
        <v>0</v>
      </c>
      <c r="D92" s="67" t="s">
        <v>126</v>
      </c>
      <c r="E92" s="67" t="s">
        <v>577</v>
      </c>
      <c r="F92" s="68">
        <v>0.7</v>
      </c>
      <c r="G92" s="67">
        <v>1</v>
      </c>
      <c r="H92" s="67" t="s">
        <v>8</v>
      </c>
      <c r="I92" s="67"/>
      <c r="J92" s="68">
        <v>0.3</v>
      </c>
    </row>
    <row r="93" spans="1:10">
      <c r="A93" s="67" t="s">
        <v>613</v>
      </c>
      <c r="B93" s="67" t="s">
        <v>580</v>
      </c>
      <c r="C93" s="67">
        <v>1</v>
      </c>
      <c r="D93" s="67" t="s">
        <v>110</v>
      </c>
      <c r="E93" s="67"/>
      <c r="F93" s="68">
        <v>0.47</v>
      </c>
      <c r="G93" s="67">
        <v>7</v>
      </c>
      <c r="H93" s="67" t="s">
        <v>175</v>
      </c>
      <c r="I93" s="67" t="s">
        <v>577</v>
      </c>
      <c r="J93" s="68">
        <v>0.53</v>
      </c>
    </row>
    <row r="94" spans="1:10">
      <c r="A94" s="67" t="s">
        <v>613</v>
      </c>
      <c r="B94" s="67" t="s">
        <v>580</v>
      </c>
      <c r="C94" s="67">
        <v>5</v>
      </c>
      <c r="D94" s="67" t="s">
        <v>35</v>
      </c>
      <c r="E94" s="67" t="s">
        <v>573</v>
      </c>
      <c r="F94" s="68">
        <v>0.7</v>
      </c>
      <c r="G94" s="67">
        <v>3</v>
      </c>
      <c r="H94" s="67" t="s">
        <v>117</v>
      </c>
      <c r="I94" s="67"/>
      <c r="J94" s="68">
        <v>0.3</v>
      </c>
    </row>
    <row r="95" spans="1:10">
      <c r="A95" s="67" t="s">
        <v>613</v>
      </c>
      <c r="B95" s="67" t="s">
        <v>608</v>
      </c>
      <c r="C95" s="67">
        <v>9</v>
      </c>
      <c r="D95" s="67" t="s">
        <v>83</v>
      </c>
      <c r="E95" s="67" t="s">
        <v>573</v>
      </c>
      <c r="F95" s="68">
        <v>0.59</v>
      </c>
      <c r="G95" s="67">
        <v>13</v>
      </c>
      <c r="H95" s="68" t="s">
        <v>74</v>
      </c>
      <c r="I95" s="67"/>
      <c r="J95" s="68">
        <v>0.41</v>
      </c>
    </row>
    <row r="96" spans="1:10">
      <c r="A96" s="67" t="s">
        <v>613</v>
      </c>
      <c r="B96" s="67" t="s">
        <v>618</v>
      </c>
      <c r="C96" s="67">
        <v>4</v>
      </c>
      <c r="D96" s="67" t="s">
        <v>20</v>
      </c>
      <c r="E96" s="67"/>
      <c r="F96" s="68">
        <v>0.18</v>
      </c>
      <c r="G96" s="67">
        <v>1</v>
      </c>
      <c r="H96" s="67" t="s">
        <v>11</v>
      </c>
      <c r="I96" s="67" t="s">
        <v>588</v>
      </c>
      <c r="J96" s="68">
        <v>0.82</v>
      </c>
    </row>
    <row r="97" spans="1:10">
      <c r="A97" s="67" t="s">
        <v>613</v>
      </c>
      <c r="B97" s="67" t="s">
        <v>619</v>
      </c>
      <c r="C97" s="67">
        <v>1</v>
      </c>
      <c r="D97" s="67" t="s">
        <v>79</v>
      </c>
      <c r="E97" s="67"/>
      <c r="F97" s="68">
        <v>0.24</v>
      </c>
      <c r="G97" s="67">
        <v>5</v>
      </c>
      <c r="H97" s="67" t="s">
        <v>44</v>
      </c>
      <c r="I97" s="67" t="s">
        <v>588</v>
      </c>
      <c r="J97" s="68">
        <v>0.76</v>
      </c>
    </row>
    <row r="98" spans="1:10">
      <c r="A98" s="67" t="s">
        <v>613</v>
      </c>
      <c r="B98" s="67" t="s">
        <v>620</v>
      </c>
      <c r="C98" s="67">
        <v>3</v>
      </c>
      <c r="D98" s="67" t="s">
        <v>25</v>
      </c>
      <c r="E98" s="67"/>
      <c r="F98" s="68">
        <v>0.44</v>
      </c>
      <c r="G98" s="67">
        <v>8</v>
      </c>
      <c r="H98" s="67" t="s">
        <v>33</v>
      </c>
      <c r="I98" s="67" t="s">
        <v>573</v>
      </c>
      <c r="J98" s="68">
        <v>0.56000000000000005</v>
      </c>
    </row>
    <row r="99" spans="1:10">
      <c r="A99" s="67" t="s">
        <v>613</v>
      </c>
      <c r="B99" s="67" t="s">
        <v>621</v>
      </c>
      <c r="C99" s="67">
        <v>8</v>
      </c>
      <c r="D99" s="67" t="s">
        <v>61</v>
      </c>
      <c r="E99" s="67" t="s">
        <v>577</v>
      </c>
      <c r="F99" s="68">
        <v>0.56000000000000005</v>
      </c>
      <c r="G99" s="67">
        <v>3</v>
      </c>
      <c r="H99" s="68" t="s">
        <v>159</v>
      </c>
      <c r="I99" s="67"/>
      <c r="J99" s="68">
        <v>0.44</v>
      </c>
    </row>
    <row r="100" spans="1:10">
      <c r="A100" s="71"/>
      <c r="B100" s="71"/>
      <c r="C100" s="71"/>
      <c r="D100" s="71"/>
      <c r="E100" s="71"/>
      <c r="F100" s="72"/>
      <c r="G100" s="71"/>
      <c r="H100" s="72"/>
      <c r="I100" s="71"/>
      <c r="J100" s="72"/>
    </row>
    <row r="101" spans="1:10">
      <c r="A101" s="67" t="s">
        <v>622</v>
      </c>
      <c r="B101" s="67" t="s">
        <v>576</v>
      </c>
      <c r="C101" s="67">
        <v>5</v>
      </c>
      <c r="D101" s="67" t="s">
        <v>83</v>
      </c>
      <c r="E101" s="67"/>
      <c r="F101" s="68">
        <v>0.5</v>
      </c>
      <c r="G101" s="67">
        <v>1</v>
      </c>
      <c r="H101" s="67" t="s">
        <v>74</v>
      </c>
      <c r="I101" s="67" t="s">
        <v>573</v>
      </c>
      <c r="J101" s="68">
        <v>0.5</v>
      </c>
    </row>
    <row r="102" spans="1:10">
      <c r="A102" s="67" t="s">
        <v>622</v>
      </c>
      <c r="B102" s="67" t="s">
        <v>580</v>
      </c>
      <c r="C102" s="67"/>
      <c r="D102" s="67" t="s">
        <v>623</v>
      </c>
      <c r="E102" s="67"/>
      <c r="F102" s="67"/>
      <c r="G102" s="67"/>
      <c r="H102" s="67" t="s">
        <v>624</v>
      </c>
      <c r="I102" s="67"/>
      <c r="J102" s="67"/>
    </row>
    <row r="103" spans="1:10">
      <c r="A103" s="67" t="s">
        <v>622</v>
      </c>
      <c r="B103" s="67" t="s">
        <v>592</v>
      </c>
      <c r="C103" s="67">
        <v>17</v>
      </c>
      <c r="D103" s="67" t="s">
        <v>44</v>
      </c>
      <c r="E103" s="67" t="s">
        <v>573</v>
      </c>
      <c r="F103" s="68">
        <v>0.59</v>
      </c>
      <c r="G103" s="67">
        <v>2</v>
      </c>
      <c r="H103" s="67" t="s">
        <v>8</v>
      </c>
      <c r="I103" s="67"/>
      <c r="J103" s="68">
        <v>0.41</v>
      </c>
    </row>
    <row r="104" spans="1:10">
      <c r="A104" s="67" t="s">
        <v>622</v>
      </c>
      <c r="B104" s="67" t="s">
        <v>593</v>
      </c>
      <c r="C104" s="67">
        <v>2</v>
      </c>
      <c r="D104" s="67" t="s">
        <v>71</v>
      </c>
      <c r="E104" s="67" t="s">
        <v>573</v>
      </c>
      <c r="F104" s="68">
        <v>0.54</v>
      </c>
      <c r="G104" s="67">
        <v>7</v>
      </c>
      <c r="H104" s="68" t="s">
        <v>110</v>
      </c>
      <c r="I104" s="67"/>
      <c r="J104" s="68">
        <v>0.46</v>
      </c>
    </row>
    <row r="105" spans="1:10">
      <c r="A105" s="71"/>
      <c r="B105" s="71"/>
      <c r="C105" s="71"/>
      <c r="D105" s="71"/>
      <c r="E105" s="71"/>
      <c r="F105" s="72"/>
      <c r="G105" s="71"/>
      <c r="H105" s="71"/>
      <c r="I105" s="71"/>
      <c r="J105" s="72"/>
    </row>
    <row r="106" spans="1:10">
      <c r="A106" s="67" t="s">
        <v>625</v>
      </c>
      <c r="B106" s="67" t="s">
        <v>614</v>
      </c>
      <c r="C106" s="67">
        <v>13</v>
      </c>
      <c r="D106" s="67" t="s">
        <v>11</v>
      </c>
      <c r="E106" s="67" t="s">
        <v>626</v>
      </c>
      <c r="F106" s="68">
        <v>0.54</v>
      </c>
      <c r="G106" s="67">
        <v>6</v>
      </c>
      <c r="H106" s="67" t="s">
        <v>76</v>
      </c>
      <c r="I106" s="67"/>
      <c r="J106" s="68">
        <v>0.46</v>
      </c>
    </row>
    <row r="107" spans="1:10">
      <c r="A107" s="67" t="s">
        <v>625</v>
      </c>
      <c r="B107" s="67" t="s">
        <v>616</v>
      </c>
      <c r="C107" s="67">
        <v>0</v>
      </c>
      <c r="D107" s="67" t="s">
        <v>6</v>
      </c>
      <c r="E107" s="67"/>
      <c r="F107" s="68">
        <v>0.48</v>
      </c>
      <c r="G107" s="67">
        <v>4</v>
      </c>
      <c r="H107" s="67" t="s">
        <v>126</v>
      </c>
      <c r="I107" s="67" t="s">
        <v>577</v>
      </c>
      <c r="J107" s="68">
        <v>0.52</v>
      </c>
    </row>
    <row r="108" spans="1:10">
      <c r="A108" s="67" t="s">
        <v>625</v>
      </c>
      <c r="B108" s="67" t="s">
        <v>601</v>
      </c>
      <c r="C108" s="67">
        <v>2</v>
      </c>
      <c r="D108" s="67" t="s">
        <v>30</v>
      </c>
      <c r="E108" s="67"/>
      <c r="F108" s="68">
        <v>0.36</v>
      </c>
      <c r="G108" s="67">
        <v>8</v>
      </c>
      <c r="H108" s="67" t="s">
        <v>35</v>
      </c>
      <c r="I108" s="67" t="s">
        <v>577</v>
      </c>
      <c r="J108" s="68">
        <v>0.64</v>
      </c>
    </row>
    <row r="109" spans="1:10">
      <c r="A109" s="67" t="s">
        <v>625</v>
      </c>
      <c r="B109" s="67" t="s">
        <v>576</v>
      </c>
      <c r="C109" s="67">
        <v>2</v>
      </c>
      <c r="D109" s="67" t="s">
        <v>175</v>
      </c>
      <c r="E109" s="67"/>
      <c r="F109" s="68">
        <v>0.51</v>
      </c>
      <c r="G109" s="67">
        <v>5</v>
      </c>
      <c r="H109" s="68" t="s">
        <v>105</v>
      </c>
      <c r="I109" s="67" t="s">
        <v>573</v>
      </c>
      <c r="J109" s="68">
        <v>0.49</v>
      </c>
    </row>
    <row r="110" spans="1:10">
      <c r="A110" s="67" t="s">
        <v>625</v>
      </c>
      <c r="B110" s="67" t="s">
        <v>576</v>
      </c>
      <c r="C110" s="67">
        <v>4</v>
      </c>
      <c r="D110" s="67" t="s">
        <v>17</v>
      </c>
      <c r="E110" s="67" t="s">
        <v>588</v>
      </c>
      <c r="F110" s="68">
        <v>0.83</v>
      </c>
      <c r="G110" s="67">
        <v>5</v>
      </c>
      <c r="H110" s="67" t="s">
        <v>3</v>
      </c>
      <c r="I110" s="67"/>
      <c r="J110" s="68">
        <v>0.17</v>
      </c>
    </row>
    <row r="111" spans="1:10">
      <c r="A111" s="67" t="s">
        <v>625</v>
      </c>
      <c r="B111" s="67" t="s">
        <v>597</v>
      </c>
      <c r="C111" s="67">
        <v>5</v>
      </c>
      <c r="D111" s="67" t="s">
        <v>159</v>
      </c>
      <c r="E111" s="67"/>
      <c r="F111" s="68">
        <v>0.32</v>
      </c>
      <c r="G111" s="67">
        <v>3</v>
      </c>
      <c r="H111" s="67" t="s">
        <v>25</v>
      </c>
      <c r="I111" s="67" t="s">
        <v>577</v>
      </c>
      <c r="J111" s="68">
        <v>0.68</v>
      </c>
    </row>
    <row r="112" spans="1:10">
      <c r="A112" s="67" t="s">
        <v>625</v>
      </c>
      <c r="B112" s="67" t="s">
        <v>580</v>
      </c>
      <c r="C112" s="67">
        <v>1</v>
      </c>
      <c r="D112" s="67" t="s">
        <v>41</v>
      </c>
      <c r="E112" s="67" t="s">
        <v>573</v>
      </c>
      <c r="F112" s="68">
        <v>0.56000000000000005</v>
      </c>
      <c r="G112" s="67">
        <v>4</v>
      </c>
      <c r="H112" s="67" t="s">
        <v>20</v>
      </c>
      <c r="I112" s="67"/>
      <c r="J112" s="68">
        <v>0.44</v>
      </c>
    </row>
    <row r="113" spans="1:10">
      <c r="A113" s="67" t="s">
        <v>625</v>
      </c>
      <c r="B113" s="67" t="s">
        <v>580</v>
      </c>
      <c r="C113" s="67">
        <v>4</v>
      </c>
      <c r="D113" s="67" t="s">
        <v>68</v>
      </c>
      <c r="E113" s="67"/>
      <c r="F113" s="68">
        <v>0.56000000000000005</v>
      </c>
      <c r="G113" s="67">
        <v>10</v>
      </c>
      <c r="H113" s="68" t="s">
        <v>83</v>
      </c>
      <c r="I113" s="67" t="s">
        <v>612</v>
      </c>
      <c r="J113" s="68">
        <v>0.44</v>
      </c>
    </row>
    <row r="114" spans="1:10">
      <c r="A114" s="67" t="s">
        <v>625</v>
      </c>
      <c r="B114" s="67" t="s">
        <v>580</v>
      </c>
      <c r="C114" s="67">
        <v>10</v>
      </c>
      <c r="D114" s="67" t="s">
        <v>14</v>
      </c>
      <c r="E114" s="67" t="s">
        <v>588</v>
      </c>
      <c r="F114" s="68">
        <v>0.74</v>
      </c>
      <c r="G114" s="67">
        <v>1</v>
      </c>
      <c r="H114" s="67" t="s">
        <v>48</v>
      </c>
      <c r="I114" s="67"/>
      <c r="J114" s="68">
        <v>0.26</v>
      </c>
    </row>
    <row r="115" spans="1:10">
      <c r="A115" s="67" t="s">
        <v>625</v>
      </c>
      <c r="B115" s="67" t="s">
        <v>627</v>
      </c>
      <c r="C115" s="67">
        <v>4</v>
      </c>
      <c r="D115" s="67" t="s">
        <v>33</v>
      </c>
      <c r="E115" s="67" t="s">
        <v>573</v>
      </c>
      <c r="F115" s="68">
        <v>0.44</v>
      </c>
      <c r="G115" s="67">
        <v>5</v>
      </c>
      <c r="H115" s="67" t="s">
        <v>61</v>
      </c>
      <c r="I115" s="67"/>
      <c r="J115" s="68">
        <v>0.56000000000000005</v>
      </c>
    </row>
    <row r="116" spans="1:10">
      <c r="A116" s="67" t="s">
        <v>625</v>
      </c>
      <c r="B116" s="67" t="s">
        <v>609</v>
      </c>
      <c r="C116" s="67"/>
      <c r="D116" s="67" t="s">
        <v>628</v>
      </c>
      <c r="E116" s="67" t="s">
        <v>577</v>
      </c>
      <c r="F116" s="68">
        <v>0.77</v>
      </c>
      <c r="G116" s="67"/>
      <c r="H116" s="67" t="s">
        <v>629</v>
      </c>
      <c r="I116" s="67"/>
      <c r="J116" s="68">
        <v>0.23</v>
      </c>
    </row>
    <row r="117" spans="1:10">
      <c r="A117" s="67" t="s">
        <v>625</v>
      </c>
      <c r="B117" s="67" t="s">
        <v>630</v>
      </c>
      <c r="C117" s="67">
        <v>3</v>
      </c>
      <c r="D117" s="67" t="s">
        <v>117</v>
      </c>
      <c r="E117" s="67" t="s">
        <v>577</v>
      </c>
      <c r="F117" s="68">
        <v>0.59</v>
      </c>
      <c r="G117" s="67">
        <v>1</v>
      </c>
      <c r="H117" s="68" t="s">
        <v>37</v>
      </c>
      <c r="I117" s="67"/>
      <c r="J117" s="68">
        <v>0.41</v>
      </c>
    </row>
    <row r="118" spans="1:10">
      <c r="A118" s="67" t="s">
        <v>625</v>
      </c>
      <c r="B118" s="67" t="s">
        <v>592</v>
      </c>
      <c r="C118" s="67">
        <v>4</v>
      </c>
      <c r="D118" s="67" t="s">
        <v>56</v>
      </c>
      <c r="E118" s="67" t="s">
        <v>573</v>
      </c>
      <c r="F118" s="68">
        <v>0.61</v>
      </c>
      <c r="G118" s="67">
        <v>11</v>
      </c>
      <c r="H118" s="67" t="s">
        <v>79</v>
      </c>
      <c r="I118" s="67"/>
      <c r="J118" s="68">
        <v>0.39</v>
      </c>
    </row>
    <row r="119" spans="1:10">
      <c r="A119" s="67" t="s">
        <v>625</v>
      </c>
      <c r="B119" s="67" t="s">
        <v>593</v>
      </c>
      <c r="C119" s="67">
        <v>2</v>
      </c>
      <c r="D119" s="67" t="s">
        <v>44</v>
      </c>
      <c r="E119" s="67"/>
      <c r="F119" s="68">
        <v>0.49</v>
      </c>
      <c r="G119" s="67">
        <v>0</v>
      </c>
      <c r="H119" s="67" t="s">
        <v>8</v>
      </c>
      <c r="I119" s="67" t="s">
        <v>573</v>
      </c>
      <c r="J119" s="68">
        <v>0.51</v>
      </c>
    </row>
    <row r="120" spans="1:10">
      <c r="A120" s="67" t="s">
        <v>625</v>
      </c>
      <c r="B120" s="67" t="s">
        <v>631</v>
      </c>
      <c r="C120" s="67">
        <v>10</v>
      </c>
      <c r="D120" s="67" t="s">
        <v>71</v>
      </c>
      <c r="E120" s="67" t="s">
        <v>577</v>
      </c>
      <c r="F120" s="68">
        <v>0.64</v>
      </c>
      <c r="G120" s="67">
        <v>3</v>
      </c>
      <c r="H120" s="67" t="s">
        <v>110</v>
      </c>
      <c r="I120" s="67"/>
      <c r="J120" s="68">
        <v>0.36</v>
      </c>
    </row>
    <row r="121" spans="1:10">
      <c r="A121" s="71"/>
      <c r="B121" s="71"/>
      <c r="C121" s="71"/>
      <c r="D121" s="71"/>
      <c r="E121" s="71"/>
      <c r="F121" s="72"/>
      <c r="G121" s="71"/>
      <c r="H121" s="72"/>
      <c r="I121" s="71"/>
      <c r="J121" s="72"/>
    </row>
    <row r="122" spans="1:10">
      <c r="A122" s="67" t="s">
        <v>632</v>
      </c>
      <c r="B122" s="67" t="s">
        <v>616</v>
      </c>
      <c r="C122" s="67">
        <v>6</v>
      </c>
      <c r="D122" s="67" t="s">
        <v>6</v>
      </c>
      <c r="E122" s="67"/>
      <c r="F122" s="68">
        <v>0.41</v>
      </c>
      <c r="G122" s="67">
        <v>11</v>
      </c>
      <c r="H122" s="68" t="s">
        <v>126</v>
      </c>
      <c r="I122" s="67" t="s">
        <v>577</v>
      </c>
      <c r="J122" s="68">
        <v>0.59</v>
      </c>
    </row>
    <row r="123" spans="1:10">
      <c r="A123" s="67" t="s">
        <v>632</v>
      </c>
      <c r="B123" s="67" t="s">
        <v>576</v>
      </c>
      <c r="C123" s="67">
        <v>3</v>
      </c>
      <c r="D123" s="67" t="s">
        <v>17</v>
      </c>
      <c r="E123" s="67" t="s">
        <v>577</v>
      </c>
      <c r="F123" s="68">
        <v>0.67</v>
      </c>
      <c r="G123" s="67">
        <v>6</v>
      </c>
      <c r="H123" s="67" t="s">
        <v>3</v>
      </c>
      <c r="I123" s="67"/>
      <c r="J123" s="68">
        <v>0.33</v>
      </c>
    </row>
    <row r="124" spans="1:10">
      <c r="A124" s="67" t="s">
        <v>632</v>
      </c>
      <c r="B124" s="67" t="s">
        <v>576</v>
      </c>
      <c r="C124" s="67">
        <v>5</v>
      </c>
      <c r="D124" s="67" t="s">
        <v>51</v>
      </c>
      <c r="E124" s="67" t="s">
        <v>573</v>
      </c>
      <c r="F124" s="68">
        <v>0.78</v>
      </c>
      <c r="G124" s="67">
        <v>2</v>
      </c>
      <c r="H124" s="67" t="s">
        <v>74</v>
      </c>
      <c r="I124" s="67"/>
      <c r="J124" s="68">
        <v>0.22</v>
      </c>
    </row>
    <row r="125" spans="1:10">
      <c r="A125" s="67" t="s">
        <v>632</v>
      </c>
      <c r="B125" s="67" t="s">
        <v>597</v>
      </c>
      <c r="C125" s="67">
        <v>10</v>
      </c>
      <c r="D125" s="67" t="s">
        <v>11</v>
      </c>
      <c r="E125" s="67" t="s">
        <v>626</v>
      </c>
      <c r="F125" s="68">
        <v>0.61</v>
      </c>
      <c r="G125" s="67">
        <v>5</v>
      </c>
      <c r="H125" s="67" t="s">
        <v>76</v>
      </c>
      <c r="I125" s="67"/>
      <c r="J125" s="68">
        <v>0.39</v>
      </c>
    </row>
    <row r="126" spans="1:10">
      <c r="A126" s="67" t="s">
        <v>632</v>
      </c>
      <c r="B126" s="67" t="s">
        <v>597</v>
      </c>
      <c r="C126" s="67">
        <v>11</v>
      </c>
      <c r="D126" s="67" t="s">
        <v>56</v>
      </c>
      <c r="E126" s="67" t="s">
        <v>573</v>
      </c>
      <c r="F126" s="68">
        <v>0.72</v>
      </c>
      <c r="G126" s="67">
        <v>0</v>
      </c>
      <c r="H126" s="68" t="s">
        <v>79</v>
      </c>
      <c r="I126" s="67"/>
      <c r="J126" s="68">
        <v>0.28000000000000003</v>
      </c>
    </row>
    <row r="127" spans="1:10">
      <c r="A127" s="67" t="s">
        <v>632</v>
      </c>
      <c r="B127" s="67" t="s">
        <v>597</v>
      </c>
      <c r="C127" s="67">
        <v>2</v>
      </c>
      <c r="D127" s="67" t="s">
        <v>33</v>
      </c>
      <c r="E127" s="67"/>
      <c r="F127" s="68">
        <v>0.41</v>
      </c>
      <c r="G127" s="67">
        <v>3</v>
      </c>
      <c r="H127" s="67" t="s">
        <v>61</v>
      </c>
      <c r="I127" s="67" t="s">
        <v>573</v>
      </c>
      <c r="J127" s="68">
        <v>0.59</v>
      </c>
    </row>
    <row r="128" spans="1:10">
      <c r="A128" s="67" t="s">
        <v>632</v>
      </c>
      <c r="B128" s="67" t="s">
        <v>580</v>
      </c>
      <c r="C128" s="67">
        <v>3</v>
      </c>
      <c r="D128" s="67" t="s">
        <v>175</v>
      </c>
      <c r="E128" s="67"/>
      <c r="F128" s="68">
        <v>0.39</v>
      </c>
      <c r="G128" s="67">
        <v>2</v>
      </c>
      <c r="H128" s="67" t="s">
        <v>105</v>
      </c>
      <c r="I128" s="67" t="s">
        <v>573</v>
      </c>
      <c r="J128" s="68">
        <v>0.61</v>
      </c>
    </row>
    <row r="129" spans="1:10">
      <c r="A129" s="67" t="s">
        <v>632</v>
      </c>
      <c r="B129" s="67" t="s">
        <v>633</v>
      </c>
      <c r="C129" s="67">
        <v>2</v>
      </c>
      <c r="D129" s="67" t="s">
        <v>159</v>
      </c>
      <c r="E129" s="67"/>
      <c r="F129" s="68">
        <v>0.26</v>
      </c>
      <c r="G129" s="67">
        <v>0</v>
      </c>
      <c r="H129" s="67" t="s">
        <v>25</v>
      </c>
      <c r="I129" s="67" t="s">
        <v>573</v>
      </c>
      <c r="J129" s="68">
        <v>0.74</v>
      </c>
    </row>
    <row r="130" spans="1:10">
      <c r="A130" s="67" t="s">
        <v>632</v>
      </c>
      <c r="B130" s="67" t="s">
        <v>633</v>
      </c>
      <c r="C130" s="67">
        <v>7</v>
      </c>
      <c r="D130" s="67" t="s">
        <v>30</v>
      </c>
      <c r="E130" s="67"/>
      <c r="F130" s="68">
        <v>0.21</v>
      </c>
      <c r="G130" s="67">
        <v>9</v>
      </c>
      <c r="H130" s="68" t="s">
        <v>35</v>
      </c>
      <c r="I130" s="67" t="s">
        <v>577</v>
      </c>
      <c r="J130" s="68">
        <v>0.79</v>
      </c>
    </row>
    <row r="131" spans="1:10">
      <c r="A131" s="67" t="s">
        <v>632</v>
      </c>
      <c r="B131" s="67" t="s">
        <v>589</v>
      </c>
      <c r="C131" s="67">
        <v>7</v>
      </c>
      <c r="D131" s="67" t="s">
        <v>68</v>
      </c>
      <c r="E131" s="67" t="s">
        <v>573</v>
      </c>
      <c r="F131" s="68">
        <v>0.54</v>
      </c>
      <c r="G131" s="67">
        <v>1</v>
      </c>
      <c r="H131" s="67" t="s">
        <v>83</v>
      </c>
      <c r="I131" s="67"/>
      <c r="J131" s="68">
        <v>0.46</v>
      </c>
    </row>
    <row r="132" spans="1:10">
      <c r="A132" s="67" t="s">
        <v>632</v>
      </c>
      <c r="B132" s="67" t="s">
        <v>589</v>
      </c>
      <c r="C132" s="67">
        <v>2</v>
      </c>
      <c r="D132" s="67" t="s">
        <v>51</v>
      </c>
      <c r="E132" s="67"/>
      <c r="F132" s="68">
        <v>0.51</v>
      </c>
      <c r="G132" s="67">
        <v>8</v>
      </c>
      <c r="H132" s="67" t="s">
        <v>74</v>
      </c>
      <c r="I132" s="67" t="s">
        <v>573</v>
      </c>
      <c r="J132" s="68">
        <v>0.49</v>
      </c>
    </row>
    <row r="133" spans="1:10">
      <c r="A133" s="67" t="s">
        <v>632</v>
      </c>
      <c r="B133" s="67" t="s">
        <v>590</v>
      </c>
      <c r="C133" s="67"/>
      <c r="D133" s="67" t="s">
        <v>634</v>
      </c>
      <c r="E133" s="67" t="s">
        <v>573</v>
      </c>
      <c r="F133" s="68">
        <v>0.74</v>
      </c>
      <c r="G133" s="67"/>
      <c r="H133" s="67" t="s">
        <v>635</v>
      </c>
      <c r="I133" s="67"/>
      <c r="J133" s="68">
        <v>0.26</v>
      </c>
    </row>
    <row r="134" spans="1:10">
      <c r="A134" s="67" t="s">
        <v>632</v>
      </c>
      <c r="B134" s="67" t="s">
        <v>590</v>
      </c>
      <c r="C134" s="67">
        <v>1</v>
      </c>
      <c r="D134" s="67" t="s">
        <v>44</v>
      </c>
      <c r="E134" s="67"/>
      <c r="F134" s="68">
        <v>0.54</v>
      </c>
      <c r="G134" s="67">
        <v>2</v>
      </c>
      <c r="H134" s="68" t="s">
        <v>8</v>
      </c>
      <c r="I134" s="67" t="s">
        <v>573</v>
      </c>
      <c r="J134" s="68">
        <v>0.46</v>
      </c>
    </row>
    <row r="135" spans="1:10">
      <c r="A135" s="67" t="s">
        <v>632</v>
      </c>
      <c r="B135" s="67" t="s">
        <v>610</v>
      </c>
      <c r="C135" s="67">
        <v>2</v>
      </c>
      <c r="D135" s="67" t="s">
        <v>14</v>
      </c>
      <c r="E135" s="67" t="s">
        <v>583</v>
      </c>
      <c r="F135" s="68">
        <v>0.63</v>
      </c>
      <c r="G135" s="67">
        <v>1</v>
      </c>
      <c r="H135" s="67" t="s">
        <v>48</v>
      </c>
      <c r="I135" s="67"/>
      <c r="J135" s="68">
        <v>0.37</v>
      </c>
    </row>
    <row r="136" spans="1:10">
      <c r="A136" s="67" t="s">
        <v>632</v>
      </c>
      <c r="B136" s="67" t="s">
        <v>636</v>
      </c>
      <c r="C136" s="67">
        <v>9</v>
      </c>
      <c r="D136" s="67" t="s">
        <v>71</v>
      </c>
      <c r="E136" s="67" t="s">
        <v>573</v>
      </c>
      <c r="F136" s="68">
        <v>0.51</v>
      </c>
      <c r="G136" s="67">
        <v>0</v>
      </c>
      <c r="H136" s="67" t="s">
        <v>110</v>
      </c>
      <c r="I136" s="67"/>
      <c r="J136" s="68">
        <v>0.49</v>
      </c>
    </row>
    <row r="137" spans="1:10">
      <c r="A137" s="67" t="s">
        <v>632</v>
      </c>
      <c r="B137" s="67" t="s">
        <v>630</v>
      </c>
      <c r="C137" s="67">
        <v>0</v>
      </c>
      <c r="D137" s="67" t="s">
        <v>117</v>
      </c>
      <c r="E137" s="67" t="s">
        <v>577</v>
      </c>
      <c r="F137" s="68">
        <v>0.62</v>
      </c>
      <c r="G137" s="67">
        <v>1</v>
      </c>
      <c r="H137" s="67" t="s">
        <v>37</v>
      </c>
      <c r="I137" s="67"/>
      <c r="J137" s="68">
        <v>0.38</v>
      </c>
    </row>
    <row r="138" spans="1:10">
      <c r="A138" s="71"/>
      <c r="B138" s="71"/>
      <c r="C138" s="71"/>
      <c r="D138" s="71"/>
      <c r="E138" s="71"/>
      <c r="F138" s="72"/>
      <c r="G138" s="71"/>
      <c r="H138" s="71"/>
      <c r="I138" s="71"/>
      <c r="J138" s="72"/>
    </row>
    <row r="139" spans="1:10">
      <c r="A139" s="67" t="s">
        <v>637</v>
      </c>
      <c r="B139" s="67" t="s">
        <v>616</v>
      </c>
      <c r="C139" s="67">
        <v>1</v>
      </c>
      <c r="D139" s="67" t="s">
        <v>41</v>
      </c>
      <c r="E139" s="67" t="s">
        <v>577</v>
      </c>
      <c r="F139" s="68">
        <v>0.66</v>
      </c>
      <c r="G139" s="67">
        <v>0</v>
      </c>
      <c r="H139" s="68" t="s">
        <v>20</v>
      </c>
      <c r="I139" s="67"/>
      <c r="J139" s="68">
        <v>0.34</v>
      </c>
    </row>
    <row r="140" spans="1:10">
      <c r="A140" s="67" t="s">
        <v>637</v>
      </c>
      <c r="B140" s="67" t="s">
        <v>601</v>
      </c>
      <c r="C140" s="67">
        <v>8</v>
      </c>
      <c r="D140" s="67" t="s">
        <v>11</v>
      </c>
      <c r="E140" s="67" t="s">
        <v>577</v>
      </c>
      <c r="F140" s="68">
        <v>0.62</v>
      </c>
      <c r="G140" s="67">
        <v>6</v>
      </c>
      <c r="H140" s="67" t="s">
        <v>76</v>
      </c>
      <c r="I140" s="67"/>
      <c r="J140" s="68">
        <v>0.38</v>
      </c>
    </row>
    <row r="141" spans="1:10">
      <c r="A141" s="67" t="s">
        <v>637</v>
      </c>
      <c r="B141" s="67" t="s">
        <v>601</v>
      </c>
      <c r="C141" s="67">
        <v>2</v>
      </c>
      <c r="D141" s="67" t="s">
        <v>33</v>
      </c>
      <c r="E141" s="67"/>
      <c r="F141" s="68">
        <v>0.46</v>
      </c>
      <c r="G141" s="67">
        <v>8</v>
      </c>
      <c r="H141" s="67" t="s">
        <v>61</v>
      </c>
      <c r="I141" s="67" t="s">
        <v>573</v>
      </c>
      <c r="J141" s="68">
        <v>0.54</v>
      </c>
    </row>
    <row r="142" spans="1:10">
      <c r="A142" s="67" t="s">
        <v>637</v>
      </c>
      <c r="B142" s="67" t="s">
        <v>601</v>
      </c>
      <c r="C142" s="67">
        <v>8</v>
      </c>
      <c r="D142" s="67" t="s">
        <v>175</v>
      </c>
      <c r="E142" s="67"/>
      <c r="F142" s="68">
        <v>0.42</v>
      </c>
      <c r="G142" s="67">
        <v>6</v>
      </c>
      <c r="H142" s="67" t="s">
        <v>105</v>
      </c>
      <c r="I142" s="67" t="s">
        <v>573</v>
      </c>
      <c r="J142" s="68">
        <v>0.57999999999999996</v>
      </c>
    </row>
    <row r="143" spans="1:10">
      <c r="A143" s="67" t="s">
        <v>637</v>
      </c>
      <c r="B143" s="67" t="s">
        <v>601</v>
      </c>
      <c r="C143" s="67">
        <v>7</v>
      </c>
      <c r="D143" s="67" t="s">
        <v>30</v>
      </c>
      <c r="E143" s="67"/>
      <c r="F143" s="68">
        <v>0.22</v>
      </c>
      <c r="G143" s="67">
        <v>6</v>
      </c>
      <c r="H143" s="68" t="s">
        <v>35</v>
      </c>
      <c r="I143" s="67" t="s">
        <v>583</v>
      </c>
      <c r="J143" s="68">
        <v>0.78</v>
      </c>
    </row>
    <row r="144" spans="1:10">
      <c r="A144" s="67" t="s">
        <v>637</v>
      </c>
      <c r="B144" s="67" t="s">
        <v>576</v>
      </c>
      <c r="C144" s="67">
        <v>4</v>
      </c>
      <c r="D144" s="67" t="s">
        <v>68</v>
      </c>
      <c r="E144" s="67"/>
      <c r="F144" s="68">
        <v>0.48</v>
      </c>
      <c r="G144" s="67">
        <v>1</v>
      </c>
      <c r="H144" s="67" t="s">
        <v>83</v>
      </c>
      <c r="I144" s="67" t="s">
        <v>573</v>
      </c>
      <c r="J144" s="68">
        <v>0.52</v>
      </c>
    </row>
    <row r="145" spans="1:10">
      <c r="A145" s="67" t="s">
        <v>637</v>
      </c>
      <c r="B145" s="67" t="s">
        <v>576</v>
      </c>
      <c r="C145" s="67">
        <v>0</v>
      </c>
      <c r="D145" s="67" t="s">
        <v>17</v>
      </c>
      <c r="E145" s="67" t="s">
        <v>577</v>
      </c>
      <c r="F145" s="68">
        <v>0.73</v>
      </c>
      <c r="G145" s="67">
        <v>3</v>
      </c>
      <c r="H145" s="67" t="s">
        <v>3</v>
      </c>
      <c r="I145" s="67"/>
      <c r="J145" s="68">
        <v>0.27</v>
      </c>
    </row>
    <row r="146" spans="1:10">
      <c r="A146" s="67" t="s">
        <v>637</v>
      </c>
      <c r="B146" s="67" t="s">
        <v>576</v>
      </c>
      <c r="C146" s="67">
        <v>8</v>
      </c>
      <c r="D146" s="67" t="s">
        <v>51</v>
      </c>
      <c r="E146" s="67"/>
      <c r="F146" s="68">
        <v>0.64</v>
      </c>
      <c r="G146" s="67">
        <v>5</v>
      </c>
      <c r="H146" s="67" t="s">
        <v>74</v>
      </c>
      <c r="I146" s="67" t="s">
        <v>573</v>
      </c>
      <c r="J146" s="68">
        <v>0.36</v>
      </c>
    </row>
    <row r="147" spans="1:10">
      <c r="A147" s="67" t="s">
        <v>637</v>
      </c>
      <c r="B147" s="67" t="s">
        <v>638</v>
      </c>
      <c r="C147" s="67">
        <v>2</v>
      </c>
      <c r="D147" s="67" t="s">
        <v>159</v>
      </c>
      <c r="E147" s="67"/>
      <c r="F147" s="68">
        <v>0.27</v>
      </c>
      <c r="G147" s="67">
        <v>1</v>
      </c>
      <c r="H147" s="68" t="s">
        <v>25</v>
      </c>
      <c r="I147" s="67" t="s">
        <v>573</v>
      </c>
      <c r="J147" s="68">
        <v>0.73</v>
      </c>
    </row>
    <row r="148" spans="1:10">
      <c r="A148" s="67" t="s">
        <v>637</v>
      </c>
      <c r="B148" s="67" t="s">
        <v>639</v>
      </c>
      <c r="C148" s="67">
        <v>1</v>
      </c>
      <c r="D148" s="67" t="s">
        <v>14</v>
      </c>
      <c r="E148" s="67" t="s">
        <v>577</v>
      </c>
      <c r="F148" s="68">
        <v>0.5</v>
      </c>
      <c r="G148" s="67">
        <v>4</v>
      </c>
      <c r="H148" s="67" t="s">
        <v>48</v>
      </c>
      <c r="I148" s="67"/>
      <c r="J148" s="68">
        <v>0.5</v>
      </c>
    </row>
    <row r="149" spans="1:10">
      <c r="A149" s="67" t="s">
        <v>637</v>
      </c>
      <c r="B149" s="67" t="s">
        <v>597</v>
      </c>
      <c r="C149" s="67">
        <v>10</v>
      </c>
      <c r="D149" s="67" t="s">
        <v>56</v>
      </c>
      <c r="E149" s="67" t="s">
        <v>588</v>
      </c>
      <c r="F149" s="68">
        <v>0.81</v>
      </c>
      <c r="G149" s="67">
        <v>12</v>
      </c>
      <c r="H149" s="67" t="s">
        <v>79</v>
      </c>
      <c r="I149" s="67"/>
      <c r="J149" s="68">
        <v>0.19</v>
      </c>
    </row>
    <row r="150" spans="1:10">
      <c r="A150" s="67" t="s">
        <v>637</v>
      </c>
      <c r="B150" s="67" t="s">
        <v>597</v>
      </c>
      <c r="C150" s="67">
        <v>5</v>
      </c>
      <c r="D150" s="67" t="s">
        <v>71</v>
      </c>
      <c r="E150" s="67"/>
      <c r="F150" s="68">
        <v>0.57999999999999996</v>
      </c>
      <c r="G150" s="67">
        <v>2</v>
      </c>
      <c r="H150" s="67" t="s">
        <v>110</v>
      </c>
      <c r="I150" s="67" t="s">
        <v>573</v>
      </c>
      <c r="J150" s="68">
        <v>0.42</v>
      </c>
    </row>
    <row r="151" spans="1:10">
      <c r="A151" s="67" t="s">
        <v>637</v>
      </c>
      <c r="B151" s="67" t="s">
        <v>640</v>
      </c>
      <c r="C151" s="67">
        <v>7</v>
      </c>
      <c r="D151" s="67" t="s">
        <v>117</v>
      </c>
      <c r="E151" s="67" t="s">
        <v>577</v>
      </c>
      <c r="F151" s="68">
        <v>0.72</v>
      </c>
      <c r="G151" s="67">
        <v>8</v>
      </c>
      <c r="H151" s="68" t="s">
        <v>37</v>
      </c>
      <c r="I151" s="67"/>
      <c r="J151" s="68">
        <v>0.28000000000000003</v>
      </c>
    </row>
    <row r="152" spans="1:10">
      <c r="A152" s="67" t="s">
        <v>637</v>
      </c>
      <c r="B152" s="67" t="s">
        <v>580</v>
      </c>
      <c r="C152" s="67">
        <v>5</v>
      </c>
      <c r="D152" s="67" t="s">
        <v>44</v>
      </c>
      <c r="E152" s="67" t="s">
        <v>573</v>
      </c>
      <c r="F152" s="68">
        <v>0.59</v>
      </c>
      <c r="G152" s="67">
        <v>6</v>
      </c>
      <c r="H152" s="67" t="s">
        <v>8</v>
      </c>
      <c r="I152" s="67"/>
      <c r="J152" s="68">
        <v>0.41</v>
      </c>
    </row>
    <row r="153" spans="1:10">
      <c r="A153" s="67" t="s">
        <v>637</v>
      </c>
      <c r="B153" s="67" t="s">
        <v>641</v>
      </c>
      <c r="C153" s="67">
        <v>5</v>
      </c>
      <c r="D153" s="67" t="s">
        <v>41</v>
      </c>
      <c r="E153" s="67" t="s">
        <v>573</v>
      </c>
      <c r="F153" s="68">
        <v>0.62</v>
      </c>
      <c r="G153" s="67">
        <v>6</v>
      </c>
      <c r="H153" s="67" t="s">
        <v>20</v>
      </c>
      <c r="I153" s="67"/>
      <c r="J153" s="68">
        <v>0.38</v>
      </c>
    </row>
    <row r="154" spans="1:10">
      <c r="A154" s="67" t="s">
        <v>637</v>
      </c>
      <c r="B154" s="67" t="s">
        <v>604</v>
      </c>
      <c r="C154" s="67">
        <v>5</v>
      </c>
      <c r="D154" s="67" t="s">
        <v>6</v>
      </c>
      <c r="E154" s="67"/>
      <c r="F154" s="68">
        <v>0.34</v>
      </c>
      <c r="G154" s="67">
        <v>3</v>
      </c>
      <c r="H154" s="67" t="s">
        <v>126</v>
      </c>
      <c r="I154" s="67" t="s">
        <v>577</v>
      </c>
      <c r="J154" s="68">
        <v>0.66</v>
      </c>
    </row>
    <row r="155" spans="1:10">
      <c r="A155" s="71"/>
      <c r="B155" s="71"/>
      <c r="C155" s="71"/>
      <c r="D155" s="71"/>
      <c r="E155" s="71"/>
      <c r="F155" s="72"/>
      <c r="G155" s="71"/>
      <c r="H155" s="72"/>
      <c r="I155" s="71"/>
      <c r="J155" s="72"/>
    </row>
    <row r="156" spans="1:10">
      <c r="A156" s="67" t="s">
        <v>642</v>
      </c>
      <c r="B156" s="67" t="s">
        <v>580</v>
      </c>
      <c r="C156" s="67">
        <v>4</v>
      </c>
      <c r="D156" s="67" t="s">
        <v>41</v>
      </c>
      <c r="E156" s="67"/>
      <c r="F156" s="68">
        <v>0.4</v>
      </c>
      <c r="G156" s="67">
        <v>6</v>
      </c>
      <c r="H156" s="68" t="s">
        <v>68</v>
      </c>
      <c r="I156" s="67" t="s">
        <v>573</v>
      </c>
      <c r="J156" s="68">
        <v>0.6</v>
      </c>
    </row>
    <row r="157" spans="1:10">
      <c r="A157" s="67" t="s">
        <v>642</v>
      </c>
      <c r="B157" s="67" t="s">
        <v>643</v>
      </c>
      <c r="C157" s="67">
        <v>4</v>
      </c>
      <c r="D157" s="67" t="s">
        <v>74</v>
      </c>
      <c r="E157" s="67"/>
      <c r="F157" s="68">
        <v>0.33</v>
      </c>
      <c r="G157" s="67">
        <v>2</v>
      </c>
      <c r="H157" s="67" t="s">
        <v>20</v>
      </c>
      <c r="I157" s="67" t="s">
        <v>573</v>
      </c>
      <c r="J157" s="68">
        <v>0.67</v>
      </c>
    </row>
    <row r="158" spans="1:10">
      <c r="A158" s="67" t="s">
        <v>642</v>
      </c>
      <c r="B158" s="67" t="s">
        <v>607</v>
      </c>
      <c r="C158" s="67">
        <v>5</v>
      </c>
      <c r="D158" s="67" t="s">
        <v>175</v>
      </c>
      <c r="E158" s="67"/>
      <c r="F158" s="68">
        <v>0.28999999999999998</v>
      </c>
      <c r="G158" s="67">
        <v>0</v>
      </c>
      <c r="H158" s="67" t="s">
        <v>61</v>
      </c>
      <c r="I158" s="67" t="s">
        <v>573</v>
      </c>
      <c r="J158" s="68">
        <v>0.71</v>
      </c>
    </row>
    <row r="159" spans="1:10">
      <c r="A159" s="67" t="s">
        <v>642</v>
      </c>
      <c r="B159" s="67" t="s">
        <v>607</v>
      </c>
      <c r="C159" s="67">
        <v>2</v>
      </c>
      <c r="D159" s="67" t="s">
        <v>159</v>
      </c>
      <c r="E159" s="67"/>
      <c r="F159" s="68">
        <v>0.31</v>
      </c>
      <c r="G159" s="67">
        <v>0</v>
      </c>
      <c r="H159" s="67" t="s">
        <v>30</v>
      </c>
      <c r="I159" s="67" t="s">
        <v>573</v>
      </c>
      <c r="J159" s="68">
        <v>0.69</v>
      </c>
    </row>
    <row r="160" spans="1:10">
      <c r="A160" s="67" t="s">
        <v>642</v>
      </c>
      <c r="B160" s="67" t="s">
        <v>644</v>
      </c>
      <c r="C160" s="67">
        <v>6</v>
      </c>
      <c r="D160" s="67" t="s">
        <v>6</v>
      </c>
      <c r="E160" s="67" t="s">
        <v>573</v>
      </c>
      <c r="F160" s="68">
        <v>0.63</v>
      </c>
      <c r="G160" s="67">
        <v>9</v>
      </c>
      <c r="H160" s="68" t="s">
        <v>76</v>
      </c>
      <c r="I160" s="67"/>
      <c r="J160" s="68">
        <v>0.37</v>
      </c>
    </row>
    <row r="161" spans="1:10">
      <c r="A161" s="67" t="s">
        <v>642</v>
      </c>
      <c r="B161" s="67" t="s">
        <v>644</v>
      </c>
      <c r="C161" s="67">
        <v>8</v>
      </c>
      <c r="D161" s="67" t="s">
        <v>51</v>
      </c>
      <c r="E161" s="67" t="s">
        <v>577</v>
      </c>
      <c r="F161" s="68">
        <v>0.77</v>
      </c>
      <c r="G161" s="67">
        <v>6</v>
      </c>
      <c r="H161" s="67" t="s">
        <v>105</v>
      </c>
      <c r="I161" s="67"/>
      <c r="J161" s="68">
        <v>0.23</v>
      </c>
    </row>
    <row r="162" spans="1:10">
      <c r="A162" s="67" t="s">
        <v>642</v>
      </c>
      <c r="B162" s="67" t="s">
        <v>587</v>
      </c>
      <c r="C162" s="67">
        <v>14</v>
      </c>
      <c r="D162" s="67" t="s">
        <v>11</v>
      </c>
      <c r="E162" s="67" t="s">
        <v>573</v>
      </c>
      <c r="F162" s="68">
        <v>0.45</v>
      </c>
      <c r="G162" s="67">
        <v>2</v>
      </c>
      <c r="H162" s="67" t="s">
        <v>17</v>
      </c>
      <c r="I162" s="67"/>
      <c r="J162" s="68">
        <v>0.55000000000000004</v>
      </c>
    </row>
    <row r="163" spans="1:10">
      <c r="A163" s="67" t="s">
        <v>642</v>
      </c>
      <c r="B163" s="67" t="s">
        <v>608</v>
      </c>
      <c r="C163" s="67">
        <v>3</v>
      </c>
      <c r="D163" s="67" t="s">
        <v>126</v>
      </c>
      <c r="E163" s="67"/>
      <c r="F163" s="68">
        <v>0.63</v>
      </c>
      <c r="G163" s="67">
        <v>7</v>
      </c>
      <c r="H163" s="67" t="s">
        <v>83</v>
      </c>
      <c r="I163" s="67" t="s">
        <v>573</v>
      </c>
      <c r="J163" s="68">
        <v>0.37</v>
      </c>
    </row>
    <row r="164" spans="1:10">
      <c r="A164" s="67" t="s">
        <v>642</v>
      </c>
      <c r="B164" s="67" t="s">
        <v>608</v>
      </c>
      <c r="C164" s="67">
        <v>2</v>
      </c>
      <c r="D164" s="67" t="s">
        <v>33</v>
      </c>
      <c r="E164" s="67" t="s">
        <v>573</v>
      </c>
      <c r="F164" s="68">
        <v>0.45</v>
      </c>
      <c r="G164" s="67">
        <v>1</v>
      </c>
      <c r="H164" s="68" t="s">
        <v>3</v>
      </c>
      <c r="I164" s="67"/>
      <c r="J164" s="68">
        <v>0.55000000000000004</v>
      </c>
    </row>
    <row r="165" spans="1:10">
      <c r="A165" s="67" t="s">
        <v>642</v>
      </c>
      <c r="B165" s="67" t="s">
        <v>572</v>
      </c>
      <c r="C165" s="67">
        <v>1</v>
      </c>
      <c r="D165" s="67" t="s">
        <v>117</v>
      </c>
      <c r="E165" s="67"/>
      <c r="F165" s="68">
        <v>0.34</v>
      </c>
      <c r="G165" s="67">
        <v>2</v>
      </c>
      <c r="H165" s="67" t="s">
        <v>25</v>
      </c>
      <c r="I165" s="67" t="s">
        <v>573</v>
      </c>
      <c r="J165" s="68">
        <v>0.66</v>
      </c>
    </row>
    <row r="166" spans="1:10">
      <c r="A166" s="67" t="s">
        <v>642</v>
      </c>
      <c r="B166" s="67" t="s">
        <v>598</v>
      </c>
      <c r="C166" s="67">
        <v>7</v>
      </c>
      <c r="D166" s="67" t="s">
        <v>56</v>
      </c>
      <c r="E166" s="67" t="s">
        <v>577</v>
      </c>
      <c r="F166" s="68">
        <v>0.7</v>
      </c>
      <c r="G166" s="67">
        <v>9</v>
      </c>
      <c r="H166" s="67" t="s">
        <v>48</v>
      </c>
      <c r="I166" s="67"/>
      <c r="J166" s="68">
        <v>0.3</v>
      </c>
    </row>
    <row r="167" spans="1:10">
      <c r="A167" s="67" t="s">
        <v>642</v>
      </c>
      <c r="B167" s="67" t="s">
        <v>630</v>
      </c>
      <c r="C167" s="67">
        <v>2</v>
      </c>
      <c r="D167" s="67" t="s">
        <v>44</v>
      </c>
      <c r="E167" s="67" t="s">
        <v>588</v>
      </c>
      <c r="F167" s="68">
        <v>0.59</v>
      </c>
      <c r="G167" s="67">
        <v>6</v>
      </c>
      <c r="H167" s="67" t="s">
        <v>37</v>
      </c>
      <c r="I167" s="67"/>
      <c r="J167" s="68">
        <v>0.41</v>
      </c>
    </row>
    <row r="168" spans="1:10">
      <c r="A168" s="67" t="s">
        <v>642</v>
      </c>
      <c r="B168" s="67" t="s">
        <v>593</v>
      </c>
      <c r="C168" s="67">
        <v>6</v>
      </c>
      <c r="D168" s="67" t="s">
        <v>14</v>
      </c>
      <c r="E168" s="67" t="s">
        <v>573</v>
      </c>
      <c r="F168" s="68">
        <v>0.59</v>
      </c>
      <c r="G168" s="67">
        <v>4</v>
      </c>
      <c r="H168" s="68" t="s">
        <v>110</v>
      </c>
      <c r="I168" s="67"/>
      <c r="J168" s="68">
        <v>0.41</v>
      </c>
    </row>
    <row r="169" spans="1:10">
      <c r="A169" s="71"/>
      <c r="B169" s="71"/>
      <c r="C169" s="71"/>
      <c r="D169" s="71"/>
      <c r="E169" s="71"/>
      <c r="F169" s="72"/>
      <c r="G169" s="71"/>
      <c r="H169" s="71"/>
      <c r="I169" s="71"/>
      <c r="J169" s="72"/>
    </row>
    <row r="170" spans="1:10">
      <c r="A170" s="67" t="s">
        <v>645</v>
      </c>
      <c r="B170" s="67" t="s">
        <v>616</v>
      </c>
      <c r="C170" s="67">
        <v>1</v>
      </c>
      <c r="D170" s="67" t="s">
        <v>74</v>
      </c>
      <c r="E170" s="67"/>
      <c r="F170" s="68">
        <v>0.35</v>
      </c>
      <c r="G170" s="67">
        <v>2</v>
      </c>
      <c r="H170" s="67" t="s">
        <v>20</v>
      </c>
      <c r="I170" s="67" t="s">
        <v>573</v>
      </c>
      <c r="J170" s="68">
        <v>0.65</v>
      </c>
    </row>
    <row r="171" spans="1:10">
      <c r="A171" s="67" t="s">
        <v>645</v>
      </c>
      <c r="B171" s="67" t="s">
        <v>639</v>
      </c>
      <c r="C171" s="67">
        <v>4</v>
      </c>
      <c r="D171" s="67" t="s">
        <v>33</v>
      </c>
      <c r="E171" s="67" t="s">
        <v>577</v>
      </c>
      <c r="F171" s="68">
        <v>0.74</v>
      </c>
      <c r="G171" s="67">
        <v>2</v>
      </c>
      <c r="H171" s="67" t="s">
        <v>3</v>
      </c>
      <c r="I171" s="67"/>
      <c r="J171" s="68">
        <v>0.26</v>
      </c>
    </row>
    <row r="172" spans="1:10">
      <c r="A172" s="67" t="s">
        <v>645</v>
      </c>
      <c r="B172" s="67" t="s">
        <v>580</v>
      </c>
      <c r="C172" s="67">
        <v>3</v>
      </c>
      <c r="D172" s="67" t="s">
        <v>8</v>
      </c>
      <c r="E172" s="67"/>
      <c r="F172" s="68">
        <v>0.34</v>
      </c>
      <c r="G172" s="67">
        <v>4</v>
      </c>
      <c r="H172" s="67" t="s">
        <v>71</v>
      </c>
      <c r="I172" s="67" t="s">
        <v>573</v>
      </c>
      <c r="J172" s="68">
        <v>0.66</v>
      </c>
    </row>
    <row r="173" spans="1:10">
      <c r="A173" s="67" t="s">
        <v>645</v>
      </c>
      <c r="B173" s="67" t="s">
        <v>607</v>
      </c>
      <c r="C173" s="67">
        <v>1</v>
      </c>
      <c r="D173" s="67" t="s">
        <v>175</v>
      </c>
      <c r="E173" s="67"/>
      <c r="F173" s="68">
        <v>0.3</v>
      </c>
      <c r="G173" s="67">
        <v>7</v>
      </c>
      <c r="H173" s="68" t="s">
        <v>61</v>
      </c>
      <c r="I173" s="67" t="s">
        <v>573</v>
      </c>
      <c r="J173" s="68">
        <v>0.7</v>
      </c>
    </row>
    <row r="174" spans="1:10">
      <c r="A174" s="67" t="s">
        <v>645</v>
      </c>
      <c r="B174" s="67" t="s">
        <v>607</v>
      </c>
      <c r="C174" s="67">
        <v>9</v>
      </c>
      <c r="D174" s="67" t="s">
        <v>41</v>
      </c>
      <c r="E174" s="67"/>
      <c r="F174" s="68">
        <v>0.42</v>
      </c>
      <c r="G174" s="67">
        <v>2</v>
      </c>
      <c r="H174" s="67" t="s">
        <v>68</v>
      </c>
      <c r="I174" s="67" t="s">
        <v>573</v>
      </c>
      <c r="J174" s="68">
        <v>0.57999999999999996</v>
      </c>
    </row>
    <row r="175" spans="1:10">
      <c r="A175" s="67" t="s">
        <v>645</v>
      </c>
      <c r="B175" s="67" t="s">
        <v>607</v>
      </c>
      <c r="C175" s="67">
        <v>6</v>
      </c>
      <c r="D175" s="67" t="s">
        <v>159</v>
      </c>
      <c r="E175" s="67"/>
      <c r="F175" s="68">
        <v>0.28000000000000003</v>
      </c>
      <c r="G175" s="67">
        <v>3</v>
      </c>
      <c r="H175" s="67" t="s">
        <v>30</v>
      </c>
      <c r="I175" s="67" t="s">
        <v>573</v>
      </c>
      <c r="J175" s="68">
        <v>0.72</v>
      </c>
    </row>
    <row r="176" spans="1:10">
      <c r="A176" s="67" t="s">
        <v>645</v>
      </c>
      <c r="B176" s="67" t="s">
        <v>644</v>
      </c>
      <c r="C176" s="67">
        <v>7</v>
      </c>
      <c r="D176" s="67" t="s">
        <v>6</v>
      </c>
      <c r="E176" s="67"/>
      <c r="F176" s="68">
        <v>0.55000000000000004</v>
      </c>
      <c r="G176" s="67">
        <v>6</v>
      </c>
      <c r="H176" s="67" t="s">
        <v>76</v>
      </c>
      <c r="I176" s="67" t="s">
        <v>573</v>
      </c>
      <c r="J176" s="68">
        <v>0.45</v>
      </c>
    </row>
    <row r="177" spans="1:10">
      <c r="A177" s="67" t="s">
        <v>645</v>
      </c>
      <c r="B177" s="67" t="s">
        <v>644</v>
      </c>
      <c r="C177" s="67">
        <v>2</v>
      </c>
      <c r="D177" s="67" t="s">
        <v>51</v>
      </c>
      <c r="E177" s="67"/>
      <c r="F177" s="68">
        <v>0.61</v>
      </c>
      <c r="G177" s="67">
        <v>3</v>
      </c>
      <c r="H177" s="68" t="s">
        <v>105</v>
      </c>
      <c r="I177" s="67" t="s">
        <v>573</v>
      </c>
      <c r="J177" s="68">
        <v>0.39</v>
      </c>
    </row>
    <row r="178" spans="1:10">
      <c r="A178" s="67" t="s">
        <v>645</v>
      </c>
      <c r="B178" s="67" t="s">
        <v>633</v>
      </c>
      <c r="C178" s="67">
        <v>3</v>
      </c>
      <c r="D178" s="67" t="s">
        <v>79</v>
      </c>
      <c r="E178" s="67"/>
      <c r="F178" s="68">
        <v>0.14000000000000001</v>
      </c>
      <c r="G178" s="67">
        <v>5</v>
      </c>
      <c r="H178" s="67" t="s">
        <v>35</v>
      </c>
      <c r="I178" s="67" t="s">
        <v>588</v>
      </c>
      <c r="J178" s="68">
        <v>0.86</v>
      </c>
    </row>
    <row r="179" spans="1:10">
      <c r="A179" s="67" t="s">
        <v>645</v>
      </c>
      <c r="B179" s="67" t="s">
        <v>587</v>
      </c>
      <c r="C179" s="67">
        <v>4</v>
      </c>
      <c r="D179" s="67" t="s">
        <v>11</v>
      </c>
      <c r="E179" s="67" t="s">
        <v>577</v>
      </c>
      <c r="F179" s="68">
        <v>0.7</v>
      </c>
      <c r="G179" s="67">
        <v>1</v>
      </c>
      <c r="H179" s="67" t="s">
        <v>17</v>
      </c>
      <c r="I179" s="67"/>
      <c r="J179" s="68">
        <v>0.3</v>
      </c>
    </row>
    <row r="180" spans="1:10">
      <c r="A180" s="67" t="s">
        <v>645</v>
      </c>
      <c r="B180" s="67" t="s">
        <v>608</v>
      </c>
      <c r="C180" s="67">
        <v>2</v>
      </c>
      <c r="D180" s="67" t="s">
        <v>126</v>
      </c>
      <c r="E180" s="67" t="s">
        <v>577</v>
      </c>
      <c r="F180" s="68">
        <v>0.62</v>
      </c>
      <c r="G180" s="67">
        <v>4</v>
      </c>
      <c r="H180" s="67" t="s">
        <v>83</v>
      </c>
      <c r="I180" s="67"/>
      <c r="J180" s="68">
        <v>0.38</v>
      </c>
    </row>
    <row r="181" spans="1:10">
      <c r="A181" s="67" t="s">
        <v>645</v>
      </c>
      <c r="B181" s="67" t="s">
        <v>572</v>
      </c>
      <c r="C181" s="67">
        <v>2</v>
      </c>
      <c r="D181" s="67" t="s">
        <v>117</v>
      </c>
      <c r="E181" s="67" t="s">
        <v>573</v>
      </c>
      <c r="F181" s="68">
        <v>0.57999999999999996</v>
      </c>
      <c r="G181" s="67">
        <v>3</v>
      </c>
      <c r="H181" s="68" t="s">
        <v>25</v>
      </c>
      <c r="I181" s="67"/>
      <c r="J181" s="68">
        <v>0.42</v>
      </c>
    </row>
    <row r="182" spans="1:10">
      <c r="A182" s="67" t="s">
        <v>645</v>
      </c>
      <c r="B182" s="67" t="s">
        <v>598</v>
      </c>
      <c r="C182" s="67">
        <v>1</v>
      </c>
      <c r="D182" s="67" t="s">
        <v>56</v>
      </c>
      <c r="E182" s="67" t="s">
        <v>577</v>
      </c>
      <c r="F182" s="68">
        <v>0.64</v>
      </c>
      <c r="G182" s="67">
        <v>5</v>
      </c>
      <c r="H182" s="67" t="s">
        <v>48</v>
      </c>
      <c r="I182" s="67"/>
      <c r="J182" s="68">
        <v>0.36</v>
      </c>
    </row>
    <row r="183" spans="1:10">
      <c r="A183" s="67" t="s">
        <v>645</v>
      </c>
      <c r="B183" s="67" t="s">
        <v>630</v>
      </c>
      <c r="C183" s="67">
        <v>7</v>
      </c>
      <c r="D183" s="67" t="s">
        <v>44</v>
      </c>
      <c r="E183" s="67" t="s">
        <v>577</v>
      </c>
      <c r="F183" s="68">
        <v>0.65</v>
      </c>
      <c r="G183" s="67">
        <v>2</v>
      </c>
      <c r="H183" s="67" t="s">
        <v>37</v>
      </c>
      <c r="I183" s="67"/>
      <c r="J183" s="68">
        <v>0.35</v>
      </c>
    </row>
    <row r="184" spans="1:10">
      <c r="A184" s="67" t="s">
        <v>645</v>
      </c>
      <c r="B184" s="67" t="s">
        <v>593</v>
      </c>
      <c r="C184" s="67">
        <v>0</v>
      </c>
      <c r="D184" s="67" t="s">
        <v>14</v>
      </c>
      <c r="E184" s="67" t="s">
        <v>573</v>
      </c>
      <c r="F184" s="68">
        <v>0.55000000000000004</v>
      </c>
      <c r="G184" s="67">
        <v>6</v>
      </c>
      <c r="H184" s="67" t="s">
        <v>110</v>
      </c>
      <c r="I184" s="67"/>
      <c r="J184" s="68">
        <v>0.45</v>
      </c>
    </row>
    <row r="185" spans="1:10">
      <c r="A185" s="71"/>
      <c r="B185" s="71"/>
      <c r="C185" s="71"/>
      <c r="D185" s="71"/>
      <c r="E185" s="71"/>
      <c r="F185" s="72"/>
      <c r="G185" s="71"/>
      <c r="H185" s="72"/>
      <c r="I185" s="71"/>
      <c r="J185" s="72"/>
    </row>
    <row r="186" spans="1:10">
      <c r="A186" s="67" t="s">
        <v>646</v>
      </c>
      <c r="B186" s="67" t="s">
        <v>616</v>
      </c>
      <c r="C186" s="67">
        <v>2</v>
      </c>
      <c r="D186" s="67" t="s">
        <v>74</v>
      </c>
      <c r="E186" s="67" t="s">
        <v>573</v>
      </c>
      <c r="F186" s="68">
        <v>0.37</v>
      </c>
      <c r="G186" s="67">
        <v>10</v>
      </c>
      <c r="H186" s="68" t="s">
        <v>20</v>
      </c>
      <c r="I186" s="67"/>
      <c r="J186" s="68">
        <v>0.63</v>
      </c>
    </row>
    <row r="187" spans="1:10">
      <c r="A187" s="67" t="s">
        <v>646</v>
      </c>
      <c r="B187" s="67" t="s">
        <v>601</v>
      </c>
      <c r="C187" s="67">
        <v>0</v>
      </c>
      <c r="D187" s="67" t="s">
        <v>51</v>
      </c>
      <c r="E187" s="67"/>
      <c r="F187" s="68">
        <v>0.53</v>
      </c>
      <c r="G187" s="67">
        <v>5</v>
      </c>
      <c r="H187" s="67" t="s">
        <v>105</v>
      </c>
      <c r="I187" s="67" t="s">
        <v>573</v>
      </c>
      <c r="J187" s="68">
        <v>0.47</v>
      </c>
    </row>
    <row r="188" spans="1:10">
      <c r="A188" s="67" t="s">
        <v>646</v>
      </c>
      <c r="B188" s="67" t="s">
        <v>576</v>
      </c>
      <c r="C188" s="67">
        <v>5</v>
      </c>
      <c r="D188" s="67" t="s">
        <v>33</v>
      </c>
      <c r="E188" s="67" t="s">
        <v>577</v>
      </c>
      <c r="F188" s="68">
        <v>0.48</v>
      </c>
      <c r="G188" s="67">
        <v>3</v>
      </c>
      <c r="H188" s="67" t="s">
        <v>3</v>
      </c>
      <c r="I188" s="67"/>
      <c r="J188" s="68">
        <v>0.52</v>
      </c>
    </row>
    <row r="189" spans="1:10">
      <c r="A189" s="67" t="s">
        <v>646</v>
      </c>
      <c r="B189" s="67" t="s">
        <v>638</v>
      </c>
      <c r="C189" s="67">
        <v>0</v>
      </c>
      <c r="D189" s="67" t="s">
        <v>117</v>
      </c>
      <c r="E189" s="67" t="s">
        <v>573</v>
      </c>
      <c r="F189" s="68">
        <v>0.56999999999999995</v>
      </c>
      <c r="G189" s="67">
        <v>3</v>
      </c>
      <c r="H189" s="67" t="s">
        <v>25</v>
      </c>
      <c r="I189" s="67"/>
      <c r="J189" s="68">
        <v>0.43</v>
      </c>
    </row>
    <row r="190" spans="1:10">
      <c r="A190" s="67" t="s">
        <v>646</v>
      </c>
      <c r="B190" s="67" t="s">
        <v>596</v>
      </c>
      <c r="C190" s="67">
        <v>3</v>
      </c>
      <c r="D190" s="67" t="s">
        <v>11</v>
      </c>
      <c r="E190" s="67" t="s">
        <v>588</v>
      </c>
      <c r="F190" s="68">
        <v>0.71</v>
      </c>
      <c r="G190" s="67">
        <v>4</v>
      </c>
      <c r="H190" s="68" t="s">
        <v>17</v>
      </c>
      <c r="I190" s="67"/>
      <c r="J190" s="68">
        <v>0.28999999999999998</v>
      </c>
    </row>
    <row r="191" spans="1:10">
      <c r="A191" s="67" t="s">
        <v>646</v>
      </c>
      <c r="B191" s="67" t="s">
        <v>639</v>
      </c>
      <c r="C191" s="67">
        <v>1</v>
      </c>
      <c r="D191" s="67" t="s">
        <v>56</v>
      </c>
      <c r="E191" s="67" t="s">
        <v>577</v>
      </c>
      <c r="F191" s="68">
        <v>0.68</v>
      </c>
      <c r="G191" s="67">
        <v>9</v>
      </c>
      <c r="H191" s="67" t="s">
        <v>48</v>
      </c>
      <c r="I191" s="67"/>
      <c r="J191" s="68">
        <v>0.32</v>
      </c>
    </row>
    <row r="192" spans="1:10">
      <c r="A192" s="67" t="s">
        <v>646</v>
      </c>
      <c r="B192" s="67" t="s">
        <v>647</v>
      </c>
      <c r="C192" s="67">
        <v>0</v>
      </c>
      <c r="D192" s="67" t="s">
        <v>14</v>
      </c>
      <c r="E192" s="67" t="s">
        <v>577</v>
      </c>
      <c r="F192" s="68">
        <v>0.76</v>
      </c>
      <c r="G192" s="67">
        <v>5</v>
      </c>
      <c r="H192" s="67" t="s">
        <v>110</v>
      </c>
      <c r="I192" s="67"/>
      <c r="J192" s="68">
        <v>0.24</v>
      </c>
    </row>
    <row r="193" spans="1:10">
      <c r="A193" s="67" t="s">
        <v>646</v>
      </c>
      <c r="B193" s="67" t="s">
        <v>597</v>
      </c>
      <c r="C193" s="67">
        <v>6</v>
      </c>
      <c r="D193" s="67" t="s">
        <v>6</v>
      </c>
      <c r="E193" s="67" t="s">
        <v>573</v>
      </c>
      <c r="F193" s="68">
        <v>0.7</v>
      </c>
      <c r="G193" s="67">
        <v>1</v>
      </c>
      <c r="H193" s="67" t="s">
        <v>76</v>
      </c>
      <c r="I193" s="67"/>
      <c r="J193" s="68">
        <v>0.3</v>
      </c>
    </row>
    <row r="194" spans="1:10">
      <c r="A194" s="67" t="s">
        <v>646</v>
      </c>
      <c r="B194" s="67" t="s">
        <v>640</v>
      </c>
      <c r="C194" s="67">
        <v>8</v>
      </c>
      <c r="D194" s="67" t="s">
        <v>44</v>
      </c>
      <c r="E194" s="67" t="s">
        <v>573</v>
      </c>
      <c r="F194" s="68">
        <v>0.72</v>
      </c>
      <c r="G194" s="67">
        <v>2</v>
      </c>
      <c r="H194" s="68" t="s">
        <v>37</v>
      </c>
      <c r="I194" s="67"/>
      <c r="J194" s="68">
        <v>0.28000000000000003</v>
      </c>
    </row>
    <row r="195" spans="1:10">
      <c r="A195" s="67" t="s">
        <v>646</v>
      </c>
      <c r="B195" s="67" t="s">
        <v>580</v>
      </c>
      <c r="C195" s="67">
        <v>7</v>
      </c>
      <c r="D195" s="67" t="s">
        <v>8</v>
      </c>
      <c r="E195" s="67"/>
      <c r="F195" s="68">
        <v>0.31</v>
      </c>
      <c r="G195" s="67">
        <v>2</v>
      </c>
      <c r="H195" s="67" t="s">
        <v>71</v>
      </c>
      <c r="I195" s="67" t="s">
        <v>573</v>
      </c>
      <c r="J195" s="68">
        <v>0.69</v>
      </c>
    </row>
    <row r="196" spans="1:10">
      <c r="A196" s="67" t="s">
        <v>646</v>
      </c>
      <c r="B196" s="67" t="s">
        <v>607</v>
      </c>
      <c r="C196" s="67">
        <v>6</v>
      </c>
      <c r="D196" s="67" t="s">
        <v>41</v>
      </c>
      <c r="E196" s="67"/>
      <c r="F196" s="68">
        <v>0.4</v>
      </c>
      <c r="G196" s="67">
        <v>2</v>
      </c>
      <c r="H196" s="67" t="s">
        <v>68</v>
      </c>
      <c r="I196" s="67" t="s">
        <v>573</v>
      </c>
      <c r="J196" s="68">
        <v>0.6</v>
      </c>
    </row>
    <row r="197" spans="1:10">
      <c r="A197" s="67" t="s">
        <v>646</v>
      </c>
      <c r="B197" s="67" t="s">
        <v>607</v>
      </c>
      <c r="C197" s="67">
        <v>4</v>
      </c>
      <c r="D197" s="67" t="s">
        <v>159</v>
      </c>
      <c r="E197" s="67"/>
      <c r="F197" s="68">
        <v>0.49</v>
      </c>
      <c r="G197" s="67">
        <v>7</v>
      </c>
      <c r="H197" s="67" t="s">
        <v>30</v>
      </c>
      <c r="I197" s="67" t="s">
        <v>573</v>
      </c>
      <c r="J197" s="68">
        <v>0.51</v>
      </c>
    </row>
    <row r="198" spans="1:10">
      <c r="A198" s="67" t="s">
        <v>646</v>
      </c>
      <c r="B198" s="67" t="s">
        <v>633</v>
      </c>
      <c r="C198" s="67">
        <v>3</v>
      </c>
      <c r="D198" s="67" t="s">
        <v>79</v>
      </c>
      <c r="E198" s="67"/>
      <c r="F198" s="68">
        <v>0.22</v>
      </c>
      <c r="G198" s="67">
        <v>2</v>
      </c>
      <c r="H198" s="68" t="s">
        <v>35</v>
      </c>
      <c r="I198" s="67" t="s">
        <v>577</v>
      </c>
      <c r="J198" s="68">
        <v>0.78</v>
      </c>
    </row>
    <row r="199" spans="1:10">
      <c r="A199" s="67" t="s">
        <v>646</v>
      </c>
      <c r="B199" s="67" t="s">
        <v>608</v>
      </c>
      <c r="C199" s="67">
        <v>6</v>
      </c>
      <c r="D199" s="67" t="s">
        <v>126</v>
      </c>
      <c r="E199" s="67" t="s">
        <v>577</v>
      </c>
      <c r="F199" s="68">
        <v>0.65</v>
      </c>
      <c r="G199" s="67">
        <v>8</v>
      </c>
      <c r="H199" s="67" t="s">
        <v>83</v>
      </c>
      <c r="I199" s="67"/>
      <c r="J199" s="68">
        <v>0.35</v>
      </c>
    </row>
    <row r="200" spans="1:10">
      <c r="A200" s="67" t="s">
        <v>646</v>
      </c>
      <c r="B200" s="67" t="s">
        <v>620</v>
      </c>
      <c r="C200" s="67">
        <v>8</v>
      </c>
      <c r="D200" s="67" t="s">
        <v>175</v>
      </c>
      <c r="E200" s="67" t="s">
        <v>573</v>
      </c>
      <c r="F200" s="68">
        <v>0.41</v>
      </c>
      <c r="G200" s="67">
        <v>2</v>
      </c>
      <c r="H200" s="67" t="s">
        <v>61</v>
      </c>
      <c r="I200" s="67"/>
      <c r="J200" s="68">
        <v>0.59</v>
      </c>
    </row>
    <row r="201" spans="1:10">
      <c r="A201" s="71"/>
      <c r="B201" s="71"/>
      <c r="C201" s="71"/>
      <c r="D201" s="71"/>
      <c r="E201" s="71"/>
      <c r="F201" s="72"/>
      <c r="G201" s="71"/>
      <c r="H201" s="71"/>
      <c r="I201" s="71"/>
      <c r="J201" s="72"/>
    </row>
    <row r="202" spans="1:10">
      <c r="A202" s="67" t="s">
        <v>648</v>
      </c>
      <c r="B202" s="67" t="s">
        <v>601</v>
      </c>
      <c r="C202" s="67">
        <v>1</v>
      </c>
      <c r="D202" s="67" t="s">
        <v>79</v>
      </c>
      <c r="E202" s="67"/>
      <c r="F202" s="68">
        <v>0.32</v>
      </c>
      <c r="G202" s="67">
        <v>0</v>
      </c>
      <c r="H202" s="67" t="s">
        <v>35</v>
      </c>
      <c r="I202" s="67" t="s">
        <v>577</v>
      </c>
      <c r="J202" s="68">
        <v>0.68</v>
      </c>
    </row>
    <row r="203" spans="1:10">
      <c r="A203" s="67" t="s">
        <v>648</v>
      </c>
      <c r="B203" s="67" t="s">
        <v>603</v>
      </c>
      <c r="C203" s="67">
        <v>1</v>
      </c>
      <c r="D203" s="67" t="s">
        <v>126</v>
      </c>
      <c r="E203" s="67" t="s">
        <v>577</v>
      </c>
      <c r="F203" s="68">
        <v>0.61</v>
      </c>
      <c r="G203" s="67">
        <v>3</v>
      </c>
      <c r="H203" s="68" t="s">
        <v>83</v>
      </c>
      <c r="I203" s="67"/>
      <c r="J203" s="68">
        <v>0.39</v>
      </c>
    </row>
    <row r="204" spans="1:10">
      <c r="A204" s="67" t="s">
        <v>648</v>
      </c>
      <c r="B204" s="67" t="s">
        <v>589</v>
      </c>
      <c r="C204" s="67">
        <v>7</v>
      </c>
      <c r="D204" s="67" t="s">
        <v>8</v>
      </c>
      <c r="E204" s="67"/>
      <c r="F204" s="68">
        <v>0.44</v>
      </c>
      <c r="G204" s="67">
        <v>1</v>
      </c>
      <c r="H204" s="67" t="s">
        <v>71</v>
      </c>
      <c r="I204" s="67" t="s">
        <v>577</v>
      </c>
      <c r="J204" s="68">
        <v>0.56000000000000005</v>
      </c>
    </row>
    <row r="205" spans="1:10">
      <c r="A205" s="67" t="s">
        <v>648</v>
      </c>
      <c r="B205" s="67" t="s">
        <v>608</v>
      </c>
      <c r="C205" s="67">
        <v>2</v>
      </c>
      <c r="D205" s="67" t="s">
        <v>3</v>
      </c>
      <c r="E205" s="67"/>
      <c r="F205" s="68">
        <v>0.31</v>
      </c>
      <c r="G205" s="67">
        <v>0</v>
      </c>
      <c r="H205" s="67" t="s">
        <v>74</v>
      </c>
      <c r="I205" s="67" t="s">
        <v>577</v>
      </c>
      <c r="J205" s="68">
        <v>0.69</v>
      </c>
    </row>
    <row r="206" spans="1:10">
      <c r="A206" s="67" t="s">
        <v>648</v>
      </c>
      <c r="B206" s="67" t="s">
        <v>592</v>
      </c>
      <c r="C206" s="67">
        <v>3</v>
      </c>
      <c r="D206" s="67" t="s">
        <v>48</v>
      </c>
      <c r="E206" s="67"/>
      <c r="F206" s="68">
        <v>0.35</v>
      </c>
      <c r="G206" s="67">
        <v>7</v>
      </c>
      <c r="H206" s="67" t="s">
        <v>175</v>
      </c>
      <c r="I206" s="67" t="s">
        <v>577</v>
      </c>
      <c r="J206" s="68">
        <v>0.65</v>
      </c>
    </row>
    <row r="207" spans="1:10">
      <c r="A207" s="67" t="s">
        <v>648</v>
      </c>
      <c r="B207" s="67" t="s">
        <v>649</v>
      </c>
      <c r="C207" s="67">
        <v>1</v>
      </c>
      <c r="D207" s="67" t="s">
        <v>159</v>
      </c>
      <c r="E207" s="67"/>
      <c r="F207" s="68">
        <v>0.55000000000000004</v>
      </c>
      <c r="G207" s="67">
        <v>8</v>
      </c>
      <c r="H207" s="68" t="s">
        <v>30</v>
      </c>
      <c r="I207" s="67" t="s">
        <v>573</v>
      </c>
      <c r="J207" s="68">
        <v>0.45</v>
      </c>
    </row>
    <row r="208" spans="1:10">
      <c r="A208" s="71"/>
      <c r="B208" s="71"/>
      <c r="C208" s="71"/>
      <c r="D208" s="71"/>
      <c r="E208" s="71"/>
      <c r="F208" s="72"/>
      <c r="G208" s="71"/>
      <c r="H208" s="72"/>
      <c r="I208" s="71"/>
      <c r="J208" s="72"/>
    </row>
    <row r="209" spans="1:10">
      <c r="A209" s="67" t="s">
        <v>650</v>
      </c>
      <c r="B209" s="67" t="s">
        <v>578</v>
      </c>
      <c r="C209" s="67">
        <v>2</v>
      </c>
      <c r="D209" s="67" t="s">
        <v>61</v>
      </c>
      <c r="E209" s="67"/>
      <c r="F209" s="68">
        <v>0.28999999999999998</v>
      </c>
      <c r="G209" s="67">
        <v>0</v>
      </c>
      <c r="H209" s="67" t="s">
        <v>41</v>
      </c>
      <c r="I209" s="67" t="s">
        <v>577</v>
      </c>
      <c r="J209" s="68">
        <v>0.71</v>
      </c>
    </row>
    <row r="210" spans="1:10">
      <c r="A210" s="67" t="s">
        <v>650</v>
      </c>
      <c r="B210" s="67" t="s">
        <v>607</v>
      </c>
      <c r="C210" s="67">
        <v>5</v>
      </c>
      <c r="D210" s="67" t="s">
        <v>8</v>
      </c>
      <c r="E210" s="67"/>
      <c r="F210" s="68">
        <v>0.56999999999999995</v>
      </c>
      <c r="G210" s="67">
        <v>4</v>
      </c>
      <c r="H210" s="67" t="s">
        <v>14</v>
      </c>
      <c r="I210" s="67" t="s">
        <v>577</v>
      </c>
      <c r="J210" s="68">
        <v>0.43</v>
      </c>
    </row>
    <row r="211" spans="1:10">
      <c r="A211" s="67" t="s">
        <v>650</v>
      </c>
      <c r="B211" s="67" t="s">
        <v>607</v>
      </c>
      <c r="C211" s="67">
        <v>0</v>
      </c>
      <c r="D211" s="67" t="s">
        <v>30</v>
      </c>
      <c r="E211" s="67"/>
      <c r="F211" s="68">
        <v>0.47</v>
      </c>
      <c r="G211" s="67">
        <v>2</v>
      </c>
      <c r="H211" s="67" t="s">
        <v>126</v>
      </c>
      <c r="I211" s="67" t="s">
        <v>573</v>
      </c>
      <c r="J211" s="68">
        <v>0.53</v>
      </c>
    </row>
    <row r="212" spans="1:10">
      <c r="A212" s="67" t="s">
        <v>650</v>
      </c>
      <c r="B212" s="67" t="s">
        <v>644</v>
      </c>
      <c r="C212" s="67">
        <v>10</v>
      </c>
      <c r="D212" s="67" t="s">
        <v>37</v>
      </c>
      <c r="E212" s="67"/>
      <c r="F212" s="68">
        <v>0.43</v>
      </c>
      <c r="G212" s="67">
        <v>2</v>
      </c>
      <c r="H212" s="68" t="s">
        <v>159</v>
      </c>
      <c r="I212" s="67" t="s">
        <v>577</v>
      </c>
      <c r="J212" s="68">
        <v>0.56999999999999995</v>
      </c>
    </row>
    <row r="213" spans="1:10">
      <c r="A213" s="67" t="s">
        <v>650</v>
      </c>
      <c r="B213" s="67" t="s">
        <v>587</v>
      </c>
      <c r="C213" s="67">
        <v>4</v>
      </c>
      <c r="D213" s="67" t="s">
        <v>83</v>
      </c>
      <c r="E213" s="67"/>
      <c r="F213" s="68">
        <v>0.39</v>
      </c>
      <c r="G213" s="67">
        <v>10</v>
      </c>
      <c r="H213" s="67" t="s">
        <v>17</v>
      </c>
      <c r="I213" s="67" t="s">
        <v>573</v>
      </c>
      <c r="J213" s="68">
        <v>0.61</v>
      </c>
    </row>
    <row r="214" spans="1:10">
      <c r="A214" s="67" t="s">
        <v>650</v>
      </c>
      <c r="B214" s="67" t="s">
        <v>589</v>
      </c>
      <c r="C214" s="67">
        <v>4</v>
      </c>
      <c r="D214" s="67" t="s">
        <v>79</v>
      </c>
      <c r="E214" s="67"/>
      <c r="F214" s="68">
        <v>0.34</v>
      </c>
      <c r="G214" s="67">
        <v>0</v>
      </c>
      <c r="H214" s="67" t="s">
        <v>71</v>
      </c>
      <c r="I214" s="67" t="s">
        <v>573</v>
      </c>
      <c r="J214" s="68">
        <v>0.66</v>
      </c>
    </row>
    <row r="215" spans="1:10">
      <c r="A215" s="67" t="s">
        <v>650</v>
      </c>
      <c r="B215" s="67" t="s">
        <v>589</v>
      </c>
      <c r="C215" s="67">
        <v>3</v>
      </c>
      <c r="D215" s="67" t="s">
        <v>35</v>
      </c>
      <c r="E215" s="67" t="s">
        <v>573</v>
      </c>
      <c r="F215" s="68">
        <v>0.66</v>
      </c>
      <c r="G215" s="67">
        <v>5</v>
      </c>
      <c r="H215" s="67" t="s">
        <v>68</v>
      </c>
      <c r="I215" s="67"/>
      <c r="J215" s="68">
        <v>0.34</v>
      </c>
    </row>
    <row r="216" spans="1:10">
      <c r="A216" s="67" t="s">
        <v>650</v>
      </c>
      <c r="B216" s="67" t="s">
        <v>590</v>
      </c>
      <c r="C216" s="67">
        <v>6</v>
      </c>
      <c r="D216" s="67" t="s">
        <v>110</v>
      </c>
      <c r="E216" s="67"/>
      <c r="F216" s="68">
        <v>0.48</v>
      </c>
      <c r="G216" s="67">
        <v>3</v>
      </c>
      <c r="H216" s="68" t="s">
        <v>33</v>
      </c>
      <c r="I216" s="67" t="s">
        <v>573</v>
      </c>
      <c r="J216" s="68">
        <v>0.52</v>
      </c>
    </row>
    <row r="217" spans="1:10">
      <c r="A217" s="67" t="s">
        <v>650</v>
      </c>
      <c r="B217" s="67" t="s">
        <v>590</v>
      </c>
      <c r="C217" s="67">
        <v>5</v>
      </c>
      <c r="D217" s="67" t="s">
        <v>20</v>
      </c>
      <c r="E217" s="67"/>
      <c r="F217" s="68">
        <v>0.22</v>
      </c>
      <c r="G217" s="67">
        <v>11</v>
      </c>
      <c r="H217" s="67" t="s">
        <v>44</v>
      </c>
      <c r="I217" s="67" t="s">
        <v>573</v>
      </c>
      <c r="J217" s="68">
        <v>0.78</v>
      </c>
    </row>
    <row r="218" spans="1:10">
      <c r="A218" s="67" t="s">
        <v>650</v>
      </c>
      <c r="B218" s="67" t="s">
        <v>608</v>
      </c>
      <c r="C218" s="67">
        <v>0</v>
      </c>
      <c r="D218" s="67" t="s">
        <v>3</v>
      </c>
      <c r="E218" s="67"/>
      <c r="F218" s="68">
        <v>0.51</v>
      </c>
      <c r="G218" s="67">
        <v>2</v>
      </c>
      <c r="H218" s="67" t="s">
        <v>74</v>
      </c>
      <c r="I218" s="67" t="s">
        <v>577</v>
      </c>
      <c r="J218" s="68">
        <v>0.49</v>
      </c>
    </row>
    <row r="219" spans="1:10">
      <c r="A219" s="67" t="s">
        <v>650</v>
      </c>
      <c r="B219" s="67" t="s">
        <v>608</v>
      </c>
      <c r="C219" s="67">
        <v>7</v>
      </c>
      <c r="D219" s="67" t="s">
        <v>76</v>
      </c>
      <c r="E219" s="67"/>
      <c r="F219" s="68">
        <v>0.2</v>
      </c>
      <c r="G219" s="67">
        <v>3</v>
      </c>
      <c r="H219" s="67" t="s">
        <v>51</v>
      </c>
      <c r="I219" s="67" t="s">
        <v>577</v>
      </c>
      <c r="J219" s="68">
        <v>0.8</v>
      </c>
    </row>
    <row r="220" spans="1:10">
      <c r="A220" s="67" t="s">
        <v>650</v>
      </c>
      <c r="B220" s="67" t="s">
        <v>591</v>
      </c>
      <c r="C220" s="67">
        <v>2</v>
      </c>
      <c r="D220" s="67" t="s">
        <v>105</v>
      </c>
      <c r="E220" s="67" t="s">
        <v>573</v>
      </c>
      <c r="F220" s="68">
        <v>0.53</v>
      </c>
      <c r="G220" s="67">
        <v>3</v>
      </c>
      <c r="H220" s="68" t="s">
        <v>6</v>
      </c>
      <c r="I220" s="67"/>
      <c r="J220" s="68">
        <v>0.47</v>
      </c>
    </row>
    <row r="221" spans="1:10">
      <c r="A221" s="67" t="s">
        <v>650</v>
      </c>
      <c r="B221" s="67" t="s">
        <v>592</v>
      </c>
      <c r="C221" s="67">
        <v>2</v>
      </c>
      <c r="D221" s="67" t="s">
        <v>48</v>
      </c>
      <c r="E221" s="67"/>
      <c r="F221" s="68">
        <v>0.56999999999999995</v>
      </c>
      <c r="G221" s="67">
        <v>5</v>
      </c>
      <c r="H221" s="67" t="s">
        <v>175</v>
      </c>
      <c r="I221" s="67" t="s">
        <v>573</v>
      </c>
      <c r="J221" s="68">
        <v>0.43</v>
      </c>
    </row>
    <row r="222" spans="1:10">
      <c r="A222" s="67" t="s">
        <v>650</v>
      </c>
      <c r="B222" s="67" t="s">
        <v>592</v>
      </c>
      <c r="C222" s="67">
        <v>6</v>
      </c>
      <c r="D222" s="67" t="s">
        <v>56</v>
      </c>
      <c r="E222" s="67"/>
      <c r="F222" s="68">
        <v>0.49</v>
      </c>
      <c r="G222" s="67">
        <v>9</v>
      </c>
      <c r="H222" s="67" t="s">
        <v>117</v>
      </c>
      <c r="I222" s="67" t="s">
        <v>573</v>
      </c>
      <c r="J222" s="68">
        <v>0.51</v>
      </c>
    </row>
    <row r="223" spans="1:10">
      <c r="A223" s="67" t="s">
        <v>650</v>
      </c>
      <c r="B223" s="67" t="s">
        <v>584</v>
      </c>
      <c r="C223" s="67">
        <v>7</v>
      </c>
      <c r="D223" s="67" t="s">
        <v>25</v>
      </c>
      <c r="E223" s="67"/>
      <c r="F223" s="68">
        <v>0.21</v>
      </c>
      <c r="G223" s="67">
        <v>8</v>
      </c>
      <c r="H223" s="67" t="s">
        <v>11</v>
      </c>
      <c r="I223" s="67" t="s">
        <v>588</v>
      </c>
      <c r="J223" s="68">
        <v>0.79</v>
      </c>
    </row>
    <row r="224" spans="1:10">
      <c r="A224" s="71"/>
      <c r="B224" s="71"/>
      <c r="C224" s="71"/>
      <c r="D224" s="71"/>
      <c r="E224" s="71"/>
      <c r="F224" s="72"/>
      <c r="G224" s="71"/>
      <c r="H224" s="72"/>
      <c r="I224" s="71"/>
      <c r="J224" s="72"/>
    </row>
    <row r="225" spans="1:10">
      <c r="A225" s="67" t="s">
        <v>651</v>
      </c>
      <c r="B225" s="67" t="s">
        <v>614</v>
      </c>
      <c r="C225" s="67">
        <v>3</v>
      </c>
      <c r="D225" s="67" t="s">
        <v>8</v>
      </c>
      <c r="E225" s="67"/>
      <c r="F225" s="68">
        <v>0.43</v>
      </c>
      <c r="G225" s="67">
        <v>4</v>
      </c>
      <c r="H225" s="68" t="s">
        <v>14</v>
      </c>
      <c r="I225" s="67" t="s">
        <v>573</v>
      </c>
      <c r="J225" s="68">
        <v>0.56999999999999995</v>
      </c>
    </row>
    <row r="226" spans="1:10">
      <c r="A226" s="67" t="s">
        <v>651</v>
      </c>
      <c r="B226" s="67" t="s">
        <v>616</v>
      </c>
      <c r="C226" s="67">
        <v>1</v>
      </c>
      <c r="D226" s="67" t="s">
        <v>30</v>
      </c>
      <c r="E226" s="67"/>
      <c r="F226" s="68">
        <v>0.36</v>
      </c>
      <c r="G226" s="67">
        <v>6</v>
      </c>
      <c r="H226" s="67" t="s">
        <v>126</v>
      </c>
      <c r="I226" s="67" t="s">
        <v>573</v>
      </c>
      <c r="J226" s="68">
        <v>0.64</v>
      </c>
    </row>
    <row r="227" spans="1:10">
      <c r="A227" s="67" t="s">
        <v>651</v>
      </c>
      <c r="B227" s="67" t="s">
        <v>578</v>
      </c>
      <c r="C227" s="67">
        <v>4</v>
      </c>
      <c r="D227" s="67" t="s">
        <v>61</v>
      </c>
      <c r="E227" s="67"/>
      <c r="F227" s="68">
        <v>0.4</v>
      </c>
      <c r="G227" s="67">
        <v>3</v>
      </c>
      <c r="H227" s="67" t="s">
        <v>41</v>
      </c>
      <c r="I227" s="67" t="s">
        <v>573</v>
      </c>
      <c r="J227" s="68">
        <v>0.6</v>
      </c>
    </row>
    <row r="228" spans="1:10">
      <c r="A228" s="67" t="s">
        <v>651</v>
      </c>
      <c r="B228" s="67" t="s">
        <v>596</v>
      </c>
      <c r="C228" s="67">
        <v>7</v>
      </c>
      <c r="D228" s="67" t="s">
        <v>83</v>
      </c>
      <c r="E228" s="67"/>
      <c r="F228" s="68">
        <v>0.32</v>
      </c>
      <c r="G228" s="67">
        <v>4</v>
      </c>
      <c r="H228" s="67" t="s">
        <v>17</v>
      </c>
      <c r="I228" s="67" t="s">
        <v>573</v>
      </c>
      <c r="J228" s="68">
        <v>0.68</v>
      </c>
    </row>
    <row r="229" spans="1:10">
      <c r="A229" s="67" t="s">
        <v>651</v>
      </c>
      <c r="B229" s="67" t="s">
        <v>580</v>
      </c>
      <c r="C229" s="67">
        <v>3</v>
      </c>
      <c r="D229" s="67" t="s">
        <v>37</v>
      </c>
      <c r="E229" s="67"/>
      <c r="F229" s="68">
        <v>0.43</v>
      </c>
      <c r="G229" s="67">
        <v>7</v>
      </c>
      <c r="H229" s="68" t="s">
        <v>159</v>
      </c>
      <c r="I229" s="67" t="s">
        <v>573</v>
      </c>
      <c r="J229" s="68">
        <v>0.56999999999999995</v>
      </c>
    </row>
    <row r="230" spans="1:10">
      <c r="A230" s="67" t="s">
        <v>651</v>
      </c>
      <c r="B230" s="67" t="s">
        <v>580</v>
      </c>
      <c r="C230" s="67">
        <v>11</v>
      </c>
      <c r="D230" s="67" t="s">
        <v>79</v>
      </c>
      <c r="E230" s="67"/>
      <c r="F230" s="68">
        <v>0.33</v>
      </c>
      <c r="G230" s="67">
        <v>6</v>
      </c>
      <c r="H230" s="67" t="s">
        <v>71</v>
      </c>
      <c r="I230" s="67" t="s">
        <v>577</v>
      </c>
      <c r="J230" s="68">
        <v>0.67</v>
      </c>
    </row>
    <row r="231" spans="1:10">
      <c r="A231" s="67" t="s">
        <v>651</v>
      </c>
      <c r="B231" s="67" t="s">
        <v>580</v>
      </c>
      <c r="C231" s="67">
        <v>0</v>
      </c>
      <c r="D231" s="67" t="s">
        <v>3</v>
      </c>
      <c r="E231" s="67"/>
      <c r="F231" s="68">
        <v>0.36</v>
      </c>
      <c r="G231" s="67">
        <v>2</v>
      </c>
      <c r="H231" s="67" t="s">
        <v>74</v>
      </c>
      <c r="I231" s="67" t="s">
        <v>577</v>
      </c>
      <c r="J231" s="68">
        <v>0.64</v>
      </c>
    </row>
    <row r="232" spans="1:10">
      <c r="A232" s="67" t="s">
        <v>651</v>
      </c>
      <c r="B232" s="67" t="s">
        <v>643</v>
      </c>
      <c r="C232" s="67">
        <v>4</v>
      </c>
      <c r="D232" s="67" t="s">
        <v>35</v>
      </c>
      <c r="E232" s="67" t="s">
        <v>588</v>
      </c>
      <c r="F232" s="68">
        <v>0.72</v>
      </c>
      <c r="G232" s="67">
        <v>5</v>
      </c>
      <c r="H232" s="67" t="s">
        <v>68</v>
      </c>
      <c r="I232" s="67"/>
      <c r="J232" s="68">
        <v>0.28000000000000003</v>
      </c>
    </row>
    <row r="233" spans="1:10">
      <c r="A233" s="67" t="s">
        <v>651</v>
      </c>
      <c r="B233" s="67" t="s">
        <v>589</v>
      </c>
      <c r="C233" s="67">
        <v>3</v>
      </c>
      <c r="D233" s="67" t="s">
        <v>76</v>
      </c>
      <c r="E233" s="67"/>
      <c r="F233" s="68">
        <v>0.34</v>
      </c>
      <c r="G233" s="67">
        <v>1</v>
      </c>
      <c r="H233" s="68" t="s">
        <v>51</v>
      </c>
      <c r="I233" s="67" t="s">
        <v>577</v>
      </c>
      <c r="J233" s="68">
        <v>0.66</v>
      </c>
    </row>
    <row r="234" spans="1:10">
      <c r="A234" s="67" t="s">
        <v>651</v>
      </c>
      <c r="B234" s="67" t="s">
        <v>590</v>
      </c>
      <c r="C234" s="67">
        <v>2</v>
      </c>
      <c r="D234" s="67" t="s">
        <v>110</v>
      </c>
      <c r="E234" s="67" t="s">
        <v>573</v>
      </c>
      <c r="F234" s="68">
        <v>0.56999999999999995</v>
      </c>
      <c r="G234" s="67">
        <v>6</v>
      </c>
      <c r="H234" s="67" t="s">
        <v>33</v>
      </c>
      <c r="I234" s="67"/>
      <c r="J234" s="68">
        <v>0.43</v>
      </c>
    </row>
    <row r="235" spans="1:10">
      <c r="A235" s="67" t="s">
        <v>651</v>
      </c>
      <c r="B235" s="67" t="s">
        <v>590</v>
      </c>
      <c r="C235" s="67">
        <v>7</v>
      </c>
      <c r="D235" s="67" t="s">
        <v>105</v>
      </c>
      <c r="E235" s="67" t="s">
        <v>573</v>
      </c>
      <c r="F235" s="68">
        <v>0.54</v>
      </c>
      <c r="G235" s="67">
        <v>1</v>
      </c>
      <c r="H235" s="67" t="s">
        <v>6</v>
      </c>
      <c r="I235" s="67"/>
      <c r="J235" s="68">
        <v>0.46</v>
      </c>
    </row>
    <row r="236" spans="1:10">
      <c r="A236" s="67" t="s">
        <v>651</v>
      </c>
      <c r="B236" s="67" t="s">
        <v>590</v>
      </c>
      <c r="C236" s="67">
        <v>6</v>
      </c>
      <c r="D236" s="67" t="s">
        <v>20</v>
      </c>
      <c r="E236" s="67"/>
      <c r="F236" s="68">
        <v>0.42</v>
      </c>
      <c r="G236" s="67">
        <v>0</v>
      </c>
      <c r="H236" s="67" t="s">
        <v>44</v>
      </c>
      <c r="I236" s="67" t="s">
        <v>573</v>
      </c>
      <c r="J236" s="68">
        <v>0.57999999999999996</v>
      </c>
    </row>
    <row r="237" spans="1:10">
      <c r="A237" s="67" t="s">
        <v>651</v>
      </c>
      <c r="B237" s="67" t="s">
        <v>598</v>
      </c>
      <c r="C237" s="67">
        <v>5</v>
      </c>
      <c r="D237" s="67" t="s">
        <v>48</v>
      </c>
      <c r="E237" s="67"/>
      <c r="F237" s="68">
        <v>0.4</v>
      </c>
      <c r="G237" s="67">
        <v>9</v>
      </c>
      <c r="H237" s="68" t="s">
        <v>175</v>
      </c>
      <c r="I237" s="67" t="s">
        <v>577</v>
      </c>
      <c r="J237" s="68">
        <v>0.6</v>
      </c>
    </row>
    <row r="238" spans="1:10">
      <c r="A238" s="67" t="s">
        <v>651</v>
      </c>
      <c r="B238" s="67" t="s">
        <v>599</v>
      </c>
      <c r="C238" s="67">
        <v>3</v>
      </c>
      <c r="D238" s="67" t="s">
        <v>25</v>
      </c>
      <c r="E238" s="67"/>
      <c r="F238" s="68">
        <v>0.42</v>
      </c>
      <c r="G238" s="67">
        <v>6</v>
      </c>
      <c r="H238" s="67" t="s">
        <v>11</v>
      </c>
      <c r="I238" s="67" t="s">
        <v>577</v>
      </c>
      <c r="J238" s="68">
        <v>0.57999999999999996</v>
      </c>
    </row>
    <row r="239" spans="1:10">
      <c r="A239" s="67" t="s">
        <v>651</v>
      </c>
      <c r="B239" s="67" t="s">
        <v>592</v>
      </c>
      <c r="C239" s="67">
        <v>7</v>
      </c>
      <c r="D239" s="67" t="s">
        <v>56</v>
      </c>
      <c r="E239" s="67"/>
      <c r="F239" s="68">
        <v>0.48</v>
      </c>
      <c r="G239" s="67">
        <v>8</v>
      </c>
      <c r="H239" s="67" t="s">
        <v>117</v>
      </c>
      <c r="I239" s="67" t="s">
        <v>573</v>
      </c>
      <c r="J239" s="68">
        <v>0.52</v>
      </c>
    </row>
    <row r="240" spans="1:10">
      <c r="A240" s="71"/>
      <c r="B240" s="71"/>
      <c r="C240" s="71"/>
      <c r="D240" s="71"/>
      <c r="E240" s="71"/>
      <c r="F240" s="72"/>
      <c r="G240" s="71"/>
      <c r="H240" s="71"/>
      <c r="I240" s="71"/>
      <c r="J240" s="72"/>
    </row>
    <row r="241" spans="1:10">
      <c r="A241" s="67" t="s">
        <v>652</v>
      </c>
      <c r="B241" s="67" t="s">
        <v>601</v>
      </c>
      <c r="C241" s="67">
        <v>2</v>
      </c>
      <c r="D241" s="67" t="s">
        <v>110</v>
      </c>
      <c r="E241" s="67"/>
      <c r="F241" s="68">
        <v>0.39</v>
      </c>
      <c r="G241" s="67">
        <v>6</v>
      </c>
      <c r="H241" s="67" t="s">
        <v>33</v>
      </c>
      <c r="I241" s="67" t="s">
        <v>573</v>
      </c>
      <c r="J241" s="68">
        <v>0.61</v>
      </c>
    </row>
    <row r="242" spans="1:10">
      <c r="A242" s="67" t="s">
        <v>652</v>
      </c>
      <c r="B242" s="67" t="s">
        <v>601</v>
      </c>
      <c r="C242" s="67">
        <v>4</v>
      </c>
      <c r="D242" s="67" t="s">
        <v>8</v>
      </c>
      <c r="E242" s="67"/>
      <c r="F242" s="68">
        <v>0.52</v>
      </c>
      <c r="G242" s="67">
        <v>3</v>
      </c>
      <c r="H242" s="68" t="s">
        <v>14</v>
      </c>
      <c r="I242" s="67" t="s">
        <v>573</v>
      </c>
      <c r="J242" s="68">
        <v>0.48</v>
      </c>
    </row>
    <row r="243" spans="1:10">
      <c r="A243" s="67" t="s">
        <v>652</v>
      </c>
      <c r="B243" s="67" t="s">
        <v>602</v>
      </c>
      <c r="C243" s="67">
        <v>8</v>
      </c>
      <c r="D243" s="67" t="s">
        <v>83</v>
      </c>
      <c r="E243" s="67"/>
      <c r="F243" s="68">
        <v>0.41</v>
      </c>
      <c r="G243" s="67">
        <v>2</v>
      </c>
      <c r="H243" s="67" t="s">
        <v>17</v>
      </c>
      <c r="I243" s="67" t="s">
        <v>573</v>
      </c>
      <c r="J243" s="68">
        <v>0.59</v>
      </c>
    </row>
    <row r="244" spans="1:10">
      <c r="A244" s="67" t="s">
        <v>652</v>
      </c>
      <c r="B244" s="67" t="s">
        <v>603</v>
      </c>
      <c r="C244" s="67">
        <v>9</v>
      </c>
      <c r="D244" s="67" t="s">
        <v>37</v>
      </c>
      <c r="E244" s="67" t="s">
        <v>573</v>
      </c>
      <c r="F244" s="68">
        <v>0.61</v>
      </c>
      <c r="G244" s="67">
        <v>6</v>
      </c>
      <c r="H244" s="67" t="s">
        <v>159</v>
      </c>
      <c r="I244" s="67"/>
      <c r="J244" s="68">
        <v>0.39</v>
      </c>
    </row>
    <row r="245" spans="1:10">
      <c r="A245" s="67" t="s">
        <v>652</v>
      </c>
      <c r="B245" s="67" t="s">
        <v>603</v>
      </c>
      <c r="C245" s="67">
        <v>1</v>
      </c>
      <c r="D245" s="67" t="s">
        <v>79</v>
      </c>
      <c r="E245" s="67"/>
      <c r="F245" s="68">
        <v>0.48</v>
      </c>
      <c r="G245" s="67">
        <v>0</v>
      </c>
      <c r="H245" s="67" t="s">
        <v>71</v>
      </c>
      <c r="I245" s="67" t="s">
        <v>573</v>
      </c>
      <c r="J245" s="68">
        <v>0.52</v>
      </c>
    </row>
    <row r="246" spans="1:10">
      <c r="A246" s="67" t="s">
        <v>652</v>
      </c>
      <c r="B246" s="67" t="s">
        <v>603</v>
      </c>
      <c r="C246" s="67">
        <v>2</v>
      </c>
      <c r="D246" s="67" t="s">
        <v>30</v>
      </c>
      <c r="E246" s="67"/>
      <c r="F246" s="68">
        <v>0.57999999999999996</v>
      </c>
      <c r="G246" s="67">
        <v>8</v>
      </c>
      <c r="H246" s="68" t="s">
        <v>126</v>
      </c>
      <c r="I246" s="67" t="s">
        <v>573</v>
      </c>
      <c r="J246" s="68">
        <v>0.42</v>
      </c>
    </row>
    <row r="247" spans="1:10">
      <c r="A247" s="67" t="s">
        <v>652</v>
      </c>
      <c r="B247" s="67" t="s">
        <v>603</v>
      </c>
      <c r="C247" s="67">
        <v>4</v>
      </c>
      <c r="D247" s="67" t="s">
        <v>35</v>
      </c>
      <c r="E247" s="67" t="s">
        <v>577</v>
      </c>
      <c r="F247" s="68">
        <v>0.59</v>
      </c>
      <c r="G247" s="67">
        <v>5</v>
      </c>
      <c r="H247" s="67" t="s">
        <v>68</v>
      </c>
      <c r="I247" s="67"/>
      <c r="J247" s="68">
        <v>0.41</v>
      </c>
    </row>
    <row r="248" spans="1:10">
      <c r="A248" s="67" t="s">
        <v>652</v>
      </c>
      <c r="B248" s="67" t="s">
        <v>576</v>
      </c>
      <c r="C248" s="67">
        <v>6</v>
      </c>
      <c r="D248" s="67" t="s">
        <v>3</v>
      </c>
      <c r="E248" s="67"/>
      <c r="F248" s="68">
        <v>0.38</v>
      </c>
      <c r="G248" s="67">
        <v>5</v>
      </c>
      <c r="H248" s="67" t="s">
        <v>74</v>
      </c>
      <c r="I248" s="67" t="s">
        <v>577</v>
      </c>
      <c r="J248" s="68">
        <v>0.62</v>
      </c>
    </row>
    <row r="249" spans="1:10">
      <c r="A249" s="67" t="s">
        <v>652</v>
      </c>
      <c r="B249" s="67" t="s">
        <v>576</v>
      </c>
      <c r="C249" s="67">
        <v>8</v>
      </c>
      <c r="D249" s="67" t="s">
        <v>76</v>
      </c>
      <c r="E249" s="67"/>
      <c r="F249" s="68">
        <v>0.34</v>
      </c>
      <c r="G249" s="67">
        <v>6</v>
      </c>
      <c r="H249" s="67" t="s">
        <v>51</v>
      </c>
      <c r="I249" s="67" t="s">
        <v>577</v>
      </c>
      <c r="J249" s="68">
        <v>0.66</v>
      </c>
    </row>
    <row r="250" spans="1:10">
      <c r="A250" s="67" t="s">
        <v>652</v>
      </c>
      <c r="B250" s="67" t="s">
        <v>595</v>
      </c>
      <c r="C250" s="67">
        <v>9</v>
      </c>
      <c r="D250" s="67" t="s">
        <v>105</v>
      </c>
      <c r="E250" s="67" t="s">
        <v>573</v>
      </c>
      <c r="F250" s="68">
        <v>0.44</v>
      </c>
      <c r="G250" s="67">
        <v>3</v>
      </c>
      <c r="H250" s="68" t="s">
        <v>6</v>
      </c>
      <c r="I250" s="67"/>
      <c r="J250" s="68">
        <v>0.56000000000000005</v>
      </c>
    </row>
    <row r="251" spans="1:10">
      <c r="A251" s="67" t="s">
        <v>652</v>
      </c>
      <c r="B251" s="67" t="s">
        <v>578</v>
      </c>
      <c r="C251" s="67">
        <v>6</v>
      </c>
      <c r="D251" s="67" t="s">
        <v>61</v>
      </c>
      <c r="E251" s="67"/>
      <c r="F251" s="68">
        <v>0.33</v>
      </c>
      <c r="G251" s="67">
        <v>7</v>
      </c>
      <c r="H251" s="67" t="s">
        <v>41</v>
      </c>
      <c r="I251" s="67" t="s">
        <v>573</v>
      </c>
      <c r="J251" s="68">
        <v>0.67</v>
      </c>
    </row>
    <row r="252" spans="1:10">
      <c r="A252" s="67" t="s">
        <v>652</v>
      </c>
      <c r="B252" s="67" t="s">
        <v>580</v>
      </c>
      <c r="C252" s="67">
        <v>2</v>
      </c>
      <c r="D252" s="67" t="s">
        <v>48</v>
      </c>
      <c r="E252" s="67"/>
      <c r="F252" s="68">
        <v>0.44</v>
      </c>
      <c r="G252" s="67">
        <v>7</v>
      </c>
      <c r="H252" s="67" t="s">
        <v>175</v>
      </c>
      <c r="I252" s="67" t="s">
        <v>577</v>
      </c>
      <c r="J252" s="68">
        <v>0.56000000000000005</v>
      </c>
    </row>
    <row r="253" spans="1:10">
      <c r="A253" s="67" t="s">
        <v>652</v>
      </c>
      <c r="B253" s="67" t="s">
        <v>580</v>
      </c>
      <c r="C253" s="67">
        <v>1</v>
      </c>
      <c r="D253" s="67" t="s">
        <v>56</v>
      </c>
      <c r="E253" s="67"/>
      <c r="F253" s="68">
        <v>0.62</v>
      </c>
      <c r="G253" s="67">
        <v>6</v>
      </c>
      <c r="H253" s="67" t="s">
        <v>117</v>
      </c>
      <c r="I253" s="67" t="s">
        <v>577</v>
      </c>
      <c r="J253" s="68">
        <v>0.38</v>
      </c>
    </row>
    <row r="254" spans="1:10">
      <c r="A254" s="67" t="s">
        <v>652</v>
      </c>
      <c r="B254" s="67" t="s">
        <v>580</v>
      </c>
      <c r="C254" s="67">
        <v>5</v>
      </c>
      <c r="D254" s="67" t="s">
        <v>25</v>
      </c>
      <c r="E254" s="67"/>
      <c r="F254" s="68">
        <v>0.48</v>
      </c>
      <c r="G254" s="67">
        <v>2</v>
      </c>
      <c r="H254" s="68" t="s">
        <v>11</v>
      </c>
      <c r="I254" s="67" t="s">
        <v>573</v>
      </c>
      <c r="J254" s="68">
        <v>0.52</v>
      </c>
    </row>
    <row r="255" spans="1:10">
      <c r="A255" s="67" t="s">
        <v>652</v>
      </c>
      <c r="B255" s="67" t="s">
        <v>604</v>
      </c>
      <c r="C255" s="67">
        <v>1</v>
      </c>
      <c r="D255" s="67" t="s">
        <v>20</v>
      </c>
      <c r="E255" s="67"/>
      <c r="F255" s="68">
        <v>0.52</v>
      </c>
      <c r="G255" s="67">
        <v>13</v>
      </c>
      <c r="H255" s="67" t="s">
        <v>44</v>
      </c>
      <c r="I255" s="67" t="s">
        <v>577</v>
      </c>
      <c r="J255" s="68">
        <v>0.48</v>
      </c>
    </row>
    <row r="256" spans="1:10">
      <c r="A256" s="71"/>
      <c r="B256" s="71"/>
      <c r="C256" s="71"/>
      <c r="D256" s="71"/>
      <c r="E256" s="71"/>
      <c r="F256" s="72"/>
      <c r="G256" s="71"/>
      <c r="H256" s="71"/>
      <c r="I256" s="71"/>
      <c r="J256" s="72"/>
    </row>
    <row r="257" spans="1:10">
      <c r="A257" s="67" t="s">
        <v>653</v>
      </c>
      <c r="B257" s="67" t="s">
        <v>580</v>
      </c>
      <c r="C257" s="67">
        <v>2</v>
      </c>
      <c r="D257" s="67" t="s">
        <v>56</v>
      </c>
      <c r="E257" s="67"/>
      <c r="F257" s="68">
        <v>0.49</v>
      </c>
      <c r="G257" s="67">
        <v>6</v>
      </c>
      <c r="H257" s="67" t="s">
        <v>117</v>
      </c>
      <c r="I257" s="67" t="s">
        <v>577</v>
      </c>
      <c r="J257" s="68">
        <v>0.51</v>
      </c>
    </row>
    <row r="258" spans="1:10">
      <c r="A258" s="67" t="s">
        <v>653</v>
      </c>
      <c r="B258" s="67" t="s">
        <v>606</v>
      </c>
      <c r="C258" s="67">
        <v>7</v>
      </c>
      <c r="D258" s="67" t="s">
        <v>8</v>
      </c>
      <c r="E258" s="67"/>
      <c r="F258" s="68">
        <v>0.44</v>
      </c>
      <c r="G258" s="67">
        <v>9</v>
      </c>
      <c r="H258" s="67" t="s">
        <v>33</v>
      </c>
      <c r="I258" s="67" t="s">
        <v>573</v>
      </c>
      <c r="J258" s="68">
        <v>0.56000000000000005</v>
      </c>
    </row>
    <row r="259" spans="1:10">
      <c r="A259" s="67" t="s">
        <v>653</v>
      </c>
      <c r="B259" s="67" t="s">
        <v>607</v>
      </c>
      <c r="C259" s="67">
        <v>5</v>
      </c>
      <c r="D259" s="67" t="s">
        <v>76</v>
      </c>
      <c r="E259" s="67"/>
      <c r="F259" s="68">
        <v>0.44</v>
      </c>
      <c r="G259" s="67">
        <v>16</v>
      </c>
      <c r="H259" s="68" t="s">
        <v>61</v>
      </c>
      <c r="I259" s="67" t="s">
        <v>577</v>
      </c>
      <c r="J259" s="68">
        <v>0.56000000000000005</v>
      </c>
    </row>
    <row r="260" spans="1:10">
      <c r="A260" s="67" t="s">
        <v>653</v>
      </c>
      <c r="B260" s="67" t="s">
        <v>607</v>
      </c>
      <c r="C260" s="67">
        <v>7</v>
      </c>
      <c r="D260" s="67" t="s">
        <v>41</v>
      </c>
      <c r="E260" s="67"/>
      <c r="F260" s="68">
        <v>0.55000000000000004</v>
      </c>
      <c r="G260" s="67">
        <v>13</v>
      </c>
      <c r="H260" s="67" t="s">
        <v>14</v>
      </c>
      <c r="I260" s="67" t="s">
        <v>577</v>
      </c>
      <c r="J260" s="68">
        <v>0.46</v>
      </c>
    </row>
    <row r="261" spans="1:10">
      <c r="A261" s="67" t="s">
        <v>653</v>
      </c>
      <c r="B261" s="67" t="s">
        <v>633</v>
      </c>
      <c r="C261" s="67">
        <v>10</v>
      </c>
      <c r="D261" s="67" t="s">
        <v>37</v>
      </c>
      <c r="E261" s="67"/>
      <c r="F261" s="68">
        <v>0.3</v>
      </c>
      <c r="G261" s="67">
        <v>11</v>
      </c>
      <c r="H261" s="67" t="s">
        <v>35</v>
      </c>
      <c r="I261" s="67" t="s">
        <v>577</v>
      </c>
      <c r="J261" s="68">
        <v>0.7</v>
      </c>
    </row>
    <row r="262" spans="1:10">
      <c r="A262" s="67" t="s">
        <v>653</v>
      </c>
      <c r="B262" s="67" t="s">
        <v>590</v>
      </c>
      <c r="C262" s="67">
        <v>10</v>
      </c>
      <c r="D262" s="67" t="s">
        <v>30</v>
      </c>
      <c r="E262" s="67"/>
      <c r="F262" s="68">
        <v>0.28000000000000003</v>
      </c>
      <c r="G262" s="67">
        <v>4</v>
      </c>
      <c r="H262" s="67" t="s">
        <v>44</v>
      </c>
      <c r="I262" s="67" t="s">
        <v>573</v>
      </c>
      <c r="J262" s="68">
        <v>0.72</v>
      </c>
    </row>
    <row r="263" spans="1:10">
      <c r="A263" s="67" t="s">
        <v>653</v>
      </c>
      <c r="B263" s="67" t="s">
        <v>608</v>
      </c>
      <c r="C263" s="67">
        <v>6</v>
      </c>
      <c r="D263" s="67" t="s">
        <v>105</v>
      </c>
      <c r="E263" s="67" t="s">
        <v>577</v>
      </c>
      <c r="F263" s="68">
        <v>0.46</v>
      </c>
      <c r="G263" s="67">
        <v>13</v>
      </c>
      <c r="H263" s="68" t="s">
        <v>83</v>
      </c>
      <c r="I263" s="67"/>
      <c r="J263" s="68">
        <v>0.54</v>
      </c>
    </row>
    <row r="264" spans="1:10">
      <c r="A264" s="67" t="s">
        <v>653</v>
      </c>
      <c r="B264" s="67" t="s">
        <v>609</v>
      </c>
      <c r="C264" s="67">
        <v>9</v>
      </c>
      <c r="D264" s="67" t="s">
        <v>20</v>
      </c>
      <c r="E264" s="67" t="s">
        <v>573</v>
      </c>
      <c r="F264" s="68">
        <v>0.59</v>
      </c>
      <c r="G264" s="67">
        <v>3</v>
      </c>
      <c r="H264" s="67" t="s">
        <v>6</v>
      </c>
      <c r="I264" s="67"/>
      <c r="J264" s="68">
        <v>0.41</v>
      </c>
    </row>
    <row r="265" spans="1:10">
      <c r="A265" s="67" t="s">
        <v>653</v>
      </c>
      <c r="B265" s="67" t="s">
        <v>592</v>
      </c>
      <c r="C265" s="67">
        <v>8</v>
      </c>
      <c r="D265" s="67" t="s">
        <v>25</v>
      </c>
      <c r="E265" s="67" t="s">
        <v>573</v>
      </c>
      <c r="F265" s="68">
        <v>0.53</v>
      </c>
      <c r="G265" s="67">
        <v>1</v>
      </c>
      <c r="H265" s="67" t="s">
        <v>79</v>
      </c>
      <c r="I265" s="67"/>
      <c r="J265" s="68">
        <v>0.47</v>
      </c>
    </row>
    <row r="266" spans="1:10">
      <c r="A266" s="67" t="s">
        <v>653</v>
      </c>
      <c r="B266" s="67" t="s">
        <v>584</v>
      </c>
      <c r="C266" s="67">
        <v>0</v>
      </c>
      <c r="D266" s="67" t="s">
        <v>71</v>
      </c>
      <c r="E266" s="67"/>
      <c r="F266" s="68">
        <v>0.31</v>
      </c>
      <c r="G266" s="67">
        <v>4</v>
      </c>
      <c r="H266" s="67" t="s">
        <v>11</v>
      </c>
      <c r="I266" s="67" t="s">
        <v>577</v>
      </c>
      <c r="J266" s="68">
        <v>0.69</v>
      </c>
    </row>
    <row r="267" spans="1:10">
      <c r="A267" s="71"/>
      <c r="B267" s="71"/>
      <c r="C267" s="71"/>
      <c r="D267" s="71"/>
      <c r="E267" s="71"/>
      <c r="F267" s="72"/>
      <c r="G267" s="71"/>
      <c r="H267" s="71"/>
      <c r="I267" s="71"/>
      <c r="J267" s="72"/>
    </row>
    <row r="268" spans="1:10">
      <c r="A268" s="67" t="s">
        <v>654</v>
      </c>
      <c r="B268" s="67" t="s">
        <v>606</v>
      </c>
      <c r="C268" s="67">
        <v>4</v>
      </c>
      <c r="D268" s="67" t="s">
        <v>8</v>
      </c>
      <c r="E268" s="67"/>
      <c r="F268" s="68">
        <v>0.32</v>
      </c>
      <c r="G268" s="67">
        <v>3</v>
      </c>
      <c r="H268" s="68" t="s">
        <v>33</v>
      </c>
      <c r="I268" s="67" t="s">
        <v>577</v>
      </c>
      <c r="J268" s="68">
        <v>0.68</v>
      </c>
    </row>
    <row r="269" spans="1:10">
      <c r="A269" s="67" t="s">
        <v>654</v>
      </c>
      <c r="B269" s="67" t="s">
        <v>607</v>
      </c>
      <c r="C269" s="67">
        <v>1</v>
      </c>
      <c r="D269" s="67" t="s">
        <v>74</v>
      </c>
      <c r="E269" s="67"/>
      <c r="F269" s="68">
        <v>0.3</v>
      </c>
      <c r="G269" s="67">
        <v>2</v>
      </c>
      <c r="H269" s="67" t="s">
        <v>126</v>
      </c>
      <c r="I269" s="67" t="s">
        <v>573</v>
      </c>
      <c r="J269" s="68">
        <v>0.7</v>
      </c>
    </row>
    <row r="270" spans="1:10">
      <c r="A270" s="67" t="s">
        <v>654</v>
      </c>
      <c r="B270" s="67" t="s">
        <v>607</v>
      </c>
      <c r="C270" s="67">
        <v>5</v>
      </c>
      <c r="D270" s="67" t="s">
        <v>76</v>
      </c>
      <c r="E270" s="67"/>
      <c r="F270" s="68">
        <v>0.23</v>
      </c>
      <c r="G270" s="67">
        <v>4</v>
      </c>
      <c r="H270" s="67" t="s">
        <v>61</v>
      </c>
      <c r="I270" s="67" t="s">
        <v>577</v>
      </c>
      <c r="J270" s="68">
        <v>0.77</v>
      </c>
    </row>
    <row r="271" spans="1:10">
      <c r="A271" s="67" t="s">
        <v>654</v>
      </c>
      <c r="B271" s="67" t="s">
        <v>607</v>
      </c>
      <c r="C271" s="67">
        <v>1</v>
      </c>
      <c r="D271" s="67" t="s">
        <v>110</v>
      </c>
      <c r="E271" s="67"/>
      <c r="F271" s="68">
        <v>0.57999999999999996</v>
      </c>
      <c r="G271" s="67">
        <v>2</v>
      </c>
      <c r="H271" s="67" t="s">
        <v>159</v>
      </c>
      <c r="I271" s="67" t="s">
        <v>655</v>
      </c>
      <c r="J271" s="68">
        <v>0.42</v>
      </c>
    </row>
    <row r="272" spans="1:10">
      <c r="A272" s="67" t="s">
        <v>654</v>
      </c>
      <c r="B272" s="67" t="s">
        <v>607</v>
      </c>
      <c r="C272" s="67">
        <v>10</v>
      </c>
      <c r="D272" s="67" t="s">
        <v>41</v>
      </c>
      <c r="E272" s="67"/>
      <c r="F272" s="68">
        <v>0.31</v>
      </c>
      <c r="G272" s="67">
        <v>4</v>
      </c>
      <c r="H272" s="68" t="s">
        <v>14</v>
      </c>
      <c r="I272" s="67" t="s">
        <v>573</v>
      </c>
      <c r="J272" s="68">
        <v>0.69</v>
      </c>
    </row>
    <row r="273" spans="1:10">
      <c r="A273" s="67" t="s">
        <v>654</v>
      </c>
      <c r="B273" s="67" t="s">
        <v>633</v>
      </c>
      <c r="C273" s="67">
        <v>7</v>
      </c>
      <c r="D273" s="67" t="s">
        <v>37</v>
      </c>
      <c r="E273" s="67"/>
      <c r="F273" s="68">
        <v>0.27</v>
      </c>
      <c r="G273" s="67">
        <v>1</v>
      </c>
      <c r="H273" s="67" t="s">
        <v>35</v>
      </c>
      <c r="I273" s="67" t="s">
        <v>577</v>
      </c>
      <c r="J273" s="68">
        <v>0.73</v>
      </c>
    </row>
    <row r="274" spans="1:10">
      <c r="A274" s="67" t="s">
        <v>654</v>
      </c>
      <c r="B274" s="67" t="s">
        <v>590</v>
      </c>
      <c r="C274" s="67">
        <v>5</v>
      </c>
      <c r="D274" s="67" t="s">
        <v>30</v>
      </c>
      <c r="E274" s="67"/>
      <c r="F274" s="68">
        <v>0.37</v>
      </c>
      <c r="G274" s="67">
        <v>6</v>
      </c>
      <c r="H274" s="67" t="s">
        <v>44</v>
      </c>
      <c r="I274" s="67" t="s">
        <v>577</v>
      </c>
      <c r="J274" s="68">
        <v>0.63</v>
      </c>
    </row>
    <row r="275" spans="1:10">
      <c r="A275" s="67" t="s">
        <v>654</v>
      </c>
      <c r="B275" s="67" t="s">
        <v>608</v>
      </c>
      <c r="C275" s="67">
        <v>0</v>
      </c>
      <c r="D275" s="67" t="s">
        <v>105</v>
      </c>
      <c r="E275" s="67" t="s">
        <v>573</v>
      </c>
      <c r="F275" s="68">
        <v>0.61</v>
      </c>
      <c r="G275" s="67">
        <v>6</v>
      </c>
      <c r="H275" s="67" t="s">
        <v>83</v>
      </c>
      <c r="I275" s="67"/>
      <c r="J275" s="68">
        <v>0.39</v>
      </c>
    </row>
    <row r="276" spans="1:10">
      <c r="A276" s="67" t="s">
        <v>654</v>
      </c>
      <c r="B276" s="67" t="s">
        <v>608</v>
      </c>
      <c r="C276" s="67">
        <v>8</v>
      </c>
      <c r="D276" s="67" t="s">
        <v>68</v>
      </c>
      <c r="E276" s="67" t="s">
        <v>573</v>
      </c>
      <c r="F276" s="68">
        <v>0.65</v>
      </c>
      <c r="G276" s="67">
        <v>5</v>
      </c>
      <c r="H276" s="68" t="s">
        <v>3</v>
      </c>
      <c r="I276" s="67"/>
      <c r="J276" s="68">
        <v>0.35</v>
      </c>
    </row>
    <row r="277" spans="1:10">
      <c r="A277" s="67" t="s">
        <v>654</v>
      </c>
      <c r="B277" s="67" t="s">
        <v>608</v>
      </c>
      <c r="C277" s="67">
        <v>9</v>
      </c>
      <c r="D277" s="67" t="s">
        <v>17</v>
      </c>
      <c r="E277" s="67"/>
      <c r="F277" s="68">
        <v>0.36</v>
      </c>
      <c r="G277" s="67">
        <v>7</v>
      </c>
      <c r="H277" s="67" t="s">
        <v>51</v>
      </c>
      <c r="I277" s="67" t="s">
        <v>573</v>
      </c>
      <c r="J277" s="68">
        <v>0.64</v>
      </c>
    </row>
    <row r="278" spans="1:10">
      <c r="A278" s="67" t="s">
        <v>654</v>
      </c>
      <c r="B278" s="67" t="s">
        <v>609</v>
      </c>
      <c r="C278" s="67">
        <v>5</v>
      </c>
      <c r="D278" s="67" t="s">
        <v>20</v>
      </c>
      <c r="E278" s="67" t="s">
        <v>573</v>
      </c>
      <c r="F278" s="68">
        <v>0.61</v>
      </c>
      <c r="G278" s="67">
        <v>6</v>
      </c>
      <c r="H278" s="67" t="s">
        <v>6</v>
      </c>
      <c r="I278" s="67"/>
      <c r="J278" s="68">
        <v>0.39</v>
      </c>
    </row>
    <row r="279" spans="1:10">
      <c r="A279" s="67" t="s">
        <v>654</v>
      </c>
      <c r="B279" s="67" t="s">
        <v>610</v>
      </c>
      <c r="C279" s="67">
        <v>6</v>
      </c>
      <c r="D279" s="67" t="s">
        <v>48</v>
      </c>
      <c r="E279" s="67"/>
      <c r="F279" s="68">
        <v>0.36</v>
      </c>
      <c r="G279" s="67">
        <v>7</v>
      </c>
      <c r="H279" s="67" t="s">
        <v>56</v>
      </c>
      <c r="I279" s="67" t="s">
        <v>577</v>
      </c>
      <c r="J279" s="68">
        <v>0.64</v>
      </c>
    </row>
    <row r="280" spans="1:10">
      <c r="A280" s="67" t="s">
        <v>654</v>
      </c>
      <c r="B280" s="67" t="s">
        <v>592</v>
      </c>
      <c r="C280" s="67">
        <v>1</v>
      </c>
      <c r="D280" s="67" t="s">
        <v>117</v>
      </c>
      <c r="E280" s="67"/>
      <c r="F280" s="68">
        <v>0.43</v>
      </c>
      <c r="G280" s="67">
        <v>4</v>
      </c>
      <c r="H280" s="68" t="s">
        <v>175</v>
      </c>
      <c r="I280" s="67" t="s">
        <v>573</v>
      </c>
      <c r="J280" s="68">
        <v>0.56999999999999995</v>
      </c>
    </row>
    <row r="281" spans="1:10">
      <c r="A281" s="67" t="s">
        <v>654</v>
      </c>
      <c r="B281" s="67" t="s">
        <v>592</v>
      </c>
      <c r="C281" s="67">
        <v>1</v>
      </c>
      <c r="D281" s="67" t="s">
        <v>25</v>
      </c>
      <c r="E281" s="67" t="s">
        <v>573</v>
      </c>
      <c r="F281" s="68">
        <v>0.57999999999999996</v>
      </c>
      <c r="G281" s="67">
        <v>2</v>
      </c>
      <c r="H281" s="67" t="s">
        <v>79</v>
      </c>
      <c r="I281" s="67"/>
      <c r="J281" s="68">
        <v>0.42</v>
      </c>
    </row>
    <row r="282" spans="1:10">
      <c r="A282" s="67" t="s">
        <v>654</v>
      </c>
      <c r="B282" s="67" t="s">
        <v>584</v>
      </c>
      <c r="C282" s="67">
        <v>1</v>
      </c>
      <c r="D282" s="67" t="s">
        <v>71</v>
      </c>
      <c r="E282" s="67"/>
      <c r="F282" s="68">
        <v>0.25</v>
      </c>
      <c r="G282" s="67">
        <v>2</v>
      </c>
      <c r="H282" s="67" t="s">
        <v>11</v>
      </c>
      <c r="I282" s="67" t="s">
        <v>577</v>
      </c>
      <c r="J282" s="68">
        <v>0.75</v>
      </c>
    </row>
    <row r="283" spans="1:10">
      <c r="A283" s="71"/>
      <c r="B283" s="71"/>
      <c r="C283" s="71"/>
      <c r="D283" s="71"/>
      <c r="E283" s="71"/>
      <c r="F283" s="72"/>
      <c r="G283" s="71"/>
      <c r="H283" s="71"/>
      <c r="I283" s="71"/>
      <c r="J283" s="72"/>
    </row>
    <row r="284" spans="1:10">
      <c r="A284" s="67" t="s">
        <v>656</v>
      </c>
      <c r="B284" s="67" t="s">
        <v>575</v>
      </c>
      <c r="C284" s="67">
        <v>3</v>
      </c>
      <c r="D284" s="67" t="s">
        <v>20</v>
      </c>
      <c r="E284" s="67" t="s">
        <v>573</v>
      </c>
      <c r="F284" s="68">
        <v>0.62</v>
      </c>
      <c r="G284" s="67">
        <v>5</v>
      </c>
      <c r="H284" s="67" t="s">
        <v>6</v>
      </c>
      <c r="I284" s="67"/>
      <c r="J284" s="68">
        <v>0.38</v>
      </c>
    </row>
    <row r="285" spans="1:10">
      <c r="A285" s="67" t="s">
        <v>656</v>
      </c>
      <c r="B285" s="67" t="s">
        <v>603</v>
      </c>
      <c r="C285" s="67">
        <v>9</v>
      </c>
      <c r="D285" s="67" t="s">
        <v>105</v>
      </c>
      <c r="E285" s="67" t="s">
        <v>573</v>
      </c>
      <c r="F285" s="68">
        <v>0.48</v>
      </c>
      <c r="G285" s="67">
        <v>5</v>
      </c>
      <c r="H285" s="68" t="s">
        <v>83</v>
      </c>
      <c r="I285" s="67"/>
      <c r="J285" s="68">
        <v>0.52</v>
      </c>
    </row>
    <row r="286" spans="1:10">
      <c r="A286" s="67" t="s">
        <v>656</v>
      </c>
      <c r="B286" s="67" t="s">
        <v>607</v>
      </c>
      <c r="C286" s="67">
        <v>1</v>
      </c>
      <c r="D286" s="67" t="s">
        <v>74</v>
      </c>
      <c r="E286" s="67"/>
      <c r="F286" s="68">
        <v>0.4</v>
      </c>
      <c r="G286" s="67">
        <v>2</v>
      </c>
      <c r="H286" s="67" t="s">
        <v>126</v>
      </c>
      <c r="I286" s="67" t="s">
        <v>573</v>
      </c>
      <c r="J286" s="68">
        <v>0.6</v>
      </c>
    </row>
    <row r="287" spans="1:10">
      <c r="A287" s="67" t="s">
        <v>656</v>
      </c>
      <c r="B287" s="67" t="s">
        <v>607</v>
      </c>
      <c r="C287" s="67">
        <v>0</v>
      </c>
      <c r="D287" s="67" t="s">
        <v>76</v>
      </c>
      <c r="E287" s="67"/>
      <c r="F287" s="68">
        <v>0.43</v>
      </c>
      <c r="G287" s="67">
        <v>2</v>
      </c>
      <c r="H287" s="67" t="s">
        <v>61</v>
      </c>
      <c r="I287" s="67" t="s">
        <v>577</v>
      </c>
      <c r="J287" s="68">
        <v>0.56999999999999995</v>
      </c>
    </row>
    <row r="288" spans="1:10">
      <c r="A288" s="67" t="s">
        <v>656</v>
      </c>
      <c r="B288" s="67" t="s">
        <v>607</v>
      </c>
      <c r="C288" s="67">
        <v>3</v>
      </c>
      <c r="D288" s="67" t="s">
        <v>110</v>
      </c>
      <c r="E288" s="67" t="s">
        <v>573</v>
      </c>
      <c r="F288" s="68">
        <v>0.48</v>
      </c>
      <c r="G288" s="67">
        <v>8</v>
      </c>
      <c r="H288" s="67" t="s">
        <v>159</v>
      </c>
      <c r="I288" s="67"/>
      <c r="J288" s="68">
        <v>0.52</v>
      </c>
    </row>
    <row r="289" spans="1:10">
      <c r="A289" s="67" t="s">
        <v>656</v>
      </c>
      <c r="B289" s="67" t="s">
        <v>607</v>
      </c>
      <c r="C289" s="67">
        <v>11</v>
      </c>
      <c r="D289" s="67" t="s">
        <v>41</v>
      </c>
      <c r="E289" s="67"/>
      <c r="F289" s="68">
        <v>0.56000000000000005</v>
      </c>
      <c r="G289" s="67">
        <v>2</v>
      </c>
      <c r="H289" s="68" t="s">
        <v>14</v>
      </c>
      <c r="I289" s="67" t="s">
        <v>573</v>
      </c>
      <c r="J289" s="68">
        <v>0.44</v>
      </c>
    </row>
    <row r="290" spans="1:10">
      <c r="A290" s="67" t="s">
        <v>656</v>
      </c>
      <c r="B290" s="67" t="s">
        <v>633</v>
      </c>
      <c r="C290" s="67">
        <v>4</v>
      </c>
      <c r="D290" s="67" t="s">
        <v>37</v>
      </c>
      <c r="E290" s="67"/>
      <c r="F290" s="68">
        <v>0.44</v>
      </c>
      <c r="G290" s="67">
        <v>5</v>
      </c>
      <c r="H290" s="67" t="s">
        <v>35</v>
      </c>
      <c r="I290" s="67" t="s">
        <v>577</v>
      </c>
      <c r="J290" s="68">
        <v>0.56000000000000005</v>
      </c>
    </row>
    <row r="291" spans="1:10">
      <c r="A291" s="67" t="s">
        <v>656</v>
      </c>
      <c r="B291" s="67" t="s">
        <v>590</v>
      </c>
      <c r="C291" s="67">
        <v>3</v>
      </c>
      <c r="D291" s="67" t="s">
        <v>30</v>
      </c>
      <c r="E291" s="67"/>
      <c r="F291" s="68">
        <v>0.33</v>
      </c>
      <c r="G291" s="67">
        <v>6</v>
      </c>
      <c r="H291" s="67" t="s">
        <v>44</v>
      </c>
      <c r="I291" s="67" t="s">
        <v>573</v>
      </c>
      <c r="J291" s="68">
        <v>0.67</v>
      </c>
    </row>
    <row r="292" spans="1:10">
      <c r="A292" s="67" t="s">
        <v>656</v>
      </c>
      <c r="B292" s="67" t="s">
        <v>608</v>
      </c>
      <c r="C292" s="67">
        <v>8</v>
      </c>
      <c r="D292" s="67" t="s">
        <v>68</v>
      </c>
      <c r="E292" s="67" t="s">
        <v>573</v>
      </c>
      <c r="F292" s="68">
        <v>0.66</v>
      </c>
      <c r="G292" s="67">
        <v>3</v>
      </c>
      <c r="H292" s="67" t="s">
        <v>3</v>
      </c>
      <c r="I292" s="67"/>
      <c r="J292" s="68">
        <v>0.34</v>
      </c>
    </row>
    <row r="293" spans="1:10">
      <c r="A293" s="67" t="s">
        <v>656</v>
      </c>
      <c r="B293" s="67" t="s">
        <v>608</v>
      </c>
      <c r="C293" s="67">
        <v>1</v>
      </c>
      <c r="D293" s="67" t="s">
        <v>17</v>
      </c>
      <c r="E293" s="67" t="s">
        <v>573</v>
      </c>
      <c r="F293" s="68">
        <v>0.44</v>
      </c>
      <c r="G293" s="67">
        <v>2</v>
      </c>
      <c r="H293" s="68" t="s">
        <v>51</v>
      </c>
      <c r="I293" s="67"/>
      <c r="J293" s="68">
        <v>0.56000000000000005</v>
      </c>
    </row>
    <row r="294" spans="1:10">
      <c r="A294" s="67" t="s">
        <v>656</v>
      </c>
      <c r="B294" s="67" t="s">
        <v>610</v>
      </c>
      <c r="C294" s="67">
        <v>1</v>
      </c>
      <c r="D294" s="67" t="s">
        <v>48</v>
      </c>
      <c r="E294" s="67"/>
      <c r="F294" s="68">
        <v>0.38</v>
      </c>
      <c r="G294" s="67">
        <v>3</v>
      </c>
      <c r="H294" s="67" t="s">
        <v>56</v>
      </c>
      <c r="I294" s="67" t="s">
        <v>577</v>
      </c>
      <c r="J294" s="68">
        <v>0.62</v>
      </c>
    </row>
    <row r="295" spans="1:10">
      <c r="A295" s="67" t="s">
        <v>656</v>
      </c>
      <c r="B295" s="67" t="s">
        <v>592</v>
      </c>
      <c r="C295" s="67">
        <v>6</v>
      </c>
      <c r="D295" s="67" t="s">
        <v>117</v>
      </c>
      <c r="E295" s="67"/>
      <c r="F295" s="68">
        <v>0.34</v>
      </c>
      <c r="G295" s="67">
        <v>7</v>
      </c>
      <c r="H295" s="67" t="s">
        <v>175</v>
      </c>
      <c r="I295" s="67" t="s">
        <v>612</v>
      </c>
      <c r="J295" s="68">
        <v>0.66</v>
      </c>
    </row>
    <row r="296" spans="1:10">
      <c r="A296" s="67" t="s">
        <v>656</v>
      </c>
      <c r="B296" s="67" t="s">
        <v>592</v>
      </c>
      <c r="C296" s="67">
        <v>5</v>
      </c>
      <c r="D296" s="67" t="s">
        <v>25</v>
      </c>
      <c r="E296" s="67"/>
      <c r="F296" s="68">
        <v>0.47</v>
      </c>
      <c r="G296" s="67">
        <v>6</v>
      </c>
      <c r="H296" s="67" t="s">
        <v>79</v>
      </c>
      <c r="I296" s="67" t="s">
        <v>655</v>
      </c>
      <c r="J296" s="68">
        <v>0.53</v>
      </c>
    </row>
    <row r="297" spans="1:10">
      <c r="A297" s="67" t="s">
        <v>656</v>
      </c>
      <c r="B297" s="67" t="s">
        <v>584</v>
      </c>
      <c r="C297" s="67">
        <v>2</v>
      </c>
      <c r="D297" s="67" t="s">
        <v>71</v>
      </c>
      <c r="E297" s="67"/>
      <c r="F297" s="68">
        <v>0.31</v>
      </c>
      <c r="G297" s="67">
        <v>8</v>
      </c>
      <c r="H297" s="68" t="s">
        <v>11</v>
      </c>
      <c r="I297" s="67" t="s">
        <v>577</v>
      </c>
      <c r="J297" s="68">
        <v>0.69</v>
      </c>
    </row>
    <row r="298" spans="1:10">
      <c r="A298" s="67" t="s">
        <v>656</v>
      </c>
      <c r="B298" s="67" t="s">
        <v>620</v>
      </c>
      <c r="C298" s="67">
        <v>8</v>
      </c>
      <c r="D298" s="67" t="s">
        <v>8</v>
      </c>
      <c r="E298" s="67"/>
      <c r="F298" s="68">
        <v>0.51</v>
      </c>
      <c r="G298" s="67">
        <v>5</v>
      </c>
      <c r="H298" s="67" t="s">
        <v>33</v>
      </c>
      <c r="I298" s="67" t="s">
        <v>573</v>
      </c>
      <c r="J298" s="68">
        <v>0.49</v>
      </c>
    </row>
    <row r="299" spans="1:10">
      <c r="A299" s="71"/>
      <c r="B299" s="71"/>
      <c r="C299" s="71"/>
      <c r="D299" s="71"/>
      <c r="E299" s="71"/>
      <c r="F299" s="72"/>
      <c r="G299" s="71"/>
      <c r="H299" s="71"/>
      <c r="I299" s="71"/>
      <c r="J299" s="72"/>
    </row>
    <row r="300" spans="1:10">
      <c r="A300" s="67" t="s">
        <v>657</v>
      </c>
      <c r="B300" s="67" t="s">
        <v>616</v>
      </c>
      <c r="C300" s="67">
        <v>9</v>
      </c>
      <c r="D300" s="67" t="s">
        <v>74</v>
      </c>
      <c r="E300" s="67" t="s">
        <v>573</v>
      </c>
      <c r="F300" s="68">
        <v>0.4</v>
      </c>
      <c r="G300" s="67">
        <v>10</v>
      </c>
      <c r="H300" s="67" t="s">
        <v>126</v>
      </c>
      <c r="I300" s="67"/>
      <c r="J300" s="68">
        <v>0.6</v>
      </c>
    </row>
    <row r="301" spans="1:10">
      <c r="A301" s="67" t="s">
        <v>657</v>
      </c>
      <c r="B301" s="67" t="s">
        <v>601</v>
      </c>
      <c r="C301" s="67">
        <v>11</v>
      </c>
      <c r="D301" s="67" t="s">
        <v>37</v>
      </c>
      <c r="E301" s="67"/>
      <c r="F301" s="68">
        <v>0.33</v>
      </c>
      <c r="G301" s="67">
        <v>4</v>
      </c>
      <c r="H301" s="67" t="s">
        <v>35</v>
      </c>
      <c r="I301" s="67" t="s">
        <v>588</v>
      </c>
      <c r="J301" s="68">
        <v>0.67</v>
      </c>
    </row>
    <row r="302" spans="1:10">
      <c r="A302" s="67" t="s">
        <v>657</v>
      </c>
      <c r="B302" s="67" t="s">
        <v>603</v>
      </c>
      <c r="C302" s="67">
        <v>1</v>
      </c>
      <c r="D302" s="67" t="s">
        <v>17</v>
      </c>
      <c r="E302" s="67"/>
      <c r="F302" s="68">
        <v>0.38</v>
      </c>
      <c r="G302" s="67">
        <v>2</v>
      </c>
      <c r="H302" s="68" t="s">
        <v>51</v>
      </c>
      <c r="I302" s="67" t="s">
        <v>573</v>
      </c>
      <c r="J302" s="68">
        <v>0.62</v>
      </c>
    </row>
    <row r="303" spans="1:10">
      <c r="A303" s="67" t="s">
        <v>657</v>
      </c>
      <c r="B303" s="67" t="s">
        <v>576</v>
      </c>
      <c r="C303" s="67">
        <v>5</v>
      </c>
      <c r="D303" s="67" t="s">
        <v>68</v>
      </c>
      <c r="E303" s="67" t="s">
        <v>573</v>
      </c>
      <c r="F303" s="68">
        <v>0.74</v>
      </c>
      <c r="G303" s="67">
        <v>3</v>
      </c>
      <c r="H303" s="67" t="s">
        <v>3</v>
      </c>
      <c r="I303" s="67"/>
      <c r="J303" s="68">
        <v>0.26</v>
      </c>
    </row>
    <row r="304" spans="1:10">
      <c r="A304" s="67" t="s">
        <v>657</v>
      </c>
      <c r="B304" s="67" t="s">
        <v>579</v>
      </c>
      <c r="C304" s="67">
        <v>9</v>
      </c>
      <c r="D304" s="67" t="s">
        <v>25</v>
      </c>
      <c r="E304" s="67" t="s">
        <v>573</v>
      </c>
      <c r="F304" s="68">
        <v>0.63</v>
      </c>
      <c r="G304" s="67">
        <v>6</v>
      </c>
      <c r="H304" s="67" t="s">
        <v>79</v>
      </c>
      <c r="I304" s="67"/>
      <c r="J304" s="68">
        <v>0.37</v>
      </c>
    </row>
    <row r="305" spans="1:10">
      <c r="A305" s="67" t="s">
        <v>657</v>
      </c>
      <c r="B305" s="67" t="s">
        <v>643</v>
      </c>
      <c r="C305" s="67">
        <v>2</v>
      </c>
      <c r="D305" s="67" t="s">
        <v>33</v>
      </c>
      <c r="E305" s="67"/>
      <c r="F305" s="68">
        <v>0.28999999999999998</v>
      </c>
      <c r="G305" s="67">
        <v>4</v>
      </c>
      <c r="H305" s="67" t="s">
        <v>20</v>
      </c>
      <c r="I305" s="67" t="s">
        <v>573</v>
      </c>
      <c r="J305" s="68">
        <v>0.71</v>
      </c>
    </row>
    <row r="306" spans="1:10">
      <c r="A306" s="67" t="s">
        <v>657</v>
      </c>
      <c r="B306" s="67" t="s">
        <v>610</v>
      </c>
      <c r="C306" s="67">
        <v>3</v>
      </c>
      <c r="D306" s="67" t="s">
        <v>48</v>
      </c>
      <c r="E306" s="67"/>
      <c r="F306" s="68">
        <v>0.41</v>
      </c>
      <c r="G306" s="67">
        <v>2</v>
      </c>
      <c r="H306" s="68" t="s">
        <v>56</v>
      </c>
      <c r="I306" s="67" t="s">
        <v>573</v>
      </c>
      <c r="J306" s="68">
        <v>0.59</v>
      </c>
    </row>
    <row r="307" spans="1:10">
      <c r="A307" s="67" t="s">
        <v>657</v>
      </c>
      <c r="B307" s="67" t="s">
        <v>598</v>
      </c>
      <c r="C307" s="67">
        <v>2</v>
      </c>
      <c r="D307" s="67" t="s">
        <v>117</v>
      </c>
      <c r="E307" s="67"/>
      <c r="F307" s="68">
        <v>0.43</v>
      </c>
      <c r="G307" s="67">
        <v>5</v>
      </c>
      <c r="H307" s="67" t="s">
        <v>175</v>
      </c>
      <c r="I307" s="67" t="s">
        <v>612</v>
      </c>
      <c r="J307" s="68">
        <v>0.56999999999999995</v>
      </c>
    </row>
    <row r="308" spans="1:10">
      <c r="A308" s="67" t="s">
        <v>657</v>
      </c>
      <c r="B308" s="67" t="s">
        <v>620</v>
      </c>
      <c r="C308" s="67">
        <v>8</v>
      </c>
      <c r="D308" s="67" t="s">
        <v>76</v>
      </c>
      <c r="E308" s="67"/>
      <c r="F308" s="68">
        <v>0.47</v>
      </c>
      <c r="G308" s="67">
        <v>7</v>
      </c>
      <c r="H308" s="67" t="s">
        <v>61</v>
      </c>
      <c r="I308" s="67" t="s">
        <v>573</v>
      </c>
      <c r="J308" s="68">
        <v>0.53</v>
      </c>
    </row>
    <row r="309" spans="1:10">
      <c r="A309" s="67" t="s">
        <v>657</v>
      </c>
      <c r="B309" s="67" t="s">
        <v>621</v>
      </c>
      <c r="C309" s="67">
        <v>3</v>
      </c>
      <c r="D309" s="67" t="s">
        <v>110</v>
      </c>
      <c r="E309" s="67"/>
      <c r="F309" s="68">
        <v>0.48</v>
      </c>
      <c r="G309" s="67">
        <v>0</v>
      </c>
      <c r="H309" s="67" t="s">
        <v>159</v>
      </c>
      <c r="I309" s="67" t="s">
        <v>573</v>
      </c>
      <c r="J309" s="68">
        <v>0.52</v>
      </c>
    </row>
    <row r="310" spans="1:10">
      <c r="A310" s="71"/>
      <c r="B310" s="71"/>
      <c r="C310" s="71"/>
      <c r="D310" s="71"/>
      <c r="E310" s="71"/>
      <c r="F310" s="72"/>
      <c r="G310" s="71"/>
      <c r="H310" s="71"/>
      <c r="I310" s="71"/>
      <c r="J310" s="72"/>
    </row>
    <row r="311" spans="1:10">
      <c r="A311" s="67" t="s">
        <v>658</v>
      </c>
      <c r="B311" s="67" t="s">
        <v>578</v>
      </c>
      <c r="C311" s="67">
        <v>4</v>
      </c>
      <c r="D311" s="67" t="s">
        <v>71</v>
      </c>
      <c r="E311" s="67"/>
      <c r="F311" s="68">
        <v>0.47</v>
      </c>
      <c r="G311" s="67">
        <v>12</v>
      </c>
      <c r="H311" s="68" t="s">
        <v>41</v>
      </c>
      <c r="I311" s="67" t="s">
        <v>577</v>
      </c>
      <c r="J311" s="68">
        <v>0.53</v>
      </c>
    </row>
    <row r="312" spans="1:10">
      <c r="A312" s="67" t="s">
        <v>658</v>
      </c>
      <c r="B312" s="67" t="s">
        <v>643</v>
      </c>
      <c r="C312" s="67">
        <v>6</v>
      </c>
      <c r="D312" s="67" t="s">
        <v>33</v>
      </c>
      <c r="E312" s="67"/>
      <c r="F312" s="68">
        <v>0.32</v>
      </c>
      <c r="G312" s="67">
        <v>4</v>
      </c>
      <c r="H312" s="67" t="s">
        <v>20</v>
      </c>
      <c r="I312" s="67" t="s">
        <v>573</v>
      </c>
      <c r="J312" s="68">
        <v>0.68</v>
      </c>
    </row>
    <row r="313" spans="1:10">
      <c r="A313" s="67" t="s">
        <v>658</v>
      </c>
      <c r="B313" s="67" t="s">
        <v>607</v>
      </c>
      <c r="C313" s="67">
        <v>9</v>
      </c>
      <c r="D313" s="67" t="s">
        <v>44</v>
      </c>
      <c r="E313" s="67" t="s">
        <v>573</v>
      </c>
      <c r="F313" s="68">
        <v>0.67</v>
      </c>
      <c r="G313" s="67">
        <v>0</v>
      </c>
      <c r="H313" s="67" t="s">
        <v>14</v>
      </c>
      <c r="I313" s="67"/>
      <c r="J313" s="68">
        <v>0.33</v>
      </c>
    </row>
    <row r="314" spans="1:10">
      <c r="A314" s="67" t="s">
        <v>658</v>
      </c>
      <c r="B314" s="67" t="s">
        <v>644</v>
      </c>
      <c r="C314" s="67">
        <v>10</v>
      </c>
      <c r="D314" s="67" t="s">
        <v>110</v>
      </c>
      <c r="E314" s="67" t="s">
        <v>577</v>
      </c>
      <c r="F314" s="68">
        <v>0.46</v>
      </c>
      <c r="G314" s="67">
        <v>5</v>
      </c>
      <c r="H314" s="67" t="s">
        <v>76</v>
      </c>
      <c r="I314" s="67"/>
      <c r="J314" s="68">
        <v>0.54</v>
      </c>
    </row>
    <row r="315" spans="1:10">
      <c r="A315" s="67" t="s">
        <v>658</v>
      </c>
      <c r="B315" s="67" t="s">
        <v>644</v>
      </c>
      <c r="C315" s="67">
        <v>1</v>
      </c>
      <c r="D315" s="67" t="s">
        <v>68</v>
      </c>
      <c r="E315" s="67"/>
      <c r="F315" s="68">
        <v>0.65</v>
      </c>
      <c r="G315" s="67">
        <v>5</v>
      </c>
      <c r="H315" s="68" t="s">
        <v>61</v>
      </c>
      <c r="I315" s="67" t="s">
        <v>573</v>
      </c>
      <c r="J315" s="68">
        <v>0.35</v>
      </c>
    </row>
    <row r="316" spans="1:10">
      <c r="A316" s="67" t="s">
        <v>658</v>
      </c>
      <c r="B316" s="67" t="s">
        <v>633</v>
      </c>
      <c r="C316" s="67">
        <v>2</v>
      </c>
      <c r="D316" s="67" t="s">
        <v>74</v>
      </c>
      <c r="E316" s="67"/>
      <c r="F316" s="68">
        <v>0.45</v>
      </c>
      <c r="G316" s="67">
        <v>4</v>
      </c>
      <c r="H316" s="67" t="s">
        <v>35</v>
      </c>
      <c r="I316" s="67" t="s">
        <v>577</v>
      </c>
      <c r="J316" s="68">
        <v>0.55000000000000004</v>
      </c>
    </row>
    <row r="317" spans="1:10">
      <c r="A317" s="67" t="s">
        <v>658</v>
      </c>
      <c r="B317" s="67" t="s">
        <v>589</v>
      </c>
      <c r="C317" s="67">
        <v>7</v>
      </c>
      <c r="D317" s="67" t="s">
        <v>51</v>
      </c>
      <c r="E317" s="67"/>
      <c r="F317" s="68">
        <v>0.55000000000000004</v>
      </c>
      <c r="G317" s="67">
        <v>5</v>
      </c>
      <c r="H317" s="67" t="s">
        <v>30</v>
      </c>
      <c r="I317" s="67" t="s">
        <v>573</v>
      </c>
      <c r="J317" s="68">
        <v>0.45</v>
      </c>
    </row>
    <row r="318" spans="1:10">
      <c r="A318" s="67" t="s">
        <v>658</v>
      </c>
      <c r="B318" s="67" t="s">
        <v>590</v>
      </c>
      <c r="C318" s="67">
        <v>0</v>
      </c>
      <c r="D318" s="67" t="s">
        <v>126</v>
      </c>
      <c r="E318" s="67"/>
      <c r="F318" s="68">
        <v>0.51</v>
      </c>
      <c r="G318" s="67">
        <v>1</v>
      </c>
      <c r="H318" s="67" t="s">
        <v>105</v>
      </c>
      <c r="I318" s="67" t="s">
        <v>573</v>
      </c>
      <c r="J318" s="68">
        <v>0.49</v>
      </c>
    </row>
    <row r="319" spans="1:10">
      <c r="A319" s="67" t="s">
        <v>658</v>
      </c>
      <c r="B319" s="67" t="s">
        <v>610</v>
      </c>
      <c r="C319" s="67">
        <v>9</v>
      </c>
      <c r="D319" s="67" t="s">
        <v>6</v>
      </c>
      <c r="E319" s="67"/>
      <c r="F319" s="68">
        <v>0.5</v>
      </c>
      <c r="G319" s="67">
        <v>4</v>
      </c>
      <c r="H319" s="68" t="s">
        <v>56</v>
      </c>
      <c r="I319" s="67" t="s">
        <v>573</v>
      </c>
      <c r="J319" s="68">
        <v>0.5</v>
      </c>
    </row>
    <row r="320" spans="1:10">
      <c r="A320" s="67" t="s">
        <v>658</v>
      </c>
      <c r="B320" s="67" t="s">
        <v>610</v>
      </c>
      <c r="C320" s="67">
        <v>2</v>
      </c>
      <c r="D320" s="67" t="s">
        <v>159</v>
      </c>
      <c r="E320" s="67"/>
      <c r="F320" s="68">
        <v>0.35</v>
      </c>
      <c r="G320" s="67">
        <v>1</v>
      </c>
      <c r="H320" s="67" t="s">
        <v>83</v>
      </c>
      <c r="I320" s="67" t="s">
        <v>577</v>
      </c>
      <c r="J320" s="68">
        <v>0.65</v>
      </c>
    </row>
    <row r="321" spans="1:10">
      <c r="A321" s="67" t="s">
        <v>658</v>
      </c>
      <c r="B321" s="67" t="s">
        <v>598</v>
      </c>
      <c r="C321" s="67">
        <v>7</v>
      </c>
      <c r="D321" s="67" t="s">
        <v>11</v>
      </c>
      <c r="E321" s="67" t="s">
        <v>583</v>
      </c>
      <c r="F321" s="68">
        <v>0.52</v>
      </c>
      <c r="G321" s="67">
        <v>1</v>
      </c>
      <c r="H321" s="67" t="s">
        <v>48</v>
      </c>
      <c r="I321" s="67"/>
      <c r="J321" s="68">
        <v>0.48</v>
      </c>
    </row>
    <row r="322" spans="1:10">
      <c r="A322" s="67" t="s">
        <v>658</v>
      </c>
      <c r="B322" s="67" t="s">
        <v>630</v>
      </c>
      <c r="C322" s="67">
        <v>0</v>
      </c>
      <c r="D322" s="67" t="s">
        <v>175</v>
      </c>
      <c r="E322" s="67"/>
      <c r="F322" s="68">
        <v>0.36</v>
      </c>
      <c r="G322" s="67">
        <v>8</v>
      </c>
      <c r="H322" s="67" t="s">
        <v>37</v>
      </c>
      <c r="I322" s="67" t="s">
        <v>573</v>
      </c>
      <c r="J322" s="68">
        <v>0.64</v>
      </c>
    </row>
    <row r="323" spans="1:10">
      <c r="A323" s="67" t="s">
        <v>658</v>
      </c>
      <c r="B323" s="67" t="s">
        <v>592</v>
      </c>
      <c r="C323" s="67">
        <v>5</v>
      </c>
      <c r="D323" s="67" t="s">
        <v>25</v>
      </c>
      <c r="E323" s="67"/>
      <c r="F323" s="68">
        <v>0.63</v>
      </c>
      <c r="G323" s="67">
        <v>0</v>
      </c>
      <c r="H323" s="68" t="s">
        <v>117</v>
      </c>
      <c r="I323" s="67" t="s">
        <v>573</v>
      </c>
      <c r="J323" s="68">
        <v>0.37</v>
      </c>
    </row>
    <row r="324" spans="1:10">
      <c r="A324" s="67" t="s">
        <v>658</v>
      </c>
      <c r="B324" s="67" t="s">
        <v>592</v>
      </c>
      <c r="C324" s="67">
        <v>3</v>
      </c>
      <c r="D324" s="67" t="s">
        <v>17</v>
      </c>
      <c r="E324" s="67"/>
      <c r="F324" s="68">
        <v>0.27</v>
      </c>
      <c r="G324" s="67">
        <v>6</v>
      </c>
      <c r="H324" s="67" t="s">
        <v>8</v>
      </c>
      <c r="I324" s="67" t="s">
        <v>573</v>
      </c>
      <c r="J324" s="68">
        <v>0.73</v>
      </c>
    </row>
    <row r="325" spans="1:10">
      <c r="A325" s="67" t="s">
        <v>658</v>
      </c>
      <c r="B325" s="67" t="s">
        <v>592</v>
      </c>
      <c r="C325" s="67">
        <v>9</v>
      </c>
      <c r="D325" s="67" t="s">
        <v>3</v>
      </c>
      <c r="E325" s="67"/>
      <c r="F325" s="68">
        <v>0.37</v>
      </c>
      <c r="G325" s="67">
        <v>2</v>
      </c>
      <c r="H325" s="67" t="s">
        <v>79</v>
      </c>
      <c r="I325" s="67" t="s">
        <v>577</v>
      </c>
      <c r="J325" s="68">
        <v>0.63</v>
      </c>
    </row>
    <row r="326" spans="1:10">
      <c r="A326" s="71"/>
      <c r="B326" s="71"/>
      <c r="C326" s="71"/>
      <c r="D326" s="71"/>
      <c r="E326" s="71"/>
      <c r="F326" s="72"/>
      <c r="G326" s="71"/>
      <c r="H326" s="71"/>
      <c r="I326" s="71"/>
      <c r="J326" s="72"/>
    </row>
    <row r="327" spans="1:10">
      <c r="A327" s="67" t="s">
        <v>659</v>
      </c>
      <c r="B327" s="67" t="s">
        <v>601</v>
      </c>
      <c r="C327" s="67">
        <v>4</v>
      </c>
      <c r="D327" s="67" t="s">
        <v>74</v>
      </c>
      <c r="E327" s="67"/>
      <c r="F327" s="68">
        <v>0.31</v>
      </c>
      <c r="G327" s="67">
        <v>13</v>
      </c>
      <c r="H327" s="67" t="s">
        <v>35</v>
      </c>
      <c r="I327" s="67" t="s">
        <v>577</v>
      </c>
      <c r="J327" s="68">
        <v>0.69</v>
      </c>
    </row>
    <row r="328" spans="1:10">
      <c r="A328" s="67" t="s">
        <v>659</v>
      </c>
      <c r="B328" s="67" t="s">
        <v>576</v>
      </c>
      <c r="C328" s="67">
        <v>5</v>
      </c>
      <c r="D328" s="67" t="s">
        <v>159</v>
      </c>
      <c r="E328" s="67"/>
      <c r="F328" s="68">
        <v>0.25</v>
      </c>
      <c r="G328" s="67">
        <v>4</v>
      </c>
      <c r="H328" s="68" t="s">
        <v>83</v>
      </c>
      <c r="I328" s="67" t="s">
        <v>573</v>
      </c>
      <c r="J328" s="68">
        <v>0.75</v>
      </c>
    </row>
    <row r="329" spans="1:10">
      <c r="A329" s="67" t="s">
        <v>659</v>
      </c>
      <c r="B329" s="67" t="s">
        <v>578</v>
      </c>
      <c r="C329" s="67">
        <v>2</v>
      </c>
      <c r="D329" s="67" t="s">
        <v>71</v>
      </c>
      <c r="E329" s="67"/>
      <c r="F329" s="68">
        <v>0.51</v>
      </c>
      <c r="G329" s="67">
        <v>4</v>
      </c>
      <c r="H329" s="67" t="s">
        <v>41</v>
      </c>
      <c r="I329" s="67" t="s">
        <v>573</v>
      </c>
      <c r="J329" s="68">
        <v>0.49</v>
      </c>
    </row>
    <row r="330" spans="1:10">
      <c r="A330" s="67" t="s">
        <v>659</v>
      </c>
      <c r="B330" s="67" t="s">
        <v>660</v>
      </c>
      <c r="C330" s="67">
        <v>8</v>
      </c>
      <c r="D330" s="67" t="s">
        <v>68</v>
      </c>
      <c r="E330" s="67"/>
      <c r="F330" s="68">
        <v>0.4</v>
      </c>
      <c r="G330" s="67">
        <v>7</v>
      </c>
      <c r="H330" s="67" t="s">
        <v>61</v>
      </c>
      <c r="I330" s="67" t="s">
        <v>573</v>
      </c>
      <c r="J330" s="68">
        <v>0.6</v>
      </c>
    </row>
    <row r="331" spans="1:10">
      <c r="A331" s="67" t="s">
        <v>659</v>
      </c>
      <c r="B331" s="67" t="s">
        <v>597</v>
      </c>
      <c r="C331" s="67">
        <v>7</v>
      </c>
      <c r="D331" s="67" t="s">
        <v>110</v>
      </c>
      <c r="E331" s="67" t="s">
        <v>573</v>
      </c>
      <c r="F331" s="68">
        <v>0.54</v>
      </c>
      <c r="G331" s="67">
        <v>6</v>
      </c>
      <c r="H331" s="67" t="s">
        <v>76</v>
      </c>
      <c r="I331" s="67"/>
      <c r="J331" s="68">
        <v>0.46</v>
      </c>
    </row>
    <row r="332" spans="1:10">
      <c r="A332" s="67" t="s">
        <v>659</v>
      </c>
      <c r="B332" s="67" t="s">
        <v>597</v>
      </c>
      <c r="C332" s="67">
        <v>6</v>
      </c>
      <c r="D332" s="67" t="s">
        <v>3</v>
      </c>
      <c r="E332" s="67"/>
      <c r="F332" s="68">
        <v>0.51</v>
      </c>
      <c r="G332" s="67">
        <v>7</v>
      </c>
      <c r="H332" s="68" t="s">
        <v>79</v>
      </c>
      <c r="I332" s="67" t="s">
        <v>577</v>
      </c>
      <c r="J332" s="68">
        <v>0.49</v>
      </c>
    </row>
    <row r="333" spans="1:10">
      <c r="A333" s="67" t="s">
        <v>659</v>
      </c>
      <c r="B333" s="67" t="s">
        <v>580</v>
      </c>
      <c r="C333" s="67">
        <v>4</v>
      </c>
      <c r="D333" s="67" t="s">
        <v>126</v>
      </c>
      <c r="E333" s="67" t="s">
        <v>573</v>
      </c>
      <c r="F333" s="68">
        <v>0.62</v>
      </c>
      <c r="G333" s="67">
        <v>1</v>
      </c>
      <c r="H333" s="67" t="s">
        <v>105</v>
      </c>
      <c r="I333" s="67"/>
      <c r="J333" s="68">
        <v>0.38</v>
      </c>
    </row>
    <row r="334" spans="1:10">
      <c r="A334" s="67" t="s">
        <v>659</v>
      </c>
      <c r="B334" s="67" t="s">
        <v>580</v>
      </c>
      <c r="C334" s="67">
        <v>5</v>
      </c>
      <c r="D334" s="67" t="s">
        <v>51</v>
      </c>
      <c r="E334" s="67"/>
      <c r="F334" s="68">
        <v>0.53</v>
      </c>
      <c r="G334" s="67">
        <v>2</v>
      </c>
      <c r="H334" s="67" t="s">
        <v>30</v>
      </c>
      <c r="I334" s="67" t="s">
        <v>573</v>
      </c>
      <c r="J334" s="68">
        <v>0.47</v>
      </c>
    </row>
    <row r="335" spans="1:10">
      <c r="A335" s="67" t="s">
        <v>659</v>
      </c>
      <c r="B335" s="67" t="s">
        <v>643</v>
      </c>
      <c r="C335" s="67">
        <v>2</v>
      </c>
      <c r="D335" s="67" t="s">
        <v>33</v>
      </c>
      <c r="E335" s="67"/>
      <c r="F335" s="68">
        <v>0.27</v>
      </c>
      <c r="G335" s="67">
        <v>4</v>
      </c>
      <c r="H335" s="67" t="s">
        <v>20</v>
      </c>
      <c r="I335" s="67" t="s">
        <v>573</v>
      </c>
      <c r="J335" s="68">
        <v>0.73</v>
      </c>
    </row>
    <row r="336" spans="1:10">
      <c r="A336" s="67" t="s">
        <v>659</v>
      </c>
      <c r="B336" s="67" t="s">
        <v>589</v>
      </c>
      <c r="C336" s="67">
        <v>7</v>
      </c>
      <c r="D336" s="67" t="s">
        <v>6</v>
      </c>
      <c r="E336" s="67"/>
      <c r="F336" s="68">
        <v>0.4</v>
      </c>
      <c r="G336" s="67">
        <v>5</v>
      </c>
      <c r="H336" s="68" t="s">
        <v>56</v>
      </c>
      <c r="I336" s="67" t="s">
        <v>573</v>
      </c>
      <c r="J336" s="68">
        <v>0.6</v>
      </c>
    </row>
    <row r="337" spans="1:10">
      <c r="A337" s="67" t="s">
        <v>659</v>
      </c>
      <c r="B337" s="67" t="s">
        <v>590</v>
      </c>
      <c r="C337" s="67">
        <v>3</v>
      </c>
      <c r="D337" s="67" t="s">
        <v>25</v>
      </c>
      <c r="E337" s="67"/>
      <c r="F337" s="68">
        <v>0.44</v>
      </c>
      <c r="G337" s="67">
        <v>7</v>
      </c>
      <c r="H337" s="67" t="s">
        <v>117</v>
      </c>
      <c r="I337" s="67" t="s">
        <v>573</v>
      </c>
      <c r="J337" s="68">
        <v>0.56000000000000005</v>
      </c>
    </row>
    <row r="338" spans="1:10">
      <c r="A338" s="67" t="s">
        <v>659</v>
      </c>
      <c r="B338" s="67" t="s">
        <v>590</v>
      </c>
      <c r="C338" s="67">
        <v>3</v>
      </c>
      <c r="D338" s="67" t="s">
        <v>44</v>
      </c>
      <c r="E338" s="67"/>
      <c r="F338" s="68">
        <v>0.67</v>
      </c>
      <c r="G338" s="67">
        <v>1</v>
      </c>
      <c r="H338" s="67" t="s">
        <v>14</v>
      </c>
      <c r="I338" s="67" t="s">
        <v>573</v>
      </c>
      <c r="J338" s="68">
        <v>0.33</v>
      </c>
    </row>
    <row r="339" spans="1:10">
      <c r="A339" s="67" t="s">
        <v>659</v>
      </c>
      <c r="B339" s="67" t="s">
        <v>610</v>
      </c>
      <c r="C339" s="67">
        <v>3</v>
      </c>
      <c r="D339" s="67" t="s">
        <v>11</v>
      </c>
      <c r="E339" s="67" t="s">
        <v>626</v>
      </c>
      <c r="F339" s="68">
        <v>0.67</v>
      </c>
      <c r="G339" s="67">
        <v>4</v>
      </c>
      <c r="H339" s="67" t="s">
        <v>48</v>
      </c>
      <c r="I339" s="67"/>
      <c r="J339" s="68">
        <v>0.33</v>
      </c>
    </row>
    <row r="340" spans="1:10">
      <c r="A340" s="67" t="s">
        <v>659</v>
      </c>
      <c r="B340" s="67" t="s">
        <v>610</v>
      </c>
      <c r="C340" s="67">
        <v>2</v>
      </c>
      <c r="D340" s="67" t="s">
        <v>17</v>
      </c>
      <c r="E340" s="67"/>
      <c r="F340" s="68">
        <v>0.39</v>
      </c>
      <c r="G340" s="67">
        <v>6</v>
      </c>
      <c r="H340" s="68" t="s">
        <v>8</v>
      </c>
      <c r="I340" s="67" t="s">
        <v>577</v>
      </c>
      <c r="J340" s="68">
        <v>0.61</v>
      </c>
    </row>
    <row r="341" spans="1:10">
      <c r="A341" s="67" t="s">
        <v>659</v>
      </c>
      <c r="B341" s="67" t="s">
        <v>630</v>
      </c>
      <c r="C341" s="67">
        <v>4</v>
      </c>
      <c r="D341" s="67" t="s">
        <v>175</v>
      </c>
      <c r="E341" s="67" t="s">
        <v>573</v>
      </c>
      <c r="F341" s="68">
        <v>0.57999999999999996</v>
      </c>
      <c r="G341" s="67">
        <v>1</v>
      </c>
      <c r="H341" s="67" t="s">
        <v>37</v>
      </c>
      <c r="I341" s="67"/>
      <c r="J341" s="68">
        <v>0.42</v>
      </c>
    </row>
    <row r="342" spans="1:10">
      <c r="A342" s="71"/>
      <c r="B342" s="71"/>
      <c r="C342" s="71"/>
      <c r="D342" s="71"/>
      <c r="E342" s="71"/>
      <c r="F342" s="72"/>
      <c r="G342" s="71"/>
      <c r="H342" s="71"/>
      <c r="I342" s="71"/>
      <c r="J342" s="72"/>
    </row>
    <row r="343" spans="1:10">
      <c r="A343" s="67" t="s">
        <v>661</v>
      </c>
      <c r="B343" s="67" t="s">
        <v>601</v>
      </c>
      <c r="C343" s="67">
        <v>0</v>
      </c>
      <c r="D343" s="67" t="s">
        <v>110</v>
      </c>
      <c r="E343" s="67" t="s">
        <v>573</v>
      </c>
      <c r="F343" s="68">
        <v>0.62</v>
      </c>
      <c r="G343" s="67">
        <v>3</v>
      </c>
      <c r="H343" s="67" t="s">
        <v>76</v>
      </c>
      <c r="I343" s="67"/>
      <c r="J343" s="68">
        <v>0.38</v>
      </c>
    </row>
    <row r="344" spans="1:10">
      <c r="A344" s="67" t="s">
        <v>661</v>
      </c>
      <c r="B344" s="67" t="s">
        <v>601</v>
      </c>
      <c r="C344" s="67">
        <v>3</v>
      </c>
      <c r="D344" s="67" t="s">
        <v>68</v>
      </c>
      <c r="E344" s="67" t="s">
        <v>573</v>
      </c>
      <c r="F344" s="68">
        <v>0.47</v>
      </c>
      <c r="G344" s="67">
        <v>6</v>
      </c>
      <c r="H344" s="67" t="s">
        <v>61</v>
      </c>
      <c r="I344" s="67"/>
      <c r="J344" s="68">
        <v>0.53</v>
      </c>
    </row>
    <row r="345" spans="1:10">
      <c r="A345" s="67" t="s">
        <v>661</v>
      </c>
      <c r="B345" s="67" t="s">
        <v>601</v>
      </c>
      <c r="C345" s="67">
        <v>0</v>
      </c>
      <c r="D345" s="67" t="s">
        <v>74</v>
      </c>
      <c r="E345" s="67"/>
      <c r="F345" s="68">
        <v>0.33</v>
      </c>
      <c r="G345" s="67">
        <v>7</v>
      </c>
      <c r="H345" s="68" t="s">
        <v>35</v>
      </c>
      <c r="I345" s="67" t="s">
        <v>577</v>
      </c>
      <c r="J345" s="68">
        <v>0.67</v>
      </c>
    </row>
    <row r="346" spans="1:10">
      <c r="A346" s="67" t="s">
        <v>661</v>
      </c>
      <c r="B346" s="67" t="s">
        <v>603</v>
      </c>
      <c r="C346" s="67">
        <v>4</v>
      </c>
      <c r="D346" s="67" t="s">
        <v>33</v>
      </c>
      <c r="E346" s="67"/>
      <c r="F346" s="68">
        <v>0.43</v>
      </c>
      <c r="G346" s="67">
        <v>8</v>
      </c>
      <c r="H346" s="67" t="s">
        <v>20</v>
      </c>
      <c r="I346" s="67" t="s">
        <v>573</v>
      </c>
      <c r="J346" s="68">
        <v>0.56999999999999995</v>
      </c>
    </row>
    <row r="347" spans="1:10">
      <c r="A347" s="67" t="s">
        <v>661</v>
      </c>
      <c r="B347" s="67" t="s">
        <v>603</v>
      </c>
      <c r="C347" s="67">
        <v>3</v>
      </c>
      <c r="D347" s="67" t="s">
        <v>51</v>
      </c>
      <c r="E347" s="67" t="s">
        <v>573</v>
      </c>
      <c r="F347" s="68">
        <v>0.74</v>
      </c>
      <c r="G347" s="67">
        <v>5</v>
      </c>
      <c r="H347" s="67" t="s">
        <v>30</v>
      </c>
      <c r="I347" s="67"/>
      <c r="J347" s="68">
        <v>0.26</v>
      </c>
    </row>
    <row r="348" spans="1:10">
      <c r="A348" s="67" t="s">
        <v>661</v>
      </c>
      <c r="B348" s="67" t="s">
        <v>576</v>
      </c>
      <c r="C348" s="67">
        <v>7</v>
      </c>
      <c r="D348" s="67" t="s">
        <v>6</v>
      </c>
      <c r="E348" s="67"/>
      <c r="F348" s="68">
        <v>0.48</v>
      </c>
      <c r="G348" s="67">
        <v>5</v>
      </c>
      <c r="H348" s="67" t="s">
        <v>56</v>
      </c>
      <c r="I348" s="67" t="s">
        <v>573</v>
      </c>
      <c r="J348" s="68">
        <v>0.52</v>
      </c>
    </row>
    <row r="349" spans="1:10">
      <c r="A349" s="67" t="s">
        <v>661</v>
      </c>
      <c r="B349" s="67" t="s">
        <v>576</v>
      </c>
      <c r="C349" s="67">
        <v>7</v>
      </c>
      <c r="D349" s="67" t="s">
        <v>159</v>
      </c>
      <c r="E349" s="67"/>
      <c r="F349" s="68">
        <v>0.38</v>
      </c>
      <c r="G349" s="67">
        <v>4</v>
      </c>
      <c r="H349" s="68" t="s">
        <v>83</v>
      </c>
      <c r="I349" s="67" t="s">
        <v>573</v>
      </c>
      <c r="J349" s="68">
        <v>0.62</v>
      </c>
    </row>
    <row r="350" spans="1:10">
      <c r="A350" s="67" t="s">
        <v>661</v>
      </c>
      <c r="B350" s="67" t="s">
        <v>578</v>
      </c>
      <c r="C350" s="67">
        <v>1</v>
      </c>
      <c r="D350" s="67" t="s">
        <v>71</v>
      </c>
      <c r="E350" s="67"/>
      <c r="F350" s="68">
        <v>0.4</v>
      </c>
      <c r="G350" s="67">
        <v>2</v>
      </c>
      <c r="H350" s="67" t="s">
        <v>41</v>
      </c>
      <c r="I350" s="67" t="s">
        <v>573</v>
      </c>
      <c r="J350" s="68">
        <v>0.6</v>
      </c>
    </row>
    <row r="351" spans="1:10">
      <c r="A351" s="67" t="s">
        <v>661</v>
      </c>
      <c r="B351" s="67" t="s">
        <v>639</v>
      </c>
      <c r="C351" s="67">
        <v>6</v>
      </c>
      <c r="D351" s="67" t="s">
        <v>11</v>
      </c>
      <c r="E351" s="67" t="s">
        <v>583</v>
      </c>
      <c r="F351" s="68">
        <v>0.47</v>
      </c>
      <c r="G351" s="67">
        <v>9</v>
      </c>
      <c r="H351" s="67" t="s">
        <v>48</v>
      </c>
      <c r="I351" s="67"/>
      <c r="J351" s="68">
        <v>0.53</v>
      </c>
    </row>
    <row r="352" spans="1:10">
      <c r="A352" s="67" t="s">
        <v>661</v>
      </c>
      <c r="B352" s="67" t="s">
        <v>597</v>
      </c>
      <c r="C352" s="67">
        <v>7</v>
      </c>
      <c r="D352" s="67" t="s">
        <v>3</v>
      </c>
      <c r="E352" s="67"/>
      <c r="F352" s="68">
        <v>0.31</v>
      </c>
      <c r="G352" s="67">
        <v>4</v>
      </c>
      <c r="H352" s="67" t="s">
        <v>79</v>
      </c>
      <c r="I352" s="67" t="s">
        <v>577</v>
      </c>
      <c r="J352" s="68">
        <v>0.69</v>
      </c>
    </row>
    <row r="353" spans="1:10">
      <c r="A353" s="67" t="s">
        <v>661</v>
      </c>
      <c r="B353" s="67" t="s">
        <v>640</v>
      </c>
      <c r="C353" s="67">
        <v>2</v>
      </c>
      <c r="D353" s="67" t="s">
        <v>175</v>
      </c>
      <c r="E353" s="67" t="s">
        <v>577</v>
      </c>
      <c r="F353" s="68">
        <v>0.68</v>
      </c>
      <c r="G353" s="67">
        <v>1</v>
      </c>
      <c r="H353" s="68" t="s">
        <v>37</v>
      </c>
      <c r="I353" s="67"/>
      <c r="J353" s="68">
        <v>0.32</v>
      </c>
    </row>
    <row r="354" spans="1:10">
      <c r="A354" s="67" t="s">
        <v>661</v>
      </c>
      <c r="B354" s="67" t="s">
        <v>580</v>
      </c>
      <c r="C354" s="67">
        <v>2</v>
      </c>
      <c r="D354" s="67" t="s">
        <v>25</v>
      </c>
      <c r="E354" s="67"/>
      <c r="F354" s="68">
        <v>0.45</v>
      </c>
      <c r="G354" s="67">
        <v>5</v>
      </c>
      <c r="H354" s="67" t="s">
        <v>117</v>
      </c>
      <c r="I354" s="67" t="s">
        <v>573</v>
      </c>
      <c r="J354" s="68">
        <v>0.55000000000000004</v>
      </c>
    </row>
    <row r="355" spans="1:10">
      <c r="A355" s="67" t="s">
        <v>661</v>
      </c>
      <c r="B355" s="67" t="s">
        <v>580</v>
      </c>
      <c r="C355" s="67">
        <v>10</v>
      </c>
      <c r="D355" s="67" t="s">
        <v>17</v>
      </c>
      <c r="E355" s="67" t="s">
        <v>573</v>
      </c>
      <c r="F355" s="68">
        <v>0.45</v>
      </c>
      <c r="G355" s="67">
        <v>4</v>
      </c>
      <c r="H355" s="67" t="s">
        <v>8</v>
      </c>
      <c r="I355" s="67"/>
      <c r="J355" s="68">
        <v>0.55000000000000004</v>
      </c>
    </row>
    <row r="356" spans="1:10">
      <c r="A356" s="67" t="s">
        <v>661</v>
      </c>
      <c r="B356" s="67" t="s">
        <v>586</v>
      </c>
      <c r="C356" s="67">
        <v>6</v>
      </c>
      <c r="D356" s="67" t="s">
        <v>126</v>
      </c>
      <c r="E356" s="67"/>
      <c r="F356" s="68">
        <v>0.51</v>
      </c>
      <c r="G356" s="67">
        <v>2</v>
      </c>
      <c r="H356" s="67" t="s">
        <v>105</v>
      </c>
      <c r="I356" s="67" t="s">
        <v>573</v>
      </c>
      <c r="J356" s="68">
        <v>0.49</v>
      </c>
    </row>
    <row r="357" spans="1:10">
      <c r="A357" s="67" t="s">
        <v>661</v>
      </c>
      <c r="B357" s="67" t="s">
        <v>604</v>
      </c>
      <c r="C357" s="67">
        <v>4</v>
      </c>
      <c r="D357" s="67" t="s">
        <v>44</v>
      </c>
      <c r="E357" s="67"/>
      <c r="F357" s="68">
        <v>0.56999999999999995</v>
      </c>
      <c r="G357" s="67">
        <v>2</v>
      </c>
      <c r="H357" s="68" t="s">
        <v>14</v>
      </c>
      <c r="I357" s="67" t="s">
        <v>573</v>
      </c>
      <c r="J357" s="68">
        <v>0.43</v>
      </c>
    </row>
    <row r="358" spans="1:10">
      <c r="A358" s="71"/>
      <c r="B358" s="71"/>
      <c r="C358" s="71"/>
      <c r="D358" s="71"/>
      <c r="E358" s="71"/>
      <c r="F358" s="72"/>
      <c r="G358" s="71"/>
      <c r="H358" s="71"/>
      <c r="I358" s="71"/>
      <c r="J358" s="72"/>
    </row>
    <row r="359" spans="1:10">
      <c r="A359" s="67" t="s">
        <v>662</v>
      </c>
      <c r="B359" s="67" t="s">
        <v>643</v>
      </c>
      <c r="C359" s="67">
        <v>9</v>
      </c>
      <c r="D359" s="67" t="s">
        <v>56</v>
      </c>
      <c r="E359" s="67"/>
      <c r="F359" s="68">
        <v>0.47</v>
      </c>
      <c r="G359" s="67">
        <v>2</v>
      </c>
      <c r="H359" s="67" t="s">
        <v>20</v>
      </c>
      <c r="I359" s="67" t="s">
        <v>573</v>
      </c>
      <c r="J359" s="68">
        <v>0.53</v>
      </c>
    </row>
    <row r="360" spans="1:10">
      <c r="A360" s="67" t="s">
        <v>662</v>
      </c>
      <c r="B360" s="67" t="s">
        <v>607</v>
      </c>
      <c r="C360" s="67">
        <v>6</v>
      </c>
      <c r="D360" s="67" t="s">
        <v>159</v>
      </c>
      <c r="E360" s="67"/>
      <c r="F360" s="68">
        <v>0.48</v>
      </c>
      <c r="G360" s="67">
        <v>1</v>
      </c>
      <c r="H360" s="67" t="s">
        <v>68</v>
      </c>
      <c r="I360" s="67" t="s">
        <v>573</v>
      </c>
      <c r="J360" s="68">
        <v>0.52</v>
      </c>
    </row>
    <row r="361" spans="1:10">
      <c r="A361" s="67" t="s">
        <v>662</v>
      </c>
      <c r="B361" s="67" t="s">
        <v>607</v>
      </c>
      <c r="C361" s="67">
        <v>3</v>
      </c>
      <c r="D361" s="67" t="s">
        <v>6</v>
      </c>
      <c r="E361" s="67"/>
      <c r="F361" s="68">
        <v>0.55000000000000004</v>
      </c>
      <c r="G361" s="67">
        <v>5</v>
      </c>
      <c r="H361" s="67" t="s">
        <v>30</v>
      </c>
      <c r="I361" s="67" t="s">
        <v>573</v>
      </c>
      <c r="J361" s="68">
        <v>0.45</v>
      </c>
    </row>
    <row r="362" spans="1:10">
      <c r="A362" s="67" t="s">
        <v>662</v>
      </c>
      <c r="B362" s="67" t="s">
        <v>644</v>
      </c>
      <c r="C362" s="67">
        <v>9</v>
      </c>
      <c r="D362" s="67" t="s">
        <v>44</v>
      </c>
      <c r="E362" s="67" t="s">
        <v>577</v>
      </c>
      <c r="F362" s="68">
        <v>0.78</v>
      </c>
      <c r="G362" s="67">
        <v>4</v>
      </c>
      <c r="H362" s="68" t="s">
        <v>76</v>
      </c>
      <c r="I362" s="67"/>
      <c r="J362" s="68">
        <v>0.22</v>
      </c>
    </row>
    <row r="363" spans="1:10">
      <c r="A363" s="67" t="s">
        <v>662</v>
      </c>
      <c r="B363" s="67" t="s">
        <v>608</v>
      </c>
      <c r="C363" s="67">
        <v>7</v>
      </c>
      <c r="D363" s="67" t="s">
        <v>33</v>
      </c>
      <c r="E363" s="67"/>
      <c r="F363" s="68">
        <v>0.42</v>
      </c>
      <c r="G363" s="67">
        <v>5</v>
      </c>
      <c r="H363" s="67" t="s">
        <v>74</v>
      </c>
      <c r="I363" s="67" t="s">
        <v>573</v>
      </c>
      <c r="J363" s="68">
        <v>0.57999999999999996</v>
      </c>
    </row>
    <row r="364" spans="1:10">
      <c r="A364" s="67" t="s">
        <v>662</v>
      </c>
      <c r="B364" s="67" t="s">
        <v>608</v>
      </c>
      <c r="C364" s="67">
        <v>1</v>
      </c>
      <c r="D364" s="67" t="s">
        <v>14</v>
      </c>
      <c r="E364" s="67"/>
      <c r="F364" s="68">
        <v>0.33</v>
      </c>
      <c r="G364" s="67">
        <v>5</v>
      </c>
      <c r="H364" s="67" t="s">
        <v>41</v>
      </c>
      <c r="I364" s="67" t="s">
        <v>573</v>
      </c>
      <c r="J364" s="68">
        <v>0.67</v>
      </c>
    </row>
    <row r="365" spans="1:10">
      <c r="A365" s="67" t="s">
        <v>662</v>
      </c>
      <c r="B365" s="67" t="s">
        <v>598</v>
      </c>
      <c r="C365" s="67">
        <v>12</v>
      </c>
      <c r="D365" s="67" t="s">
        <v>11</v>
      </c>
      <c r="E365" s="67" t="s">
        <v>583</v>
      </c>
      <c r="F365" s="68">
        <v>0.66</v>
      </c>
      <c r="G365" s="67">
        <v>3</v>
      </c>
      <c r="H365" s="67" t="s">
        <v>48</v>
      </c>
      <c r="I365" s="67"/>
      <c r="J365" s="68">
        <v>0.34</v>
      </c>
    </row>
    <row r="366" spans="1:10">
      <c r="A366" s="67" t="s">
        <v>662</v>
      </c>
      <c r="B366" s="67" t="s">
        <v>630</v>
      </c>
      <c r="C366" s="67">
        <v>5</v>
      </c>
      <c r="D366" s="67" t="s">
        <v>17</v>
      </c>
      <c r="E366" s="67" t="s">
        <v>573</v>
      </c>
      <c r="F366" s="68">
        <v>0.59</v>
      </c>
      <c r="G366" s="67">
        <v>2</v>
      </c>
      <c r="H366" s="68" t="s">
        <v>37</v>
      </c>
      <c r="I366" s="67"/>
      <c r="J366" s="68">
        <v>0.41</v>
      </c>
    </row>
    <row r="367" spans="1:10">
      <c r="A367" s="67" t="s">
        <v>662</v>
      </c>
      <c r="B367" s="67" t="s">
        <v>592</v>
      </c>
      <c r="C367" s="67">
        <v>6</v>
      </c>
      <c r="D367" s="67" t="s">
        <v>79</v>
      </c>
      <c r="E367" s="67"/>
      <c r="F367" s="68">
        <v>0.41</v>
      </c>
      <c r="G367" s="67">
        <v>4</v>
      </c>
      <c r="H367" s="67" t="s">
        <v>117</v>
      </c>
      <c r="I367" s="67" t="s">
        <v>577</v>
      </c>
      <c r="J367" s="68">
        <v>0.59</v>
      </c>
    </row>
    <row r="368" spans="1:10">
      <c r="A368" s="67" t="s">
        <v>662</v>
      </c>
      <c r="B368" s="67" t="s">
        <v>663</v>
      </c>
      <c r="C368" s="67">
        <v>6</v>
      </c>
      <c r="D368" s="67" t="s">
        <v>126</v>
      </c>
      <c r="E368" s="67"/>
      <c r="F368" s="68">
        <v>0.44</v>
      </c>
      <c r="G368" s="67">
        <v>8</v>
      </c>
      <c r="H368" s="67" t="s">
        <v>105</v>
      </c>
      <c r="I368" s="67" t="s">
        <v>573</v>
      </c>
      <c r="J368" s="68">
        <v>0.56000000000000005</v>
      </c>
    </row>
    <row r="369" spans="1:10">
      <c r="A369" s="71"/>
      <c r="B369" s="71"/>
      <c r="C369" s="71"/>
      <c r="D369" s="71"/>
      <c r="E369" s="71"/>
      <c r="F369" s="71"/>
      <c r="G369" s="71"/>
      <c r="H369" s="71"/>
      <c r="I369" s="71"/>
      <c r="J369" s="71"/>
    </row>
    <row r="370" spans="1:10">
      <c r="A370" s="67" t="s">
        <v>664</v>
      </c>
      <c r="B370" s="67" t="s">
        <v>643</v>
      </c>
      <c r="C370" s="67">
        <v>5</v>
      </c>
      <c r="D370" s="67" t="s">
        <v>56</v>
      </c>
      <c r="E370" s="67"/>
      <c r="F370" s="68">
        <v>0.28000000000000003</v>
      </c>
      <c r="G370" s="67">
        <v>8</v>
      </c>
      <c r="H370" s="67" t="s">
        <v>20</v>
      </c>
      <c r="I370" s="67" t="s">
        <v>577</v>
      </c>
      <c r="J370" s="68">
        <v>0.72</v>
      </c>
    </row>
    <row r="371" spans="1:10">
      <c r="A371" s="67" t="s">
        <v>664</v>
      </c>
      <c r="B371" s="67" t="s">
        <v>607</v>
      </c>
      <c r="C371" s="67">
        <v>12</v>
      </c>
      <c r="D371" s="67" t="s">
        <v>159</v>
      </c>
      <c r="E371" s="67" t="s">
        <v>573</v>
      </c>
      <c r="F371" s="68">
        <v>0.49</v>
      </c>
      <c r="G371" s="67">
        <v>6</v>
      </c>
      <c r="H371" s="67" t="s">
        <v>68</v>
      </c>
      <c r="I371" s="67"/>
      <c r="J371" s="68">
        <v>0.51</v>
      </c>
    </row>
    <row r="372" spans="1:10">
      <c r="A372" s="67" t="s">
        <v>664</v>
      </c>
      <c r="B372" s="67" t="s">
        <v>607</v>
      </c>
      <c r="C372" s="67">
        <v>5</v>
      </c>
      <c r="D372" s="67" t="s">
        <v>6</v>
      </c>
      <c r="E372" s="68"/>
      <c r="F372" s="68">
        <v>0.48</v>
      </c>
      <c r="G372" s="67">
        <v>3</v>
      </c>
      <c r="H372" s="68" t="s">
        <v>30</v>
      </c>
      <c r="I372" s="67" t="s">
        <v>573</v>
      </c>
      <c r="J372" s="68">
        <v>0.52</v>
      </c>
    </row>
    <row r="373" spans="1:10">
      <c r="A373" s="67" t="s">
        <v>664</v>
      </c>
      <c r="B373" s="67" t="s">
        <v>607</v>
      </c>
      <c r="C373" s="67">
        <v>12</v>
      </c>
      <c r="D373" s="67" t="s">
        <v>51</v>
      </c>
      <c r="E373" s="67"/>
      <c r="F373" s="68">
        <v>0.38</v>
      </c>
      <c r="G373" s="67">
        <v>4</v>
      </c>
      <c r="H373" s="67" t="s">
        <v>126</v>
      </c>
      <c r="I373" s="67" t="s">
        <v>573</v>
      </c>
      <c r="J373" s="68">
        <v>0.62</v>
      </c>
    </row>
    <row r="374" spans="1:10">
      <c r="A374" s="67" t="s">
        <v>664</v>
      </c>
      <c r="B374" s="67" t="s">
        <v>644</v>
      </c>
      <c r="C374" s="67">
        <v>4</v>
      </c>
      <c r="D374" s="67" t="s">
        <v>44</v>
      </c>
      <c r="E374" s="68" t="s">
        <v>577</v>
      </c>
      <c r="F374" s="68">
        <v>0.73</v>
      </c>
      <c r="G374" s="67">
        <v>11</v>
      </c>
      <c r="H374" s="68" t="s">
        <v>76</v>
      </c>
      <c r="I374" s="67"/>
      <c r="J374" s="68">
        <v>0.27</v>
      </c>
    </row>
    <row r="375" spans="1:10">
      <c r="A375" s="67" t="s">
        <v>664</v>
      </c>
      <c r="B375" s="67" t="s">
        <v>644</v>
      </c>
      <c r="C375" s="67">
        <v>4</v>
      </c>
      <c r="D375" s="67" t="s">
        <v>35</v>
      </c>
      <c r="E375" s="67"/>
      <c r="F375" s="68">
        <v>0.52</v>
      </c>
      <c r="G375" s="67">
        <v>0</v>
      </c>
      <c r="H375" s="67" t="s">
        <v>105</v>
      </c>
      <c r="I375" s="67" t="s">
        <v>573</v>
      </c>
      <c r="J375" s="68">
        <v>0.48</v>
      </c>
    </row>
    <row r="376" spans="1:10">
      <c r="A376" s="67" t="s">
        <v>664</v>
      </c>
      <c r="B376" s="67" t="s">
        <v>589</v>
      </c>
      <c r="C376" s="67">
        <v>5</v>
      </c>
      <c r="D376" s="67" t="s">
        <v>83</v>
      </c>
      <c r="E376" s="68"/>
      <c r="F376" s="68">
        <v>0.42</v>
      </c>
      <c r="G376" s="67">
        <v>3</v>
      </c>
      <c r="H376" s="68" t="s">
        <v>71</v>
      </c>
      <c r="I376" s="67" t="s">
        <v>577</v>
      </c>
      <c r="J376" s="68">
        <v>0.57999999999999996</v>
      </c>
    </row>
    <row r="377" spans="1:10">
      <c r="A377" s="67" t="s">
        <v>664</v>
      </c>
      <c r="B377" s="67" t="s">
        <v>608</v>
      </c>
      <c r="C377" s="67">
        <v>5</v>
      </c>
      <c r="D377" s="67" t="s">
        <v>33</v>
      </c>
      <c r="E377" s="67"/>
      <c r="F377" s="68">
        <v>0.45</v>
      </c>
      <c r="G377" s="67">
        <v>6</v>
      </c>
      <c r="H377" s="67" t="s">
        <v>74</v>
      </c>
      <c r="I377" s="67" t="s">
        <v>573</v>
      </c>
      <c r="J377" s="68">
        <v>0.55000000000000004</v>
      </c>
    </row>
    <row r="378" spans="1:10">
      <c r="A378" s="67" t="s">
        <v>664</v>
      </c>
      <c r="B378" s="67" t="s">
        <v>608</v>
      </c>
      <c r="C378" s="67">
        <v>4</v>
      </c>
      <c r="D378" s="67" t="s">
        <v>14</v>
      </c>
      <c r="E378" s="68"/>
      <c r="F378" s="68">
        <v>0.22</v>
      </c>
      <c r="G378" s="67">
        <v>7</v>
      </c>
      <c r="H378" s="68" t="s">
        <v>41</v>
      </c>
      <c r="I378" s="67" t="s">
        <v>573</v>
      </c>
      <c r="J378" s="68">
        <v>0.78</v>
      </c>
    </row>
    <row r="379" spans="1:10">
      <c r="A379" s="67" t="s">
        <v>664</v>
      </c>
      <c r="B379" s="67" t="s">
        <v>572</v>
      </c>
      <c r="C379" s="67">
        <v>1</v>
      </c>
      <c r="D379" s="67" t="s">
        <v>61</v>
      </c>
      <c r="E379" s="67" t="s">
        <v>573</v>
      </c>
      <c r="F379" s="68">
        <v>0.59</v>
      </c>
      <c r="G379" s="67">
        <v>5</v>
      </c>
      <c r="H379" s="67" t="s">
        <v>25</v>
      </c>
      <c r="I379" s="67"/>
      <c r="J379" s="68">
        <v>0.41</v>
      </c>
    </row>
    <row r="380" spans="1:10">
      <c r="A380" s="67" t="s">
        <v>664</v>
      </c>
      <c r="B380" s="67" t="s">
        <v>598</v>
      </c>
      <c r="C380" s="67">
        <v>1</v>
      </c>
      <c r="D380" s="67" t="s">
        <v>175</v>
      </c>
      <c r="E380" s="68" t="s">
        <v>577</v>
      </c>
      <c r="F380" s="68">
        <v>0.72</v>
      </c>
      <c r="G380" s="67">
        <v>0</v>
      </c>
      <c r="H380" s="68" t="s">
        <v>48</v>
      </c>
      <c r="I380" s="67"/>
      <c r="J380" s="68">
        <v>0.28000000000000003</v>
      </c>
    </row>
    <row r="381" spans="1:10">
      <c r="A381" s="67" t="s">
        <v>664</v>
      </c>
      <c r="B381" s="67" t="s">
        <v>630</v>
      </c>
      <c r="C381" s="67">
        <v>4</v>
      </c>
      <c r="D381" s="67" t="s">
        <v>17</v>
      </c>
      <c r="E381" s="67"/>
      <c r="F381" s="68">
        <v>0.41</v>
      </c>
      <c r="G381" s="67">
        <v>2</v>
      </c>
      <c r="H381" s="67" t="s">
        <v>37</v>
      </c>
      <c r="I381" s="67" t="s">
        <v>573</v>
      </c>
      <c r="J381" s="68">
        <v>0.59</v>
      </c>
    </row>
    <row r="382" spans="1:10">
      <c r="A382" s="67" t="s">
        <v>664</v>
      </c>
      <c r="B382" s="67" t="s">
        <v>592</v>
      </c>
      <c r="C382" s="67">
        <v>5</v>
      </c>
      <c r="D382" s="67" t="s">
        <v>79</v>
      </c>
      <c r="E382" s="68"/>
      <c r="F382" s="68">
        <v>0.47</v>
      </c>
      <c r="G382" s="67">
        <v>2</v>
      </c>
      <c r="H382" s="68" t="s">
        <v>117</v>
      </c>
      <c r="I382" s="67" t="s">
        <v>573</v>
      </c>
      <c r="J382" s="68">
        <v>0.53</v>
      </c>
    </row>
    <row r="383" spans="1:10">
      <c r="A383" s="67" t="s">
        <v>664</v>
      </c>
      <c r="B383" s="67" t="s">
        <v>592</v>
      </c>
      <c r="C383" s="67">
        <v>11</v>
      </c>
      <c r="D383" s="67" t="s">
        <v>3</v>
      </c>
      <c r="E383" s="67"/>
      <c r="F383" s="68">
        <v>0.31</v>
      </c>
      <c r="G383" s="67">
        <v>5</v>
      </c>
      <c r="H383" s="67" t="s">
        <v>8</v>
      </c>
      <c r="I383" s="67" t="s">
        <v>577</v>
      </c>
      <c r="J383" s="68">
        <v>0.69</v>
      </c>
    </row>
    <row r="384" spans="1:10">
      <c r="A384" s="67" t="s">
        <v>664</v>
      </c>
      <c r="B384" s="67" t="s">
        <v>593</v>
      </c>
      <c r="C384" s="67">
        <v>1</v>
      </c>
      <c r="D384" s="67" t="s">
        <v>11</v>
      </c>
      <c r="E384" s="68" t="s">
        <v>588</v>
      </c>
      <c r="F384" s="68">
        <v>0.76</v>
      </c>
      <c r="G384" s="67">
        <v>3</v>
      </c>
      <c r="H384" s="68" t="s">
        <v>110</v>
      </c>
      <c r="I384" s="67"/>
      <c r="J384" s="68">
        <v>0.24</v>
      </c>
    </row>
    <row r="385" spans="1:10">
      <c r="A385" s="73"/>
      <c r="B385" s="73"/>
      <c r="C385" s="65"/>
      <c r="D385" s="73"/>
      <c r="E385" s="73"/>
      <c r="F385" s="65"/>
      <c r="G385" s="73"/>
      <c r="H385" s="73"/>
      <c r="I385" s="73"/>
      <c r="J385" s="73"/>
    </row>
    <row r="386" spans="1:10">
      <c r="A386" s="67" t="s">
        <v>665</v>
      </c>
      <c r="B386" s="67" t="s">
        <v>666</v>
      </c>
      <c r="C386" s="67">
        <v>1</v>
      </c>
      <c r="D386" s="67" t="s">
        <v>6</v>
      </c>
      <c r="E386" s="67"/>
      <c r="F386" s="68">
        <v>0.48</v>
      </c>
      <c r="G386" s="67">
        <v>4</v>
      </c>
      <c r="H386" s="67" t="s">
        <v>30</v>
      </c>
      <c r="I386" s="67" t="s">
        <v>573</v>
      </c>
      <c r="J386" s="68">
        <v>0.52</v>
      </c>
    </row>
    <row r="387" spans="1:10">
      <c r="A387" s="67" t="s">
        <v>665</v>
      </c>
      <c r="B387" s="67" t="s">
        <v>616</v>
      </c>
      <c r="C387" s="67">
        <v>2</v>
      </c>
      <c r="D387" s="67" t="s">
        <v>56</v>
      </c>
      <c r="E387" s="67"/>
      <c r="F387" s="68">
        <v>0.34</v>
      </c>
      <c r="G387" s="67">
        <v>0</v>
      </c>
      <c r="H387" s="67" t="s">
        <v>20</v>
      </c>
      <c r="I387" s="67" t="s">
        <v>577</v>
      </c>
      <c r="J387" s="68">
        <v>0.66</v>
      </c>
    </row>
    <row r="388" spans="1:10">
      <c r="A388" s="67" t="s">
        <v>665</v>
      </c>
      <c r="B388" s="67" t="s">
        <v>616</v>
      </c>
      <c r="C388" s="67">
        <v>1</v>
      </c>
      <c r="D388" s="67" t="s">
        <v>159</v>
      </c>
      <c r="E388" s="67"/>
      <c r="F388" s="68">
        <v>0.49</v>
      </c>
      <c r="G388" s="67">
        <v>6</v>
      </c>
      <c r="H388" s="67" t="s">
        <v>68</v>
      </c>
      <c r="I388" s="67" t="s">
        <v>573</v>
      </c>
      <c r="J388" s="68">
        <v>0.51</v>
      </c>
    </row>
    <row r="389" spans="1:10">
      <c r="A389" s="67" t="s">
        <v>665</v>
      </c>
      <c r="B389" s="67" t="s">
        <v>576</v>
      </c>
      <c r="C389" s="67">
        <v>8</v>
      </c>
      <c r="D389" s="67" t="s">
        <v>33</v>
      </c>
      <c r="E389" s="67"/>
      <c r="F389" s="68">
        <v>0.28999999999999998</v>
      </c>
      <c r="G389" s="67">
        <v>6</v>
      </c>
      <c r="H389" s="67" t="s">
        <v>74</v>
      </c>
      <c r="I389" s="67" t="s">
        <v>573</v>
      </c>
      <c r="J389" s="68">
        <v>0.71</v>
      </c>
    </row>
    <row r="390" spans="1:10">
      <c r="A390" s="67" t="s">
        <v>665</v>
      </c>
      <c r="B390" s="67" t="s">
        <v>596</v>
      </c>
      <c r="C390" s="67">
        <v>3</v>
      </c>
      <c r="D390" s="67" t="s">
        <v>17</v>
      </c>
      <c r="E390" s="67"/>
      <c r="F390" s="68">
        <v>0.36</v>
      </c>
      <c r="G390" s="67">
        <v>7</v>
      </c>
      <c r="H390" s="67" t="s">
        <v>37</v>
      </c>
      <c r="I390" s="67" t="s">
        <v>577</v>
      </c>
      <c r="J390" s="68">
        <v>0.64</v>
      </c>
    </row>
    <row r="391" spans="1:10">
      <c r="A391" s="67" t="s">
        <v>665</v>
      </c>
      <c r="B391" s="67" t="s">
        <v>580</v>
      </c>
      <c r="C391" s="67">
        <v>4</v>
      </c>
      <c r="D391" s="67" t="s">
        <v>79</v>
      </c>
      <c r="E391" s="67"/>
      <c r="F391" s="68">
        <v>0.53</v>
      </c>
      <c r="G391" s="67">
        <v>5</v>
      </c>
      <c r="H391" s="67" t="s">
        <v>117</v>
      </c>
      <c r="I391" s="67" t="s">
        <v>577</v>
      </c>
      <c r="J391" s="68">
        <v>0.47</v>
      </c>
    </row>
    <row r="392" spans="1:10">
      <c r="A392" s="67" t="s">
        <v>665</v>
      </c>
      <c r="B392" s="67" t="s">
        <v>607</v>
      </c>
      <c r="C392" s="67">
        <v>2</v>
      </c>
      <c r="D392" s="67" t="s">
        <v>51</v>
      </c>
      <c r="E392" s="67"/>
      <c r="F392" s="68">
        <v>0.52</v>
      </c>
      <c r="G392" s="67">
        <v>5</v>
      </c>
      <c r="H392" s="67" t="s">
        <v>126</v>
      </c>
      <c r="I392" s="67" t="s">
        <v>573</v>
      </c>
      <c r="J392" s="68">
        <v>0.48</v>
      </c>
    </row>
    <row r="393" spans="1:10">
      <c r="A393" s="67" t="s">
        <v>665</v>
      </c>
      <c r="B393" s="67" t="s">
        <v>644</v>
      </c>
      <c r="C393" s="67">
        <v>8</v>
      </c>
      <c r="D393" s="67" t="s">
        <v>44</v>
      </c>
      <c r="E393" s="67" t="s">
        <v>577</v>
      </c>
      <c r="F393" s="68">
        <v>0.74</v>
      </c>
      <c r="G393" s="67">
        <v>6</v>
      </c>
      <c r="H393" s="67" t="s">
        <v>76</v>
      </c>
      <c r="I393" s="67"/>
      <c r="J393" s="68">
        <v>0.26</v>
      </c>
    </row>
    <row r="394" spans="1:10">
      <c r="A394" s="67" t="s">
        <v>665</v>
      </c>
      <c r="B394" s="67" t="s">
        <v>644</v>
      </c>
      <c r="C394" s="67">
        <v>4</v>
      </c>
      <c r="D394" s="67" t="s">
        <v>35</v>
      </c>
      <c r="E394" s="67" t="s">
        <v>573</v>
      </c>
      <c r="F394" s="68">
        <v>0.62</v>
      </c>
      <c r="G394" s="67">
        <v>1</v>
      </c>
      <c r="H394" s="67" t="s">
        <v>105</v>
      </c>
      <c r="I394" s="67"/>
      <c r="J394" s="68">
        <v>0.38</v>
      </c>
    </row>
    <row r="395" spans="1:10">
      <c r="A395" s="67" t="s">
        <v>665</v>
      </c>
      <c r="B395" s="67" t="s">
        <v>589</v>
      </c>
      <c r="C395" s="67">
        <v>2</v>
      </c>
      <c r="D395" s="67" t="s">
        <v>83</v>
      </c>
      <c r="E395" s="67"/>
      <c r="F395" s="68">
        <v>0.44</v>
      </c>
      <c r="G395" s="67">
        <v>3</v>
      </c>
      <c r="H395" s="67" t="s">
        <v>71</v>
      </c>
      <c r="I395" s="67" t="s">
        <v>577</v>
      </c>
      <c r="J395" s="68">
        <v>0.56000000000000005</v>
      </c>
    </row>
    <row r="396" spans="1:10">
      <c r="A396" s="67" t="s">
        <v>665</v>
      </c>
      <c r="B396" s="67" t="s">
        <v>608</v>
      </c>
      <c r="C396" s="67">
        <v>2</v>
      </c>
      <c r="D396" s="67" t="s">
        <v>14</v>
      </c>
      <c r="E396" s="67"/>
      <c r="F396" s="68">
        <v>0.39</v>
      </c>
      <c r="G396" s="67">
        <v>7</v>
      </c>
      <c r="H396" s="67" t="s">
        <v>41</v>
      </c>
      <c r="I396" s="67" t="s">
        <v>577</v>
      </c>
      <c r="J396" s="68">
        <v>0.61</v>
      </c>
    </row>
    <row r="397" spans="1:10">
      <c r="A397" s="67" t="s">
        <v>665</v>
      </c>
      <c r="B397" s="67" t="s">
        <v>572</v>
      </c>
      <c r="C397" s="67">
        <v>8</v>
      </c>
      <c r="D397" s="67" t="s">
        <v>61</v>
      </c>
      <c r="E397" s="67" t="s">
        <v>573</v>
      </c>
      <c r="F397" s="68">
        <v>0.48</v>
      </c>
      <c r="G397" s="67">
        <v>4</v>
      </c>
      <c r="H397" s="67" t="s">
        <v>25</v>
      </c>
      <c r="I397" s="67"/>
      <c r="J397" s="68">
        <v>0.52</v>
      </c>
    </row>
    <row r="398" spans="1:10">
      <c r="A398" s="67" t="s">
        <v>665</v>
      </c>
      <c r="B398" s="67" t="s">
        <v>598</v>
      </c>
      <c r="C398" s="67">
        <v>3</v>
      </c>
      <c r="D398" s="67" t="s">
        <v>175</v>
      </c>
      <c r="E398" s="67" t="s">
        <v>577</v>
      </c>
      <c r="F398" s="68">
        <v>0.59</v>
      </c>
      <c r="G398" s="67">
        <v>8</v>
      </c>
      <c r="H398" s="67" t="s">
        <v>48</v>
      </c>
      <c r="I398" s="67"/>
      <c r="J398" s="68">
        <v>0.41</v>
      </c>
    </row>
    <row r="399" spans="1:10">
      <c r="A399" s="67" t="s">
        <v>665</v>
      </c>
      <c r="B399" s="67" t="s">
        <v>592</v>
      </c>
      <c r="C399" s="67">
        <v>7</v>
      </c>
      <c r="D399" s="67" t="s">
        <v>3</v>
      </c>
      <c r="E399" s="67"/>
      <c r="F399" s="68">
        <v>0.43</v>
      </c>
      <c r="G399" s="67">
        <v>11</v>
      </c>
      <c r="H399" s="67" t="s">
        <v>8</v>
      </c>
      <c r="I399" s="67" t="s">
        <v>577</v>
      </c>
      <c r="J399" s="68">
        <v>0.56999999999999995</v>
      </c>
    </row>
    <row r="400" spans="1:10">
      <c r="A400" s="67" t="s">
        <v>665</v>
      </c>
      <c r="B400" s="67" t="s">
        <v>593</v>
      </c>
      <c r="C400" s="67">
        <v>0</v>
      </c>
      <c r="D400" s="67" t="s">
        <v>11</v>
      </c>
      <c r="E400" s="67" t="s">
        <v>583</v>
      </c>
      <c r="F400" s="68">
        <v>0.83</v>
      </c>
      <c r="G400" s="67">
        <v>3</v>
      </c>
      <c r="H400" s="67" t="s">
        <v>110</v>
      </c>
      <c r="I400" s="67"/>
      <c r="J400" s="68">
        <v>0.17</v>
      </c>
    </row>
    <row r="401" spans="1:10">
      <c r="A401" s="73"/>
      <c r="B401" s="73"/>
      <c r="C401" s="73"/>
      <c r="D401" s="73"/>
      <c r="E401" s="73"/>
      <c r="F401" s="73"/>
      <c r="G401" s="73"/>
      <c r="H401" s="73"/>
      <c r="I401" s="73"/>
      <c r="J401" s="73"/>
    </row>
    <row r="402" spans="1:10">
      <c r="A402" s="67" t="s">
        <v>667</v>
      </c>
      <c r="B402" s="67" t="s">
        <v>614</v>
      </c>
      <c r="C402" s="67">
        <v>7</v>
      </c>
      <c r="D402" s="67" t="s">
        <v>44</v>
      </c>
      <c r="E402" s="67" t="s">
        <v>577</v>
      </c>
      <c r="F402" s="68">
        <v>0.59</v>
      </c>
      <c r="G402" s="67">
        <v>2</v>
      </c>
      <c r="H402" s="67" t="s">
        <v>76</v>
      </c>
      <c r="I402" s="67"/>
      <c r="J402" s="68">
        <v>0.41</v>
      </c>
    </row>
    <row r="403" spans="1:10">
      <c r="A403" s="67" t="s">
        <v>667</v>
      </c>
      <c r="B403" s="67" t="s">
        <v>616</v>
      </c>
      <c r="C403" s="67">
        <v>4</v>
      </c>
      <c r="D403" s="67" t="s">
        <v>51</v>
      </c>
      <c r="E403" s="67"/>
      <c r="F403" s="68">
        <v>0.31</v>
      </c>
      <c r="G403" s="67">
        <v>5</v>
      </c>
      <c r="H403" s="67" t="s">
        <v>126</v>
      </c>
      <c r="I403" s="67" t="s">
        <v>577</v>
      </c>
      <c r="J403" s="68">
        <v>0.69</v>
      </c>
    </row>
    <row r="404" spans="1:10">
      <c r="A404" s="67" t="s">
        <v>667</v>
      </c>
      <c r="B404" s="67" t="s">
        <v>578</v>
      </c>
      <c r="C404" s="67">
        <v>7</v>
      </c>
      <c r="D404" s="67" t="s">
        <v>14</v>
      </c>
      <c r="E404" s="67"/>
      <c r="F404" s="68">
        <v>0.43</v>
      </c>
      <c r="G404" s="67">
        <v>8</v>
      </c>
      <c r="H404" s="67" t="s">
        <v>41</v>
      </c>
      <c r="I404" s="67" t="s">
        <v>573</v>
      </c>
      <c r="J404" s="68">
        <v>0.56999999999999995</v>
      </c>
    </row>
    <row r="405" spans="1:10">
      <c r="A405" s="67" t="s">
        <v>667</v>
      </c>
      <c r="B405" s="67" t="s">
        <v>639</v>
      </c>
      <c r="C405" s="67">
        <v>10</v>
      </c>
      <c r="D405" s="67" t="s">
        <v>175</v>
      </c>
      <c r="E405" s="67" t="s">
        <v>577</v>
      </c>
      <c r="F405" s="68">
        <v>0.51</v>
      </c>
      <c r="G405" s="67">
        <v>8</v>
      </c>
      <c r="H405" s="67" t="s">
        <v>48</v>
      </c>
      <c r="I405" s="67"/>
      <c r="J405" s="68">
        <v>0.49</v>
      </c>
    </row>
    <row r="406" spans="1:10">
      <c r="A406" s="67" t="s">
        <v>667</v>
      </c>
      <c r="B406" s="67" t="s">
        <v>617</v>
      </c>
      <c r="C406" s="67">
        <v>4</v>
      </c>
      <c r="D406" s="67" t="s">
        <v>3</v>
      </c>
      <c r="E406" s="67"/>
      <c r="F406" s="68">
        <v>0.35</v>
      </c>
      <c r="G406" s="67">
        <v>1</v>
      </c>
      <c r="H406" s="67" t="s">
        <v>8</v>
      </c>
      <c r="I406" s="67" t="s">
        <v>577</v>
      </c>
      <c r="J406" s="68">
        <v>0.65</v>
      </c>
    </row>
    <row r="407" spans="1:10">
      <c r="A407" s="67" t="s">
        <v>667</v>
      </c>
      <c r="B407" s="67" t="s">
        <v>647</v>
      </c>
      <c r="C407" s="67">
        <v>3</v>
      </c>
      <c r="D407" s="67" t="s">
        <v>11</v>
      </c>
      <c r="E407" s="67" t="s">
        <v>577</v>
      </c>
      <c r="F407" s="68">
        <v>0.69</v>
      </c>
      <c r="G407" s="67">
        <v>0</v>
      </c>
      <c r="H407" s="67" t="s">
        <v>110</v>
      </c>
      <c r="I407" s="67"/>
      <c r="J407" s="68">
        <v>0.31</v>
      </c>
    </row>
    <row r="408" spans="1:10">
      <c r="A408" s="67" t="s">
        <v>667</v>
      </c>
      <c r="B408" s="67" t="s">
        <v>643</v>
      </c>
      <c r="C408" s="67">
        <v>4</v>
      </c>
      <c r="D408" s="67" t="s">
        <v>35</v>
      </c>
      <c r="E408" s="67" t="s">
        <v>577</v>
      </c>
      <c r="F408" s="68">
        <v>0.69</v>
      </c>
      <c r="G408" s="67">
        <v>2</v>
      </c>
      <c r="H408" s="67" t="s">
        <v>105</v>
      </c>
      <c r="I408" s="67"/>
      <c r="J408" s="68">
        <v>0.31</v>
      </c>
    </row>
    <row r="409" spans="1:10">
      <c r="A409" s="67" t="s">
        <v>667</v>
      </c>
      <c r="B409" s="67" t="s">
        <v>589</v>
      </c>
      <c r="C409" s="67">
        <v>8</v>
      </c>
      <c r="D409" s="67" t="s">
        <v>83</v>
      </c>
      <c r="E409" s="67"/>
      <c r="F409" s="68">
        <v>0.51</v>
      </c>
      <c r="G409" s="67">
        <v>10</v>
      </c>
      <c r="H409" s="67" t="s">
        <v>71</v>
      </c>
      <c r="I409" s="67" t="s">
        <v>573</v>
      </c>
      <c r="J409" s="68">
        <v>0.49</v>
      </c>
    </row>
    <row r="410" spans="1:10">
      <c r="A410" s="67" t="s">
        <v>667</v>
      </c>
      <c r="B410" s="67" t="s">
        <v>572</v>
      </c>
      <c r="C410" s="67">
        <v>1</v>
      </c>
      <c r="D410" s="67" t="s">
        <v>61</v>
      </c>
      <c r="E410" s="67"/>
      <c r="F410" s="68">
        <v>0.28999999999999998</v>
      </c>
      <c r="G410" s="67">
        <v>6</v>
      </c>
      <c r="H410" s="67" t="s">
        <v>25</v>
      </c>
      <c r="I410" s="67" t="s">
        <v>577</v>
      </c>
      <c r="J410" s="68">
        <v>0.71</v>
      </c>
    </row>
    <row r="411" spans="1:10">
      <c r="A411" s="73"/>
      <c r="B411" s="73"/>
      <c r="C411" s="73"/>
      <c r="D411" s="73"/>
      <c r="E411" s="73"/>
      <c r="F411" s="73"/>
      <c r="G411" s="73"/>
      <c r="H411" s="73"/>
      <c r="I411" s="73"/>
      <c r="J411" s="73"/>
    </row>
    <row r="412" spans="1:10">
      <c r="A412" s="67" t="s">
        <v>668</v>
      </c>
      <c r="B412" s="67" t="s">
        <v>607</v>
      </c>
      <c r="C412" s="67">
        <v>8</v>
      </c>
      <c r="D412" s="67" t="s">
        <v>126</v>
      </c>
      <c r="E412" s="67" t="s">
        <v>573</v>
      </c>
      <c r="F412" s="68">
        <v>0.64</v>
      </c>
      <c r="G412" s="67">
        <v>9</v>
      </c>
      <c r="H412" s="67" t="s">
        <v>159</v>
      </c>
      <c r="I412" s="67"/>
      <c r="J412" s="68">
        <v>0.36</v>
      </c>
    </row>
    <row r="413" spans="1:10">
      <c r="A413" s="67" t="s">
        <v>668</v>
      </c>
      <c r="B413" s="67" t="s">
        <v>633</v>
      </c>
      <c r="C413" s="67">
        <v>3</v>
      </c>
      <c r="D413" s="67" t="s">
        <v>105</v>
      </c>
      <c r="E413" s="67"/>
      <c r="F413" s="68">
        <v>0.34</v>
      </c>
      <c r="G413" s="67">
        <v>10</v>
      </c>
      <c r="H413" s="67" t="s">
        <v>33</v>
      </c>
      <c r="I413" s="67" t="s">
        <v>573</v>
      </c>
      <c r="J413" s="68">
        <v>0.66</v>
      </c>
    </row>
    <row r="414" spans="1:10">
      <c r="A414" s="67" t="s">
        <v>668</v>
      </c>
      <c r="B414" s="67" t="s">
        <v>587</v>
      </c>
      <c r="C414" s="67">
        <v>8</v>
      </c>
      <c r="D414" s="67" t="s">
        <v>20</v>
      </c>
      <c r="E414" s="67" t="s">
        <v>573</v>
      </c>
      <c r="F414" s="68">
        <v>0.64</v>
      </c>
      <c r="G414" s="67">
        <v>6</v>
      </c>
      <c r="H414" s="67" t="s">
        <v>17</v>
      </c>
      <c r="I414" s="67"/>
      <c r="J414" s="68">
        <v>0.36</v>
      </c>
    </row>
    <row r="415" spans="1:10">
      <c r="A415" s="67" t="s">
        <v>668</v>
      </c>
      <c r="B415" s="67" t="s">
        <v>589</v>
      </c>
      <c r="C415" s="67">
        <v>4</v>
      </c>
      <c r="D415" s="67" t="s">
        <v>48</v>
      </c>
      <c r="E415" s="67"/>
      <c r="F415" s="68">
        <v>0.3</v>
      </c>
      <c r="G415" s="67">
        <v>3</v>
      </c>
      <c r="H415" s="67" t="s">
        <v>71</v>
      </c>
      <c r="I415" s="67" t="s">
        <v>577</v>
      </c>
      <c r="J415" s="68">
        <v>0.7</v>
      </c>
    </row>
    <row r="416" spans="1:10">
      <c r="A416" s="67" t="s">
        <v>668</v>
      </c>
      <c r="B416" s="67" t="s">
        <v>589</v>
      </c>
      <c r="C416" s="67">
        <v>2</v>
      </c>
      <c r="D416" s="67" t="s">
        <v>83</v>
      </c>
      <c r="E416" s="67"/>
      <c r="F416" s="68">
        <v>0.46</v>
      </c>
      <c r="G416" s="67">
        <v>6</v>
      </c>
      <c r="H416" s="67" t="s">
        <v>68</v>
      </c>
      <c r="I416" s="67" t="s">
        <v>573</v>
      </c>
      <c r="J416" s="68">
        <v>0.54</v>
      </c>
    </row>
    <row r="417" spans="1:10">
      <c r="A417" s="67" t="s">
        <v>668</v>
      </c>
      <c r="B417" s="67" t="s">
        <v>590</v>
      </c>
      <c r="C417" s="67">
        <v>3</v>
      </c>
      <c r="D417" s="67" t="s">
        <v>14</v>
      </c>
      <c r="E417" s="67"/>
      <c r="F417" s="68">
        <v>0.28000000000000003</v>
      </c>
      <c r="G417" s="67">
        <v>5</v>
      </c>
      <c r="H417" s="67" t="s">
        <v>44</v>
      </c>
      <c r="I417" s="67" t="s">
        <v>577</v>
      </c>
      <c r="J417" s="68">
        <v>0.72</v>
      </c>
    </row>
    <row r="418" spans="1:10">
      <c r="A418" s="67" t="s">
        <v>668</v>
      </c>
      <c r="B418" s="67" t="s">
        <v>608</v>
      </c>
      <c r="C418" s="67">
        <v>3</v>
      </c>
      <c r="D418" s="67" t="s">
        <v>37</v>
      </c>
      <c r="E418" s="67" t="s">
        <v>573</v>
      </c>
      <c r="F418" s="68">
        <v>0.64</v>
      </c>
      <c r="G418" s="67">
        <v>6</v>
      </c>
      <c r="H418" s="67" t="s">
        <v>74</v>
      </c>
      <c r="I418" s="67"/>
      <c r="J418" s="68">
        <v>0.36</v>
      </c>
    </row>
    <row r="419" spans="1:10">
      <c r="A419" s="67" t="s">
        <v>668</v>
      </c>
      <c r="B419" s="67" t="s">
        <v>608</v>
      </c>
      <c r="C419" s="67">
        <v>4</v>
      </c>
      <c r="D419" s="67" t="s">
        <v>76</v>
      </c>
      <c r="E419" s="67"/>
      <c r="F419" s="68">
        <v>0.35</v>
      </c>
      <c r="G419" s="67">
        <v>5</v>
      </c>
      <c r="H419" s="67" t="s">
        <v>3</v>
      </c>
      <c r="I419" s="67" t="s">
        <v>573</v>
      </c>
      <c r="J419" s="68">
        <v>0.65</v>
      </c>
    </row>
    <row r="420" spans="1:10">
      <c r="A420" s="67" t="s">
        <v>668</v>
      </c>
      <c r="B420" s="67" t="s">
        <v>608</v>
      </c>
      <c r="C420" s="67">
        <v>6</v>
      </c>
      <c r="D420" s="67" t="s">
        <v>61</v>
      </c>
      <c r="E420" s="67"/>
      <c r="F420" s="68">
        <v>0.59</v>
      </c>
      <c r="G420" s="67">
        <v>0</v>
      </c>
      <c r="H420" s="67" t="s">
        <v>51</v>
      </c>
      <c r="I420" s="67" t="s">
        <v>655</v>
      </c>
      <c r="J420" s="68">
        <v>0.41</v>
      </c>
    </row>
    <row r="421" spans="1:10">
      <c r="A421" s="67" t="s">
        <v>668</v>
      </c>
      <c r="B421" s="67" t="s">
        <v>572</v>
      </c>
      <c r="C421" s="67">
        <v>8</v>
      </c>
      <c r="D421" s="67" t="s">
        <v>79</v>
      </c>
      <c r="E421" s="67"/>
      <c r="F421" s="68">
        <v>0.27</v>
      </c>
      <c r="G421" s="67">
        <v>1</v>
      </c>
      <c r="H421" s="67" t="s">
        <v>25</v>
      </c>
      <c r="I421" s="67" t="s">
        <v>573</v>
      </c>
      <c r="J421" s="68">
        <v>0.73</v>
      </c>
    </row>
    <row r="422" spans="1:10">
      <c r="A422" s="67" t="s">
        <v>668</v>
      </c>
      <c r="B422" s="67" t="s">
        <v>610</v>
      </c>
      <c r="C422" s="67">
        <v>12</v>
      </c>
      <c r="D422" s="67" t="s">
        <v>35</v>
      </c>
      <c r="E422" s="67" t="s">
        <v>577</v>
      </c>
      <c r="F422" s="68">
        <v>0.76</v>
      </c>
      <c r="G422" s="67">
        <v>4</v>
      </c>
      <c r="H422" s="67" t="s">
        <v>56</v>
      </c>
      <c r="I422" s="67"/>
      <c r="J422" s="68">
        <v>0.24</v>
      </c>
    </row>
    <row r="423" spans="1:10">
      <c r="A423" s="67" t="s">
        <v>668</v>
      </c>
      <c r="B423" s="67" t="s">
        <v>591</v>
      </c>
      <c r="C423" s="67">
        <v>3</v>
      </c>
      <c r="D423" s="67" t="s">
        <v>117</v>
      </c>
      <c r="E423" s="67" t="s">
        <v>573</v>
      </c>
      <c r="F423" s="68">
        <v>0.42</v>
      </c>
      <c r="G423" s="67">
        <v>2</v>
      </c>
      <c r="H423" s="67" t="s">
        <v>6</v>
      </c>
      <c r="I423" s="67"/>
      <c r="J423" s="68">
        <v>0.57999999999999996</v>
      </c>
    </row>
    <row r="424" spans="1:10">
      <c r="A424" s="67" t="s">
        <v>668</v>
      </c>
      <c r="B424" s="67" t="s">
        <v>631</v>
      </c>
      <c r="C424" s="67">
        <v>6</v>
      </c>
      <c r="D424" s="67" t="s">
        <v>41</v>
      </c>
      <c r="E424" s="67"/>
      <c r="F424" s="68">
        <v>0.43</v>
      </c>
      <c r="G424" s="67">
        <v>4</v>
      </c>
      <c r="H424" s="67" t="s">
        <v>11</v>
      </c>
      <c r="I424" s="67" t="s">
        <v>573</v>
      </c>
      <c r="J424" s="68">
        <v>0.56999999999999995</v>
      </c>
    </row>
    <row r="425" spans="1:10">
      <c r="A425" s="67" t="s">
        <v>668</v>
      </c>
      <c r="B425" s="67" t="s">
        <v>631</v>
      </c>
      <c r="C425" s="67">
        <v>9</v>
      </c>
      <c r="D425" s="67" t="s">
        <v>30</v>
      </c>
      <c r="E425" s="67" t="s">
        <v>573</v>
      </c>
      <c r="F425" s="68">
        <v>0.56999999999999995</v>
      </c>
      <c r="G425" s="67">
        <v>4</v>
      </c>
      <c r="H425" s="67" t="s">
        <v>110</v>
      </c>
      <c r="I425" s="67"/>
      <c r="J425" s="68">
        <v>0.43</v>
      </c>
    </row>
    <row r="426" spans="1:10">
      <c r="A426" s="73"/>
      <c r="B426" s="73"/>
      <c r="C426" s="73"/>
      <c r="D426" s="73"/>
      <c r="E426" s="73"/>
      <c r="F426" s="73"/>
      <c r="G426" s="73"/>
      <c r="H426" s="73"/>
      <c r="I426" s="73"/>
      <c r="J426" s="73"/>
    </row>
    <row r="427" spans="1:10">
      <c r="A427" s="67" t="s">
        <v>669</v>
      </c>
      <c r="B427" s="67" t="s">
        <v>670</v>
      </c>
      <c r="C427" s="67">
        <v>17</v>
      </c>
      <c r="D427" s="67" t="s">
        <v>105</v>
      </c>
      <c r="E427" s="67"/>
      <c r="F427" s="68">
        <v>0.34</v>
      </c>
      <c r="G427" s="67">
        <v>1</v>
      </c>
      <c r="H427" s="67" t="s">
        <v>33</v>
      </c>
      <c r="I427" s="67" t="s">
        <v>573</v>
      </c>
      <c r="J427" s="68">
        <v>0.66</v>
      </c>
    </row>
    <row r="428" spans="1:10">
      <c r="A428" s="67" t="s">
        <v>669</v>
      </c>
      <c r="B428" s="67" t="s">
        <v>595</v>
      </c>
      <c r="C428" s="67">
        <v>11</v>
      </c>
      <c r="D428" s="67" t="s">
        <v>117</v>
      </c>
      <c r="E428" s="67" t="s">
        <v>573</v>
      </c>
      <c r="F428" s="68">
        <v>0.5</v>
      </c>
      <c r="G428" s="67">
        <v>9</v>
      </c>
      <c r="H428" s="67" t="s">
        <v>6</v>
      </c>
      <c r="I428" s="67"/>
      <c r="J428" s="68">
        <v>0.5</v>
      </c>
    </row>
    <row r="429" spans="1:10">
      <c r="A429" s="67" t="s">
        <v>669</v>
      </c>
      <c r="B429" s="67" t="s">
        <v>596</v>
      </c>
      <c r="C429" s="67">
        <v>3</v>
      </c>
      <c r="D429" s="67" t="s">
        <v>20</v>
      </c>
      <c r="E429" s="67"/>
      <c r="F429" s="68">
        <v>0.34</v>
      </c>
      <c r="G429" s="67">
        <v>5</v>
      </c>
      <c r="H429" s="67" t="s">
        <v>17</v>
      </c>
      <c r="I429" s="67" t="s">
        <v>573</v>
      </c>
      <c r="J429" s="68">
        <v>0.66</v>
      </c>
    </row>
    <row r="430" spans="1:10">
      <c r="A430" s="67" t="s">
        <v>669</v>
      </c>
      <c r="B430" s="67" t="s">
        <v>597</v>
      </c>
      <c r="C430" s="67">
        <v>2</v>
      </c>
      <c r="D430" s="67" t="s">
        <v>30</v>
      </c>
      <c r="E430" s="67"/>
      <c r="F430" s="68">
        <v>0.41</v>
      </c>
      <c r="G430" s="67">
        <v>6</v>
      </c>
      <c r="H430" s="67" t="s">
        <v>110</v>
      </c>
      <c r="I430" s="67" t="s">
        <v>612</v>
      </c>
      <c r="J430" s="68">
        <v>0.59</v>
      </c>
    </row>
    <row r="431" spans="1:10">
      <c r="A431" s="67" t="s">
        <v>669</v>
      </c>
      <c r="B431" s="67" t="s">
        <v>580</v>
      </c>
      <c r="C431" s="67"/>
      <c r="D431" s="67" t="s">
        <v>48</v>
      </c>
      <c r="E431" s="67"/>
      <c r="F431" s="68">
        <v>0.46</v>
      </c>
      <c r="G431" s="67"/>
      <c r="H431" s="67" t="s">
        <v>71</v>
      </c>
      <c r="I431" s="67" t="s">
        <v>577</v>
      </c>
      <c r="J431" s="68">
        <v>0.54</v>
      </c>
    </row>
    <row r="432" spans="1:10">
      <c r="A432" s="67" t="s">
        <v>669</v>
      </c>
      <c r="B432" s="67" t="s">
        <v>580</v>
      </c>
      <c r="C432" s="67">
        <v>1</v>
      </c>
      <c r="D432" s="67" t="s">
        <v>83</v>
      </c>
      <c r="E432" s="67"/>
      <c r="F432" s="68">
        <v>0.39</v>
      </c>
      <c r="G432" s="67">
        <v>6</v>
      </c>
      <c r="H432" s="67" t="s">
        <v>68</v>
      </c>
      <c r="I432" s="67" t="s">
        <v>573</v>
      </c>
      <c r="J432" s="68">
        <v>0.61</v>
      </c>
    </row>
    <row r="433" spans="1:10">
      <c r="A433" s="67" t="s">
        <v>669</v>
      </c>
      <c r="B433" s="67" t="s">
        <v>580</v>
      </c>
      <c r="C433" s="67">
        <v>6</v>
      </c>
      <c r="D433" s="67" t="s">
        <v>76</v>
      </c>
      <c r="E433" s="67"/>
      <c r="F433" s="68">
        <v>0.33</v>
      </c>
      <c r="G433" s="67">
        <v>3</v>
      </c>
      <c r="H433" s="67" t="s">
        <v>3</v>
      </c>
      <c r="I433" s="67" t="s">
        <v>573</v>
      </c>
      <c r="J433" s="68">
        <v>0.67</v>
      </c>
    </row>
    <row r="434" spans="1:10">
      <c r="A434" s="67" t="s">
        <v>669</v>
      </c>
      <c r="B434" s="67" t="s">
        <v>671</v>
      </c>
      <c r="C434" s="67">
        <v>6</v>
      </c>
      <c r="D434" s="67" t="s">
        <v>175</v>
      </c>
      <c r="E434" s="67"/>
      <c r="F434" s="68">
        <v>0.49</v>
      </c>
      <c r="G434" s="67">
        <v>4</v>
      </c>
      <c r="H434" s="67" t="s">
        <v>8</v>
      </c>
      <c r="I434" s="67" t="s">
        <v>573</v>
      </c>
      <c r="J434" s="68">
        <v>0.51</v>
      </c>
    </row>
    <row r="435" spans="1:10">
      <c r="A435" s="67" t="s">
        <v>669</v>
      </c>
      <c r="B435" s="67" t="s">
        <v>633</v>
      </c>
      <c r="C435" s="67">
        <v>3</v>
      </c>
      <c r="D435" s="67" t="s">
        <v>79</v>
      </c>
      <c r="E435" s="67"/>
      <c r="F435" s="68">
        <v>0.51</v>
      </c>
      <c r="G435" s="67">
        <v>4</v>
      </c>
      <c r="H435" s="67" t="s">
        <v>25</v>
      </c>
      <c r="I435" s="67" t="s">
        <v>573</v>
      </c>
      <c r="J435" s="68">
        <v>0.49</v>
      </c>
    </row>
    <row r="436" spans="1:10">
      <c r="A436" s="67" t="s">
        <v>669</v>
      </c>
      <c r="B436" s="67" t="s">
        <v>589</v>
      </c>
      <c r="C436" s="67">
        <v>1</v>
      </c>
      <c r="D436" s="67" t="s">
        <v>37</v>
      </c>
      <c r="E436" s="67"/>
      <c r="F436" s="68">
        <v>0.56000000000000005</v>
      </c>
      <c r="G436" s="67">
        <v>12</v>
      </c>
      <c r="H436" s="67" t="s">
        <v>74</v>
      </c>
      <c r="I436" s="67" t="s">
        <v>573</v>
      </c>
      <c r="J436" s="68">
        <v>0.44</v>
      </c>
    </row>
    <row r="437" spans="1:10">
      <c r="A437" s="67" t="s">
        <v>669</v>
      </c>
      <c r="B437" s="67" t="s">
        <v>589</v>
      </c>
      <c r="C437" s="67">
        <v>8</v>
      </c>
      <c r="D437" s="67" t="s">
        <v>35</v>
      </c>
      <c r="E437" s="67" t="s">
        <v>577</v>
      </c>
      <c r="F437" s="68">
        <v>0.8</v>
      </c>
      <c r="G437" s="67">
        <v>3</v>
      </c>
      <c r="H437" s="67" t="s">
        <v>56</v>
      </c>
      <c r="I437" s="67"/>
      <c r="J437" s="68">
        <v>0.2</v>
      </c>
    </row>
    <row r="438" spans="1:10">
      <c r="A438" s="67" t="s">
        <v>669</v>
      </c>
      <c r="B438" s="67" t="s">
        <v>589</v>
      </c>
      <c r="C438" s="67">
        <v>6</v>
      </c>
      <c r="D438" s="67" t="s">
        <v>61</v>
      </c>
      <c r="E438" s="67"/>
      <c r="F438" s="68">
        <v>0.35</v>
      </c>
      <c r="G438" s="67">
        <v>3</v>
      </c>
      <c r="H438" s="67" t="s">
        <v>51</v>
      </c>
      <c r="I438" s="67" t="s">
        <v>573</v>
      </c>
      <c r="J438" s="68">
        <v>0.65</v>
      </c>
    </row>
    <row r="439" spans="1:10">
      <c r="A439" s="67" t="s">
        <v>669</v>
      </c>
      <c r="B439" s="67" t="s">
        <v>590</v>
      </c>
      <c r="C439" s="67">
        <v>2</v>
      </c>
      <c r="D439" s="67" t="s">
        <v>126</v>
      </c>
      <c r="E439" s="67"/>
      <c r="F439" s="68">
        <v>0.52</v>
      </c>
      <c r="G439" s="67">
        <v>9</v>
      </c>
      <c r="H439" s="67" t="s">
        <v>159</v>
      </c>
      <c r="I439" s="67" t="s">
        <v>612</v>
      </c>
      <c r="J439" s="68">
        <v>0.48</v>
      </c>
    </row>
    <row r="440" spans="1:10">
      <c r="A440" s="67" t="s">
        <v>669</v>
      </c>
      <c r="B440" s="67" t="s">
        <v>590</v>
      </c>
      <c r="C440" s="67">
        <v>4</v>
      </c>
      <c r="D440" s="67" t="s">
        <v>41</v>
      </c>
      <c r="E440" s="67"/>
      <c r="F440" s="68">
        <v>0.57999999999999996</v>
      </c>
      <c r="G440" s="67">
        <v>12</v>
      </c>
      <c r="H440" s="67" t="s">
        <v>11</v>
      </c>
      <c r="I440" s="67" t="s">
        <v>573</v>
      </c>
      <c r="J440" s="68">
        <v>0.42</v>
      </c>
    </row>
    <row r="441" spans="1:10">
      <c r="A441" s="67" t="s">
        <v>669</v>
      </c>
      <c r="B441" s="67" t="s">
        <v>590</v>
      </c>
      <c r="C441" s="67">
        <v>8</v>
      </c>
      <c r="D441" s="67" t="s">
        <v>14</v>
      </c>
      <c r="E441" s="67"/>
      <c r="F441" s="68">
        <v>0.24</v>
      </c>
      <c r="G441" s="67">
        <v>5</v>
      </c>
      <c r="H441" s="67" t="s">
        <v>44</v>
      </c>
      <c r="I441" s="67" t="s">
        <v>573</v>
      </c>
      <c r="J441" s="68">
        <v>0.76</v>
      </c>
    </row>
    <row r="442" spans="1:10">
      <c r="A442" s="73"/>
      <c r="B442" s="73"/>
      <c r="C442" s="73"/>
      <c r="D442" s="73"/>
      <c r="E442" s="73"/>
      <c r="F442" s="73"/>
      <c r="G442" s="73"/>
      <c r="H442" s="73"/>
      <c r="I442" s="73"/>
      <c r="J442" s="73"/>
    </row>
    <row r="443" spans="1:10">
      <c r="A443" s="67" t="s">
        <v>672</v>
      </c>
      <c r="B443" s="67" t="s">
        <v>601</v>
      </c>
      <c r="C443" s="67">
        <v>5</v>
      </c>
      <c r="D443" s="67" t="s">
        <v>105</v>
      </c>
      <c r="E443" s="67"/>
      <c r="F443" s="68">
        <v>0.49</v>
      </c>
      <c r="G443" s="67">
        <v>3</v>
      </c>
      <c r="H443" s="67" t="s">
        <v>33</v>
      </c>
      <c r="I443" s="67" t="s">
        <v>573</v>
      </c>
      <c r="J443" s="68">
        <v>0.51</v>
      </c>
    </row>
    <row r="444" spans="1:10">
      <c r="A444" s="67" t="s">
        <v>672</v>
      </c>
      <c r="B444" s="67" t="s">
        <v>601</v>
      </c>
      <c r="C444" s="67">
        <v>2</v>
      </c>
      <c r="D444" s="67" t="s">
        <v>14</v>
      </c>
      <c r="E444" s="67"/>
      <c r="F444" s="68">
        <v>0.27</v>
      </c>
      <c r="G444" s="67">
        <v>6</v>
      </c>
      <c r="H444" s="67" t="s">
        <v>44</v>
      </c>
      <c r="I444" s="67" t="s">
        <v>588</v>
      </c>
      <c r="J444" s="68">
        <v>0.73</v>
      </c>
    </row>
    <row r="445" spans="1:10">
      <c r="A445" s="67" t="s">
        <v>672</v>
      </c>
      <c r="B445" s="67" t="s">
        <v>602</v>
      </c>
      <c r="C445" s="67">
        <v>2</v>
      </c>
      <c r="D445" s="67" t="s">
        <v>20</v>
      </c>
      <c r="E445" s="67"/>
      <c r="F445" s="68">
        <v>0.32</v>
      </c>
      <c r="G445" s="67">
        <v>4</v>
      </c>
      <c r="H445" s="67" t="s">
        <v>17</v>
      </c>
      <c r="I445" s="67" t="s">
        <v>573</v>
      </c>
      <c r="J445" s="68">
        <v>0.68</v>
      </c>
    </row>
    <row r="446" spans="1:10">
      <c r="A446" s="67" t="s">
        <v>672</v>
      </c>
      <c r="B446" s="67" t="s">
        <v>603</v>
      </c>
      <c r="C446" s="67">
        <v>8</v>
      </c>
      <c r="D446" s="67" t="s">
        <v>126</v>
      </c>
      <c r="E446" s="67"/>
      <c r="F446" s="68">
        <v>0.37</v>
      </c>
      <c r="G446" s="67">
        <v>3</v>
      </c>
      <c r="H446" s="67" t="s">
        <v>159</v>
      </c>
      <c r="I446" s="67" t="s">
        <v>573</v>
      </c>
      <c r="J446" s="68">
        <v>0.63</v>
      </c>
    </row>
    <row r="447" spans="1:10">
      <c r="A447" s="67" t="s">
        <v>672</v>
      </c>
      <c r="B447" s="67" t="s">
        <v>603</v>
      </c>
      <c r="C447" s="67">
        <v>3</v>
      </c>
      <c r="D447" s="67" t="s">
        <v>48</v>
      </c>
      <c r="E447" s="67"/>
      <c r="F447" s="68">
        <v>0.3</v>
      </c>
      <c r="G447" s="67">
        <v>1</v>
      </c>
      <c r="H447" s="67" t="s">
        <v>71</v>
      </c>
      <c r="I447" s="67" t="s">
        <v>588</v>
      </c>
      <c r="J447" s="68">
        <v>0.7</v>
      </c>
    </row>
    <row r="448" spans="1:10">
      <c r="A448" s="67" t="s">
        <v>672</v>
      </c>
      <c r="B448" s="67" t="s">
        <v>603</v>
      </c>
      <c r="C448" s="67">
        <v>2</v>
      </c>
      <c r="D448" s="67" t="s">
        <v>83</v>
      </c>
      <c r="E448" s="67"/>
      <c r="F448" s="68">
        <v>0.34</v>
      </c>
      <c r="G448" s="67">
        <v>4</v>
      </c>
      <c r="H448" s="67" t="s">
        <v>68</v>
      </c>
      <c r="I448" s="67" t="s">
        <v>573</v>
      </c>
      <c r="J448" s="68">
        <v>0.66</v>
      </c>
    </row>
    <row r="449" spans="1:10">
      <c r="A449" s="67" t="s">
        <v>672</v>
      </c>
      <c r="B449" s="67" t="s">
        <v>576</v>
      </c>
      <c r="C449" s="67">
        <v>2</v>
      </c>
      <c r="D449" s="67" t="s">
        <v>76</v>
      </c>
      <c r="E449" s="67"/>
      <c r="F449" s="68">
        <v>0.51</v>
      </c>
      <c r="G449" s="67">
        <v>1</v>
      </c>
      <c r="H449" s="67" t="s">
        <v>3</v>
      </c>
      <c r="I449" s="67" t="s">
        <v>573</v>
      </c>
      <c r="J449" s="68">
        <v>0.49</v>
      </c>
    </row>
    <row r="450" spans="1:10">
      <c r="A450" s="67" t="s">
        <v>672</v>
      </c>
      <c r="B450" s="67" t="s">
        <v>576</v>
      </c>
      <c r="C450" s="67">
        <v>4</v>
      </c>
      <c r="D450" s="67" t="s">
        <v>35</v>
      </c>
      <c r="E450" s="67" t="s">
        <v>573</v>
      </c>
      <c r="F450" s="68">
        <v>0.7</v>
      </c>
      <c r="G450" s="67">
        <v>7</v>
      </c>
      <c r="H450" s="67" t="s">
        <v>56</v>
      </c>
      <c r="I450" s="67"/>
      <c r="J450" s="68">
        <v>0.3</v>
      </c>
    </row>
    <row r="451" spans="1:10">
      <c r="A451" s="67" t="s">
        <v>672</v>
      </c>
      <c r="B451" s="67" t="s">
        <v>576</v>
      </c>
      <c r="C451" s="67">
        <v>0</v>
      </c>
      <c r="D451" s="67" t="s">
        <v>61</v>
      </c>
      <c r="E451" s="67"/>
      <c r="F451" s="68">
        <v>0.44</v>
      </c>
      <c r="G451" s="67">
        <v>5</v>
      </c>
      <c r="H451" s="67" t="s">
        <v>51</v>
      </c>
      <c r="I451" s="67" t="s">
        <v>573</v>
      </c>
      <c r="J451" s="68">
        <v>0.56000000000000005</v>
      </c>
    </row>
    <row r="452" spans="1:10">
      <c r="A452" s="67" t="s">
        <v>672</v>
      </c>
      <c r="B452" s="67" t="s">
        <v>595</v>
      </c>
      <c r="C452" s="67">
        <v>3</v>
      </c>
      <c r="D452" s="67" t="s">
        <v>117</v>
      </c>
      <c r="E452" s="67" t="s">
        <v>573</v>
      </c>
      <c r="F452" s="68">
        <v>0.52</v>
      </c>
      <c r="G452" s="67">
        <v>2</v>
      </c>
      <c r="H452" s="67" t="s">
        <v>6</v>
      </c>
      <c r="I452" s="67"/>
      <c r="J452" s="68">
        <v>0.48</v>
      </c>
    </row>
    <row r="453" spans="1:10">
      <c r="A453" s="67" t="s">
        <v>672</v>
      </c>
      <c r="B453" s="67" t="s">
        <v>638</v>
      </c>
      <c r="C453" s="67">
        <v>2</v>
      </c>
      <c r="D453" s="67" t="s">
        <v>79</v>
      </c>
      <c r="E453" s="67"/>
      <c r="F453" s="68">
        <v>0.4</v>
      </c>
      <c r="G453" s="67">
        <v>1</v>
      </c>
      <c r="H453" s="67" t="s">
        <v>25</v>
      </c>
      <c r="I453" s="67" t="s">
        <v>655</v>
      </c>
      <c r="J453" s="68">
        <v>0.6</v>
      </c>
    </row>
    <row r="454" spans="1:10">
      <c r="A454" s="67" t="s">
        <v>672</v>
      </c>
      <c r="B454" s="67" t="s">
        <v>597</v>
      </c>
      <c r="C454" s="67">
        <v>7</v>
      </c>
      <c r="D454" s="67" t="s">
        <v>175</v>
      </c>
      <c r="E454" s="67" t="s">
        <v>577</v>
      </c>
      <c r="F454" s="68">
        <v>0.67</v>
      </c>
      <c r="G454" s="67">
        <v>12</v>
      </c>
      <c r="H454" s="67" t="s">
        <v>8</v>
      </c>
      <c r="I454" s="67"/>
      <c r="J454" s="68">
        <v>0.33</v>
      </c>
    </row>
    <row r="455" spans="1:10">
      <c r="A455" s="67" t="s">
        <v>672</v>
      </c>
      <c r="B455" s="67" t="s">
        <v>597</v>
      </c>
      <c r="C455" s="67">
        <v>3</v>
      </c>
      <c r="D455" s="67" t="s">
        <v>30</v>
      </c>
      <c r="E455" s="67"/>
      <c r="F455" s="68">
        <v>0.24</v>
      </c>
      <c r="G455" s="67">
        <v>6</v>
      </c>
      <c r="H455" s="67" t="s">
        <v>110</v>
      </c>
      <c r="I455" s="67" t="s">
        <v>573</v>
      </c>
      <c r="J455" s="68">
        <v>0.76</v>
      </c>
    </row>
    <row r="456" spans="1:10">
      <c r="A456" s="67" t="s">
        <v>672</v>
      </c>
      <c r="B456" s="67" t="s">
        <v>580</v>
      </c>
      <c r="C456" s="67">
        <v>0</v>
      </c>
      <c r="D456" s="67" t="s">
        <v>41</v>
      </c>
      <c r="E456" s="67"/>
      <c r="F456" s="68">
        <v>0.28000000000000003</v>
      </c>
      <c r="G456" s="67">
        <v>6</v>
      </c>
      <c r="H456" s="67" t="s">
        <v>11</v>
      </c>
      <c r="I456" s="67" t="s">
        <v>573</v>
      </c>
      <c r="J456" s="68">
        <v>0.72</v>
      </c>
    </row>
    <row r="457" spans="1:10">
      <c r="A457" s="67" t="s">
        <v>672</v>
      </c>
      <c r="B457" s="67" t="s">
        <v>580</v>
      </c>
      <c r="C457" s="67">
        <v>9</v>
      </c>
      <c r="D457" s="67" t="s">
        <v>37</v>
      </c>
      <c r="E457" s="67"/>
      <c r="F457" s="68">
        <v>0.37</v>
      </c>
      <c r="G457" s="67">
        <v>11</v>
      </c>
      <c r="H457" s="67" t="s">
        <v>74</v>
      </c>
      <c r="I457" s="67" t="s">
        <v>573</v>
      </c>
      <c r="J457" s="68">
        <v>0.63</v>
      </c>
    </row>
    <row r="458" spans="1:10">
      <c r="A458" s="67" t="s">
        <v>672</v>
      </c>
      <c r="B458" s="67" t="s">
        <v>641</v>
      </c>
      <c r="C458" s="67">
        <v>3</v>
      </c>
      <c r="D458" s="67" t="s">
        <v>48</v>
      </c>
      <c r="E458" s="67"/>
      <c r="F458" s="68">
        <v>0.44</v>
      </c>
      <c r="G458" s="67">
        <v>0</v>
      </c>
      <c r="H458" s="67" t="s">
        <v>71</v>
      </c>
      <c r="I458" s="67" t="s">
        <v>577</v>
      </c>
      <c r="J458" s="68">
        <v>0.56000000000000005</v>
      </c>
    </row>
    <row r="459" spans="1:10">
      <c r="A459" s="73"/>
      <c r="B459" s="73"/>
      <c r="C459" s="73"/>
      <c r="D459" s="73"/>
      <c r="E459" s="73"/>
      <c r="F459" s="73"/>
      <c r="G459" s="73"/>
      <c r="H459" s="73"/>
      <c r="I459" s="73"/>
      <c r="J459" s="73"/>
    </row>
    <row r="460" spans="1:10">
      <c r="A460" s="67" t="s">
        <v>673</v>
      </c>
      <c r="B460" s="67" t="s">
        <v>643</v>
      </c>
      <c r="C460" s="67"/>
      <c r="D460" s="67" t="s">
        <v>68</v>
      </c>
      <c r="E460" s="67"/>
      <c r="F460" s="68">
        <v>0.31</v>
      </c>
      <c r="G460" s="67"/>
      <c r="H460" s="67" t="s">
        <v>20</v>
      </c>
      <c r="I460" s="67" t="s">
        <v>573</v>
      </c>
      <c r="J460" s="68">
        <v>0.69</v>
      </c>
    </row>
    <row r="461" spans="1:10">
      <c r="A461" s="67" t="s">
        <v>673</v>
      </c>
      <c r="B461" s="67" t="s">
        <v>607</v>
      </c>
      <c r="C461" s="67"/>
      <c r="D461" s="67" t="s">
        <v>6</v>
      </c>
      <c r="E461" s="67"/>
      <c r="F461" s="68">
        <v>0.28999999999999998</v>
      </c>
      <c r="G461" s="67"/>
      <c r="H461" s="67" t="s">
        <v>61</v>
      </c>
      <c r="I461" s="67" t="s">
        <v>573</v>
      </c>
      <c r="J461" s="68">
        <v>0.71</v>
      </c>
    </row>
    <row r="462" spans="1:10">
      <c r="A462" s="67" t="s">
        <v>673</v>
      </c>
      <c r="B462" s="67" t="s">
        <v>587</v>
      </c>
      <c r="C462" s="67"/>
      <c r="D462" s="67" t="s">
        <v>105</v>
      </c>
      <c r="E462" s="67"/>
      <c r="F462" s="68">
        <v>0.26</v>
      </c>
      <c r="G462" s="67"/>
      <c r="H462" s="67" t="s">
        <v>17</v>
      </c>
      <c r="I462" s="67" t="s">
        <v>573</v>
      </c>
      <c r="J462" s="68">
        <v>0.74</v>
      </c>
    </row>
    <row r="463" spans="1:10">
      <c r="A463" s="67" t="s">
        <v>673</v>
      </c>
      <c r="B463" s="67" t="s">
        <v>608</v>
      </c>
      <c r="C463" s="67"/>
      <c r="D463" s="67" t="s">
        <v>117</v>
      </c>
      <c r="E463" s="67" t="s">
        <v>577</v>
      </c>
      <c r="F463" s="68">
        <v>0.45</v>
      </c>
      <c r="G463" s="67"/>
      <c r="H463" s="67" t="s">
        <v>83</v>
      </c>
      <c r="I463" s="67"/>
      <c r="J463" s="68">
        <v>0.55000000000000004</v>
      </c>
    </row>
    <row r="464" spans="1:10">
      <c r="A464" s="67" t="s">
        <v>673</v>
      </c>
      <c r="B464" s="67" t="s">
        <v>608</v>
      </c>
      <c r="C464" s="67"/>
      <c r="D464" s="67" t="s">
        <v>37</v>
      </c>
      <c r="E464" s="67" t="s">
        <v>573</v>
      </c>
      <c r="F464" s="68">
        <v>0.78</v>
      </c>
      <c r="G464" s="67"/>
      <c r="H464" s="67" t="s">
        <v>3</v>
      </c>
      <c r="I464" s="67"/>
      <c r="J464" s="68">
        <v>0.22</v>
      </c>
    </row>
    <row r="465" spans="1:10">
      <c r="A465" s="67" t="s">
        <v>673</v>
      </c>
      <c r="B465" s="67" t="s">
        <v>572</v>
      </c>
      <c r="C465" s="67"/>
      <c r="D465" s="67" t="s">
        <v>35</v>
      </c>
      <c r="E465" s="67" t="s">
        <v>588</v>
      </c>
      <c r="F465" s="68">
        <v>0.8</v>
      </c>
      <c r="G465" s="67"/>
      <c r="H465" s="67" t="s">
        <v>25</v>
      </c>
      <c r="I465" s="67"/>
      <c r="J465" s="68">
        <v>0.2</v>
      </c>
    </row>
    <row r="466" spans="1:10">
      <c r="A466" s="67" t="s">
        <v>673</v>
      </c>
      <c r="B466" s="67" t="s">
        <v>592</v>
      </c>
      <c r="C466" s="67"/>
      <c r="D466" s="67" t="s">
        <v>41</v>
      </c>
      <c r="E466" s="67"/>
      <c r="F466" s="68">
        <v>0.34</v>
      </c>
      <c r="G466" s="67"/>
      <c r="H466" s="67" t="s">
        <v>175</v>
      </c>
      <c r="I466" s="67" t="s">
        <v>573</v>
      </c>
      <c r="J466" s="68">
        <v>0.66</v>
      </c>
    </row>
    <row r="467" spans="1:10">
      <c r="A467" s="67" t="s">
        <v>673</v>
      </c>
      <c r="B467" s="67" t="s">
        <v>584</v>
      </c>
      <c r="C467" s="67"/>
      <c r="D467" s="67" t="s">
        <v>30</v>
      </c>
      <c r="E467" s="67"/>
      <c r="F467" s="68">
        <v>0.24</v>
      </c>
      <c r="G467" s="67"/>
      <c r="H467" s="67" t="s">
        <v>11</v>
      </c>
      <c r="I467" s="67" t="s">
        <v>583</v>
      </c>
      <c r="J467" s="68">
        <v>0.76</v>
      </c>
    </row>
    <row r="494" s="10" customFormat="1"/>
    <row r="495" s="10" customFormat="1"/>
    <row r="519" s="11" customFormat="1"/>
    <row r="520" s="11" customFormat="1"/>
    <row r="528" s="9" customFormat="1"/>
    <row r="529" s="9" customFormat="1"/>
    <row r="549" s="11" customFormat="1"/>
    <row r="550" s="11" customFormat="1"/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O20"/>
  <sheetViews>
    <sheetView workbookViewId="0"/>
  </sheetViews>
  <sheetFormatPr defaultRowHeight="15"/>
  <cols>
    <col min="1" max="1" width="9" style="1" customWidth="1"/>
    <col min="2" max="3" width="10" style="1" bestFit="1" customWidth="1"/>
    <col min="4" max="85" width="9" style="1" customWidth="1"/>
    <col min="86" max="16384" width="9" style="1"/>
  </cols>
  <sheetData>
    <row r="3" spans="1:223">
      <c r="A3" s="1" t="s">
        <v>674</v>
      </c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>
        <v>7</v>
      </c>
      <c r="I3" s="1">
        <v>8</v>
      </c>
      <c r="J3" s="1">
        <v>9</v>
      </c>
      <c r="K3" s="1">
        <v>10</v>
      </c>
      <c r="L3" s="1">
        <v>11</v>
      </c>
      <c r="M3" s="1">
        <v>12</v>
      </c>
      <c r="N3" s="1">
        <v>13</v>
      </c>
      <c r="O3" s="1">
        <v>14</v>
      </c>
      <c r="P3" s="1">
        <v>15</v>
      </c>
      <c r="Q3" s="1">
        <v>16</v>
      </c>
      <c r="R3" s="1">
        <v>17</v>
      </c>
      <c r="S3" s="1">
        <v>18</v>
      </c>
      <c r="T3" s="1">
        <v>19</v>
      </c>
      <c r="U3" s="1">
        <v>20</v>
      </c>
      <c r="V3" s="1">
        <v>21</v>
      </c>
      <c r="W3" s="1">
        <v>22</v>
      </c>
      <c r="X3" s="1">
        <v>23</v>
      </c>
      <c r="Y3" s="1">
        <v>24</v>
      </c>
      <c r="Z3" s="1">
        <v>25</v>
      </c>
      <c r="AA3" s="1">
        <v>26</v>
      </c>
      <c r="AB3" s="1">
        <v>27</v>
      </c>
      <c r="AC3" s="1">
        <v>28</v>
      </c>
      <c r="AD3" s="1">
        <v>29</v>
      </c>
      <c r="AE3" s="1">
        <v>30</v>
      </c>
      <c r="AF3" s="1">
        <v>31</v>
      </c>
      <c r="AG3" s="1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  <c r="CZ3" s="1">
        <v>103</v>
      </c>
      <c r="DA3" s="1">
        <v>104</v>
      </c>
      <c r="DB3" s="1">
        <v>105</v>
      </c>
      <c r="DC3" s="1">
        <v>106</v>
      </c>
      <c r="DD3" s="1">
        <v>107</v>
      </c>
      <c r="DE3" s="1">
        <v>108</v>
      </c>
      <c r="DF3" s="1">
        <v>109</v>
      </c>
      <c r="DG3" s="1">
        <v>110</v>
      </c>
      <c r="DH3" s="1">
        <v>111</v>
      </c>
      <c r="DI3" s="1">
        <v>112</v>
      </c>
      <c r="DJ3" s="1">
        <v>113</v>
      </c>
      <c r="DK3" s="1">
        <v>114</v>
      </c>
      <c r="DL3" s="1">
        <v>115</v>
      </c>
      <c r="DM3" s="1">
        <v>116</v>
      </c>
      <c r="DN3" s="1">
        <v>117</v>
      </c>
      <c r="DO3" s="1">
        <v>118</v>
      </c>
      <c r="DP3" s="1">
        <v>119</v>
      </c>
      <c r="DQ3" s="1">
        <v>120</v>
      </c>
      <c r="DR3" s="1">
        <v>121</v>
      </c>
      <c r="DS3" s="1">
        <v>122</v>
      </c>
      <c r="DT3" s="1">
        <v>123</v>
      </c>
      <c r="DU3" s="1">
        <v>124</v>
      </c>
      <c r="DV3" s="1">
        <v>125</v>
      </c>
      <c r="DW3" s="1">
        <v>126</v>
      </c>
      <c r="DX3" s="1">
        <v>127</v>
      </c>
      <c r="DY3" s="1">
        <v>128</v>
      </c>
      <c r="DZ3" s="1">
        <v>129</v>
      </c>
      <c r="EA3" s="1">
        <v>130</v>
      </c>
      <c r="EB3" s="1">
        <v>131</v>
      </c>
      <c r="EC3" s="1">
        <v>132</v>
      </c>
      <c r="ED3" s="1">
        <v>133</v>
      </c>
      <c r="EE3" s="1">
        <v>134</v>
      </c>
      <c r="EF3" s="1">
        <v>135</v>
      </c>
      <c r="EG3" s="1">
        <v>136</v>
      </c>
      <c r="EH3" s="1">
        <v>137</v>
      </c>
      <c r="EI3" s="1">
        <v>138</v>
      </c>
      <c r="EJ3" s="1">
        <v>139</v>
      </c>
      <c r="EK3" s="1">
        <v>140</v>
      </c>
      <c r="EL3" s="1">
        <v>141</v>
      </c>
      <c r="EM3" s="1">
        <v>142</v>
      </c>
      <c r="EN3" s="1">
        <v>143</v>
      </c>
      <c r="EO3" s="1">
        <v>144</v>
      </c>
      <c r="EP3" s="1">
        <v>145</v>
      </c>
      <c r="EQ3" s="1">
        <v>146</v>
      </c>
      <c r="ER3" s="1">
        <v>147</v>
      </c>
      <c r="ES3" s="1">
        <v>148</v>
      </c>
      <c r="ET3" s="1">
        <v>149</v>
      </c>
      <c r="EU3" s="1">
        <v>150</v>
      </c>
      <c r="EV3" s="1">
        <v>151</v>
      </c>
      <c r="EW3" s="1">
        <v>152</v>
      </c>
      <c r="EX3" s="1">
        <v>153</v>
      </c>
      <c r="EY3" s="1">
        <v>154</v>
      </c>
      <c r="EZ3" s="1">
        <v>155</v>
      </c>
      <c r="FA3" s="1">
        <v>156</v>
      </c>
      <c r="FB3" s="1">
        <v>157</v>
      </c>
      <c r="FC3" s="1">
        <v>158</v>
      </c>
      <c r="FD3" s="1">
        <v>159</v>
      </c>
      <c r="FE3" s="1">
        <v>160</v>
      </c>
      <c r="FF3" s="1">
        <v>161</v>
      </c>
      <c r="FG3" s="1">
        <v>162</v>
      </c>
      <c r="FH3" s="1">
        <v>163</v>
      </c>
      <c r="FI3" s="1">
        <v>164</v>
      </c>
      <c r="FJ3" s="1">
        <v>165</v>
      </c>
      <c r="FK3" s="1">
        <v>166</v>
      </c>
      <c r="FL3" s="1">
        <v>167</v>
      </c>
      <c r="FM3" s="1">
        <v>168</v>
      </c>
      <c r="FN3" s="1">
        <v>169</v>
      </c>
      <c r="FO3" s="1">
        <v>170</v>
      </c>
      <c r="FP3" s="1">
        <v>171</v>
      </c>
      <c r="FQ3" s="1">
        <v>172</v>
      </c>
      <c r="FR3" s="1">
        <v>173</v>
      </c>
      <c r="FS3" s="1">
        <v>174</v>
      </c>
      <c r="FT3" s="1">
        <v>175</v>
      </c>
      <c r="FU3" s="1">
        <v>176</v>
      </c>
      <c r="FV3" s="1">
        <v>177</v>
      </c>
      <c r="FW3" s="1">
        <v>178</v>
      </c>
      <c r="FX3" s="1">
        <v>179</v>
      </c>
      <c r="FY3" s="1">
        <v>180</v>
      </c>
      <c r="FZ3" s="1">
        <v>181</v>
      </c>
      <c r="GA3" s="1">
        <v>182</v>
      </c>
      <c r="GB3" s="1">
        <v>183</v>
      </c>
      <c r="GC3" s="1">
        <v>184</v>
      </c>
      <c r="GD3" s="1">
        <v>185</v>
      </c>
      <c r="GE3" s="1">
        <v>186</v>
      </c>
      <c r="GF3" s="1">
        <v>187</v>
      </c>
      <c r="GG3" s="1">
        <v>188</v>
      </c>
      <c r="GH3" s="1">
        <v>189</v>
      </c>
      <c r="GI3" s="1">
        <v>190</v>
      </c>
      <c r="GJ3" s="1">
        <v>191</v>
      </c>
      <c r="GK3" s="1">
        <v>192</v>
      </c>
      <c r="GL3" s="1">
        <v>193</v>
      </c>
      <c r="GM3" s="1">
        <v>194</v>
      </c>
      <c r="GN3" s="1">
        <v>195</v>
      </c>
      <c r="GO3" s="1">
        <v>196</v>
      </c>
      <c r="GP3" s="1">
        <v>197</v>
      </c>
      <c r="GQ3" s="1">
        <v>198</v>
      </c>
      <c r="GR3" s="1">
        <v>199</v>
      </c>
      <c r="GS3" s="1">
        <v>200</v>
      </c>
      <c r="GT3" s="1">
        <v>201</v>
      </c>
      <c r="GU3" s="1">
        <v>202</v>
      </c>
      <c r="GV3" s="1">
        <v>203</v>
      </c>
      <c r="GW3" s="1">
        <v>204</v>
      </c>
      <c r="GX3" s="1">
        <v>205</v>
      </c>
      <c r="GY3" s="1">
        <v>206</v>
      </c>
      <c r="GZ3" s="1">
        <v>207</v>
      </c>
      <c r="HA3" s="1">
        <v>208</v>
      </c>
      <c r="HB3" s="1">
        <v>209</v>
      </c>
      <c r="HC3" s="1">
        <v>210</v>
      </c>
      <c r="HD3" s="1">
        <v>211</v>
      </c>
      <c r="HE3" s="1">
        <v>212</v>
      </c>
      <c r="HF3" s="1">
        <v>213</v>
      </c>
      <c r="HG3" s="1">
        <v>214</v>
      </c>
      <c r="HH3" s="1">
        <v>215</v>
      </c>
      <c r="HI3" s="1">
        <v>216</v>
      </c>
      <c r="HJ3" s="1">
        <v>217</v>
      </c>
      <c r="HK3" s="1">
        <v>218</v>
      </c>
      <c r="HL3" s="1">
        <v>219</v>
      </c>
      <c r="HM3" s="1">
        <v>220</v>
      </c>
      <c r="HN3" s="1">
        <v>221</v>
      </c>
      <c r="HO3" s="1">
        <v>222</v>
      </c>
    </row>
    <row r="4" spans="1:223">
      <c r="A4" s="1" t="s">
        <v>522</v>
      </c>
      <c r="B4" s="3">
        <v>46107</v>
      </c>
      <c r="C4" s="3">
        <v>46108</v>
      </c>
      <c r="D4" s="3">
        <v>46109</v>
      </c>
      <c r="E4" s="3">
        <v>46110</v>
      </c>
      <c r="F4" s="3">
        <v>46111</v>
      </c>
      <c r="G4" s="3">
        <v>46112</v>
      </c>
      <c r="H4" s="3">
        <v>46113</v>
      </c>
      <c r="I4" s="3">
        <v>46114</v>
      </c>
      <c r="J4" s="3">
        <v>46115</v>
      </c>
      <c r="K4" s="3">
        <v>46116</v>
      </c>
      <c r="L4" s="3">
        <v>46117</v>
      </c>
      <c r="M4" s="3">
        <v>46118</v>
      </c>
      <c r="N4" s="3">
        <v>46119</v>
      </c>
      <c r="O4" s="3">
        <v>46120</v>
      </c>
      <c r="P4" s="3">
        <v>46121</v>
      </c>
      <c r="Q4" s="3">
        <v>46122</v>
      </c>
      <c r="R4" s="3">
        <v>46123</v>
      </c>
      <c r="S4" s="3">
        <v>46124</v>
      </c>
      <c r="T4" s="3">
        <v>46125</v>
      </c>
      <c r="U4" s="3">
        <v>46126</v>
      </c>
      <c r="V4" s="3">
        <v>46127</v>
      </c>
      <c r="W4" s="3">
        <v>46128</v>
      </c>
      <c r="X4" s="3">
        <v>46129</v>
      </c>
      <c r="Y4" s="3">
        <v>46130</v>
      </c>
      <c r="Z4" s="3">
        <v>46131</v>
      </c>
      <c r="AA4" s="3">
        <v>46132</v>
      </c>
      <c r="AB4" s="3">
        <v>46133</v>
      </c>
      <c r="AC4" s="3">
        <v>46134</v>
      </c>
      <c r="AD4" s="3">
        <v>46135</v>
      </c>
      <c r="AE4" s="3">
        <v>46136</v>
      </c>
      <c r="AF4" s="3">
        <v>46137</v>
      </c>
      <c r="AG4" s="3">
        <v>46138</v>
      </c>
      <c r="AH4" s="3">
        <v>46139</v>
      </c>
      <c r="AI4" s="3">
        <v>46140</v>
      </c>
      <c r="AJ4" s="3">
        <v>46141</v>
      </c>
      <c r="AK4" s="3">
        <v>46142</v>
      </c>
      <c r="AL4" s="3">
        <v>46143</v>
      </c>
      <c r="AM4" s="3">
        <v>46144</v>
      </c>
      <c r="AN4" s="3">
        <v>46145</v>
      </c>
      <c r="AO4" s="3">
        <v>46146</v>
      </c>
      <c r="AP4" s="3">
        <v>46147</v>
      </c>
      <c r="AQ4" s="3">
        <v>46148</v>
      </c>
      <c r="AR4" s="3">
        <v>46149</v>
      </c>
      <c r="AS4" s="3">
        <v>46150</v>
      </c>
      <c r="AT4" s="3">
        <v>46151</v>
      </c>
      <c r="AU4" s="3">
        <v>46152</v>
      </c>
      <c r="AV4" s="3">
        <v>46153</v>
      </c>
      <c r="AW4" s="3">
        <v>46154</v>
      </c>
      <c r="AX4" s="3">
        <v>46155</v>
      </c>
      <c r="AY4" s="3">
        <v>46156</v>
      </c>
      <c r="AZ4" s="3">
        <v>46157</v>
      </c>
      <c r="BA4" s="3">
        <v>46158</v>
      </c>
      <c r="BB4" s="3">
        <v>46159</v>
      </c>
      <c r="BC4" s="3">
        <v>46160</v>
      </c>
      <c r="BD4" s="3">
        <v>46161</v>
      </c>
      <c r="BE4" s="3">
        <v>46162</v>
      </c>
      <c r="BF4" s="3">
        <v>46163</v>
      </c>
      <c r="BG4" s="3">
        <v>46164</v>
      </c>
      <c r="BH4" s="3">
        <v>46165</v>
      </c>
      <c r="BI4" s="3">
        <v>46166</v>
      </c>
      <c r="BJ4" s="3">
        <v>46167</v>
      </c>
      <c r="BK4" s="3">
        <v>46168</v>
      </c>
      <c r="BL4" s="3">
        <v>46169</v>
      </c>
      <c r="BM4" s="3">
        <v>46170</v>
      </c>
      <c r="BN4" s="3">
        <v>46171</v>
      </c>
      <c r="BO4" s="3">
        <v>46172</v>
      </c>
      <c r="BP4" s="3">
        <v>46173</v>
      </c>
      <c r="BQ4" s="3">
        <v>46174</v>
      </c>
      <c r="BR4" s="3">
        <v>46175</v>
      </c>
      <c r="BS4" s="3">
        <v>46176</v>
      </c>
      <c r="BT4" s="3">
        <v>46177</v>
      </c>
      <c r="BU4" s="3">
        <v>46178</v>
      </c>
      <c r="BV4" s="3">
        <v>46179</v>
      </c>
      <c r="BW4" s="3">
        <v>46180</v>
      </c>
      <c r="BX4" s="3">
        <v>46181</v>
      </c>
      <c r="BY4" s="3">
        <v>46182</v>
      </c>
      <c r="BZ4" s="3">
        <v>46183</v>
      </c>
      <c r="CA4" s="3">
        <v>46184</v>
      </c>
      <c r="CB4" s="3">
        <v>46185</v>
      </c>
      <c r="CC4" s="3">
        <v>46186</v>
      </c>
      <c r="CD4" s="3">
        <v>46187</v>
      </c>
      <c r="CE4" s="3">
        <v>46188</v>
      </c>
      <c r="CF4" s="3">
        <v>46189</v>
      </c>
      <c r="CG4" s="3">
        <v>46190</v>
      </c>
      <c r="CH4" s="3">
        <v>46191</v>
      </c>
      <c r="CI4" s="3">
        <v>46192</v>
      </c>
      <c r="CJ4" s="3">
        <v>46193</v>
      </c>
      <c r="CK4" s="3">
        <v>46194</v>
      </c>
      <c r="CL4" s="3">
        <v>46195</v>
      </c>
      <c r="CM4" s="3">
        <v>46196</v>
      </c>
      <c r="CN4" s="3">
        <v>46197</v>
      </c>
      <c r="CO4" s="3">
        <v>46198</v>
      </c>
      <c r="CP4" s="3">
        <v>46199</v>
      </c>
      <c r="CQ4" s="3">
        <v>46200</v>
      </c>
      <c r="CR4" s="3">
        <v>46201</v>
      </c>
      <c r="CS4" s="3">
        <v>46202</v>
      </c>
      <c r="CT4" s="3">
        <v>46203</v>
      </c>
      <c r="CU4" s="3">
        <v>46204</v>
      </c>
      <c r="CV4" s="3">
        <v>46205</v>
      </c>
      <c r="CW4" s="3">
        <v>46206</v>
      </c>
      <c r="CX4" s="3">
        <v>46207</v>
      </c>
      <c r="CY4" s="3">
        <v>46208</v>
      </c>
      <c r="CZ4" s="3">
        <v>46209</v>
      </c>
      <c r="DA4" s="3">
        <v>46210</v>
      </c>
      <c r="DB4" s="3">
        <v>46211</v>
      </c>
      <c r="DC4" s="3">
        <v>46212</v>
      </c>
      <c r="DD4" s="3">
        <v>46213</v>
      </c>
      <c r="DE4" s="3">
        <v>46214</v>
      </c>
      <c r="DF4" s="3">
        <v>46215</v>
      </c>
      <c r="DG4" s="3">
        <v>46216</v>
      </c>
      <c r="DH4" s="3">
        <v>46217</v>
      </c>
      <c r="DI4" s="3">
        <v>46218</v>
      </c>
      <c r="DJ4" s="3">
        <v>46219</v>
      </c>
      <c r="DK4" s="3">
        <v>46220</v>
      </c>
      <c r="DL4" s="3">
        <v>46221</v>
      </c>
      <c r="DM4" s="3">
        <v>46222</v>
      </c>
      <c r="DN4" s="3">
        <v>46223</v>
      </c>
      <c r="DO4" s="3">
        <v>46224</v>
      </c>
      <c r="DP4" s="3">
        <v>46225</v>
      </c>
      <c r="DQ4" s="3">
        <v>46226</v>
      </c>
      <c r="DR4" s="3">
        <v>46227</v>
      </c>
      <c r="DS4" s="3">
        <v>46228</v>
      </c>
      <c r="DT4" s="3">
        <v>46229</v>
      </c>
      <c r="DU4" s="3">
        <v>46230</v>
      </c>
      <c r="DV4" s="3">
        <v>46231</v>
      </c>
      <c r="DW4" s="3">
        <v>46232</v>
      </c>
      <c r="DX4" s="3">
        <v>46233</v>
      </c>
      <c r="DY4" s="3">
        <v>46234</v>
      </c>
      <c r="DZ4" s="3">
        <v>46235</v>
      </c>
      <c r="EA4" s="3">
        <v>46236</v>
      </c>
      <c r="EB4" s="3">
        <v>46237</v>
      </c>
      <c r="EC4" s="3">
        <v>46238</v>
      </c>
      <c r="ED4" s="3">
        <v>46239</v>
      </c>
      <c r="EE4" s="3">
        <v>46240</v>
      </c>
      <c r="EF4" s="3">
        <v>46241</v>
      </c>
      <c r="EG4" s="3">
        <v>46242</v>
      </c>
      <c r="EH4" s="3">
        <v>46243</v>
      </c>
      <c r="EI4" s="3">
        <v>46244</v>
      </c>
      <c r="EJ4" s="3">
        <v>46245</v>
      </c>
      <c r="EK4" s="3">
        <v>46246</v>
      </c>
      <c r="EL4" s="3">
        <v>46247</v>
      </c>
      <c r="EM4" s="3">
        <v>46248</v>
      </c>
      <c r="EN4" s="3">
        <v>46249</v>
      </c>
      <c r="EO4" s="3">
        <v>46250</v>
      </c>
      <c r="EP4" s="3">
        <v>46251</v>
      </c>
      <c r="EQ4" s="3">
        <v>46252</v>
      </c>
      <c r="ER4" s="3">
        <v>46253</v>
      </c>
      <c r="ES4" s="3">
        <v>46254</v>
      </c>
      <c r="ET4" s="3">
        <v>46255</v>
      </c>
      <c r="EU4" s="3">
        <v>46256</v>
      </c>
      <c r="EV4" s="3">
        <v>46257</v>
      </c>
      <c r="EW4" s="3">
        <v>46258</v>
      </c>
      <c r="EX4" s="3">
        <v>46259</v>
      </c>
      <c r="EY4" s="3">
        <v>46260</v>
      </c>
      <c r="EZ4" s="3">
        <v>46261</v>
      </c>
      <c r="FA4" s="3">
        <v>46262</v>
      </c>
      <c r="FB4" s="3">
        <v>46263</v>
      </c>
      <c r="FC4" s="3">
        <v>46264</v>
      </c>
      <c r="FD4" s="3">
        <v>46265</v>
      </c>
      <c r="FE4" s="3">
        <v>46266</v>
      </c>
      <c r="FF4" s="3">
        <v>46267</v>
      </c>
      <c r="FG4" s="3">
        <v>46268</v>
      </c>
      <c r="FH4" s="3">
        <v>46269</v>
      </c>
      <c r="FI4" s="3">
        <v>46270</v>
      </c>
      <c r="FJ4" s="3">
        <v>46271</v>
      </c>
      <c r="FK4" s="3">
        <v>46272</v>
      </c>
      <c r="FL4" s="3">
        <v>46273</v>
      </c>
      <c r="FM4" s="3">
        <v>46274</v>
      </c>
      <c r="FN4" s="3">
        <v>46275</v>
      </c>
      <c r="FO4" s="3">
        <v>46276</v>
      </c>
      <c r="FP4" s="3">
        <v>46277</v>
      </c>
      <c r="FQ4" s="3">
        <v>46278</v>
      </c>
      <c r="FR4" s="3">
        <v>46279</v>
      </c>
      <c r="FS4" s="3">
        <v>46280</v>
      </c>
      <c r="FT4" s="3">
        <v>46281</v>
      </c>
      <c r="FU4" s="3">
        <v>46282</v>
      </c>
      <c r="FV4" s="3">
        <v>46283</v>
      </c>
      <c r="FW4" s="3">
        <v>46284</v>
      </c>
      <c r="FX4" s="3">
        <v>46285</v>
      </c>
      <c r="FY4" s="3">
        <v>46286</v>
      </c>
      <c r="FZ4" s="3">
        <v>46287</v>
      </c>
      <c r="GA4" s="3">
        <v>46288</v>
      </c>
      <c r="GB4" s="3">
        <v>46289</v>
      </c>
      <c r="GC4" s="3">
        <v>46290</v>
      </c>
      <c r="GD4" s="3">
        <v>46291</v>
      </c>
      <c r="GE4" s="3">
        <v>46292</v>
      </c>
      <c r="GF4" s="3">
        <v>46293</v>
      </c>
      <c r="GG4" s="3">
        <v>46294</v>
      </c>
      <c r="GH4" s="3">
        <v>46295</v>
      </c>
      <c r="GI4" s="3">
        <v>46296</v>
      </c>
      <c r="GJ4" s="3">
        <v>46297</v>
      </c>
      <c r="GK4" s="3">
        <v>46298</v>
      </c>
      <c r="GL4" s="3">
        <v>46299</v>
      </c>
      <c r="GM4" s="3">
        <v>46300</v>
      </c>
      <c r="GN4" s="3">
        <v>46301</v>
      </c>
      <c r="GO4" s="3">
        <v>46302</v>
      </c>
      <c r="GP4" s="3">
        <v>46303</v>
      </c>
      <c r="GQ4" s="3">
        <v>46304</v>
      </c>
      <c r="GR4" s="3">
        <v>46305</v>
      </c>
      <c r="GS4" s="3">
        <v>46306</v>
      </c>
      <c r="GT4" s="3">
        <v>46307</v>
      </c>
      <c r="GU4" s="3">
        <v>46308</v>
      </c>
      <c r="GV4" s="3">
        <v>46309</v>
      </c>
      <c r="GW4" s="3">
        <v>46310</v>
      </c>
      <c r="GX4" s="3">
        <v>46311</v>
      </c>
      <c r="GY4" s="3">
        <v>46312</v>
      </c>
      <c r="GZ4" s="3">
        <v>46313</v>
      </c>
      <c r="HA4" s="3">
        <v>46314</v>
      </c>
      <c r="HB4" s="3">
        <v>46315</v>
      </c>
      <c r="HC4" s="3">
        <v>46316</v>
      </c>
      <c r="HD4" s="3">
        <v>46317</v>
      </c>
      <c r="HE4" s="3">
        <v>46318</v>
      </c>
      <c r="HF4" s="3">
        <v>46319</v>
      </c>
      <c r="HG4" s="3">
        <v>46320</v>
      </c>
      <c r="HH4" s="3">
        <v>46321</v>
      </c>
      <c r="HI4" s="3">
        <v>46322</v>
      </c>
      <c r="HJ4" s="3">
        <v>46323</v>
      </c>
      <c r="HK4" s="3">
        <v>46324</v>
      </c>
      <c r="HL4" s="3">
        <v>46325</v>
      </c>
      <c r="HM4" s="3">
        <v>46326</v>
      </c>
      <c r="HN4" s="3">
        <v>46327</v>
      </c>
      <c r="HO4" s="3">
        <v>46328</v>
      </c>
    </row>
    <row r="5" spans="1:223">
      <c r="A5" s="1" t="s">
        <v>675</v>
      </c>
      <c r="B5" s="1" t="s">
        <v>676</v>
      </c>
      <c r="C5" s="1" t="s">
        <v>677</v>
      </c>
      <c r="D5" s="1" t="s">
        <v>678</v>
      </c>
      <c r="E5" s="1" t="s">
        <v>679</v>
      </c>
      <c r="F5" s="1" t="s">
        <v>680</v>
      </c>
      <c r="G5" s="1" t="s">
        <v>681</v>
      </c>
      <c r="H5" s="1" t="s">
        <v>682</v>
      </c>
      <c r="I5" s="1" t="s">
        <v>676</v>
      </c>
      <c r="J5" s="1" t="s">
        <v>677</v>
      </c>
      <c r="K5" s="1" t="s">
        <v>678</v>
      </c>
      <c r="L5" s="1" t="s">
        <v>679</v>
      </c>
      <c r="M5" s="1" t="s">
        <v>680</v>
      </c>
      <c r="N5" s="1" t="s">
        <v>681</v>
      </c>
      <c r="O5" s="1" t="s">
        <v>682</v>
      </c>
      <c r="P5" s="1" t="s">
        <v>676</v>
      </c>
      <c r="Q5" s="1" t="s">
        <v>677</v>
      </c>
      <c r="R5" s="1" t="s">
        <v>678</v>
      </c>
      <c r="S5" s="1" t="s">
        <v>679</v>
      </c>
      <c r="T5" s="1" t="s">
        <v>680</v>
      </c>
      <c r="U5" s="1" t="s">
        <v>681</v>
      </c>
      <c r="V5" s="1" t="s">
        <v>682</v>
      </c>
      <c r="W5" s="1" t="s">
        <v>676</v>
      </c>
      <c r="X5" s="1" t="s">
        <v>677</v>
      </c>
      <c r="Y5" s="1" t="s">
        <v>678</v>
      </c>
      <c r="Z5" s="1" t="s">
        <v>679</v>
      </c>
      <c r="AA5" s="1" t="s">
        <v>680</v>
      </c>
      <c r="AB5" s="1" t="s">
        <v>681</v>
      </c>
      <c r="AC5" s="1" t="s">
        <v>682</v>
      </c>
      <c r="AD5" s="1" t="s">
        <v>676</v>
      </c>
      <c r="AE5" s="1" t="s">
        <v>677</v>
      </c>
      <c r="AF5" s="1" t="s">
        <v>678</v>
      </c>
      <c r="AG5" s="1" t="s">
        <v>679</v>
      </c>
      <c r="AH5" s="1" t="s">
        <v>680</v>
      </c>
      <c r="AI5" s="1" t="s">
        <v>681</v>
      </c>
      <c r="AJ5" s="1" t="s">
        <v>682</v>
      </c>
      <c r="AK5" s="1" t="s">
        <v>676</v>
      </c>
      <c r="AL5" s="1" t="s">
        <v>677</v>
      </c>
      <c r="AM5" s="1" t="s">
        <v>678</v>
      </c>
      <c r="AN5" s="1" t="s">
        <v>679</v>
      </c>
      <c r="AO5" s="1" t="s">
        <v>680</v>
      </c>
      <c r="AP5" s="1" t="s">
        <v>681</v>
      </c>
      <c r="AQ5" s="1" t="s">
        <v>682</v>
      </c>
      <c r="AR5" s="1" t="s">
        <v>676</v>
      </c>
      <c r="AS5" s="1" t="s">
        <v>677</v>
      </c>
      <c r="AT5" s="1" t="s">
        <v>678</v>
      </c>
      <c r="AU5" s="1" t="s">
        <v>679</v>
      </c>
      <c r="AV5" s="1" t="s">
        <v>680</v>
      </c>
      <c r="AW5" s="1" t="s">
        <v>681</v>
      </c>
      <c r="AX5" s="1" t="s">
        <v>682</v>
      </c>
      <c r="AY5" s="1" t="s">
        <v>676</v>
      </c>
      <c r="AZ5" s="1" t="s">
        <v>677</v>
      </c>
      <c r="BA5" s="1" t="s">
        <v>678</v>
      </c>
      <c r="BB5" s="1" t="s">
        <v>679</v>
      </c>
      <c r="BC5" s="1" t="s">
        <v>680</v>
      </c>
      <c r="BD5" s="1" t="s">
        <v>681</v>
      </c>
      <c r="BE5" s="1" t="s">
        <v>682</v>
      </c>
      <c r="BF5" s="1" t="s">
        <v>676</v>
      </c>
      <c r="BG5" s="1" t="s">
        <v>677</v>
      </c>
      <c r="BH5" s="1" t="s">
        <v>678</v>
      </c>
      <c r="BI5" s="1" t="s">
        <v>679</v>
      </c>
      <c r="BJ5" s="1" t="s">
        <v>680</v>
      </c>
      <c r="BK5" s="1" t="s">
        <v>681</v>
      </c>
      <c r="BL5" s="1" t="s">
        <v>682</v>
      </c>
      <c r="BM5" s="1" t="s">
        <v>676</v>
      </c>
      <c r="BN5" s="1" t="s">
        <v>677</v>
      </c>
      <c r="BO5" s="1" t="s">
        <v>678</v>
      </c>
      <c r="BP5" s="1" t="s">
        <v>679</v>
      </c>
      <c r="BQ5" s="1" t="s">
        <v>680</v>
      </c>
      <c r="BR5" s="1" t="s">
        <v>681</v>
      </c>
      <c r="BS5" s="1" t="s">
        <v>682</v>
      </c>
      <c r="BT5" s="1" t="s">
        <v>676</v>
      </c>
      <c r="BU5" s="1" t="s">
        <v>677</v>
      </c>
      <c r="BV5" s="1" t="s">
        <v>678</v>
      </c>
      <c r="BW5" s="1" t="s">
        <v>679</v>
      </c>
      <c r="BX5" s="1" t="s">
        <v>680</v>
      </c>
      <c r="BY5" s="1" t="s">
        <v>681</v>
      </c>
      <c r="BZ5" s="1" t="s">
        <v>682</v>
      </c>
      <c r="CA5" s="1" t="s">
        <v>676</v>
      </c>
      <c r="CB5" s="1" t="s">
        <v>677</v>
      </c>
      <c r="CC5" s="1" t="s">
        <v>678</v>
      </c>
      <c r="CD5" s="1" t="s">
        <v>679</v>
      </c>
      <c r="CE5" s="1" t="s">
        <v>680</v>
      </c>
      <c r="CF5" s="1" t="s">
        <v>681</v>
      </c>
      <c r="CG5" s="1" t="s">
        <v>682</v>
      </c>
      <c r="CH5" s="1" t="s">
        <v>676</v>
      </c>
      <c r="CI5" s="1" t="s">
        <v>677</v>
      </c>
      <c r="CJ5" s="1" t="s">
        <v>678</v>
      </c>
      <c r="CK5" s="1" t="s">
        <v>679</v>
      </c>
      <c r="CL5" s="1" t="s">
        <v>680</v>
      </c>
      <c r="CM5" s="1" t="s">
        <v>681</v>
      </c>
      <c r="CN5" s="1" t="s">
        <v>682</v>
      </c>
      <c r="CO5" s="1" t="s">
        <v>676</v>
      </c>
      <c r="CP5" s="1" t="s">
        <v>677</v>
      </c>
      <c r="CQ5" s="1" t="s">
        <v>678</v>
      </c>
      <c r="CR5" s="1" t="s">
        <v>679</v>
      </c>
      <c r="CS5" s="1" t="s">
        <v>680</v>
      </c>
      <c r="CT5" s="1" t="s">
        <v>681</v>
      </c>
      <c r="CU5" s="1" t="s">
        <v>682</v>
      </c>
      <c r="CV5" s="1" t="s">
        <v>676</v>
      </c>
      <c r="CW5" s="1" t="s">
        <v>677</v>
      </c>
      <c r="CX5" s="1" t="s">
        <v>678</v>
      </c>
      <c r="CY5" s="1" t="s">
        <v>679</v>
      </c>
      <c r="CZ5" s="1" t="s">
        <v>680</v>
      </c>
      <c r="DA5" s="1" t="s">
        <v>681</v>
      </c>
      <c r="DB5" s="1" t="s">
        <v>682</v>
      </c>
      <c r="DC5" s="1" t="s">
        <v>676</v>
      </c>
      <c r="DD5" s="1" t="s">
        <v>677</v>
      </c>
      <c r="DE5" s="1" t="s">
        <v>678</v>
      </c>
      <c r="DF5" s="1" t="s">
        <v>679</v>
      </c>
      <c r="DG5" s="1" t="s">
        <v>680</v>
      </c>
      <c r="DH5" s="1" t="s">
        <v>681</v>
      </c>
      <c r="DI5" s="1" t="s">
        <v>682</v>
      </c>
      <c r="DJ5" s="1" t="s">
        <v>676</v>
      </c>
      <c r="DK5" s="1" t="s">
        <v>677</v>
      </c>
      <c r="DL5" s="1" t="s">
        <v>678</v>
      </c>
      <c r="DM5" s="1" t="s">
        <v>679</v>
      </c>
      <c r="DN5" s="1" t="s">
        <v>680</v>
      </c>
      <c r="DO5" s="1" t="s">
        <v>681</v>
      </c>
      <c r="DP5" s="1" t="s">
        <v>682</v>
      </c>
      <c r="DQ5" s="1" t="s">
        <v>676</v>
      </c>
      <c r="DR5" s="1" t="s">
        <v>677</v>
      </c>
      <c r="DS5" s="1" t="s">
        <v>678</v>
      </c>
      <c r="DT5" s="1" t="s">
        <v>679</v>
      </c>
      <c r="DU5" s="1" t="s">
        <v>680</v>
      </c>
      <c r="DV5" s="1" t="s">
        <v>681</v>
      </c>
      <c r="DW5" s="1" t="s">
        <v>682</v>
      </c>
      <c r="DX5" s="1" t="s">
        <v>676</v>
      </c>
      <c r="DY5" s="1" t="s">
        <v>677</v>
      </c>
      <c r="DZ5" s="1" t="s">
        <v>678</v>
      </c>
      <c r="EA5" s="1" t="s">
        <v>679</v>
      </c>
      <c r="EB5" s="1" t="s">
        <v>680</v>
      </c>
      <c r="EC5" s="1" t="s">
        <v>681</v>
      </c>
      <c r="ED5" s="1" t="s">
        <v>682</v>
      </c>
      <c r="EE5" s="1" t="s">
        <v>676</v>
      </c>
      <c r="EF5" s="1" t="s">
        <v>677</v>
      </c>
      <c r="EG5" s="1" t="s">
        <v>678</v>
      </c>
      <c r="EH5" s="1" t="s">
        <v>679</v>
      </c>
      <c r="EI5" s="1" t="s">
        <v>680</v>
      </c>
      <c r="EJ5" s="1" t="s">
        <v>681</v>
      </c>
      <c r="EK5" s="1" t="s">
        <v>682</v>
      </c>
      <c r="EL5" s="1" t="s">
        <v>676</v>
      </c>
      <c r="EM5" s="1" t="s">
        <v>677</v>
      </c>
      <c r="EN5" s="1" t="s">
        <v>678</v>
      </c>
      <c r="EO5" s="1" t="s">
        <v>679</v>
      </c>
      <c r="EP5" s="1" t="s">
        <v>680</v>
      </c>
      <c r="EQ5" s="1" t="s">
        <v>681</v>
      </c>
      <c r="ER5" s="1" t="s">
        <v>682</v>
      </c>
      <c r="ES5" s="1" t="s">
        <v>676</v>
      </c>
      <c r="ET5" s="1" t="s">
        <v>677</v>
      </c>
      <c r="EU5" s="1" t="s">
        <v>678</v>
      </c>
      <c r="EV5" s="1" t="s">
        <v>679</v>
      </c>
      <c r="EW5" s="1" t="s">
        <v>680</v>
      </c>
      <c r="EX5" s="1" t="s">
        <v>681</v>
      </c>
      <c r="EY5" s="1" t="s">
        <v>682</v>
      </c>
      <c r="EZ5" s="1" t="s">
        <v>676</v>
      </c>
      <c r="FA5" s="1" t="s">
        <v>677</v>
      </c>
      <c r="FB5" s="1" t="s">
        <v>678</v>
      </c>
      <c r="FC5" s="1" t="s">
        <v>679</v>
      </c>
      <c r="FD5" s="1" t="s">
        <v>680</v>
      </c>
      <c r="FE5" s="1" t="s">
        <v>681</v>
      </c>
      <c r="FF5" s="1" t="s">
        <v>682</v>
      </c>
      <c r="FG5" s="1" t="s">
        <v>676</v>
      </c>
      <c r="FH5" s="1" t="s">
        <v>677</v>
      </c>
      <c r="FI5" s="1" t="s">
        <v>678</v>
      </c>
      <c r="FJ5" s="1" t="s">
        <v>679</v>
      </c>
      <c r="FK5" s="1" t="s">
        <v>680</v>
      </c>
      <c r="FL5" s="1" t="s">
        <v>681</v>
      </c>
      <c r="FM5" s="1" t="s">
        <v>682</v>
      </c>
      <c r="FN5" s="1" t="s">
        <v>676</v>
      </c>
      <c r="FO5" s="1" t="s">
        <v>677</v>
      </c>
      <c r="FP5" s="1" t="s">
        <v>678</v>
      </c>
      <c r="FQ5" s="1" t="s">
        <v>679</v>
      </c>
      <c r="FR5" s="1" t="s">
        <v>680</v>
      </c>
      <c r="FS5" s="1" t="s">
        <v>681</v>
      </c>
      <c r="FT5" s="1" t="s">
        <v>682</v>
      </c>
      <c r="FU5" s="1" t="s">
        <v>676</v>
      </c>
      <c r="FV5" s="1" t="s">
        <v>677</v>
      </c>
      <c r="FW5" s="1" t="s">
        <v>678</v>
      </c>
      <c r="FX5" s="1" t="s">
        <v>679</v>
      </c>
      <c r="FY5" s="1" t="s">
        <v>680</v>
      </c>
      <c r="FZ5" s="1" t="s">
        <v>681</v>
      </c>
      <c r="GA5" s="1" t="s">
        <v>682</v>
      </c>
      <c r="GB5" s="1" t="s">
        <v>676</v>
      </c>
      <c r="GC5" s="1" t="s">
        <v>677</v>
      </c>
      <c r="GD5" s="1" t="s">
        <v>678</v>
      </c>
      <c r="GE5" s="1" t="s">
        <v>679</v>
      </c>
      <c r="GF5" s="1" t="s">
        <v>680</v>
      </c>
      <c r="GG5" s="1" t="s">
        <v>681</v>
      </c>
      <c r="GH5" s="1" t="s">
        <v>682</v>
      </c>
      <c r="GI5" s="1" t="s">
        <v>676</v>
      </c>
      <c r="GJ5" s="1" t="s">
        <v>677</v>
      </c>
      <c r="GK5" s="1" t="s">
        <v>678</v>
      </c>
      <c r="GL5" s="1" t="s">
        <v>679</v>
      </c>
      <c r="GM5" s="1" t="s">
        <v>680</v>
      </c>
      <c r="GN5" s="1" t="s">
        <v>681</v>
      </c>
      <c r="GO5" s="1" t="s">
        <v>682</v>
      </c>
      <c r="GP5" s="1" t="s">
        <v>676</v>
      </c>
      <c r="GQ5" s="1" t="s">
        <v>677</v>
      </c>
      <c r="GR5" s="1" t="s">
        <v>678</v>
      </c>
      <c r="GS5" s="1" t="s">
        <v>679</v>
      </c>
      <c r="GT5" s="1" t="s">
        <v>680</v>
      </c>
      <c r="GU5" s="1" t="s">
        <v>681</v>
      </c>
      <c r="GV5" s="1" t="s">
        <v>682</v>
      </c>
      <c r="GW5" s="1" t="s">
        <v>676</v>
      </c>
      <c r="GX5" s="1" t="s">
        <v>677</v>
      </c>
      <c r="GY5" s="1" t="s">
        <v>678</v>
      </c>
      <c r="GZ5" s="1" t="s">
        <v>679</v>
      </c>
      <c r="HA5" s="1" t="s">
        <v>680</v>
      </c>
      <c r="HB5" s="1" t="s">
        <v>681</v>
      </c>
      <c r="HC5" s="1" t="s">
        <v>682</v>
      </c>
      <c r="HD5" s="1" t="s">
        <v>676</v>
      </c>
      <c r="HE5" s="1" t="s">
        <v>677</v>
      </c>
      <c r="HF5" s="1" t="s">
        <v>678</v>
      </c>
      <c r="HG5" s="1" t="s">
        <v>679</v>
      </c>
      <c r="HH5" s="1" t="s">
        <v>680</v>
      </c>
      <c r="HI5" s="1" t="s">
        <v>681</v>
      </c>
      <c r="HJ5" s="1" t="s">
        <v>682</v>
      </c>
      <c r="HK5" s="1" t="s">
        <v>676</v>
      </c>
      <c r="HL5" s="1" t="s">
        <v>677</v>
      </c>
      <c r="HM5" s="1" t="s">
        <v>678</v>
      </c>
      <c r="HN5" s="1" t="s">
        <v>679</v>
      </c>
      <c r="HO5" s="1" t="s">
        <v>680</v>
      </c>
    </row>
    <row r="6" spans="1:223">
      <c r="A6" s="1" t="s">
        <v>680</v>
      </c>
      <c r="B6" s="1" t="s">
        <v>683</v>
      </c>
      <c r="C6" s="1" t="s">
        <v>684</v>
      </c>
      <c r="D6" s="1" t="s">
        <v>683</v>
      </c>
      <c r="E6" s="1" t="s">
        <v>684</v>
      </c>
      <c r="F6" s="1" t="s">
        <v>683</v>
      </c>
      <c r="G6" s="1" t="s">
        <v>683</v>
      </c>
      <c r="H6" s="1" t="s">
        <v>683</v>
      </c>
      <c r="I6" s="1" t="s">
        <v>684</v>
      </c>
      <c r="J6" s="1" t="s">
        <v>684</v>
      </c>
      <c r="K6" s="1" t="s">
        <v>683</v>
      </c>
      <c r="L6" s="1" t="s">
        <v>683</v>
      </c>
      <c r="M6" s="1" t="s">
        <v>684</v>
      </c>
      <c r="N6" s="1" t="s">
        <v>683</v>
      </c>
      <c r="O6" s="1" t="s">
        <v>684</v>
      </c>
      <c r="P6" s="1" t="s">
        <v>683</v>
      </c>
      <c r="Q6" s="1" t="s">
        <v>684</v>
      </c>
      <c r="R6" s="1" t="s">
        <v>684</v>
      </c>
      <c r="S6" s="1" t="s">
        <v>684</v>
      </c>
      <c r="T6" s="1" t="s">
        <v>683</v>
      </c>
      <c r="U6" s="1" t="s">
        <v>683</v>
      </c>
      <c r="V6" s="1" t="s">
        <v>684</v>
      </c>
      <c r="W6" s="1" t="s">
        <v>684</v>
      </c>
      <c r="X6" s="1" t="s">
        <v>683</v>
      </c>
      <c r="Y6" s="1" t="s">
        <v>683</v>
      </c>
      <c r="Z6" s="1" t="s">
        <v>683</v>
      </c>
      <c r="AA6" s="1" t="s">
        <v>684</v>
      </c>
      <c r="AB6" s="1" t="s">
        <v>684</v>
      </c>
      <c r="AC6" s="1" t="s">
        <v>683</v>
      </c>
      <c r="AE6" s="1" t="s">
        <v>683</v>
      </c>
      <c r="AF6" s="1" t="s">
        <v>684</v>
      </c>
      <c r="AG6" s="1" t="s">
        <v>684</v>
      </c>
      <c r="AH6" s="1" t="s">
        <v>684</v>
      </c>
    </row>
    <row r="7" spans="1:223">
      <c r="A7" s="1" t="s">
        <v>681</v>
      </c>
      <c r="C7" s="1" t="s">
        <v>683</v>
      </c>
      <c r="D7" s="1" t="s">
        <v>684</v>
      </c>
      <c r="E7" s="1" t="s">
        <v>683</v>
      </c>
      <c r="F7" s="1" t="s">
        <v>684</v>
      </c>
      <c r="G7" s="1" t="s">
        <v>684</v>
      </c>
      <c r="H7" s="1" t="s">
        <v>684</v>
      </c>
      <c r="I7" s="1" t="s">
        <v>684</v>
      </c>
      <c r="K7" s="1" t="s">
        <v>683</v>
      </c>
      <c r="L7" s="1" t="s">
        <v>684</v>
      </c>
      <c r="M7" s="1" t="s">
        <v>683</v>
      </c>
      <c r="N7" s="1" t="s">
        <v>684</v>
      </c>
      <c r="O7" s="1" t="s">
        <v>683</v>
      </c>
      <c r="P7" s="1" t="s">
        <v>684</v>
      </c>
      <c r="Q7" s="1" t="s">
        <v>684</v>
      </c>
      <c r="R7" s="1" t="s">
        <v>683</v>
      </c>
      <c r="S7" s="1" t="s">
        <v>683</v>
      </c>
      <c r="T7" s="1" t="s">
        <v>683</v>
      </c>
      <c r="U7" s="1" t="s">
        <v>683</v>
      </c>
      <c r="V7" s="1" t="s">
        <v>684</v>
      </c>
      <c r="W7" s="1" t="s">
        <v>684</v>
      </c>
      <c r="X7" s="1" t="s">
        <v>684</v>
      </c>
      <c r="Y7" s="1" t="s">
        <v>684</v>
      </c>
      <c r="Z7" s="1" t="s">
        <v>684</v>
      </c>
      <c r="AA7" s="1" t="s">
        <v>683</v>
      </c>
      <c r="AB7" s="1" t="s">
        <v>684</v>
      </c>
      <c r="AC7" s="1" t="s">
        <v>684</v>
      </c>
      <c r="AE7" s="1" t="s">
        <v>684</v>
      </c>
      <c r="AF7" s="1" t="s">
        <v>683</v>
      </c>
      <c r="AG7" s="1" t="s">
        <v>683</v>
      </c>
      <c r="AH7" s="1" t="s">
        <v>683</v>
      </c>
    </row>
    <row r="8" spans="1:223">
      <c r="A8" s="1" t="s">
        <v>682</v>
      </c>
      <c r="C8" s="1" t="s">
        <v>684</v>
      </c>
      <c r="D8" s="1" t="s">
        <v>684</v>
      </c>
      <c r="E8" s="1" t="s">
        <v>684</v>
      </c>
      <c r="F8" s="1" t="s">
        <v>684</v>
      </c>
      <c r="G8" s="1" t="s">
        <v>683</v>
      </c>
      <c r="H8" s="1" t="s">
        <v>684</v>
      </c>
      <c r="I8" s="1" t="s">
        <v>683</v>
      </c>
      <c r="J8" s="1" t="s">
        <v>683</v>
      </c>
      <c r="K8" s="1" t="s">
        <v>683</v>
      </c>
      <c r="L8" s="1" t="s">
        <v>683</v>
      </c>
      <c r="M8" s="1" t="s">
        <v>683</v>
      </c>
      <c r="N8" s="1" t="s">
        <v>684</v>
      </c>
      <c r="O8" s="1" t="s">
        <v>684</v>
      </c>
      <c r="P8" s="1" t="s">
        <v>684</v>
      </c>
      <c r="Q8" s="1" t="s">
        <v>684</v>
      </c>
      <c r="R8" s="1" t="s">
        <v>683</v>
      </c>
      <c r="S8" s="1" t="s">
        <v>684</v>
      </c>
      <c r="T8" s="1" t="s">
        <v>684</v>
      </c>
      <c r="U8" s="1" t="s">
        <v>683</v>
      </c>
      <c r="V8" s="1" t="s">
        <v>684</v>
      </c>
      <c r="W8" s="1" t="s">
        <v>684</v>
      </c>
      <c r="X8" s="1" t="s">
        <v>684</v>
      </c>
      <c r="Y8" s="1" t="s">
        <v>683</v>
      </c>
      <c r="Z8" s="1" t="s">
        <v>684</v>
      </c>
      <c r="AA8" s="1" t="s">
        <v>683</v>
      </c>
      <c r="AB8" s="1" t="s">
        <v>684</v>
      </c>
      <c r="AC8" s="1" t="s">
        <v>684</v>
      </c>
      <c r="AE8" s="1" t="s">
        <v>684</v>
      </c>
      <c r="AF8" s="1" t="s">
        <v>683</v>
      </c>
      <c r="AG8" s="1" t="s">
        <v>683</v>
      </c>
      <c r="AH8" s="1" t="s">
        <v>683</v>
      </c>
    </row>
    <row r="9" spans="1:223">
      <c r="A9" s="1" t="s">
        <v>676</v>
      </c>
      <c r="C9" s="1" t="s">
        <v>684</v>
      </c>
      <c r="D9" s="1" t="s">
        <v>683</v>
      </c>
      <c r="E9" s="1" t="s">
        <v>684</v>
      </c>
      <c r="F9" s="1" t="s">
        <v>683</v>
      </c>
      <c r="G9" s="1" t="s">
        <v>684</v>
      </c>
      <c r="H9" s="1" t="s">
        <v>683</v>
      </c>
      <c r="I9" s="1" t="s">
        <v>684</v>
      </c>
      <c r="J9" s="1" t="s">
        <v>684</v>
      </c>
      <c r="K9" s="1" t="s">
        <v>684</v>
      </c>
      <c r="L9" s="1" t="s">
        <v>683</v>
      </c>
      <c r="M9" s="1" t="s">
        <v>684</v>
      </c>
      <c r="N9" s="1" t="s">
        <v>684</v>
      </c>
      <c r="O9" s="1" t="s">
        <v>683</v>
      </c>
      <c r="P9" s="1" t="s">
        <v>684</v>
      </c>
      <c r="Q9" s="1" t="s">
        <v>684</v>
      </c>
      <c r="R9" s="1" t="s">
        <v>684</v>
      </c>
      <c r="S9" s="1" t="s">
        <v>684</v>
      </c>
      <c r="T9" s="1" t="s">
        <v>683</v>
      </c>
      <c r="U9" s="1" t="s">
        <v>684</v>
      </c>
      <c r="V9" s="1" t="s">
        <v>684</v>
      </c>
      <c r="W9" s="1" t="s">
        <v>683</v>
      </c>
      <c r="X9" s="1" t="s">
        <v>683</v>
      </c>
      <c r="Y9" s="1" t="s">
        <v>684</v>
      </c>
      <c r="Z9" s="1" t="s">
        <v>684</v>
      </c>
      <c r="AA9" s="1" t="s">
        <v>683</v>
      </c>
      <c r="AB9" s="1" t="s">
        <v>683</v>
      </c>
      <c r="AC9" s="1" t="s">
        <v>684</v>
      </c>
      <c r="AE9" s="1" t="s">
        <v>683</v>
      </c>
      <c r="AF9" s="1" t="s">
        <v>684</v>
      </c>
      <c r="AG9" s="1" t="s">
        <v>683</v>
      </c>
      <c r="AH9" s="1" t="s">
        <v>684</v>
      </c>
    </row>
    <row r="10" spans="1:223">
      <c r="A10" s="1" t="s">
        <v>677</v>
      </c>
      <c r="C10" s="1" t="s">
        <v>683</v>
      </c>
      <c r="D10" s="1" t="s">
        <v>684</v>
      </c>
      <c r="E10" s="1" t="s">
        <v>684</v>
      </c>
      <c r="F10" s="1" t="s">
        <v>684</v>
      </c>
      <c r="G10" s="1" t="s">
        <v>684</v>
      </c>
      <c r="H10" s="1" t="s">
        <v>683</v>
      </c>
      <c r="I10" s="1" t="s">
        <v>683</v>
      </c>
      <c r="K10" s="1" t="s">
        <v>684</v>
      </c>
      <c r="L10" s="1" t="s">
        <v>683</v>
      </c>
      <c r="M10" s="1" t="s">
        <v>684</v>
      </c>
      <c r="N10" s="1" t="s">
        <v>684</v>
      </c>
      <c r="O10" s="1" t="s">
        <v>684</v>
      </c>
      <c r="P10" s="1" t="s">
        <v>684</v>
      </c>
      <c r="Q10" s="1" t="s">
        <v>683</v>
      </c>
      <c r="R10" s="1" t="s">
        <v>683</v>
      </c>
      <c r="S10" s="1" t="s">
        <v>683</v>
      </c>
      <c r="T10" s="1" t="s">
        <v>684</v>
      </c>
      <c r="U10" s="1" t="s">
        <v>684</v>
      </c>
      <c r="V10" s="1" t="s">
        <v>684</v>
      </c>
      <c r="W10" s="1" t="s">
        <v>683</v>
      </c>
      <c r="X10" s="1" t="s">
        <v>683</v>
      </c>
      <c r="Y10" s="1" t="s">
        <v>684</v>
      </c>
      <c r="Z10" s="1" t="s">
        <v>683</v>
      </c>
      <c r="AA10" s="1" t="s">
        <v>684</v>
      </c>
      <c r="AB10" s="1" t="s">
        <v>684</v>
      </c>
      <c r="AC10" s="1" t="s">
        <v>684</v>
      </c>
      <c r="AE10" s="1" t="s">
        <v>684</v>
      </c>
      <c r="AF10" s="1" t="s">
        <v>683</v>
      </c>
      <c r="AH10" s="1" t="s">
        <v>684</v>
      </c>
    </row>
    <row r="11" spans="1:223">
      <c r="A11" s="1" t="s">
        <v>678</v>
      </c>
      <c r="C11" s="1" t="s">
        <v>684</v>
      </c>
      <c r="D11" s="1" t="s">
        <v>684</v>
      </c>
      <c r="E11" s="1" t="s">
        <v>684</v>
      </c>
      <c r="F11" s="1" t="s">
        <v>684</v>
      </c>
      <c r="G11" s="1" t="s">
        <v>684</v>
      </c>
      <c r="H11" s="1" t="s">
        <v>684</v>
      </c>
      <c r="I11" s="1" t="s">
        <v>684</v>
      </c>
      <c r="K11" s="1" t="s">
        <v>684</v>
      </c>
      <c r="L11" s="1" t="s">
        <v>684</v>
      </c>
      <c r="M11" s="1" t="s">
        <v>684</v>
      </c>
      <c r="N11" s="1" t="s">
        <v>683</v>
      </c>
      <c r="O11" s="1" t="s">
        <v>684</v>
      </c>
      <c r="P11" s="1" t="s">
        <v>684</v>
      </c>
      <c r="Q11" s="1" t="s">
        <v>684</v>
      </c>
      <c r="R11" s="1" t="s">
        <v>684</v>
      </c>
      <c r="S11" s="1" t="s">
        <v>684</v>
      </c>
      <c r="T11" s="1" t="s">
        <v>684</v>
      </c>
      <c r="U11" s="1" t="s">
        <v>684</v>
      </c>
      <c r="V11" s="1" t="s">
        <v>684</v>
      </c>
      <c r="W11" s="1" t="s">
        <v>683</v>
      </c>
      <c r="X11" s="1" t="s">
        <v>683</v>
      </c>
      <c r="Y11" s="1" t="s">
        <v>683</v>
      </c>
      <c r="Z11" s="1" t="s">
        <v>683</v>
      </c>
      <c r="AA11" s="1" t="s">
        <v>684</v>
      </c>
      <c r="AB11" s="1" t="s">
        <v>683</v>
      </c>
      <c r="AC11" s="1" t="s">
        <v>683</v>
      </c>
      <c r="AE11" s="1" t="s">
        <v>683</v>
      </c>
      <c r="AF11" s="1" t="s">
        <v>683</v>
      </c>
      <c r="AG11" s="1" t="s">
        <v>683</v>
      </c>
      <c r="AH11" s="1" t="s">
        <v>683</v>
      </c>
    </row>
    <row r="12" spans="1:223">
      <c r="A12" s="1" t="s">
        <v>685</v>
      </c>
      <c r="C12" s="1" t="s">
        <v>683</v>
      </c>
      <c r="D12" s="1" t="s">
        <v>683</v>
      </c>
      <c r="E12" s="1" t="s">
        <v>683</v>
      </c>
      <c r="F12" s="1" t="s">
        <v>683</v>
      </c>
      <c r="G12" s="1" t="s">
        <v>683</v>
      </c>
      <c r="H12" s="1" t="s">
        <v>684</v>
      </c>
      <c r="I12" s="1" t="s">
        <v>683</v>
      </c>
      <c r="K12" s="1" t="s">
        <v>684</v>
      </c>
      <c r="L12" s="1" t="s">
        <v>684</v>
      </c>
      <c r="M12" s="1" t="s">
        <v>684</v>
      </c>
      <c r="N12" s="1" t="s">
        <v>684</v>
      </c>
      <c r="O12" s="1" t="s">
        <v>683</v>
      </c>
      <c r="P12" s="1" t="s">
        <v>684</v>
      </c>
      <c r="R12" s="1" t="s">
        <v>684</v>
      </c>
      <c r="S12" s="1" t="s">
        <v>683</v>
      </c>
      <c r="T12" s="1" t="s">
        <v>684</v>
      </c>
      <c r="U12" s="1" t="s">
        <v>683</v>
      </c>
      <c r="V12" s="1" t="s">
        <v>684</v>
      </c>
      <c r="W12" s="1" t="s">
        <v>684</v>
      </c>
      <c r="X12" s="1" t="s">
        <v>684</v>
      </c>
      <c r="Y12" s="1" t="s">
        <v>683</v>
      </c>
      <c r="Z12" s="1" t="s">
        <v>683</v>
      </c>
      <c r="AA12" s="1" t="s">
        <v>684</v>
      </c>
      <c r="AB12" s="1" t="s">
        <v>683</v>
      </c>
      <c r="AC12" s="1" t="s">
        <v>684</v>
      </c>
      <c r="AE12" s="1" t="s">
        <v>683</v>
      </c>
      <c r="AF12" s="1" t="s">
        <v>684</v>
      </c>
      <c r="AG12" s="1" t="s">
        <v>684</v>
      </c>
      <c r="AH12" s="1" t="s">
        <v>683</v>
      </c>
    </row>
    <row r="13" spans="1:223">
      <c r="A13" s="1" t="s">
        <v>686</v>
      </c>
      <c r="C13" s="1" t="s">
        <v>684</v>
      </c>
      <c r="D13" s="1" t="s">
        <v>684</v>
      </c>
      <c r="E13" s="1" t="s">
        <v>684</v>
      </c>
      <c r="F13" s="1" t="s">
        <v>683</v>
      </c>
      <c r="G13" s="1" t="s">
        <v>683</v>
      </c>
      <c r="H13" s="1" t="s">
        <v>683</v>
      </c>
      <c r="I13" s="1" t="s">
        <v>684</v>
      </c>
      <c r="K13" s="1" t="s">
        <v>684</v>
      </c>
      <c r="L13" s="1" t="s">
        <v>684</v>
      </c>
      <c r="M13" s="1" t="s">
        <v>683</v>
      </c>
      <c r="N13" s="1" t="s">
        <v>684</v>
      </c>
      <c r="O13" s="1" t="s">
        <v>683</v>
      </c>
      <c r="P13" s="1" t="s">
        <v>683</v>
      </c>
      <c r="R13" s="1" t="s">
        <v>684</v>
      </c>
      <c r="S13" s="1" t="s">
        <v>684</v>
      </c>
      <c r="T13" s="1" t="s">
        <v>684</v>
      </c>
      <c r="U13" s="1" t="s">
        <v>683</v>
      </c>
      <c r="V13" s="1" t="s">
        <v>684</v>
      </c>
      <c r="W13" s="1" t="s">
        <v>683</v>
      </c>
      <c r="X13" s="1" t="s">
        <v>683</v>
      </c>
      <c r="Y13" s="1" t="s">
        <v>683</v>
      </c>
      <c r="Z13" s="1" t="s">
        <v>683</v>
      </c>
      <c r="AA13" s="1" t="s">
        <v>684</v>
      </c>
      <c r="AB13" s="1" t="s">
        <v>683</v>
      </c>
      <c r="AC13" s="1" t="s">
        <v>684</v>
      </c>
      <c r="AE13" s="1" t="s">
        <v>684</v>
      </c>
      <c r="AF13" s="1" t="s">
        <v>684</v>
      </c>
      <c r="AG13" s="1" t="s">
        <v>684</v>
      </c>
      <c r="AH13" s="1" t="s">
        <v>684</v>
      </c>
    </row>
    <row r="14" spans="1:223">
      <c r="A14" s="1" t="s">
        <v>687</v>
      </c>
      <c r="C14" s="1" t="s">
        <v>683</v>
      </c>
      <c r="E14" s="1" t="s">
        <v>683</v>
      </c>
      <c r="F14" s="1" t="s">
        <v>683</v>
      </c>
      <c r="G14" s="1" t="s">
        <v>684</v>
      </c>
      <c r="H14" s="1" t="s">
        <v>684</v>
      </c>
      <c r="I14" s="1" t="s">
        <v>683</v>
      </c>
      <c r="K14" s="1" t="s">
        <v>683</v>
      </c>
      <c r="L14" s="1" t="s">
        <v>683</v>
      </c>
      <c r="M14" s="1" t="s">
        <v>684</v>
      </c>
      <c r="N14" s="1" t="s">
        <v>683</v>
      </c>
      <c r="O14" s="1" t="s">
        <v>684</v>
      </c>
      <c r="P14" s="1" t="s">
        <v>683</v>
      </c>
      <c r="R14" s="1" t="s">
        <v>683</v>
      </c>
      <c r="S14" s="1" t="s">
        <v>684</v>
      </c>
      <c r="T14" s="1" t="s">
        <v>684</v>
      </c>
      <c r="U14" s="1" t="s">
        <v>683</v>
      </c>
      <c r="V14" s="1" t="s">
        <v>683</v>
      </c>
      <c r="W14" s="1" t="s">
        <v>683</v>
      </c>
      <c r="X14" s="1" t="s">
        <v>684</v>
      </c>
      <c r="Y14" s="1" t="s">
        <v>684</v>
      </c>
      <c r="Z14" s="1" t="s">
        <v>683</v>
      </c>
      <c r="AA14" s="1" t="s">
        <v>683</v>
      </c>
      <c r="AB14" s="1" t="s">
        <v>684</v>
      </c>
      <c r="AC14" s="1" t="s">
        <v>683</v>
      </c>
      <c r="AE14" s="1" t="s">
        <v>683</v>
      </c>
      <c r="AF14" s="1" t="s">
        <v>683</v>
      </c>
      <c r="AG14" s="1" t="s">
        <v>683</v>
      </c>
      <c r="AH14" s="1" t="s">
        <v>683</v>
      </c>
    </row>
    <row r="15" spans="1:223">
      <c r="A15" s="1" t="s">
        <v>688</v>
      </c>
      <c r="C15" s="1" t="s">
        <v>683</v>
      </c>
      <c r="E15" s="1" t="s">
        <v>683</v>
      </c>
      <c r="F15" s="1" t="s">
        <v>683</v>
      </c>
      <c r="G15" s="1" t="s">
        <v>683</v>
      </c>
      <c r="H15" s="1" t="s">
        <v>683</v>
      </c>
      <c r="I15" s="1" t="s">
        <v>683</v>
      </c>
      <c r="K15" s="1" t="s">
        <v>683</v>
      </c>
      <c r="L15" s="1" t="s">
        <v>683</v>
      </c>
      <c r="M15" s="1" t="s">
        <v>684</v>
      </c>
      <c r="N15" s="1" t="s">
        <v>684</v>
      </c>
      <c r="O15" s="1" t="s">
        <v>683</v>
      </c>
      <c r="P15" s="1" t="s">
        <v>684</v>
      </c>
      <c r="R15" s="1" t="s">
        <v>684</v>
      </c>
      <c r="S15" s="1" t="s">
        <v>684</v>
      </c>
      <c r="T15" s="1" t="s">
        <v>684</v>
      </c>
      <c r="U15" s="1" t="s">
        <v>683</v>
      </c>
      <c r="V15" s="1" t="s">
        <v>684</v>
      </c>
      <c r="W15" s="1" t="s">
        <v>683</v>
      </c>
      <c r="X15" s="1" t="s">
        <v>684</v>
      </c>
      <c r="Y15" s="1" t="s">
        <v>684</v>
      </c>
      <c r="Z15" s="1" t="s">
        <v>684</v>
      </c>
      <c r="AA15" s="1" t="s">
        <v>684</v>
      </c>
      <c r="AB15" s="1" t="s">
        <v>683</v>
      </c>
      <c r="AC15" s="1" t="s">
        <v>684</v>
      </c>
      <c r="AF15" s="1" t="s">
        <v>684</v>
      </c>
      <c r="AG15" s="1" t="s">
        <v>684</v>
      </c>
      <c r="AH15" s="1" t="s">
        <v>684</v>
      </c>
    </row>
    <row r="16" spans="1:223">
      <c r="A16" s="1" t="s">
        <v>689</v>
      </c>
      <c r="C16" s="1" t="s">
        <v>683</v>
      </c>
      <c r="E16" s="1" t="s">
        <v>683</v>
      </c>
      <c r="F16" s="1" t="s">
        <v>684</v>
      </c>
      <c r="G16" s="1" t="s">
        <v>684</v>
      </c>
      <c r="H16" s="1" t="s">
        <v>683</v>
      </c>
      <c r="I16" s="1" t="s">
        <v>684</v>
      </c>
      <c r="L16" s="1" t="s">
        <v>684</v>
      </c>
      <c r="M16" s="1" t="s">
        <v>684</v>
      </c>
      <c r="N16" s="1" t="s">
        <v>684</v>
      </c>
      <c r="O16" s="1" t="s">
        <v>684</v>
      </c>
      <c r="P16" s="1" t="s">
        <v>684</v>
      </c>
      <c r="R16" s="1" t="s">
        <v>684</v>
      </c>
      <c r="S16" s="1" t="s">
        <v>683</v>
      </c>
      <c r="T16" s="1" t="s">
        <v>684</v>
      </c>
      <c r="V16" s="1" t="s">
        <v>684</v>
      </c>
      <c r="W16" s="1" t="s">
        <v>683</v>
      </c>
      <c r="Y16" s="1" t="s">
        <v>683</v>
      </c>
      <c r="Z16" s="1" t="s">
        <v>684</v>
      </c>
      <c r="AA16" s="1" t="s">
        <v>684</v>
      </c>
      <c r="AC16" s="1" t="s">
        <v>684</v>
      </c>
      <c r="AF16" s="1" t="s">
        <v>683</v>
      </c>
      <c r="AG16" s="1" t="s">
        <v>683</v>
      </c>
      <c r="AH16" s="1" t="s">
        <v>684</v>
      </c>
    </row>
    <row r="17" spans="1:34">
      <c r="A17" s="1" t="s">
        <v>690</v>
      </c>
      <c r="E17" s="1" t="s">
        <v>683</v>
      </c>
      <c r="F17" s="1" t="s">
        <v>683</v>
      </c>
      <c r="G17" s="1" t="s">
        <v>684</v>
      </c>
      <c r="H17" s="1" t="s">
        <v>683</v>
      </c>
      <c r="I17" s="1" t="s">
        <v>684</v>
      </c>
      <c r="K17" s="1" t="s">
        <v>683</v>
      </c>
      <c r="M17" s="1" t="s">
        <v>683</v>
      </c>
      <c r="N17" s="1" t="s">
        <v>684</v>
      </c>
      <c r="O17" s="1" t="s">
        <v>684</v>
      </c>
      <c r="P17" s="1" t="s">
        <v>683</v>
      </c>
      <c r="R17" s="1" t="s">
        <v>684</v>
      </c>
      <c r="S17" s="1" t="s">
        <v>684</v>
      </c>
      <c r="T17" s="1" t="s">
        <v>683</v>
      </c>
      <c r="V17" s="1" t="s">
        <v>684</v>
      </c>
      <c r="W17" s="1" t="s">
        <v>683</v>
      </c>
      <c r="Y17" s="1" t="s">
        <v>683</v>
      </c>
      <c r="Z17" s="1" t="s">
        <v>683</v>
      </c>
      <c r="AA17" s="1" t="s">
        <v>683</v>
      </c>
      <c r="AC17" s="1" t="s">
        <v>684</v>
      </c>
      <c r="AF17" s="1" t="s">
        <v>683</v>
      </c>
      <c r="AG17" s="1" t="s">
        <v>684</v>
      </c>
      <c r="AH17" s="1" t="s">
        <v>684</v>
      </c>
    </row>
    <row r="18" spans="1:34">
      <c r="A18" s="1" t="s">
        <v>691</v>
      </c>
      <c r="E18" s="1" t="s">
        <v>683</v>
      </c>
      <c r="G18" s="1" t="s">
        <v>684</v>
      </c>
      <c r="H18" s="1" t="s">
        <v>683</v>
      </c>
      <c r="I18" s="1" t="s">
        <v>683</v>
      </c>
      <c r="K18" s="1" t="s">
        <v>684</v>
      </c>
      <c r="L18" s="1" t="s">
        <v>683</v>
      </c>
      <c r="M18" s="1" t="s">
        <v>684</v>
      </c>
      <c r="N18" s="1" t="s">
        <v>683</v>
      </c>
      <c r="O18" s="1" t="s">
        <v>684</v>
      </c>
      <c r="P18" s="1" t="s">
        <v>684</v>
      </c>
      <c r="R18" s="1" t="s">
        <v>684</v>
      </c>
      <c r="S18" s="1" t="s">
        <v>683</v>
      </c>
      <c r="T18" s="1" t="s">
        <v>684</v>
      </c>
      <c r="V18" s="1" t="s">
        <v>683</v>
      </c>
      <c r="W18" s="1" t="s">
        <v>683</v>
      </c>
      <c r="Y18" s="1" t="s">
        <v>683</v>
      </c>
      <c r="Z18" s="1" t="s">
        <v>684</v>
      </c>
      <c r="AA18" s="1" t="s">
        <v>684</v>
      </c>
      <c r="AC18" s="1" t="s">
        <v>684</v>
      </c>
      <c r="AF18" s="1" t="s">
        <v>684</v>
      </c>
      <c r="AG18" s="1" t="s">
        <v>684</v>
      </c>
      <c r="AH18" s="1" t="s">
        <v>683</v>
      </c>
    </row>
    <row r="19" spans="1:34">
      <c r="A19" s="1" t="s">
        <v>692</v>
      </c>
      <c r="E19" s="1" t="s">
        <v>684</v>
      </c>
      <c r="G19" s="1" t="s">
        <v>683</v>
      </c>
      <c r="H19" s="1" t="s">
        <v>683</v>
      </c>
      <c r="I19" s="1" t="s">
        <v>683</v>
      </c>
      <c r="K19" s="1" t="s">
        <v>684</v>
      </c>
      <c r="L19" s="1" t="s">
        <v>684</v>
      </c>
      <c r="M19" s="1" t="s">
        <v>684</v>
      </c>
      <c r="O19" s="1" t="s">
        <v>683</v>
      </c>
      <c r="P19" s="1" t="s">
        <v>684</v>
      </c>
      <c r="R19" s="1" t="s">
        <v>683</v>
      </c>
      <c r="S19" s="1" t="s">
        <v>683</v>
      </c>
      <c r="T19" s="1" t="s">
        <v>684</v>
      </c>
      <c r="V19" s="1" t="s">
        <v>684</v>
      </c>
      <c r="W19" s="1" t="s">
        <v>683</v>
      </c>
      <c r="Y19" s="1" t="s">
        <v>683</v>
      </c>
      <c r="Z19" s="1" t="s">
        <v>683</v>
      </c>
      <c r="AA19" s="1" t="s">
        <v>683</v>
      </c>
      <c r="AC19" s="1" t="s">
        <v>684</v>
      </c>
      <c r="AF19" s="1" t="s">
        <v>683</v>
      </c>
      <c r="AG19" s="1" t="s">
        <v>684</v>
      </c>
      <c r="AH19" s="1" t="s">
        <v>683</v>
      </c>
    </row>
    <row r="20" spans="1:34">
      <c r="A20" s="1" t="s">
        <v>693</v>
      </c>
      <c r="E20" s="1" t="s">
        <v>683</v>
      </c>
      <c r="G20" s="1" t="s">
        <v>684</v>
      </c>
      <c r="I20" s="1" t="s">
        <v>683</v>
      </c>
      <c r="K20" s="1" t="s">
        <v>683</v>
      </c>
      <c r="L20" s="1" t="s">
        <v>683</v>
      </c>
      <c r="M20" s="1" t="s">
        <v>684</v>
      </c>
      <c r="O20" s="1" t="s">
        <v>684</v>
      </c>
      <c r="P20" s="1" t="s">
        <v>684</v>
      </c>
      <c r="R20" s="1" t="s">
        <v>684</v>
      </c>
      <c r="S20" s="1" t="s">
        <v>684</v>
      </c>
      <c r="T20" s="1" t="s">
        <v>684</v>
      </c>
      <c r="V20" s="1" t="s">
        <v>684</v>
      </c>
      <c r="W20" s="1" t="s">
        <v>683</v>
      </c>
      <c r="Y20" s="1" t="s">
        <v>684</v>
      </c>
      <c r="Z20" s="1" t="s">
        <v>683</v>
      </c>
      <c r="AA20" s="1" t="s">
        <v>683</v>
      </c>
      <c r="AC20" s="1" t="s">
        <v>684</v>
      </c>
      <c r="AG20" s="1" t="s">
        <v>684</v>
      </c>
      <c r="AH20" s="1" t="s">
        <v>683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300"/>
  <sheetViews>
    <sheetView workbookViewId="0">
      <selection sqref="A1:C2"/>
    </sheetView>
  </sheetViews>
  <sheetFormatPr defaultRowHeight="15"/>
  <cols>
    <col min="1" max="1" width="11.25" bestFit="1" customWidth="1"/>
    <col min="15" max="15" width="9.875" bestFit="1" customWidth="1"/>
    <col min="238" max="257" width="13" hidden="1" customWidth="1"/>
  </cols>
  <sheetData>
    <row r="1" spans="1:257">
      <c r="A1" s="108" t="s">
        <v>33</v>
      </c>
      <c r="B1" s="78"/>
      <c r="C1" s="7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 t="s">
        <v>674</v>
      </c>
      <c r="P1" s="6">
        <v>1</v>
      </c>
      <c r="Q1" s="6">
        <v>2</v>
      </c>
      <c r="R1" s="6">
        <v>3</v>
      </c>
      <c r="S1" s="6">
        <v>4</v>
      </c>
      <c r="T1" s="6">
        <v>5</v>
      </c>
      <c r="U1" s="6">
        <v>6</v>
      </c>
      <c r="V1" s="6">
        <v>7</v>
      </c>
      <c r="W1" s="6">
        <v>8</v>
      </c>
      <c r="X1" s="6">
        <v>9</v>
      </c>
      <c r="Y1" s="6">
        <v>10</v>
      </c>
      <c r="Z1" s="6">
        <v>11</v>
      </c>
      <c r="AA1" s="6">
        <v>12</v>
      </c>
      <c r="AB1" s="6">
        <v>13</v>
      </c>
      <c r="AC1" s="6">
        <v>14</v>
      </c>
      <c r="AD1" s="6">
        <v>15</v>
      </c>
      <c r="AE1" s="6">
        <v>16</v>
      </c>
      <c r="AF1" s="6">
        <v>17</v>
      </c>
      <c r="AG1" s="6">
        <v>18</v>
      </c>
      <c r="AH1" s="6">
        <v>19</v>
      </c>
      <c r="AI1" s="6">
        <v>20</v>
      </c>
      <c r="AJ1" s="6">
        <v>21</v>
      </c>
      <c r="AK1" s="6">
        <v>22</v>
      </c>
      <c r="AL1" s="6">
        <v>23</v>
      </c>
      <c r="AM1" s="6">
        <v>24</v>
      </c>
      <c r="AN1" s="6">
        <v>25</v>
      </c>
      <c r="AO1" s="6">
        <v>26</v>
      </c>
      <c r="AP1" s="6">
        <v>27</v>
      </c>
      <c r="AQ1" s="6">
        <v>28</v>
      </c>
      <c r="AR1" s="6">
        <v>29</v>
      </c>
      <c r="AS1" s="6">
        <v>30</v>
      </c>
      <c r="AT1" s="6">
        <v>31</v>
      </c>
      <c r="AU1" s="6">
        <v>32</v>
      </c>
      <c r="AV1" s="6">
        <v>33</v>
      </c>
      <c r="AW1" s="6">
        <v>34</v>
      </c>
      <c r="AX1" s="6">
        <v>35</v>
      </c>
      <c r="AY1" s="6">
        <v>36</v>
      </c>
      <c r="AZ1" s="6">
        <v>37</v>
      </c>
      <c r="BA1" s="6">
        <v>38</v>
      </c>
      <c r="BB1" s="6">
        <v>39</v>
      </c>
      <c r="BC1" s="6">
        <v>40</v>
      </c>
      <c r="BD1" s="6">
        <v>41</v>
      </c>
      <c r="BE1" s="6">
        <v>42</v>
      </c>
      <c r="BF1" s="6">
        <v>43</v>
      </c>
      <c r="BG1" s="6">
        <v>44</v>
      </c>
      <c r="BH1" s="6">
        <v>45</v>
      </c>
      <c r="BI1" s="6">
        <v>46</v>
      </c>
      <c r="BJ1" s="6">
        <v>47</v>
      </c>
      <c r="BK1" s="6">
        <v>48</v>
      </c>
      <c r="BL1" s="6">
        <v>49</v>
      </c>
      <c r="BM1" s="6">
        <v>50</v>
      </c>
      <c r="BN1" s="6">
        <v>51</v>
      </c>
      <c r="BO1" s="6">
        <v>52</v>
      </c>
      <c r="BP1" s="6">
        <v>53</v>
      </c>
      <c r="BQ1" s="6">
        <v>54</v>
      </c>
      <c r="BR1" s="6">
        <v>55</v>
      </c>
      <c r="BS1" s="6">
        <v>56</v>
      </c>
      <c r="BT1" s="6">
        <v>57</v>
      </c>
      <c r="BU1" s="6">
        <v>58</v>
      </c>
      <c r="BV1" s="6">
        <v>59</v>
      </c>
      <c r="BW1" s="6">
        <v>60</v>
      </c>
      <c r="BX1" s="6">
        <v>61</v>
      </c>
      <c r="BY1" s="6">
        <v>62</v>
      </c>
      <c r="BZ1" s="6">
        <v>63</v>
      </c>
      <c r="CA1" s="6">
        <v>64</v>
      </c>
      <c r="CB1" s="6">
        <v>65</v>
      </c>
      <c r="CC1" s="6">
        <v>66</v>
      </c>
      <c r="CD1" s="6">
        <v>67</v>
      </c>
      <c r="CE1" s="6">
        <v>68</v>
      </c>
      <c r="CF1" s="6">
        <v>69</v>
      </c>
      <c r="CG1" s="6">
        <v>70</v>
      </c>
      <c r="CH1" s="6">
        <v>71</v>
      </c>
      <c r="CI1" s="6">
        <v>72</v>
      </c>
      <c r="CJ1" s="6">
        <v>73</v>
      </c>
      <c r="CK1" s="6">
        <v>74</v>
      </c>
      <c r="CL1" s="6">
        <v>75</v>
      </c>
      <c r="CM1" s="6">
        <v>76</v>
      </c>
      <c r="CN1" s="6">
        <v>77</v>
      </c>
      <c r="CO1" s="6">
        <v>78</v>
      </c>
      <c r="CP1" s="6">
        <v>79</v>
      </c>
      <c r="CQ1" s="6">
        <v>80</v>
      </c>
      <c r="CR1" s="6">
        <v>81</v>
      </c>
      <c r="CS1" s="6">
        <v>82</v>
      </c>
      <c r="CT1" s="6">
        <v>83</v>
      </c>
      <c r="CU1" s="6">
        <v>84</v>
      </c>
      <c r="CV1" s="6">
        <v>85</v>
      </c>
      <c r="CW1" s="6">
        <v>86</v>
      </c>
      <c r="CX1" s="6">
        <v>87</v>
      </c>
      <c r="CY1" s="6">
        <v>88</v>
      </c>
      <c r="CZ1" s="6">
        <v>89</v>
      </c>
      <c r="DA1" s="6">
        <v>90</v>
      </c>
      <c r="DB1" s="6">
        <v>91</v>
      </c>
      <c r="DC1" s="6">
        <v>92</v>
      </c>
      <c r="DD1" s="6">
        <v>93</v>
      </c>
      <c r="DE1" s="6">
        <v>94</v>
      </c>
      <c r="DF1" s="6">
        <v>95</v>
      </c>
      <c r="DG1" s="6">
        <v>96</v>
      </c>
      <c r="DH1" s="6">
        <v>97</v>
      </c>
      <c r="DI1" s="6">
        <v>98</v>
      </c>
      <c r="DJ1" s="6">
        <v>99</v>
      </c>
      <c r="DK1" s="6">
        <v>100</v>
      </c>
      <c r="DL1" s="6">
        <v>101</v>
      </c>
      <c r="DM1" s="6">
        <v>102</v>
      </c>
      <c r="DN1" s="6">
        <v>103</v>
      </c>
      <c r="DO1" s="6">
        <v>104</v>
      </c>
      <c r="DP1" s="6">
        <v>105</v>
      </c>
      <c r="DQ1" s="6">
        <v>106</v>
      </c>
      <c r="DR1" s="6">
        <v>107</v>
      </c>
      <c r="DS1" s="6">
        <v>108</v>
      </c>
      <c r="DT1" s="6">
        <v>109</v>
      </c>
      <c r="DU1" s="6">
        <v>110</v>
      </c>
      <c r="DV1" s="6">
        <v>111</v>
      </c>
      <c r="DW1" s="6">
        <v>112</v>
      </c>
      <c r="DX1" s="6">
        <v>113</v>
      </c>
      <c r="DY1" s="6">
        <v>114</v>
      </c>
      <c r="DZ1" s="6">
        <v>115</v>
      </c>
      <c r="EA1" s="6">
        <v>116</v>
      </c>
      <c r="EB1" s="6">
        <v>117</v>
      </c>
      <c r="EC1" s="6">
        <v>118</v>
      </c>
      <c r="ED1" s="6">
        <v>119</v>
      </c>
      <c r="EE1" s="6">
        <v>120</v>
      </c>
      <c r="EF1" s="6">
        <v>121</v>
      </c>
      <c r="EG1" s="6">
        <v>122</v>
      </c>
      <c r="EH1" s="6">
        <v>123</v>
      </c>
      <c r="EI1" s="6">
        <v>124</v>
      </c>
      <c r="EJ1" s="6">
        <v>125</v>
      </c>
      <c r="EK1" s="6">
        <v>126</v>
      </c>
      <c r="EL1" s="6">
        <v>127</v>
      </c>
      <c r="EM1" s="6">
        <v>128</v>
      </c>
      <c r="EN1" s="6">
        <v>129</v>
      </c>
      <c r="EO1" s="6">
        <v>130</v>
      </c>
      <c r="EP1" s="6">
        <v>131</v>
      </c>
      <c r="EQ1" s="6">
        <v>132</v>
      </c>
      <c r="ER1" s="6">
        <v>133</v>
      </c>
      <c r="ES1" s="6">
        <v>134</v>
      </c>
      <c r="ET1" s="6">
        <v>135</v>
      </c>
      <c r="EU1" s="6">
        <v>136</v>
      </c>
      <c r="EV1" s="6">
        <v>137</v>
      </c>
      <c r="EW1" s="6">
        <v>138</v>
      </c>
      <c r="EX1" s="6">
        <v>139</v>
      </c>
      <c r="EY1" s="6">
        <v>140</v>
      </c>
      <c r="EZ1" s="6">
        <v>141</v>
      </c>
      <c r="FA1" s="6">
        <v>142</v>
      </c>
      <c r="FB1" s="6">
        <v>143</v>
      </c>
      <c r="FC1" s="6">
        <v>144</v>
      </c>
      <c r="FD1" s="6">
        <v>145</v>
      </c>
      <c r="FE1" s="6">
        <v>146</v>
      </c>
      <c r="FF1" s="6">
        <v>147</v>
      </c>
      <c r="FG1" s="6">
        <v>148</v>
      </c>
      <c r="FH1" s="6">
        <v>149</v>
      </c>
      <c r="FI1" s="6">
        <v>150</v>
      </c>
      <c r="FJ1" s="6">
        <v>151</v>
      </c>
      <c r="FK1" s="6">
        <v>152</v>
      </c>
      <c r="FL1" s="6">
        <v>153</v>
      </c>
      <c r="FM1" s="6">
        <v>154</v>
      </c>
      <c r="FN1" s="6">
        <v>155</v>
      </c>
      <c r="FO1" s="6">
        <v>156</v>
      </c>
      <c r="FP1" s="6">
        <v>157</v>
      </c>
      <c r="FQ1" s="6">
        <v>158</v>
      </c>
      <c r="FR1" s="6">
        <v>159</v>
      </c>
      <c r="FS1" s="6">
        <v>160</v>
      </c>
      <c r="FT1" s="6">
        <v>161</v>
      </c>
      <c r="FU1" s="6">
        <v>162</v>
      </c>
      <c r="FV1" s="6">
        <v>163</v>
      </c>
      <c r="FW1" s="6">
        <v>164</v>
      </c>
      <c r="FX1" s="6">
        <v>165</v>
      </c>
      <c r="FY1" s="6">
        <v>166</v>
      </c>
      <c r="FZ1" s="6">
        <v>167</v>
      </c>
      <c r="GA1" s="6">
        <v>168</v>
      </c>
      <c r="GB1" s="6">
        <v>169</v>
      </c>
      <c r="GC1" s="6">
        <v>170</v>
      </c>
      <c r="GD1" s="6">
        <v>171</v>
      </c>
      <c r="GE1" s="6">
        <v>172</v>
      </c>
      <c r="GF1" s="6">
        <v>173</v>
      </c>
      <c r="GG1" s="6">
        <v>174</v>
      </c>
      <c r="GH1" s="6">
        <v>175</v>
      </c>
      <c r="GI1" s="6">
        <v>176</v>
      </c>
      <c r="GJ1" s="6">
        <v>177</v>
      </c>
      <c r="GK1" s="6">
        <v>178</v>
      </c>
      <c r="GL1" s="6">
        <v>179</v>
      </c>
      <c r="GM1" s="6">
        <v>180</v>
      </c>
      <c r="GN1" s="6">
        <v>181</v>
      </c>
      <c r="GO1" s="6">
        <v>182</v>
      </c>
      <c r="GP1" s="6">
        <v>183</v>
      </c>
      <c r="GQ1" s="6">
        <v>184</v>
      </c>
      <c r="GR1" s="6">
        <v>185</v>
      </c>
      <c r="GS1" s="6">
        <v>186</v>
      </c>
      <c r="GT1" s="6">
        <v>187</v>
      </c>
      <c r="GU1" s="6">
        <v>188</v>
      </c>
      <c r="GV1" s="6">
        <v>189</v>
      </c>
      <c r="GW1" s="6">
        <v>190</v>
      </c>
      <c r="GX1" s="6">
        <v>191</v>
      </c>
      <c r="GY1" s="6">
        <v>192</v>
      </c>
      <c r="GZ1" s="6">
        <v>193</v>
      </c>
      <c r="HA1" s="6">
        <v>194</v>
      </c>
      <c r="HB1" s="6">
        <v>195</v>
      </c>
      <c r="HC1" s="6">
        <v>196</v>
      </c>
      <c r="HD1" s="6">
        <v>197</v>
      </c>
      <c r="HE1" s="6">
        <v>198</v>
      </c>
      <c r="HF1" s="6">
        <v>199</v>
      </c>
      <c r="HG1" s="6">
        <v>200</v>
      </c>
      <c r="HH1" s="6">
        <v>201</v>
      </c>
      <c r="HI1" s="6">
        <v>202</v>
      </c>
      <c r="HJ1" s="6">
        <v>203</v>
      </c>
      <c r="HK1" s="6">
        <v>204</v>
      </c>
      <c r="HL1" s="6">
        <v>205</v>
      </c>
      <c r="HM1" s="6">
        <v>206</v>
      </c>
      <c r="HN1" s="6">
        <v>207</v>
      </c>
      <c r="HO1" s="6">
        <v>208</v>
      </c>
      <c r="HP1" s="6">
        <v>209</v>
      </c>
      <c r="HQ1" s="6">
        <v>210</v>
      </c>
      <c r="HR1" s="6">
        <v>211</v>
      </c>
      <c r="HS1" s="6">
        <v>212</v>
      </c>
      <c r="HT1" s="6">
        <v>213</v>
      </c>
      <c r="HU1" s="6">
        <v>214</v>
      </c>
      <c r="HV1" s="6">
        <v>215</v>
      </c>
      <c r="HW1" s="6">
        <v>216</v>
      </c>
      <c r="HX1" s="6">
        <v>217</v>
      </c>
      <c r="HY1" s="6">
        <v>218</v>
      </c>
      <c r="HZ1" s="6">
        <v>219</v>
      </c>
      <c r="IA1" s="6">
        <v>220</v>
      </c>
      <c r="IB1" s="6">
        <v>221</v>
      </c>
      <c r="IC1" s="6">
        <v>222</v>
      </c>
    </row>
    <row r="2" spans="1:257">
      <c r="A2" s="78"/>
      <c r="B2" s="78"/>
      <c r="C2" s="7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"/>
      <c r="P2" s="108" t="s">
        <v>33</v>
      </c>
      <c r="Q2" s="78"/>
      <c r="R2" s="108" t="s">
        <v>33</v>
      </c>
      <c r="S2" s="78"/>
      <c r="T2" s="108" t="s">
        <v>33</v>
      </c>
      <c r="U2" s="78"/>
      <c r="V2" s="108" t="s">
        <v>33</v>
      </c>
      <c r="W2" s="78"/>
      <c r="X2" s="108" t="s">
        <v>33</v>
      </c>
      <c r="Y2" s="78"/>
      <c r="Z2" s="108" t="s">
        <v>33</v>
      </c>
      <c r="AA2" s="78"/>
      <c r="AB2" s="108" t="s">
        <v>33</v>
      </c>
      <c r="AC2" s="78"/>
      <c r="AD2" s="108" t="s">
        <v>33</v>
      </c>
      <c r="AE2" s="78"/>
      <c r="AF2" s="108" t="s">
        <v>33</v>
      </c>
      <c r="AG2" s="78"/>
      <c r="AH2" s="108" t="s">
        <v>33</v>
      </c>
      <c r="AI2" s="78"/>
      <c r="AJ2" s="108" t="s">
        <v>33</v>
      </c>
      <c r="AK2" s="78"/>
      <c r="AL2" s="108" t="s">
        <v>33</v>
      </c>
      <c r="AM2" s="78"/>
      <c r="AN2" s="108" t="s">
        <v>33</v>
      </c>
      <c r="AO2" s="78"/>
      <c r="AP2" s="108" t="s">
        <v>33</v>
      </c>
      <c r="AQ2" s="78"/>
      <c r="AR2" s="108" t="s">
        <v>33</v>
      </c>
      <c r="AS2" s="78"/>
      <c r="AT2" s="108" t="s">
        <v>33</v>
      </c>
      <c r="AU2" s="78"/>
      <c r="AV2" s="108" t="s">
        <v>33</v>
      </c>
      <c r="AW2" s="78"/>
      <c r="AX2" s="108" t="s">
        <v>33</v>
      </c>
      <c r="AY2" s="78"/>
      <c r="AZ2" s="108" t="s">
        <v>33</v>
      </c>
      <c r="BA2" s="78"/>
      <c r="BB2" s="108" t="s">
        <v>33</v>
      </c>
      <c r="BC2" s="78"/>
      <c r="BD2" s="108" t="s">
        <v>33</v>
      </c>
      <c r="BE2" s="78"/>
      <c r="BF2" s="108" t="s">
        <v>33</v>
      </c>
      <c r="BG2" s="78"/>
      <c r="BH2" s="108" t="s">
        <v>33</v>
      </c>
      <c r="BI2" s="78"/>
      <c r="BJ2" s="108" t="s">
        <v>33</v>
      </c>
      <c r="BK2" s="78"/>
      <c r="BL2" s="108" t="s">
        <v>33</v>
      </c>
      <c r="BM2" s="78"/>
      <c r="BN2" s="108" t="s">
        <v>33</v>
      </c>
      <c r="BO2" s="78"/>
      <c r="BP2" s="108" t="s">
        <v>33</v>
      </c>
      <c r="BQ2" s="78"/>
      <c r="BR2" s="108" t="s">
        <v>33</v>
      </c>
      <c r="BS2" s="78"/>
      <c r="BT2" s="108" t="s">
        <v>33</v>
      </c>
      <c r="BU2" s="78"/>
      <c r="BV2" s="108" t="s">
        <v>33</v>
      </c>
      <c r="BW2" s="78"/>
      <c r="BX2" s="108" t="s">
        <v>33</v>
      </c>
      <c r="BY2" s="78"/>
      <c r="BZ2" s="108" t="s">
        <v>33</v>
      </c>
      <c r="CA2" s="78"/>
      <c r="CB2" s="108" t="s">
        <v>33</v>
      </c>
      <c r="CC2" s="78"/>
      <c r="CD2" s="108" t="s">
        <v>33</v>
      </c>
      <c r="CE2" s="78"/>
      <c r="CF2" s="108" t="s">
        <v>33</v>
      </c>
      <c r="CG2" s="78"/>
      <c r="CH2" s="108" t="s">
        <v>33</v>
      </c>
      <c r="CI2" s="78"/>
      <c r="CJ2" s="108" t="s">
        <v>33</v>
      </c>
      <c r="CK2" s="78"/>
      <c r="CL2" s="108" t="s">
        <v>33</v>
      </c>
      <c r="CM2" s="78"/>
      <c r="CN2" s="108" t="s">
        <v>33</v>
      </c>
      <c r="CO2" s="78"/>
      <c r="CP2" s="108" t="s">
        <v>33</v>
      </c>
      <c r="CQ2" s="78"/>
      <c r="CR2" s="108" t="s">
        <v>33</v>
      </c>
      <c r="CS2" s="78"/>
      <c r="CT2" s="108" t="s">
        <v>33</v>
      </c>
      <c r="CU2" s="78"/>
      <c r="CV2" s="108" t="s">
        <v>33</v>
      </c>
      <c r="CW2" s="78"/>
      <c r="CX2" s="108" t="s">
        <v>33</v>
      </c>
      <c r="CY2" s="78"/>
      <c r="CZ2" s="108" t="s">
        <v>33</v>
      </c>
      <c r="DA2" s="78"/>
      <c r="DB2" s="108" t="s">
        <v>33</v>
      </c>
      <c r="DC2" s="78"/>
      <c r="DD2" s="108" t="s">
        <v>33</v>
      </c>
      <c r="DE2" s="78"/>
      <c r="DF2" s="108" t="s">
        <v>33</v>
      </c>
      <c r="DG2" s="78"/>
      <c r="DH2" s="108" t="s">
        <v>33</v>
      </c>
      <c r="DI2" s="78"/>
      <c r="DJ2" s="108" t="s">
        <v>33</v>
      </c>
      <c r="DK2" s="78"/>
      <c r="DL2" s="108" t="s">
        <v>33</v>
      </c>
      <c r="DM2" s="78"/>
      <c r="DN2" s="108" t="s">
        <v>33</v>
      </c>
      <c r="DO2" s="78"/>
      <c r="DP2" s="108" t="s">
        <v>33</v>
      </c>
      <c r="DQ2" s="78"/>
      <c r="DR2" s="108" t="s">
        <v>33</v>
      </c>
      <c r="DS2" s="78"/>
      <c r="DT2" s="108" t="s">
        <v>33</v>
      </c>
      <c r="DU2" s="78"/>
      <c r="DV2" s="108" t="s">
        <v>33</v>
      </c>
      <c r="DW2" s="78"/>
      <c r="DX2" s="108" t="s">
        <v>33</v>
      </c>
      <c r="DY2" s="78"/>
      <c r="DZ2" s="108" t="s">
        <v>33</v>
      </c>
      <c r="EA2" s="78"/>
      <c r="EB2" s="108" t="s">
        <v>33</v>
      </c>
      <c r="EC2" s="78"/>
      <c r="ED2" s="108" t="s">
        <v>33</v>
      </c>
      <c r="EE2" s="78"/>
      <c r="EF2" s="108" t="s">
        <v>33</v>
      </c>
      <c r="EG2" s="78"/>
      <c r="EH2" s="108" t="s">
        <v>33</v>
      </c>
      <c r="EI2" s="78"/>
      <c r="EJ2" s="108" t="s">
        <v>33</v>
      </c>
      <c r="EK2" s="78"/>
      <c r="EL2" s="108" t="s">
        <v>33</v>
      </c>
      <c r="EM2" s="78"/>
      <c r="EN2" s="108" t="s">
        <v>33</v>
      </c>
      <c r="EO2" s="78"/>
      <c r="EP2" s="108" t="s">
        <v>33</v>
      </c>
      <c r="EQ2" s="78"/>
      <c r="ER2" s="108" t="s">
        <v>33</v>
      </c>
      <c r="ES2" s="78"/>
      <c r="ET2" s="108" t="s">
        <v>33</v>
      </c>
      <c r="EU2" s="78"/>
      <c r="EV2" s="108" t="s">
        <v>33</v>
      </c>
      <c r="EW2" s="78"/>
      <c r="EX2" s="108" t="s">
        <v>33</v>
      </c>
      <c r="EY2" s="78"/>
      <c r="EZ2" s="108" t="s">
        <v>33</v>
      </c>
      <c r="FA2" s="78"/>
      <c r="FB2" s="108" t="s">
        <v>33</v>
      </c>
      <c r="FC2" s="78"/>
      <c r="FD2" s="108" t="s">
        <v>33</v>
      </c>
      <c r="FE2" s="78"/>
      <c r="FF2" s="108" t="s">
        <v>33</v>
      </c>
      <c r="FG2" s="78"/>
      <c r="FH2" s="108" t="s">
        <v>33</v>
      </c>
      <c r="FI2" s="78"/>
      <c r="FJ2" s="108" t="s">
        <v>33</v>
      </c>
      <c r="FK2" s="78"/>
      <c r="FL2" s="108" t="s">
        <v>33</v>
      </c>
      <c r="FM2" s="78"/>
      <c r="FN2" s="108" t="s">
        <v>33</v>
      </c>
      <c r="FO2" s="78"/>
      <c r="FP2" s="108" t="s">
        <v>33</v>
      </c>
      <c r="FQ2" s="78"/>
      <c r="FR2" s="108" t="s">
        <v>33</v>
      </c>
      <c r="FS2" s="78"/>
      <c r="FT2" s="108" t="s">
        <v>33</v>
      </c>
      <c r="FU2" s="78"/>
      <c r="FV2" s="108" t="s">
        <v>33</v>
      </c>
      <c r="FW2" s="78"/>
      <c r="FX2" s="108" t="s">
        <v>33</v>
      </c>
      <c r="FY2" s="78"/>
      <c r="FZ2" s="108" t="s">
        <v>33</v>
      </c>
      <c r="GA2" s="78"/>
      <c r="GB2" s="108" t="s">
        <v>33</v>
      </c>
      <c r="GC2" s="78"/>
      <c r="GD2" s="108" t="s">
        <v>33</v>
      </c>
      <c r="GE2" s="78"/>
      <c r="GF2" s="108" t="s">
        <v>33</v>
      </c>
      <c r="GG2" s="78"/>
      <c r="GH2" s="108" t="s">
        <v>33</v>
      </c>
      <c r="GI2" s="78"/>
      <c r="GJ2" s="108" t="s">
        <v>33</v>
      </c>
      <c r="GK2" s="78"/>
      <c r="GL2" s="108" t="s">
        <v>33</v>
      </c>
      <c r="GM2" s="78"/>
      <c r="GN2" s="108" t="s">
        <v>33</v>
      </c>
      <c r="GO2" s="78"/>
      <c r="GP2" s="108" t="s">
        <v>33</v>
      </c>
      <c r="GQ2" s="78"/>
      <c r="GR2" s="108" t="s">
        <v>33</v>
      </c>
      <c r="GS2" s="78"/>
      <c r="GT2" s="108" t="s">
        <v>33</v>
      </c>
      <c r="GU2" s="78"/>
      <c r="GV2" s="108" t="s">
        <v>33</v>
      </c>
      <c r="GW2" s="78"/>
      <c r="GX2" s="108" t="s">
        <v>33</v>
      </c>
      <c r="GY2" s="78"/>
      <c r="GZ2" s="108" t="s">
        <v>33</v>
      </c>
      <c r="HA2" s="78"/>
      <c r="HB2" s="108" t="s">
        <v>33</v>
      </c>
      <c r="HC2" s="78"/>
      <c r="HD2" s="108" t="s">
        <v>33</v>
      </c>
      <c r="HE2" s="78"/>
      <c r="HF2" s="108" t="s">
        <v>33</v>
      </c>
      <c r="HG2" s="78"/>
      <c r="HH2" s="108" t="s">
        <v>33</v>
      </c>
      <c r="HI2" s="78"/>
      <c r="HJ2" s="108" t="s">
        <v>33</v>
      </c>
      <c r="HK2" s="78"/>
      <c r="HL2" s="108" t="s">
        <v>33</v>
      </c>
      <c r="HM2" s="78"/>
      <c r="HN2" s="108" t="s">
        <v>33</v>
      </c>
      <c r="HO2" s="78"/>
      <c r="HP2" s="108" t="s">
        <v>33</v>
      </c>
      <c r="HQ2" s="78"/>
      <c r="HR2" s="108" t="s">
        <v>33</v>
      </c>
      <c r="HS2" s="78"/>
      <c r="HT2" s="108" t="s">
        <v>33</v>
      </c>
      <c r="HU2" s="78"/>
      <c r="HV2" s="108" t="s">
        <v>33</v>
      </c>
      <c r="HW2" s="78"/>
      <c r="HX2" s="108" t="s">
        <v>33</v>
      </c>
      <c r="HY2" s="78"/>
      <c r="HZ2" s="108" t="s">
        <v>33</v>
      </c>
      <c r="IA2" s="78"/>
      <c r="IB2" s="108" t="s">
        <v>33</v>
      </c>
      <c r="IC2" s="78"/>
    </row>
    <row r="3" spans="1:257">
      <c r="A3" s="4" t="s">
        <v>522</v>
      </c>
      <c r="B3" s="82" t="str">
        <f t="array" ref="B3">_xlfn.LET(
  _xlpm.dates, _xlfn._xlws.FILTER(P3:HO3, (P5:HO5&lt;&gt;"")+(P7:HO7&lt;&gt;"")),
  _xlpm.numDates, IFERROR(VALUE(_xlpm.dates), _xlpm.dates),
  _xlpm.first, TEXT(MIN(_xlpm.numDates), "m/dd"),
  _xlpm.last, TEXT(MAX(_xlpm.numDates), "m/dd"),
  _xlpm.first &amp; "~" &amp; _xlpm.last
)</f>
        <v>3/27~4/27</v>
      </c>
      <c r="C3" s="7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 t="s">
        <v>522</v>
      </c>
      <c r="P3" s="3">
        <v>46107</v>
      </c>
      <c r="Q3" s="3">
        <v>46108</v>
      </c>
      <c r="R3" s="3">
        <v>46109</v>
      </c>
      <c r="S3" s="3">
        <v>46110</v>
      </c>
      <c r="T3" s="3">
        <v>46111</v>
      </c>
      <c r="U3" s="3">
        <v>46112</v>
      </c>
      <c r="V3" s="3">
        <v>46113</v>
      </c>
      <c r="W3" s="3">
        <v>46114</v>
      </c>
      <c r="X3" s="3">
        <v>46115</v>
      </c>
      <c r="Y3" s="3">
        <v>46116</v>
      </c>
      <c r="Z3" s="3">
        <v>46117</v>
      </c>
      <c r="AA3" s="3">
        <v>46118</v>
      </c>
      <c r="AB3" s="3">
        <v>46119</v>
      </c>
      <c r="AC3" s="3">
        <v>46120</v>
      </c>
      <c r="AD3" s="3">
        <v>46121</v>
      </c>
      <c r="AE3" s="3">
        <v>46122</v>
      </c>
      <c r="AF3" s="3">
        <v>46123</v>
      </c>
      <c r="AG3" s="3">
        <v>46124</v>
      </c>
      <c r="AH3" s="3">
        <v>46125</v>
      </c>
      <c r="AI3" s="3">
        <v>46126</v>
      </c>
      <c r="AJ3" s="3">
        <v>46127</v>
      </c>
      <c r="AK3" s="3">
        <v>46128</v>
      </c>
      <c r="AL3" s="3">
        <v>46129</v>
      </c>
      <c r="AM3" s="3">
        <v>46130</v>
      </c>
      <c r="AN3" s="3">
        <v>46131</v>
      </c>
      <c r="AO3" s="3">
        <v>46132</v>
      </c>
      <c r="AP3" s="3">
        <v>46133</v>
      </c>
      <c r="AQ3" s="3">
        <v>46134</v>
      </c>
      <c r="AR3" s="3">
        <v>46135</v>
      </c>
      <c r="AS3" s="3">
        <v>46136</v>
      </c>
      <c r="AT3" s="3">
        <v>46137</v>
      </c>
      <c r="AU3" s="3">
        <v>46138</v>
      </c>
      <c r="AV3" s="3">
        <v>46139</v>
      </c>
      <c r="AW3" s="3">
        <v>46140</v>
      </c>
      <c r="AX3" s="3">
        <v>46141</v>
      </c>
      <c r="AY3" s="3">
        <v>46142</v>
      </c>
      <c r="AZ3" s="3">
        <v>46143</v>
      </c>
      <c r="BA3" s="3">
        <v>46144</v>
      </c>
      <c r="BB3" s="3">
        <v>46145</v>
      </c>
      <c r="BC3" s="3">
        <v>46146</v>
      </c>
      <c r="BD3" s="3">
        <v>46147</v>
      </c>
      <c r="BE3" s="3">
        <v>46148</v>
      </c>
      <c r="BF3" s="3">
        <v>46149</v>
      </c>
      <c r="BG3" s="3">
        <v>46150</v>
      </c>
      <c r="BH3" s="3">
        <v>46151</v>
      </c>
      <c r="BI3" s="3">
        <v>46152</v>
      </c>
      <c r="BJ3" s="3">
        <v>46153</v>
      </c>
      <c r="BK3" s="3">
        <v>46154</v>
      </c>
      <c r="BL3" s="3">
        <v>46155</v>
      </c>
      <c r="BM3" s="3">
        <v>46156</v>
      </c>
      <c r="BN3" s="3">
        <v>46157</v>
      </c>
      <c r="BO3" s="3">
        <v>46158</v>
      </c>
      <c r="BP3" s="3">
        <v>46159</v>
      </c>
      <c r="BQ3" s="3">
        <v>46160</v>
      </c>
      <c r="BR3" s="3">
        <v>46161</v>
      </c>
      <c r="BS3" s="3">
        <v>46162</v>
      </c>
      <c r="BT3" s="3">
        <v>46163</v>
      </c>
      <c r="BU3" s="3">
        <v>46164</v>
      </c>
      <c r="BV3" s="3">
        <v>46165</v>
      </c>
      <c r="BW3" s="3">
        <v>46166</v>
      </c>
      <c r="BX3" s="3">
        <v>46167</v>
      </c>
      <c r="BY3" s="3">
        <v>46168</v>
      </c>
      <c r="BZ3" s="3">
        <v>46169</v>
      </c>
      <c r="CA3" s="3">
        <v>46170</v>
      </c>
      <c r="CB3" s="3">
        <v>46171</v>
      </c>
      <c r="CC3" s="3">
        <v>46172</v>
      </c>
      <c r="CD3" s="3">
        <v>46173</v>
      </c>
      <c r="CE3" s="3">
        <v>46174</v>
      </c>
      <c r="CF3" s="3">
        <v>46175</v>
      </c>
      <c r="CG3" s="3">
        <v>46176</v>
      </c>
      <c r="CH3" s="3">
        <v>46177</v>
      </c>
      <c r="CI3" s="3">
        <v>46178</v>
      </c>
      <c r="CJ3" s="3">
        <v>46179</v>
      </c>
      <c r="CK3" s="3">
        <v>46180</v>
      </c>
      <c r="CL3" s="3">
        <v>46181</v>
      </c>
      <c r="CM3" s="3">
        <v>46182</v>
      </c>
      <c r="CN3" s="3">
        <v>46183</v>
      </c>
      <c r="CO3" s="3">
        <v>46184</v>
      </c>
      <c r="CP3" s="3">
        <v>46185</v>
      </c>
      <c r="CQ3" s="3">
        <v>46186</v>
      </c>
      <c r="CR3" s="3">
        <v>46187</v>
      </c>
      <c r="CS3" s="3">
        <v>46188</v>
      </c>
      <c r="CT3" s="3">
        <v>46189</v>
      </c>
      <c r="CU3" s="3">
        <v>46190</v>
      </c>
      <c r="CV3" s="3">
        <v>46191</v>
      </c>
      <c r="CW3" s="3">
        <v>46192</v>
      </c>
      <c r="CX3" s="3">
        <v>46193</v>
      </c>
      <c r="CY3" s="3">
        <v>46194</v>
      </c>
      <c r="CZ3" s="3">
        <v>46195</v>
      </c>
      <c r="DA3" s="3">
        <v>46196</v>
      </c>
      <c r="DB3" s="3">
        <v>46197</v>
      </c>
      <c r="DC3" s="3">
        <v>46198</v>
      </c>
      <c r="DD3" s="3">
        <v>46199</v>
      </c>
      <c r="DE3" s="3">
        <v>46200</v>
      </c>
      <c r="DF3" s="3">
        <v>46201</v>
      </c>
      <c r="DG3" s="3">
        <v>46202</v>
      </c>
      <c r="DH3" s="3">
        <v>46203</v>
      </c>
      <c r="DI3" s="3">
        <v>46204</v>
      </c>
      <c r="DJ3" s="3">
        <v>46205</v>
      </c>
      <c r="DK3" s="3">
        <v>46206</v>
      </c>
      <c r="DL3" s="3">
        <v>46207</v>
      </c>
      <c r="DM3" s="3">
        <v>46208</v>
      </c>
      <c r="DN3" s="3">
        <v>46209</v>
      </c>
      <c r="DO3" s="3">
        <v>46210</v>
      </c>
      <c r="DP3" s="3">
        <v>46211</v>
      </c>
      <c r="DQ3" s="3">
        <v>46212</v>
      </c>
      <c r="DR3" s="3">
        <v>46213</v>
      </c>
      <c r="DS3" s="3">
        <v>46214</v>
      </c>
      <c r="DT3" s="3">
        <v>46215</v>
      </c>
      <c r="DU3" s="3">
        <v>46216</v>
      </c>
      <c r="DV3" s="3">
        <v>46217</v>
      </c>
      <c r="DW3" s="3">
        <v>46218</v>
      </c>
      <c r="DX3" s="3">
        <v>46219</v>
      </c>
      <c r="DY3" s="3">
        <v>46220</v>
      </c>
      <c r="DZ3" s="3">
        <v>46221</v>
      </c>
      <c r="EA3" s="3">
        <v>46222</v>
      </c>
      <c r="EB3" s="3">
        <v>46223</v>
      </c>
      <c r="EC3" s="3">
        <v>46224</v>
      </c>
      <c r="ED3" s="3">
        <v>46225</v>
      </c>
      <c r="EE3" s="3">
        <v>46226</v>
      </c>
      <c r="EF3" s="3">
        <v>46227</v>
      </c>
      <c r="EG3" s="3">
        <v>46228</v>
      </c>
      <c r="EH3" s="3">
        <v>46229</v>
      </c>
      <c r="EI3" s="3">
        <v>46230</v>
      </c>
      <c r="EJ3" s="3">
        <v>46231</v>
      </c>
      <c r="EK3" s="3">
        <v>46232</v>
      </c>
      <c r="EL3" s="3">
        <v>46233</v>
      </c>
      <c r="EM3" s="3">
        <v>46234</v>
      </c>
      <c r="EN3" s="3">
        <v>46235</v>
      </c>
      <c r="EO3" s="3">
        <v>46236</v>
      </c>
      <c r="EP3" s="3">
        <v>46237</v>
      </c>
      <c r="EQ3" s="3">
        <v>46238</v>
      </c>
      <c r="ER3" s="3">
        <v>46239</v>
      </c>
      <c r="ES3" s="3">
        <v>46240</v>
      </c>
      <c r="ET3" s="3">
        <v>46241</v>
      </c>
      <c r="EU3" s="3">
        <v>46242</v>
      </c>
      <c r="EV3" s="3">
        <v>46243</v>
      </c>
      <c r="EW3" s="3">
        <v>46244</v>
      </c>
      <c r="EX3" s="3">
        <v>46245</v>
      </c>
      <c r="EY3" s="3">
        <v>46246</v>
      </c>
      <c r="EZ3" s="3">
        <v>46247</v>
      </c>
      <c r="FA3" s="3">
        <v>46248</v>
      </c>
      <c r="FB3" s="3">
        <v>46249</v>
      </c>
      <c r="FC3" s="3">
        <v>46250</v>
      </c>
      <c r="FD3" s="3">
        <v>46251</v>
      </c>
      <c r="FE3" s="3">
        <v>46252</v>
      </c>
      <c r="FF3" s="3">
        <v>46253</v>
      </c>
      <c r="FG3" s="3">
        <v>46254</v>
      </c>
      <c r="FH3" s="3">
        <v>46255</v>
      </c>
      <c r="FI3" s="3">
        <v>46256</v>
      </c>
      <c r="FJ3" s="3">
        <v>46257</v>
      </c>
      <c r="FK3" s="3">
        <v>46258</v>
      </c>
      <c r="FL3" s="3">
        <v>46259</v>
      </c>
      <c r="FM3" s="3">
        <v>46260</v>
      </c>
      <c r="FN3" s="3">
        <v>46261</v>
      </c>
      <c r="FO3" s="3">
        <v>46262</v>
      </c>
      <c r="FP3" s="3">
        <v>46263</v>
      </c>
      <c r="FQ3" s="3">
        <v>46264</v>
      </c>
      <c r="FR3" s="3">
        <v>46265</v>
      </c>
      <c r="FS3" s="3">
        <v>46266</v>
      </c>
      <c r="FT3" s="3">
        <v>46267</v>
      </c>
      <c r="FU3" s="3">
        <v>46268</v>
      </c>
      <c r="FV3" s="3">
        <v>46269</v>
      </c>
      <c r="FW3" s="3">
        <v>46270</v>
      </c>
      <c r="FX3" s="3">
        <v>46271</v>
      </c>
      <c r="FY3" s="3">
        <v>46272</v>
      </c>
      <c r="FZ3" s="3">
        <v>46273</v>
      </c>
      <c r="GA3" s="3">
        <v>46274</v>
      </c>
      <c r="GB3" s="3">
        <v>46275</v>
      </c>
      <c r="GC3" s="3">
        <v>46276</v>
      </c>
      <c r="GD3" s="3">
        <v>46277</v>
      </c>
      <c r="GE3" s="3">
        <v>46278</v>
      </c>
      <c r="GF3" s="3">
        <v>46279</v>
      </c>
      <c r="GG3" s="3">
        <v>46280</v>
      </c>
      <c r="GH3" s="3">
        <v>46281</v>
      </c>
      <c r="GI3" s="3">
        <v>46282</v>
      </c>
      <c r="GJ3" s="3">
        <v>46283</v>
      </c>
      <c r="GK3" s="3">
        <v>46284</v>
      </c>
      <c r="GL3" s="3">
        <v>46285</v>
      </c>
      <c r="GM3" s="3">
        <v>46286</v>
      </c>
      <c r="GN3" s="3">
        <v>46287</v>
      </c>
      <c r="GO3" s="3">
        <v>46288</v>
      </c>
      <c r="GP3" s="3">
        <v>46289</v>
      </c>
      <c r="GQ3" s="3">
        <v>46290</v>
      </c>
      <c r="GR3" s="3">
        <v>46291</v>
      </c>
      <c r="GS3" s="3">
        <v>46292</v>
      </c>
      <c r="GT3" s="3">
        <v>46293</v>
      </c>
      <c r="GU3" s="3">
        <v>46294</v>
      </c>
      <c r="GV3" s="3">
        <v>46295</v>
      </c>
      <c r="GW3" s="3">
        <v>46296</v>
      </c>
      <c r="GX3" s="3">
        <v>46297</v>
      </c>
      <c r="GY3" s="3">
        <v>46298</v>
      </c>
      <c r="GZ3" s="3">
        <v>46299</v>
      </c>
      <c r="HA3" s="3">
        <v>46300</v>
      </c>
      <c r="HB3" s="3">
        <v>46301</v>
      </c>
      <c r="HC3" s="3">
        <v>46302</v>
      </c>
      <c r="HD3" s="3">
        <v>46303</v>
      </c>
      <c r="HE3" s="3">
        <v>46304</v>
      </c>
      <c r="HF3" s="3">
        <v>46305</v>
      </c>
      <c r="HG3" s="3">
        <v>46306</v>
      </c>
      <c r="HH3" s="3">
        <v>46307</v>
      </c>
      <c r="HI3" s="3">
        <v>46308</v>
      </c>
      <c r="HJ3" s="3">
        <v>46309</v>
      </c>
      <c r="HK3" s="3">
        <v>46310</v>
      </c>
      <c r="HL3" s="3">
        <v>46311</v>
      </c>
      <c r="HM3" s="3">
        <v>46312</v>
      </c>
      <c r="HN3" s="3">
        <v>46313</v>
      </c>
      <c r="HO3" s="3">
        <v>46314</v>
      </c>
      <c r="HP3" s="3">
        <v>46315</v>
      </c>
      <c r="HQ3" s="3">
        <v>46316</v>
      </c>
      <c r="HR3" s="3">
        <v>46317</v>
      </c>
      <c r="HS3" s="3">
        <v>46318</v>
      </c>
      <c r="HT3" s="3">
        <v>46319</v>
      </c>
      <c r="HU3" s="3">
        <v>46320</v>
      </c>
      <c r="HV3" s="3">
        <v>46321</v>
      </c>
      <c r="HW3" s="3">
        <v>46322</v>
      </c>
      <c r="HX3" s="3">
        <v>46323</v>
      </c>
      <c r="HY3" s="3">
        <v>46324</v>
      </c>
      <c r="HZ3" s="3">
        <v>46325</v>
      </c>
      <c r="IA3" s="3">
        <v>46326</v>
      </c>
      <c r="IB3" s="3">
        <v>46327</v>
      </c>
      <c r="IC3" s="3">
        <v>46328</v>
      </c>
    </row>
    <row r="4" spans="1:257">
      <c r="A4" s="4" t="s">
        <v>694</v>
      </c>
      <c r="B4" s="82" t="str">
        <f t="array" ref="B4">COLUMNS(_xlfn._xlws.FILTER(P3:HO3, (P5:HO5&lt;&gt;"")+(P7:HO7&lt;&gt;""))) &amp; "場"</f>
        <v>27場</v>
      </c>
      <c r="C4" s="7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 t="s">
        <v>675</v>
      </c>
      <c r="P4" s="3" t="s">
        <v>676</v>
      </c>
      <c r="Q4" s="3" t="s">
        <v>677</v>
      </c>
      <c r="R4" s="3" t="s">
        <v>678</v>
      </c>
      <c r="S4" s="3" t="s">
        <v>679</v>
      </c>
      <c r="T4" s="3" t="s">
        <v>680</v>
      </c>
      <c r="U4" s="3" t="s">
        <v>681</v>
      </c>
      <c r="V4" s="3" t="s">
        <v>682</v>
      </c>
      <c r="W4" s="3" t="s">
        <v>676</v>
      </c>
      <c r="X4" s="3" t="s">
        <v>677</v>
      </c>
      <c r="Y4" s="3" t="s">
        <v>678</v>
      </c>
      <c r="Z4" s="3" t="s">
        <v>679</v>
      </c>
      <c r="AA4" s="3" t="s">
        <v>680</v>
      </c>
      <c r="AB4" s="3" t="s">
        <v>681</v>
      </c>
      <c r="AC4" s="3" t="s">
        <v>682</v>
      </c>
      <c r="AD4" s="3" t="s">
        <v>676</v>
      </c>
      <c r="AE4" s="3" t="s">
        <v>677</v>
      </c>
      <c r="AF4" s="3" t="s">
        <v>678</v>
      </c>
      <c r="AG4" s="3" t="s">
        <v>679</v>
      </c>
      <c r="AH4" s="3" t="s">
        <v>680</v>
      </c>
      <c r="AI4" s="3" t="s">
        <v>681</v>
      </c>
      <c r="AJ4" s="3" t="s">
        <v>682</v>
      </c>
      <c r="AK4" s="3" t="s">
        <v>676</v>
      </c>
      <c r="AL4" s="3" t="s">
        <v>677</v>
      </c>
      <c r="AM4" s="3" t="s">
        <v>678</v>
      </c>
      <c r="AN4" s="3" t="s">
        <v>679</v>
      </c>
      <c r="AO4" s="3" t="s">
        <v>680</v>
      </c>
      <c r="AP4" s="3" t="s">
        <v>681</v>
      </c>
      <c r="AQ4" s="3" t="s">
        <v>682</v>
      </c>
      <c r="AR4" s="3" t="s">
        <v>676</v>
      </c>
      <c r="AS4" s="3" t="s">
        <v>677</v>
      </c>
      <c r="AT4" s="3" t="s">
        <v>678</v>
      </c>
      <c r="AU4" s="3" t="s">
        <v>679</v>
      </c>
      <c r="AV4" s="3" t="s">
        <v>680</v>
      </c>
      <c r="AW4" s="3" t="s">
        <v>681</v>
      </c>
      <c r="AX4" s="3" t="s">
        <v>682</v>
      </c>
      <c r="AY4" s="3" t="s">
        <v>676</v>
      </c>
      <c r="AZ4" s="3" t="s">
        <v>677</v>
      </c>
      <c r="BA4" s="3" t="s">
        <v>678</v>
      </c>
      <c r="BB4" s="3" t="s">
        <v>679</v>
      </c>
      <c r="BC4" s="3" t="s">
        <v>680</v>
      </c>
      <c r="BD4" s="3" t="s">
        <v>681</v>
      </c>
      <c r="BE4" s="3" t="s">
        <v>682</v>
      </c>
      <c r="BF4" s="3" t="s">
        <v>676</v>
      </c>
      <c r="BG4" s="3" t="s">
        <v>677</v>
      </c>
      <c r="BH4" s="3" t="s">
        <v>678</v>
      </c>
      <c r="BI4" s="3" t="s">
        <v>679</v>
      </c>
      <c r="BJ4" s="3" t="s">
        <v>680</v>
      </c>
      <c r="BK4" s="3" t="s">
        <v>681</v>
      </c>
      <c r="BL4" s="3" t="s">
        <v>682</v>
      </c>
      <c r="BM4" s="3" t="s">
        <v>676</v>
      </c>
      <c r="BN4" s="3" t="s">
        <v>677</v>
      </c>
      <c r="BO4" s="3" t="s">
        <v>678</v>
      </c>
      <c r="BP4" s="3" t="s">
        <v>679</v>
      </c>
      <c r="BQ4" s="3" t="s">
        <v>680</v>
      </c>
      <c r="BR4" s="3" t="s">
        <v>681</v>
      </c>
      <c r="BS4" s="3" t="s">
        <v>682</v>
      </c>
      <c r="BT4" s="3" t="s">
        <v>676</v>
      </c>
      <c r="BU4" s="3" t="s">
        <v>677</v>
      </c>
      <c r="BV4" s="3" t="s">
        <v>678</v>
      </c>
      <c r="BW4" s="3" t="s">
        <v>679</v>
      </c>
      <c r="BX4" s="3" t="s">
        <v>680</v>
      </c>
      <c r="BY4" s="3" t="s">
        <v>681</v>
      </c>
      <c r="BZ4" s="3" t="s">
        <v>682</v>
      </c>
      <c r="CA4" s="3" t="s">
        <v>676</v>
      </c>
      <c r="CB4" s="3" t="s">
        <v>677</v>
      </c>
      <c r="CC4" s="3" t="s">
        <v>678</v>
      </c>
      <c r="CD4" s="3" t="s">
        <v>679</v>
      </c>
      <c r="CE4" s="3" t="s">
        <v>680</v>
      </c>
      <c r="CF4" s="3" t="s">
        <v>681</v>
      </c>
      <c r="CG4" s="3" t="s">
        <v>682</v>
      </c>
      <c r="CH4" s="3" t="s">
        <v>676</v>
      </c>
      <c r="CI4" s="3" t="s">
        <v>677</v>
      </c>
      <c r="CJ4" s="3" t="s">
        <v>678</v>
      </c>
      <c r="CK4" s="3" t="s">
        <v>679</v>
      </c>
      <c r="CL4" s="3" t="s">
        <v>680</v>
      </c>
      <c r="CM4" s="3" t="s">
        <v>681</v>
      </c>
      <c r="CN4" s="3" t="s">
        <v>682</v>
      </c>
      <c r="CO4" s="3" t="s">
        <v>676</v>
      </c>
      <c r="CP4" s="3" t="s">
        <v>677</v>
      </c>
      <c r="CQ4" s="3" t="s">
        <v>678</v>
      </c>
      <c r="CR4" s="3" t="s">
        <v>679</v>
      </c>
      <c r="CS4" s="3" t="s">
        <v>680</v>
      </c>
      <c r="CT4" s="3" t="s">
        <v>681</v>
      </c>
      <c r="CU4" s="3" t="s">
        <v>682</v>
      </c>
      <c r="CV4" s="3" t="s">
        <v>676</v>
      </c>
      <c r="CW4" s="3" t="s">
        <v>677</v>
      </c>
      <c r="CX4" s="3" t="s">
        <v>678</v>
      </c>
      <c r="CY4" s="3" t="s">
        <v>679</v>
      </c>
      <c r="CZ4" s="3" t="s">
        <v>680</v>
      </c>
      <c r="DA4" s="3" t="s">
        <v>681</v>
      </c>
      <c r="DB4" s="3" t="s">
        <v>682</v>
      </c>
      <c r="DC4" s="3" t="s">
        <v>676</v>
      </c>
      <c r="DD4" s="3" t="s">
        <v>677</v>
      </c>
      <c r="DE4" s="3" t="s">
        <v>678</v>
      </c>
      <c r="DF4" s="3" t="s">
        <v>679</v>
      </c>
      <c r="DG4" s="3" t="s">
        <v>680</v>
      </c>
      <c r="DH4" s="3" t="s">
        <v>681</v>
      </c>
      <c r="DI4" s="3" t="s">
        <v>682</v>
      </c>
      <c r="DJ4" s="3" t="s">
        <v>676</v>
      </c>
      <c r="DK4" s="3" t="s">
        <v>677</v>
      </c>
      <c r="DL4" s="3" t="s">
        <v>678</v>
      </c>
      <c r="DM4" s="3" t="s">
        <v>679</v>
      </c>
      <c r="DN4" s="3" t="s">
        <v>680</v>
      </c>
      <c r="DO4" s="3" t="s">
        <v>681</v>
      </c>
      <c r="DP4" s="3" t="s">
        <v>682</v>
      </c>
      <c r="DQ4" s="3" t="s">
        <v>676</v>
      </c>
      <c r="DR4" s="3" t="s">
        <v>677</v>
      </c>
      <c r="DS4" s="3" t="s">
        <v>678</v>
      </c>
      <c r="DT4" s="3" t="s">
        <v>679</v>
      </c>
      <c r="DU4" s="3" t="s">
        <v>680</v>
      </c>
      <c r="DV4" s="3" t="s">
        <v>681</v>
      </c>
      <c r="DW4" s="3" t="s">
        <v>682</v>
      </c>
      <c r="DX4" s="3" t="s">
        <v>676</v>
      </c>
      <c r="DY4" s="3" t="s">
        <v>677</v>
      </c>
      <c r="DZ4" s="3" t="s">
        <v>678</v>
      </c>
      <c r="EA4" s="3" t="s">
        <v>679</v>
      </c>
      <c r="EB4" s="3" t="s">
        <v>680</v>
      </c>
      <c r="EC4" s="3" t="s">
        <v>681</v>
      </c>
      <c r="ED4" s="3" t="s">
        <v>682</v>
      </c>
      <c r="EE4" s="3" t="s">
        <v>676</v>
      </c>
      <c r="EF4" s="3" t="s">
        <v>677</v>
      </c>
      <c r="EG4" s="3" t="s">
        <v>678</v>
      </c>
      <c r="EH4" s="3" t="s">
        <v>679</v>
      </c>
      <c r="EI4" s="3" t="s">
        <v>680</v>
      </c>
      <c r="EJ4" s="3" t="s">
        <v>681</v>
      </c>
      <c r="EK4" s="3" t="s">
        <v>682</v>
      </c>
      <c r="EL4" s="3" t="s">
        <v>676</v>
      </c>
      <c r="EM4" s="3" t="s">
        <v>677</v>
      </c>
      <c r="EN4" s="3" t="s">
        <v>678</v>
      </c>
      <c r="EO4" s="3" t="s">
        <v>679</v>
      </c>
      <c r="EP4" s="3" t="s">
        <v>680</v>
      </c>
      <c r="EQ4" s="3" t="s">
        <v>681</v>
      </c>
      <c r="ER4" s="3" t="s">
        <v>682</v>
      </c>
      <c r="ES4" s="3" t="s">
        <v>676</v>
      </c>
      <c r="ET4" s="3" t="s">
        <v>677</v>
      </c>
      <c r="EU4" s="3" t="s">
        <v>678</v>
      </c>
      <c r="EV4" s="3" t="s">
        <v>679</v>
      </c>
      <c r="EW4" s="3" t="s">
        <v>680</v>
      </c>
      <c r="EX4" s="3" t="s">
        <v>681</v>
      </c>
      <c r="EY4" s="3" t="s">
        <v>682</v>
      </c>
      <c r="EZ4" s="3" t="s">
        <v>676</v>
      </c>
      <c r="FA4" s="3" t="s">
        <v>677</v>
      </c>
      <c r="FB4" s="3" t="s">
        <v>678</v>
      </c>
      <c r="FC4" s="3" t="s">
        <v>679</v>
      </c>
      <c r="FD4" s="3" t="s">
        <v>680</v>
      </c>
      <c r="FE4" s="3" t="s">
        <v>681</v>
      </c>
      <c r="FF4" s="3" t="s">
        <v>682</v>
      </c>
      <c r="FG4" s="3" t="s">
        <v>676</v>
      </c>
      <c r="FH4" s="3" t="s">
        <v>677</v>
      </c>
      <c r="FI4" s="3" t="s">
        <v>678</v>
      </c>
      <c r="FJ4" s="3" t="s">
        <v>679</v>
      </c>
      <c r="FK4" s="3" t="s">
        <v>680</v>
      </c>
      <c r="FL4" s="3" t="s">
        <v>681</v>
      </c>
      <c r="FM4" s="3" t="s">
        <v>682</v>
      </c>
      <c r="FN4" s="3" t="s">
        <v>676</v>
      </c>
      <c r="FO4" s="3" t="s">
        <v>677</v>
      </c>
      <c r="FP4" s="3" t="s">
        <v>678</v>
      </c>
      <c r="FQ4" s="3" t="s">
        <v>679</v>
      </c>
      <c r="FR4" s="3" t="s">
        <v>680</v>
      </c>
      <c r="FS4" s="3" t="s">
        <v>681</v>
      </c>
      <c r="FT4" s="3" t="s">
        <v>682</v>
      </c>
      <c r="FU4" s="3" t="s">
        <v>676</v>
      </c>
      <c r="FV4" s="3" t="s">
        <v>677</v>
      </c>
      <c r="FW4" s="3" t="s">
        <v>678</v>
      </c>
      <c r="FX4" s="3" t="s">
        <v>679</v>
      </c>
      <c r="FY4" s="3" t="s">
        <v>680</v>
      </c>
      <c r="FZ4" s="3" t="s">
        <v>681</v>
      </c>
      <c r="GA4" s="3" t="s">
        <v>682</v>
      </c>
      <c r="GB4" s="3" t="s">
        <v>676</v>
      </c>
      <c r="GC4" s="3" t="s">
        <v>677</v>
      </c>
      <c r="GD4" s="3" t="s">
        <v>678</v>
      </c>
      <c r="GE4" s="3" t="s">
        <v>679</v>
      </c>
      <c r="GF4" s="3" t="s">
        <v>680</v>
      </c>
      <c r="GG4" s="3" t="s">
        <v>681</v>
      </c>
      <c r="GH4" s="3" t="s">
        <v>682</v>
      </c>
      <c r="GI4" s="3" t="s">
        <v>676</v>
      </c>
      <c r="GJ4" s="3" t="s">
        <v>677</v>
      </c>
      <c r="GK4" s="3" t="s">
        <v>678</v>
      </c>
      <c r="GL4" s="3" t="s">
        <v>679</v>
      </c>
      <c r="GM4" s="3" t="s">
        <v>680</v>
      </c>
      <c r="GN4" s="3" t="s">
        <v>681</v>
      </c>
      <c r="GO4" s="3" t="s">
        <v>682</v>
      </c>
      <c r="GP4" s="3" t="s">
        <v>676</v>
      </c>
      <c r="GQ4" s="3" t="s">
        <v>677</v>
      </c>
      <c r="GR4" s="3" t="s">
        <v>678</v>
      </c>
      <c r="GS4" s="3" t="s">
        <v>679</v>
      </c>
      <c r="GT4" s="3" t="s">
        <v>680</v>
      </c>
      <c r="GU4" s="3" t="s">
        <v>681</v>
      </c>
      <c r="GV4" s="3" t="s">
        <v>682</v>
      </c>
      <c r="GW4" s="3" t="s">
        <v>676</v>
      </c>
      <c r="GX4" s="3" t="s">
        <v>677</v>
      </c>
      <c r="GY4" s="3" t="s">
        <v>678</v>
      </c>
      <c r="GZ4" s="3" t="s">
        <v>679</v>
      </c>
      <c r="HA4" s="3" t="s">
        <v>680</v>
      </c>
      <c r="HB4" s="3" t="s">
        <v>681</v>
      </c>
      <c r="HC4" s="3" t="s">
        <v>682</v>
      </c>
      <c r="HD4" s="3" t="s">
        <v>676</v>
      </c>
      <c r="HE4" s="3" t="s">
        <v>677</v>
      </c>
      <c r="HF4" s="3" t="s">
        <v>678</v>
      </c>
      <c r="HG4" s="3" t="s">
        <v>679</v>
      </c>
      <c r="HH4" s="3" t="s">
        <v>680</v>
      </c>
      <c r="HI4" s="3" t="s">
        <v>681</v>
      </c>
      <c r="HJ4" s="3" t="s">
        <v>682</v>
      </c>
      <c r="HK4" s="3" t="s">
        <v>676</v>
      </c>
      <c r="HL4" s="3" t="s">
        <v>677</v>
      </c>
      <c r="HM4" s="3" t="s">
        <v>678</v>
      </c>
      <c r="HN4" s="3" t="s">
        <v>679</v>
      </c>
      <c r="HO4" s="3" t="s">
        <v>680</v>
      </c>
      <c r="HP4" s="3" t="s">
        <v>681</v>
      </c>
      <c r="HQ4" s="3" t="s">
        <v>682</v>
      </c>
      <c r="HR4" s="3" t="s">
        <v>676</v>
      </c>
      <c r="HS4" s="3" t="s">
        <v>677</v>
      </c>
      <c r="HT4" s="3" t="s">
        <v>678</v>
      </c>
      <c r="HU4" s="3" t="s">
        <v>679</v>
      </c>
      <c r="HV4" s="3" t="s">
        <v>680</v>
      </c>
      <c r="HW4" s="3" t="s">
        <v>681</v>
      </c>
      <c r="HX4" s="3" t="s">
        <v>682</v>
      </c>
      <c r="HY4" s="3" t="s">
        <v>676</v>
      </c>
      <c r="HZ4" s="3" t="s">
        <v>677</v>
      </c>
      <c r="IA4" s="3" t="s">
        <v>678</v>
      </c>
      <c r="IB4" s="3" t="s">
        <v>679</v>
      </c>
      <c r="IC4" s="3" t="s">
        <v>680</v>
      </c>
      <c r="ID4" s="3" t="s">
        <v>681</v>
      </c>
      <c r="IE4" s="3" t="s">
        <v>682</v>
      </c>
    </row>
    <row r="5" spans="1:257">
      <c r="A5" s="82" t="s">
        <v>695</v>
      </c>
      <c r="B5" s="82" t="str">
        <f>COUNTIF(P5:IC5, "W")&amp;"勝"</f>
        <v>12勝</v>
      </c>
      <c r="C5" s="82" t="str">
        <f>COUNTIF(P5:IC5, "L")&amp;"敗"</f>
        <v>15敗</v>
      </c>
      <c r="D5" s="82" t="s">
        <v>696</v>
      </c>
      <c r="E5" s="78"/>
      <c r="F5" s="82" t="s">
        <v>697</v>
      </c>
      <c r="G5" s="78"/>
      <c r="H5" s="78"/>
      <c r="I5" s="78"/>
      <c r="J5" s="78"/>
      <c r="K5" s="78"/>
      <c r="L5" s="78"/>
      <c r="M5" s="82"/>
      <c r="N5" s="78"/>
      <c r="O5" s="1" t="s">
        <v>698</v>
      </c>
      <c r="Q5" t="s">
        <v>699</v>
      </c>
      <c r="S5" t="s">
        <v>700</v>
      </c>
      <c r="T5" t="s">
        <v>699</v>
      </c>
      <c r="U5" t="s">
        <v>700</v>
      </c>
      <c r="V5" t="s">
        <v>700</v>
      </c>
      <c r="W5" t="s">
        <v>699</v>
      </c>
      <c r="Y5" t="s">
        <v>700</v>
      </c>
      <c r="Z5" t="s">
        <v>700</v>
      </c>
      <c r="AA5" t="s">
        <v>700</v>
      </c>
      <c r="AB5" t="s">
        <v>699</v>
      </c>
      <c r="AC5" t="s">
        <v>699</v>
      </c>
      <c r="AD5" t="s">
        <v>699</v>
      </c>
      <c r="AF5" t="s">
        <v>700</v>
      </c>
      <c r="AG5" t="s">
        <v>699</v>
      </c>
      <c r="AH5" t="s">
        <v>699</v>
      </c>
      <c r="AI5" t="s">
        <v>699</v>
      </c>
      <c r="AJ5" t="s">
        <v>700</v>
      </c>
      <c r="AK5" t="s">
        <v>700</v>
      </c>
      <c r="AL5" t="s">
        <v>700</v>
      </c>
      <c r="AM5" t="s">
        <v>699</v>
      </c>
      <c r="AN5" t="s">
        <v>700</v>
      </c>
      <c r="AO5" t="s">
        <v>700</v>
      </c>
      <c r="AP5" t="s">
        <v>699</v>
      </c>
      <c r="AQ5" t="s">
        <v>700</v>
      </c>
      <c r="AT5" t="s">
        <v>699</v>
      </c>
      <c r="AU5" t="s">
        <v>700</v>
      </c>
      <c r="AV5" t="s">
        <v>700</v>
      </c>
    </row>
    <row r="6" spans="1:257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1" t="s">
        <v>701</v>
      </c>
    </row>
    <row r="7" spans="1:257">
      <c r="A7" s="82" t="s">
        <v>702</v>
      </c>
      <c r="B7" s="82" t="str">
        <f>COUNTIF(P7:IC7, "O")&amp;"正"</f>
        <v>11正</v>
      </c>
      <c r="C7" s="82" t="str">
        <f>COUNTIF(P7:IC7, "X")&amp;"負"</f>
        <v>16負</v>
      </c>
      <c r="D7" s="82" t="s">
        <v>703</v>
      </c>
      <c r="E7" s="78"/>
      <c r="F7" s="82" t="s">
        <v>704</v>
      </c>
      <c r="G7" s="78"/>
      <c r="H7" s="78"/>
      <c r="I7" s="78"/>
      <c r="J7" s="78"/>
      <c r="K7" s="78"/>
      <c r="L7" s="78"/>
      <c r="M7" s="82"/>
      <c r="N7" s="78"/>
      <c r="O7" s="1" t="s">
        <v>705</v>
      </c>
      <c r="Q7" t="s">
        <v>684</v>
      </c>
      <c r="S7" t="s">
        <v>684</v>
      </c>
      <c r="T7" t="s">
        <v>683</v>
      </c>
      <c r="U7" t="s">
        <v>684</v>
      </c>
      <c r="V7" t="s">
        <v>684</v>
      </c>
      <c r="W7" t="s">
        <v>683</v>
      </c>
      <c r="Y7" t="s">
        <v>684</v>
      </c>
      <c r="Z7" t="s">
        <v>684</v>
      </c>
      <c r="AA7" t="s">
        <v>684</v>
      </c>
      <c r="AB7" t="s">
        <v>683</v>
      </c>
      <c r="AC7" t="s">
        <v>683</v>
      </c>
      <c r="AD7" t="s">
        <v>683</v>
      </c>
      <c r="AF7" t="s">
        <v>684</v>
      </c>
      <c r="AG7" t="s">
        <v>683</v>
      </c>
      <c r="AH7" t="s">
        <v>683</v>
      </c>
      <c r="AI7" t="s">
        <v>683</v>
      </c>
      <c r="AJ7" t="s">
        <v>684</v>
      </c>
      <c r="AK7" t="s">
        <v>684</v>
      </c>
      <c r="AL7" t="s">
        <v>684</v>
      </c>
      <c r="AM7" t="s">
        <v>683</v>
      </c>
      <c r="AN7" t="s">
        <v>684</v>
      </c>
      <c r="AO7" t="s">
        <v>684</v>
      </c>
      <c r="AP7" t="s">
        <v>683</v>
      </c>
      <c r="AQ7" t="s">
        <v>684</v>
      </c>
      <c r="AT7" t="s">
        <v>683</v>
      </c>
      <c r="AU7" t="s">
        <v>684</v>
      </c>
      <c r="AV7" t="s">
        <v>684</v>
      </c>
      <c r="IN7" t="str">
        <f ca="1">IFERROR(INDEX($P7:$IC7,1,_xludf.AGGREGATE(14,6,(COLUMN($P7:$IC7)-COLUMN($P7)+1)/($P7:$IC7&lt;&gt;""),1)),"")</f>
        <v/>
      </c>
      <c r="IO7" t="str">
        <f ca="1">IFERROR(INDEX($P7:$IC7,1,_xludf.AGGREGATE(14,6,(COLUMN($P7:$IC7)-COLUMN($P7)+1)/($P7:$IC7&lt;&gt;""),2)),"")</f>
        <v/>
      </c>
      <c r="IP7" t="str">
        <f ca="1">IFERROR(INDEX($P7:$IC7,1,_xludf.AGGREGATE(14,6,(COLUMN($P7:$IC7)-COLUMN($P7)+1)/($P7:$IC7&lt;&gt;""),3)),"")</f>
        <v/>
      </c>
      <c r="IQ7" t="str">
        <f ca="1">IFERROR(INDEX($P7:$IC7,1,_xludf.AGGREGATE(14,6,(COLUMN($P7:$IC7)-COLUMN($P7)+1)/($P7:$IC7&lt;&gt;""),4)),"")</f>
        <v/>
      </c>
      <c r="IR7" t="str">
        <f ca="1">IFERROR(INDEX($P7:$IC7,1,_xludf.AGGREGATE(14,6,(COLUMN($P7:$IC7)-COLUMN($P7)+1)/($P7:$IC7&lt;&gt;""),5)),"")</f>
        <v/>
      </c>
      <c r="IS7" t="str">
        <f ca="1">IFERROR(INDEX($P7:$IC7,1,_xludf.AGGREGATE(14,6,(COLUMN($P7:$IC7)-COLUMN($P7)+1)/($P7:$IC7&lt;&gt;""),6)),"")</f>
        <v/>
      </c>
      <c r="IT7" t="str">
        <f ca="1">IFERROR(INDEX($P7:$IC7,1,_xludf.AGGREGATE(14,6,(COLUMN($P7:$IC7)-COLUMN($P7)+1)/($P7:$IC7&lt;&gt;""),7)),"")</f>
        <v/>
      </c>
      <c r="IU7" t="str">
        <f ca="1">IFERROR(INDEX($P7:$IC7,1,_xludf.AGGREGATE(14,6,(COLUMN($P7:$IC7)-COLUMN($P7)+1)/($P7:$IC7&lt;&gt;""),8)),"")</f>
        <v/>
      </c>
      <c r="IV7" t="str">
        <f ca="1">IFERROR(INDEX($P7:$IC7,1,_xludf.AGGREGATE(14,6,(COLUMN($P7:$IC7)-COLUMN($P7)+1)/($P7:$IC7&lt;&gt;""),9)),"")</f>
        <v/>
      </c>
      <c r="IW7" t="str">
        <f ca="1">IFERROR(INDEX($P7:$IC7,1,_xludf.AGGREGATE(14,6,(COLUMN($P7:$IC7)-COLUMN($P7)+1)/($P7:$IC7&lt;&gt;""),10)),"")</f>
        <v/>
      </c>
    </row>
    <row r="8" spans="1:257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1" t="s">
        <v>706</v>
      </c>
    </row>
    <row r="9" spans="1:257">
      <c r="A9" s="82" t="s">
        <v>707</v>
      </c>
      <c r="B9" s="77"/>
      <c r="C9" s="77"/>
      <c r="D9" s="82" t="s">
        <v>708</v>
      </c>
      <c r="E9" s="78"/>
      <c r="F9" s="82"/>
      <c r="G9" s="78"/>
      <c r="H9" s="78"/>
      <c r="I9" s="78"/>
      <c r="J9" s="78"/>
      <c r="K9" s="78"/>
      <c r="L9" s="78"/>
      <c r="M9" s="82"/>
      <c r="N9" s="78"/>
      <c r="O9" s="1" t="s">
        <v>709</v>
      </c>
    </row>
    <row r="10" spans="1:257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1" t="s">
        <v>710</v>
      </c>
    </row>
    <row r="11" spans="1:257">
      <c r="A11" s="109" t="s">
        <v>105</v>
      </c>
      <c r="B11" s="78"/>
      <c r="C11" s="7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674</v>
      </c>
      <c r="P11" s="8">
        <v>1</v>
      </c>
      <c r="Q11" s="8">
        <v>2</v>
      </c>
      <c r="R11" s="8">
        <v>3</v>
      </c>
      <c r="S11" s="8">
        <v>4</v>
      </c>
      <c r="T11" s="8">
        <v>5</v>
      </c>
      <c r="U11" s="8">
        <v>6</v>
      </c>
      <c r="V11" s="8">
        <v>7</v>
      </c>
      <c r="W11" s="8">
        <v>8</v>
      </c>
      <c r="X11" s="8">
        <v>9</v>
      </c>
      <c r="Y11" s="8">
        <v>10</v>
      </c>
      <c r="Z11" s="8">
        <v>11</v>
      </c>
      <c r="AA11" s="8">
        <v>12</v>
      </c>
      <c r="AB11" s="8">
        <v>13</v>
      </c>
      <c r="AC11" s="8">
        <v>14</v>
      </c>
      <c r="AD11" s="8">
        <v>15</v>
      </c>
      <c r="AE11" s="8">
        <v>16</v>
      </c>
      <c r="AF11" s="8">
        <v>17</v>
      </c>
      <c r="AG11" s="8">
        <v>18</v>
      </c>
      <c r="AH11" s="8">
        <v>19</v>
      </c>
      <c r="AI11" s="8">
        <v>20</v>
      </c>
      <c r="AJ11" s="8">
        <v>21</v>
      </c>
      <c r="AK11" s="8">
        <v>22</v>
      </c>
      <c r="AL11" s="8">
        <v>23</v>
      </c>
      <c r="AM11" s="8">
        <v>24</v>
      </c>
      <c r="AN11" s="8">
        <v>25</v>
      </c>
      <c r="AO11" s="8">
        <v>26</v>
      </c>
      <c r="AP11" s="8">
        <v>27</v>
      </c>
      <c r="AQ11" s="8">
        <v>28</v>
      </c>
      <c r="AR11" s="8">
        <v>29</v>
      </c>
      <c r="AS11" s="8">
        <v>30</v>
      </c>
      <c r="AT11" s="8">
        <v>31</v>
      </c>
      <c r="AU11" s="8">
        <v>32</v>
      </c>
      <c r="AV11" s="8">
        <v>33</v>
      </c>
      <c r="AW11" s="8">
        <v>34</v>
      </c>
      <c r="AX11" s="8">
        <v>35</v>
      </c>
      <c r="AY11" s="8">
        <v>36</v>
      </c>
      <c r="AZ11" s="8">
        <v>37</v>
      </c>
      <c r="BA11" s="8">
        <v>38</v>
      </c>
      <c r="BB11" s="8">
        <v>39</v>
      </c>
      <c r="BC11" s="8">
        <v>40</v>
      </c>
      <c r="BD11" s="8">
        <v>41</v>
      </c>
      <c r="BE11" s="8">
        <v>42</v>
      </c>
      <c r="BF11" s="8">
        <v>43</v>
      </c>
      <c r="BG11" s="8">
        <v>44</v>
      </c>
      <c r="BH11" s="8">
        <v>45</v>
      </c>
      <c r="BI11" s="8">
        <v>46</v>
      </c>
      <c r="BJ11" s="8">
        <v>47</v>
      </c>
      <c r="BK11" s="8">
        <v>48</v>
      </c>
      <c r="BL11" s="8">
        <v>49</v>
      </c>
      <c r="BM11" s="8">
        <v>50</v>
      </c>
      <c r="BN11" s="8">
        <v>51</v>
      </c>
      <c r="BO11" s="8">
        <v>52</v>
      </c>
      <c r="BP11" s="8">
        <v>53</v>
      </c>
      <c r="BQ11" s="8">
        <v>54</v>
      </c>
      <c r="BR11" s="8">
        <v>55</v>
      </c>
      <c r="BS11" s="8">
        <v>56</v>
      </c>
      <c r="BT11" s="8">
        <v>57</v>
      </c>
      <c r="BU11" s="8">
        <v>58</v>
      </c>
      <c r="BV11" s="8">
        <v>59</v>
      </c>
      <c r="BW11" s="8">
        <v>60</v>
      </c>
      <c r="BX11" s="8">
        <v>61</v>
      </c>
      <c r="BY11" s="8">
        <v>62</v>
      </c>
      <c r="BZ11" s="8">
        <v>63</v>
      </c>
      <c r="CA11" s="8">
        <v>64</v>
      </c>
      <c r="CB11" s="8">
        <v>65</v>
      </c>
      <c r="CC11" s="8">
        <v>66</v>
      </c>
      <c r="CD11" s="8">
        <v>67</v>
      </c>
      <c r="CE11" s="8">
        <v>68</v>
      </c>
      <c r="CF11" s="8">
        <v>69</v>
      </c>
      <c r="CG11" s="8">
        <v>70</v>
      </c>
      <c r="CH11" s="8">
        <v>71</v>
      </c>
      <c r="CI11" s="8">
        <v>72</v>
      </c>
      <c r="CJ11" s="8">
        <v>73</v>
      </c>
      <c r="CK11" s="8">
        <v>74</v>
      </c>
      <c r="CL11" s="8">
        <v>75</v>
      </c>
      <c r="CM11" s="8">
        <v>76</v>
      </c>
      <c r="CN11" s="8">
        <v>77</v>
      </c>
      <c r="CO11" s="8">
        <v>78</v>
      </c>
      <c r="CP11" s="8">
        <v>79</v>
      </c>
      <c r="CQ11" s="8">
        <v>80</v>
      </c>
      <c r="CR11" s="8">
        <v>81</v>
      </c>
      <c r="CS11" s="8">
        <v>82</v>
      </c>
      <c r="CT11" s="8">
        <v>83</v>
      </c>
      <c r="CU11" s="8">
        <v>84</v>
      </c>
      <c r="CV11" s="8">
        <v>85</v>
      </c>
      <c r="CW11" s="8">
        <v>86</v>
      </c>
      <c r="CX11" s="8">
        <v>87</v>
      </c>
      <c r="CY11" s="8">
        <v>88</v>
      </c>
      <c r="CZ11" s="8">
        <v>89</v>
      </c>
      <c r="DA11" s="8">
        <v>90</v>
      </c>
      <c r="DB11" s="8">
        <v>91</v>
      </c>
      <c r="DC11" s="8">
        <v>92</v>
      </c>
      <c r="DD11" s="8">
        <v>93</v>
      </c>
      <c r="DE11" s="8">
        <v>94</v>
      </c>
      <c r="DF11" s="8">
        <v>95</v>
      </c>
      <c r="DG11" s="8">
        <v>96</v>
      </c>
      <c r="DH11" s="8">
        <v>97</v>
      </c>
      <c r="DI11" s="8">
        <v>98</v>
      </c>
      <c r="DJ11" s="8">
        <v>99</v>
      </c>
      <c r="DK11" s="8">
        <v>100</v>
      </c>
      <c r="DL11" s="8">
        <v>101</v>
      </c>
      <c r="DM11" s="8">
        <v>102</v>
      </c>
      <c r="DN11" s="8">
        <v>103</v>
      </c>
      <c r="DO11" s="8">
        <v>104</v>
      </c>
      <c r="DP11" s="8">
        <v>105</v>
      </c>
      <c r="DQ11" s="8">
        <v>106</v>
      </c>
      <c r="DR11" s="8">
        <v>107</v>
      </c>
      <c r="DS11" s="8">
        <v>108</v>
      </c>
      <c r="DT11" s="8">
        <v>109</v>
      </c>
      <c r="DU11" s="8">
        <v>110</v>
      </c>
      <c r="DV11" s="8">
        <v>111</v>
      </c>
      <c r="DW11" s="8">
        <v>112</v>
      </c>
      <c r="DX11" s="8">
        <v>113</v>
      </c>
      <c r="DY11" s="8">
        <v>114</v>
      </c>
      <c r="DZ11" s="8">
        <v>115</v>
      </c>
      <c r="EA11" s="8">
        <v>116</v>
      </c>
      <c r="EB11" s="8">
        <v>117</v>
      </c>
      <c r="EC11" s="8">
        <v>118</v>
      </c>
      <c r="ED11" s="8">
        <v>119</v>
      </c>
      <c r="EE11" s="8">
        <v>120</v>
      </c>
      <c r="EF11" s="8">
        <v>121</v>
      </c>
      <c r="EG11" s="8">
        <v>122</v>
      </c>
      <c r="EH11" s="8">
        <v>123</v>
      </c>
      <c r="EI11" s="8">
        <v>124</v>
      </c>
      <c r="EJ11" s="8">
        <v>125</v>
      </c>
      <c r="EK11" s="8">
        <v>126</v>
      </c>
      <c r="EL11" s="8">
        <v>127</v>
      </c>
      <c r="EM11" s="8">
        <v>128</v>
      </c>
      <c r="EN11" s="8">
        <v>129</v>
      </c>
      <c r="EO11" s="8">
        <v>130</v>
      </c>
      <c r="EP11" s="8">
        <v>131</v>
      </c>
      <c r="EQ11" s="8">
        <v>132</v>
      </c>
      <c r="ER11" s="8">
        <v>133</v>
      </c>
      <c r="ES11" s="8">
        <v>134</v>
      </c>
      <c r="ET11" s="8">
        <v>135</v>
      </c>
      <c r="EU11" s="8">
        <v>136</v>
      </c>
      <c r="EV11" s="8">
        <v>137</v>
      </c>
      <c r="EW11" s="8">
        <v>138</v>
      </c>
      <c r="EX11" s="8">
        <v>139</v>
      </c>
      <c r="EY11" s="8">
        <v>140</v>
      </c>
      <c r="EZ11" s="8">
        <v>141</v>
      </c>
      <c r="FA11" s="8">
        <v>142</v>
      </c>
      <c r="FB11" s="8">
        <v>143</v>
      </c>
      <c r="FC11" s="8">
        <v>144</v>
      </c>
      <c r="FD11" s="8">
        <v>145</v>
      </c>
      <c r="FE11" s="8">
        <v>146</v>
      </c>
      <c r="FF11" s="8">
        <v>147</v>
      </c>
      <c r="FG11" s="8">
        <v>148</v>
      </c>
      <c r="FH11" s="8">
        <v>149</v>
      </c>
      <c r="FI11" s="8">
        <v>150</v>
      </c>
      <c r="FJ11" s="8">
        <v>151</v>
      </c>
      <c r="FK11" s="8">
        <v>152</v>
      </c>
      <c r="FL11" s="8">
        <v>153</v>
      </c>
      <c r="FM11" s="8">
        <v>154</v>
      </c>
      <c r="FN11" s="8">
        <v>155</v>
      </c>
      <c r="FO11" s="8">
        <v>156</v>
      </c>
      <c r="FP11" s="8">
        <v>157</v>
      </c>
      <c r="FQ11" s="8">
        <v>158</v>
      </c>
      <c r="FR11" s="8">
        <v>159</v>
      </c>
      <c r="FS11" s="8">
        <v>160</v>
      </c>
      <c r="FT11" s="8">
        <v>161</v>
      </c>
      <c r="FU11" s="8">
        <v>162</v>
      </c>
      <c r="FV11" s="8">
        <v>163</v>
      </c>
      <c r="FW11" s="8">
        <v>164</v>
      </c>
      <c r="FX11" s="8">
        <v>165</v>
      </c>
      <c r="FY11" s="8">
        <v>166</v>
      </c>
      <c r="FZ11" s="8">
        <v>167</v>
      </c>
      <c r="GA11" s="8">
        <v>168</v>
      </c>
      <c r="GB11" s="8">
        <v>169</v>
      </c>
      <c r="GC11" s="8">
        <v>170</v>
      </c>
      <c r="GD11" s="8">
        <v>171</v>
      </c>
      <c r="GE11" s="8">
        <v>172</v>
      </c>
      <c r="GF11" s="8">
        <v>173</v>
      </c>
      <c r="GG11" s="8">
        <v>174</v>
      </c>
      <c r="GH11" s="8">
        <v>175</v>
      </c>
      <c r="GI11" s="8">
        <v>176</v>
      </c>
      <c r="GJ11" s="8">
        <v>177</v>
      </c>
      <c r="GK11" s="8">
        <v>178</v>
      </c>
      <c r="GL11" s="8">
        <v>179</v>
      </c>
      <c r="GM11" s="8">
        <v>180</v>
      </c>
      <c r="GN11" s="8">
        <v>181</v>
      </c>
      <c r="GO11" s="8">
        <v>182</v>
      </c>
      <c r="GP11" s="8">
        <v>183</v>
      </c>
      <c r="GQ11" s="8">
        <v>184</v>
      </c>
      <c r="GR11" s="8">
        <v>185</v>
      </c>
      <c r="GS11" s="8">
        <v>186</v>
      </c>
      <c r="GT11" s="8">
        <v>187</v>
      </c>
      <c r="GU11" s="8">
        <v>188</v>
      </c>
      <c r="GV11" s="8">
        <v>189</v>
      </c>
      <c r="GW11" s="8">
        <v>190</v>
      </c>
      <c r="GX11" s="8">
        <v>191</v>
      </c>
      <c r="GY11" s="8">
        <v>192</v>
      </c>
      <c r="GZ11" s="8">
        <v>193</v>
      </c>
      <c r="HA11" s="8">
        <v>194</v>
      </c>
      <c r="HB11" s="8">
        <v>195</v>
      </c>
      <c r="HC11" s="8">
        <v>196</v>
      </c>
      <c r="HD11" s="8">
        <v>197</v>
      </c>
      <c r="HE11" s="8">
        <v>198</v>
      </c>
      <c r="HF11" s="8">
        <v>199</v>
      </c>
      <c r="HG11" s="8">
        <v>200</v>
      </c>
      <c r="HH11" s="8">
        <v>201</v>
      </c>
      <c r="HI11" s="8">
        <v>202</v>
      </c>
      <c r="HJ11" s="8">
        <v>203</v>
      </c>
      <c r="HK11" s="8">
        <v>204</v>
      </c>
      <c r="HL11" s="8">
        <v>205</v>
      </c>
      <c r="HM11" s="8">
        <v>206</v>
      </c>
      <c r="HN11" s="8">
        <v>207</v>
      </c>
      <c r="HO11" s="8">
        <v>208</v>
      </c>
      <c r="HP11" s="8">
        <v>209</v>
      </c>
      <c r="HQ11" s="8">
        <v>210</v>
      </c>
      <c r="HR11" s="8">
        <v>211</v>
      </c>
      <c r="HS11" s="8">
        <v>212</v>
      </c>
      <c r="HT11" s="8">
        <v>213</v>
      </c>
      <c r="HU11" s="8">
        <v>214</v>
      </c>
      <c r="HV11" s="8">
        <v>215</v>
      </c>
      <c r="HW11" s="8">
        <v>216</v>
      </c>
      <c r="HX11" s="8">
        <v>217</v>
      </c>
      <c r="HY11" s="8">
        <v>218</v>
      </c>
      <c r="HZ11" s="8">
        <v>219</v>
      </c>
      <c r="IA11" s="8">
        <v>220</v>
      </c>
      <c r="IB11" s="8">
        <v>221</v>
      </c>
      <c r="IC11" s="8">
        <v>222</v>
      </c>
    </row>
    <row r="12" spans="1:257">
      <c r="A12" s="78"/>
      <c r="B12" s="78"/>
      <c r="C12" s="7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7"/>
      <c r="P12" s="8" t="s">
        <v>105</v>
      </c>
      <c r="Q12" s="8" t="s">
        <v>105</v>
      </c>
      <c r="R12" s="8" t="s">
        <v>105</v>
      </c>
      <c r="S12" s="8" t="s">
        <v>105</v>
      </c>
      <c r="T12" s="8" t="s">
        <v>105</v>
      </c>
      <c r="U12" s="8" t="s">
        <v>105</v>
      </c>
      <c r="V12" s="8" t="s">
        <v>105</v>
      </c>
      <c r="W12" s="8" t="s">
        <v>105</v>
      </c>
      <c r="X12" s="8" t="s">
        <v>105</v>
      </c>
      <c r="Y12" s="8" t="s">
        <v>105</v>
      </c>
      <c r="Z12" s="8" t="s">
        <v>105</v>
      </c>
      <c r="AA12" s="8" t="s">
        <v>105</v>
      </c>
      <c r="AB12" s="8" t="s">
        <v>105</v>
      </c>
      <c r="AC12" s="8" t="s">
        <v>105</v>
      </c>
      <c r="AD12" s="8" t="s">
        <v>105</v>
      </c>
      <c r="AE12" s="8" t="s">
        <v>105</v>
      </c>
      <c r="AF12" s="8" t="s">
        <v>105</v>
      </c>
      <c r="AG12" s="8" t="s">
        <v>105</v>
      </c>
      <c r="AH12" s="8" t="s">
        <v>105</v>
      </c>
      <c r="AI12" s="8" t="s">
        <v>105</v>
      </c>
      <c r="AJ12" s="8" t="s">
        <v>105</v>
      </c>
      <c r="AK12" s="8" t="s">
        <v>105</v>
      </c>
      <c r="AL12" s="8" t="s">
        <v>105</v>
      </c>
      <c r="AM12" s="8" t="s">
        <v>105</v>
      </c>
      <c r="AN12" s="8" t="s">
        <v>105</v>
      </c>
      <c r="AO12" s="8" t="s">
        <v>105</v>
      </c>
      <c r="AP12" s="8" t="s">
        <v>105</v>
      </c>
      <c r="AQ12" s="8" t="s">
        <v>105</v>
      </c>
      <c r="AR12" s="8" t="s">
        <v>105</v>
      </c>
      <c r="AS12" s="8" t="s">
        <v>105</v>
      </c>
      <c r="AT12" s="8" t="s">
        <v>105</v>
      </c>
      <c r="AU12" s="8" t="s">
        <v>105</v>
      </c>
      <c r="AV12" s="8" t="s">
        <v>105</v>
      </c>
      <c r="AW12" s="8" t="s">
        <v>105</v>
      </c>
      <c r="AX12" s="8" t="s">
        <v>105</v>
      </c>
      <c r="AY12" s="8" t="s">
        <v>105</v>
      </c>
      <c r="AZ12" s="8" t="s">
        <v>105</v>
      </c>
      <c r="BA12" s="8" t="s">
        <v>105</v>
      </c>
      <c r="BB12" s="8" t="s">
        <v>105</v>
      </c>
      <c r="BC12" s="8" t="s">
        <v>105</v>
      </c>
      <c r="BD12" s="8" t="s">
        <v>105</v>
      </c>
      <c r="BE12" s="8" t="s">
        <v>105</v>
      </c>
      <c r="BF12" s="8" t="s">
        <v>105</v>
      </c>
      <c r="BG12" s="8" t="s">
        <v>105</v>
      </c>
      <c r="BH12" s="8" t="s">
        <v>105</v>
      </c>
      <c r="BI12" s="8" t="s">
        <v>105</v>
      </c>
      <c r="BJ12" s="8" t="s">
        <v>105</v>
      </c>
      <c r="BK12" s="8" t="s">
        <v>105</v>
      </c>
      <c r="BL12" s="8" t="s">
        <v>105</v>
      </c>
      <c r="BM12" s="8" t="s">
        <v>105</v>
      </c>
      <c r="BN12" s="8" t="s">
        <v>105</v>
      </c>
      <c r="BO12" s="8" t="s">
        <v>105</v>
      </c>
      <c r="BP12" s="8" t="s">
        <v>105</v>
      </c>
      <c r="BQ12" s="8" t="s">
        <v>105</v>
      </c>
      <c r="BR12" s="8" t="s">
        <v>105</v>
      </c>
      <c r="BS12" s="8" t="s">
        <v>105</v>
      </c>
      <c r="BT12" s="8" t="s">
        <v>105</v>
      </c>
      <c r="BU12" s="8" t="s">
        <v>105</v>
      </c>
      <c r="BV12" s="8" t="s">
        <v>105</v>
      </c>
      <c r="BW12" s="8" t="s">
        <v>105</v>
      </c>
      <c r="BX12" s="8" t="s">
        <v>105</v>
      </c>
      <c r="BY12" s="8" t="s">
        <v>105</v>
      </c>
      <c r="BZ12" s="8" t="s">
        <v>105</v>
      </c>
      <c r="CA12" s="8" t="s">
        <v>105</v>
      </c>
      <c r="CB12" s="8" t="s">
        <v>105</v>
      </c>
      <c r="CC12" s="8" t="s">
        <v>105</v>
      </c>
      <c r="CD12" s="8" t="s">
        <v>105</v>
      </c>
      <c r="CE12" s="8" t="s">
        <v>105</v>
      </c>
      <c r="CF12" s="8" t="s">
        <v>105</v>
      </c>
      <c r="CG12" s="8" t="s">
        <v>105</v>
      </c>
      <c r="CH12" s="8" t="s">
        <v>105</v>
      </c>
      <c r="CI12" s="8" t="s">
        <v>105</v>
      </c>
      <c r="CJ12" s="8" t="s">
        <v>105</v>
      </c>
      <c r="CK12" s="8" t="s">
        <v>105</v>
      </c>
      <c r="CL12" s="8" t="s">
        <v>105</v>
      </c>
      <c r="CM12" s="8" t="s">
        <v>105</v>
      </c>
      <c r="CN12" s="8" t="s">
        <v>105</v>
      </c>
      <c r="CO12" s="8" t="s">
        <v>105</v>
      </c>
      <c r="CP12" s="8" t="s">
        <v>105</v>
      </c>
      <c r="CQ12" s="8" t="s">
        <v>105</v>
      </c>
      <c r="CR12" s="8" t="s">
        <v>105</v>
      </c>
      <c r="CS12" s="8" t="s">
        <v>105</v>
      </c>
      <c r="CT12" s="8" t="s">
        <v>105</v>
      </c>
      <c r="CU12" s="8" t="s">
        <v>105</v>
      </c>
      <c r="CV12" s="8" t="s">
        <v>105</v>
      </c>
      <c r="CW12" s="8" t="s">
        <v>105</v>
      </c>
      <c r="CX12" s="8" t="s">
        <v>105</v>
      </c>
      <c r="CY12" s="8" t="s">
        <v>105</v>
      </c>
      <c r="CZ12" s="8" t="s">
        <v>105</v>
      </c>
      <c r="DA12" s="8" t="s">
        <v>105</v>
      </c>
      <c r="DB12" s="8" t="s">
        <v>105</v>
      </c>
      <c r="DC12" s="8" t="s">
        <v>105</v>
      </c>
      <c r="DD12" s="8" t="s">
        <v>105</v>
      </c>
      <c r="DE12" s="8" t="s">
        <v>105</v>
      </c>
      <c r="DF12" s="8" t="s">
        <v>105</v>
      </c>
      <c r="DG12" s="8" t="s">
        <v>105</v>
      </c>
      <c r="DH12" s="8" t="s">
        <v>105</v>
      </c>
      <c r="DI12" s="8" t="s">
        <v>105</v>
      </c>
      <c r="DJ12" s="8" t="s">
        <v>105</v>
      </c>
      <c r="DK12" s="8" t="s">
        <v>105</v>
      </c>
      <c r="DL12" s="8" t="s">
        <v>105</v>
      </c>
      <c r="DM12" s="8" t="s">
        <v>105</v>
      </c>
      <c r="DN12" s="8" t="s">
        <v>105</v>
      </c>
      <c r="DO12" s="8" t="s">
        <v>105</v>
      </c>
      <c r="DP12" s="8" t="s">
        <v>105</v>
      </c>
      <c r="DQ12" s="8" t="s">
        <v>105</v>
      </c>
      <c r="DR12" s="8" t="s">
        <v>105</v>
      </c>
      <c r="DS12" s="8" t="s">
        <v>105</v>
      </c>
      <c r="DT12" s="8" t="s">
        <v>105</v>
      </c>
      <c r="DU12" s="8" t="s">
        <v>105</v>
      </c>
      <c r="DV12" s="8" t="s">
        <v>105</v>
      </c>
      <c r="DW12" s="8" t="s">
        <v>105</v>
      </c>
      <c r="DX12" s="8" t="s">
        <v>105</v>
      </c>
      <c r="DY12" s="8" t="s">
        <v>105</v>
      </c>
      <c r="DZ12" s="8" t="s">
        <v>105</v>
      </c>
      <c r="EA12" s="8" t="s">
        <v>105</v>
      </c>
      <c r="EB12" s="8" t="s">
        <v>105</v>
      </c>
      <c r="EC12" s="8" t="s">
        <v>105</v>
      </c>
      <c r="ED12" s="8" t="s">
        <v>105</v>
      </c>
      <c r="EE12" s="8" t="s">
        <v>105</v>
      </c>
      <c r="EF12" s="8" t="s">
        <v>105</v>
      </c>
      <c r="EG12" s="8" t="s">
        <v>105</v>
      </c>
      <c r="EH12" s="8" t="s">
        <v>105</v>
      </c>
      <c r="EI12" s="8" t="s">
        <v>105</v>
      </c>
      <c r="EJ12" s="8" t="s">
        <v>105</v>
      </c>
      <c r="EK12" s="8" t="s">
        <v>105</v>
      </c>
      <c r="EL12" s="8" t="s">
        <v>105</v>
      </c>
      <c r="EM12" s="8" t="s">
        <v>105</v>
      </c>
      <c r="EN12" s="8" t="s">
        <v>105</v>
      </c>
      <c r="EO12" s="8" t="s">
        <v>105</v>
      </c>
      <c r="EP12" s="8" t="s">
        <v>105</v>
      </c>
      <c r="EQ12" s="8" t="s">
        <v>105</v>
      </c>
      <c r="ER12" s="8" t="s">
        <v>105</v>
      </c>
      <c r="ES12" s="8" t="s">
        <v>105</v>
      </c>
      <c r="ET12" s="8" t="s">
        <v>105</v>
      </c>
      <c r="EU12" s="8" t="s">
        <v>105</v>
      </c>
      <c r="EV12" s="8" t="s">
        <v>105</v>
      </c>
      <c r="EW12" s="8" t="s">
        <v>105</v>
      </c>
      <c r="EX12" s="8" t="s">
        <v>105</v>
      </c>
      <c r="EY12" s="8" t="s">
        <v>105</v>
      </c>
      <c r="EZ12" s="8" t="s">
        <v>105</v>
      </c>
      <c r="FA12" s="8" t="s">
        <v>105</v>
      </c>
      <c r="FB12" s="8" t="s">
        <v>105</v>
      </c>
      <c r="FC12" s="8" t="s">
        <v>105</v>
      </c>
      <c r="FD12" s="8" t="s">
        <v>105</v>
      </c>
      <c r="FE12" s="8" t="s">
        <v>105</v>
      </c>
      <c r="FF12" s="8" t="s">
        <v>105</v>
      </c>
      <c r="FG12" s="8" t="s">
        <v>105</v>
      </c>
      <c r="FH12" s="8" t="s">
        <v>105</v>
      </c>
      <c r="FI12" s="8" t="s">
        <v>105</v>
      </c>
      <c r="FJ12" s="8" t="s">
        <v>105</v>
      </c>
      <c r="FK12" s="8" t="s">
        <v>105</v>
      </c>
      <c r="FL12" s="8" t="s">
        <v>105</v>
      </c>
      <c r="FM12" s="8" t="s">
        <v>105</v>
      </c>
      <c r="FN12" s="8" t="s">
        <v>105</v>
      </c>
      <c r="FO12" s="8" t="s">
        <v>105</v>
      </c>
      <c r="FP12" s="8" t="s">
        <v>105</v>
      </c>
      <c r="FQ12" s="8" t="s">
        <v>105</v>
      </c>
      <c r="FR12" s="8" t="s">
        <v>105</v>
      </c>
      <c r="FS12" s="8" t="s">
        <v>105</v>
      </c>
      <c r="FT12" s="8" t="s">
        <v>105</v>
      </c>
      <c r="FU12" s="8" t="s">
        <v>105</v>
      </c>
      <c r="FV12" s="8" t="s">
        <v>105</v>
      </c>
      <c r="FW12" s="8" t="s">
        <v>105</v>
      </c>
      <c r="FX12" s="8" t="s">
        <v>105</v>
      </c>
      <c r="FY12" s="8" t="s">
        <v>105</v>
      </c>
      <c r="FZ12" s="8" t="s">
        <v>105</v>
      </c>
      <c r="GA12" s="8" t="s">
        <v>105</v>
      </c>
      <c r="GB12" s="8" t="s">
        <v>105</v>
      </c>
      <c r="GC12" s="8" t="s">
        <v>105</v>
      </c>
      <c r="GD12" s="8" t="s">
        <v>105</v>
      </c>
      <c r="GE12" s="8" t="s">
        <v>105</v>
      </c>
      <c r="GF12" s="8" t="s">
        <v>105</v>
      </c>
      <c r="GG12" s="8" t="s">
        <v>105</v>
      </c>
      <c r="GH12" s="8" t="s">
        <v>105</v>
      </c>
      <c r="GI12" s="8" t="s">
        <v>105</v>
      </c>
      <c r="GJ12" s="8" t="s">
        <v>105</v>
      </c>
      <c r="GK12" s="8" t="s">
        <v>105</v>
      </c>
      <c r="GL12" s="8" t="s">
        <v>105</v>
      </c>
      <c r="GM12" s="8" t="s">
        <v>105</v>
      </c>
      <c r="GN12" s="8" t="s">
        <v>105</v>
      </c>
      <c r="GO12" s="8" t="s">
        <v>105</v>
      </c>
      <c r="GP12" s="8" t="s">
        <v>105</v>
      </c>
      <c r="GQ12" s="8" t="s">
        <v>105</v>
      </c>
      <c r="GR12" s="8" t="s">
        <v>105</v>
      </c>
      <c r="GS12" s="8" t="s">
        <v>105</v>
      </c>
      <c r="GT12" s="8" t="s">
        <v>105</v>
      </c>
      <c r="GU12" s="8" t="s">
        <v>105</v>
      </c>
      <c r="GV12" s="8" t="s">
        <v>105</v>
      </c>
      <c r="GW12" s="8" t="s">
        <v>105</v>
      </c>
      <c r="GX12" s="8" t="s">
        <v>105</v>
      </c>
      <c r="GY12" s="8" t="s">
        <v>105</v>
      </c>
      <c r="GZ12" s="8" t="s">
        <v>105</v>
      </c>
      <c r="HA12" s="8" t="s">
        <v>105</v>
      </c>
      <c r="HB12" s="8" t="s">
        <v>105</v>
      </c>
      <c r="HC12" s="8" t="s">
        <v>105</v>
      </c>
      <c r="HD12" s="8" t="s">
        <v>105</v>
      </c>
      <c r="HE12" s="8" t="s">
        <v>105</v>
      </c>
      <c r="HF12" s="8" t="s">
        <v>105</v>
      </c>
      <c r="HG12" s="8" t="s">
        <v>105</v>
      </c>
      <c r="HH12" s="8" t="s">
        <v>105</v>
      </c>
      <c r="HI12" s="8" t="s">
        <v>105</v>
      </c>
      <c r="HJ12" s="8" t="s">
        <v>105</v>
      </c>
      <c r="HK12" s="8" t="s">
        <v>105</v>
      </c>
      <c r="HL12" s="8" t="s">
        <v>105</v>
      </c>
      <c r="HM12" s="8" t="s">
        <v>105</v>
      </c>
      <c r="HN12" s="8" t="s">
        <v>105</v>
      </c>
      <c r="HO12" s="8" t="s">
        <v>105</v>
      </c>
      <c r="HP12" s="8" t="s">
        <v>105</v>
      </c>
      <c r="HQ12" s="8" t="s">
        <v>105</v>
      </c>
      <c r="HR12" s="8" t="s">
        <v>105</v>
      </c>
      <c r="HS12" s="8" t="s">
        <v>105</v>
      </c>
      <c r="HT12" s="8" t="s">
        <v>105</v>
      </c>
      <c r="HU12" s="8" t="s">
        <v>105</v>
      </c>
      <c r="HV12" s="8" t="s">
        <v>105</v>
      </c>
      <c r="HW12" s="8" t="s">
        <v>105</v>
      </c>
      <c r="HX12" s="8" t="s">
        <v>105</v>
      </c>
      <c r="HY12" s="8" t="s">
        <v>105</v>
      </c>
      <c r="HZ12" s="8" t="s">
        <v>105</v>
      </c>
      <c r="IA12" s="8" t="s">
        <v>105</v>
      </c>
      <c r="IB12" s="8" t="s">
        <v>105</v>
      </c>
      <c r="IC12" s="8" t="s">
        <v>105</v>
      </c>
    </row>
    <row r="13" spans="1:257">
      <c r="A13" s="4" t="s">
        <v>522</v>
      </c>
      <c r="B13" s="82" t="str">
        <f t="array" ref="B13">_xlfn.LET(
  _xlpm.dates, _xlfn._xlws.FILTER(P13:HO13, (P15:HO15&lt;&gt;"")+(P17:HO17&lt;&gt;"")),
  _xlpm.numDates, IFERROR(VALUE(_xlpm.dates), _xlpm.dates),
  _xlpm.first, TEXT(MIN(_xlpm.numDates), "m/dd"),
  _xlpm.last, TEXT(MAX(_xlpm.numDates), "m/dd"),
  _xlpm.first &amp; "~" &amp; _xlpm.last
)</f>
        <v>3/27~4/27</v>
      </c>
      <c r="C13" s="7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522</v>
      </c>
      <c r="P13" s="3">
        <v>46107</v>
      </c>
      <c r="Q13" s="3">
        <v>46108</v>
      </c>
      <c r="R13" s="3">
        <v>46109</v>
      </c>
      <c r="S13" s="3">
        <v>46110</v>
      </c>
      <c r="T13" s="3">
        <v>46111</v>
      </c>
      <c r="U13" s="3">
        <v>46112</v>
      </c>
      <c r="V13" s="3">
        <v>46113</v>
      </c>
      <c r="W13" s="3">
        <v>46114</v>
      </c>
      <c r="X13" s="3">
        <v>46115</v>
      </c>
      <c r="Y13" s="3">
        <v>46116</v>
      </c>
      <c r="Z13" s="3">
        <v>46117</v>
      </c>
      <c r="AA13" s="3">
        <v>46118</v>
      </c>
      <c r="AB13" s="3">
        <v>46119</v>
      </c>
      <c r="AC13" s="3">
        <v>46120</v>
      </c>
      <c r="AD13" s="3">
        <v>46121</v>
      </c>
      <c r="AE13" s="3">
        <v>46122</v>
      </c>
      <c r="AF13" s="3">
        <v>46123</v>
      </c>
      <c r="AG13" s="3">
        <v>46124</v>
      </c>
      <c r="AH13" s="3">
        <v>46125</v>
      </c>
      <c r="AI13" s="3">
        <v>46126</v>
      </c>
      <c r="AJ13" s="3">
        <v>46127</v>
      </c>
      <c r="AK13" s="3">
        <v>46128</v>
      </c>
      <c r="AL13" s="3">
        <v>46129</v>
      </c>
      <c r="AM13" s="3">
        <v>46130</v>
      </c>
      <c r="AN13" s="3">
        <v>46131</v>
      </c>
      <c r="AO13" s="3">
        <v>46132</v>
      </c>
      <c r="AP13" s="3">
        <v>46133</v>
      </c>
      <c r="AQ13" s="3">
        <v>46134</v>
      </c>
      <c r="AR13" s="3">
        <v>46135</v>
      </c>
      <c r="AS13" s="3">
        <v>46136</v>
      </c>
      <c r="AT13" s="3">
        <v>46137</v>
      </c>
      <c r="AU13" s="3">
        <v>46138</v>
      </c>
      <c r="AV13" s="3">
        <v>46139</v>
      </c>
      <c r="AW13" s="3">
        <v>46140</v>
      </c>
      <c r="AX13" s="3">
        <v>46141</v>
      </c>
      <c r="AY13" s="3">
        <v>46142</v>
      </c>
      <c r="AZ13" s="3">
        <v>46143</v>
      </c>
      <c r="BA13" s="3">
        <v>46144</v>
      </c>
      <c r="BB13" s="3">
        <v>46145</v>
      </c>
      <c r="BC13" s="3">
        <v>46146</v>
      </c>
      <c r="BD13" s="3">
        <v>46147</v>
      </c>
      <c r="BE13" s="3">
        <v>46148</v>
      </c>
      <c r="BF13" s="3">
        <v>46149</v>
      </c>
      <c r="BG13" s="3">
        <v>46150</v>
      </c>
      <c r="BH13" s="3">
        <v>46151</v>
      </c>
      <c r="BI13" s="3">
        <v>46152</v>
      </c>
      <c r="BJ13" s="3">
        <v>46153</v>
      </c>
      <c r="BK13" s="3">
        <v>46154</v>
      </c>
      <c r="BL13" s="3">
        <v>46155</v>
      </c>
      <c r="BM13" s="3">
        <v>46156</v>
      </c>
      <c r="BN13" s="3">
        <v>46157</v>
      </c>
      <c r="BO13" s="3">
        <v>46158</v>
      </c>
      <c r="BP13" s="3">
        <v>46159</v>
      </c>
      <c r="BQ13" s="3">
        <v>46160</v>
      </c>
      <c r="BR13" s="3">
        <v>46161</v>
      </c>
      <c r="BS13" s="3">
        <v>46162</v>
      </c>
      <c r="BT13" s="3">
        <v>46163</v>
      </c>
      <c r="BU13" s="3">
        <v>46164</v>
      </c>
      <c r="BV13" s="3">
        <v>46165</v>
      </c>
      <c r="BW13" s="3">
        <v>46166</v>
      </c>
      <c r="BX13" s="3">
        <v>46167</v>
      </c>
      <c r="BY13" s="3">
        <v>46168</v>
      </c>
      <c r="BZ13" s="3">
        <v>46169</v>
      </c>
      <c r="CA13" s="3">
        <v>46170</v>
      </c>
      <c r="CB13" s="3">
        <v>46171</v>
      </c>
      <c r="CC13" s="3">
        <v>46172</v>
      </c>
      <c r="CD13" s="3">
        <v>46173</v>
      </c>
      <c r="CE13" s="3">
        <v>46174</v>
      </c>
      <c r="CF13" s="3">
        <v>46175</v>
      </c>
      <c r="CG13" s="3">
        <v>46176</v>
      </c>
      <c r="CH13" s="3">
        <v>46177</v>
      </c>
      <c r="CI13" s="3">
        <v>46178</v>
      </c>
      <c r="CJ13" s="3">
        <v>46179</v>
      </c>
      <c r="CK13" s="3">
        <v>46180</v>
      </c>
      <c r="CL13" s="3">
        <v>46181</v>
      </c>
      <c r="CM13" s="3">
        <v>46182</v>
      </c>
      <c r="CN13" s="3">
        <v>46183</v>
      </c>
      <c r="CO13" s="3">
        <v>46184</v>
      </c>
      <c r="CP13" s="3">
        <v>46185</v>
      </c>
      <c r="CQ13" s="3">
        <v>46186</v>
      </c>
      <c r="CR13" s="3">
        <v>46187</v>
      </c>
      <c r="CS13" s="3">
        <v>46188</v>
      </c>
      <c r="CT13" s="3">
        <v>46189</v>
      </c>
      <c r="CU13" s="3">
        <v>46190</v>
      </c>
      <c r="CV13" s="3">
        <v>46191</v>
      </c>
      <c r="CW13" s="3">
        <v>46192</v>
      </c>
      <c r="CX13" s="3">
        <v>46193</v>
      </c>
      <c r="CY13" s="3">
        <v>46194</v>
      </c>
      <c r="CZ13" s="3">
        <v>46195</v>
      </c>
      <c r="DA13" s="3">
        <v>46196</v>
      </c>
      <c r="DB13" s="3">
        <v>46197</v>
      </c>
      <c r="DC13" s="3">
        <v>46198</v>
      </c>
      <c r="DD13" s="3">
        <v>46199</v>
      </c>
      <c r="DE13" s="3">
        <v>46200</v>
      </c>
      <c r="DF13" s="3">
        <v>46201</v>
      </c>
      <c r="DG13" s="3">
        <v>46202</v>
      </c>
      <c r="DH13" s="3">
        <v>46203</v>
      </c>
      <c r="DI13" s="3">
        <v>46204</v>
      </c>
      <c r="DJ13" s="3">
        <v>46205</v>
      </c>
      <c r="DK13" s="3">
        <v>46206</v>
      </c>
      <c r="DL13" s="3">
        <v>46207</v>
      </c>
      <c r="DM13" s="3">
        <v>46208</v>
      </c>
      <c r="DN13" s="3">
        <v>46209</v>
      </c>
      <c r="DO13" s="3">
        <v>46210</v>
      </c>
      <c r="DP13" s="3">
        <v>46211</v>
      </c>
      <c r="DQ13" s="3">
        <v>46212</v>
      </c>
      <c r="DR13" s="3">
        <v>46213</v>
      </c>
      <c r="DS13" s="3">
        <v>46214</v>
      </c>
      <c r="DT13" s="3">
        <v>46215</v>
      </c>
      <c r="DU13" s="3">
        <v>46216</v>
      </c>
      <c r="DV13" s="3">
        <v>46217</v>
      </c>
      <c r="DW13" s="3">
        <v>46218</v>
      </c>
      <c r="DX13" s="3">
        <v>46219</v>
      </c>
      <c r="DY13" s="3">
        <v>46220</v>
      </c>
      <c r="DZ13" s="3">
        <v>46221</v>
      </c>
      <c r="EA13" s="3">
        <v>46222</v>
      </c>
      <c r="EB13" s="3">
        <v>46223</v>
      </c>
      <c r="EC13" s="3">
        <v>46224</v>
      </c>
      <c r="ED13" s="3">
        <v>46225</v>
      </c>
      <c r="EE13" s="3">
        <v>46226</v>
      </c>
      <c r="EF13" s="3">
        <v>46227</v>
      </c>
      <c r="EG13" s="3">
        <v>46228</v>
      </c>
      <c r="EH13" s="3">
        <v>46229</v>
      </c>
      <c r="EI13" s="3">
        <v>46230</v>
      </c>
      <c r="EJ13" s="3">
        <v>46231</v>
      </c>
      <c r="EK13" s="3">
        <v>46232</v>
      </c>
      <c r="EL13" s="3">
        <v>46233</v>
      </c>
      <c r="EM13" s="3">
        <v>46234</v>
      </c>
      <c r="EN13" s="3">
        <v>46235</v>
      </c>
      <c r="EO13" s="3">
        <v>46236</v>
      </c>
      <c r="EP13" s="3">
        <v>46237</v>
      </c>
      <c r="EQ13" s="3">
        <v>46238</v>
      </c>
      <c r="ER13" s="3">
        <v>46239</v>
      </c>
      <c r="ES13" s="3">
        <v>46240</v>
      </c>
      <c r="ET13" s="3">
        <v>46241</v>
      </c>
      <c r="EU13" s="3">
        <v>46242</v>
      </c>
      <c r="EV13" s="3">
        <v>46243</v>
      </c>
      <c r="EW13" s="3">
        <v>46244</v>
      </c>
      <c r="EX13" s="3">
        <v>46245</v>
      </c>
      <c r="EY13" s="3">
        <v>46246</v>
      </c>
      <c r="EZ13" s="3">
        <v>46247</v>
      </c>
      <c r="FA13" s="3">
        <v>46248</v>
      </c>
      <c r="FB13" s="3">
        <v>46249</v>
      </c>
      <c r="FC13" s="3">
        <v>46250</v>
      </c>
      <c r="FD13" s="3">
        <v>46251</v>
      </c>
      <c r="FE13" s="3">
        <v>46252</v>
      </c>
      <c r="FF13" s="3">
        <v>46253</v>
      </c>
      <c r="FG13" s="3">
        <v>46254</v>
      </c>
      <c r="FH13" s="3">
        <v>46255</v>
      </c>
      <c r="FI13" s="3">
        <v>46256</v>
      </c>
      <c r="FJ13" s="3">
        <v>46257</v>
      </c>
      <c r="FK13" s="3">
        <v>46258</v>
      </c>
      <c r="FL13" s="3">
        <v>46259</v>
      </c>
      <c r="FM13" s="3">
        <v>46260</v>
      </c>
      <c r="FN13" s="3">
        <v>46261</v>
      </c>
      <c r="FO13" s="3">
        <v>46262</v>
      </c>
      <c r="FP13" s="3">
        <v>46263</v>
      </c>
      <c r="FQ13" s="3">
        <v>46264</v>
      </c>
      <c r="FR13" s="3">
        <v>46265</v>
      </c>
      <c r="FS13" s="3">
        <v>46266</v>
      </c>
      <c r="FT13" s="3">
        <v>46267</v>
      </c>
      <c r="FU13" s="3">
        <v>46268</v>
      </c>
      <c r="FV13" s="3">
        <v>46269</v>
      </c>
      <c r="FW13" s="3">
        <v>46270</v>
      </c>
      <c r="FX13" s="3">
        <v>46271</v>
      </c>
      <c r="FY13" s="3">
        <v>46272</v>
      </c>
      <c r="FZ13" s="3">
        <v>46273</v>
      </c>
      <c r="GA13" s="3">
        <v>46274</v>
      </c>
      <c r="GB13" s="3">
        <v>46275</v>
      </c>
      <c r="GC13" s="3">
        <v>46276</v>
      </c>
      <c r="GD13" s="3">
        <v>46277</v>
      </c>
      <c r="GE13" s="3">
        <v>46278</v>
      </c>
      <c r="GF13" s="3">
        <v>46279</v>
      </c>
      <c r="GG13" s="3">
        <v>46280</v>
      </c>
      <c r="GH13" s="3">
        <v>46281</v>
      </c>
      <c r="GI13" s="3">
        <v>46282</v>
      </c>
      <c r="GJ13" s="3">
        <v>46283</v>
      </c>
      <c r="GK13" s="3">
        <v>46284</v>
      </c>
      <c r="GL13" s="3">
        <v>46285</v>
      </c>
      <c r="GM13" s="3">
        <v>46286</v>
      </c>
      <c r="GN13" s="3">
        <v>46287</v>
      </c>
      <c r="GO13" s="3">
        <v>46288</v>
      </c>
      <c r="GP13" s="3">
        <v>46289</v>
      </c>
      <c r="GQ13" s="3">
        <v>46290</v>
      </c>
      <c r="GR13" s="3">
        <v>46291</v>
      </c>
      <c r="GS13" s="3">
        <v>46292</v>
      </c>
      <c r="GT13" s="3">
        <v>46293</v>
      </c>
      <c r="GU13" s="3">
        <v>46294</v>
      </c>
      <c r="GV13" s="3">
        <v>46295</v>
      </c>
      <c r="GW13" s="3">
        <v>46296</v>
      </c>
      <c r="GX13" s="3">
        <v>46297</v>
      </c>
      <c r="GY13" s="3">
        <v>46298</v>
      </c>
      <c r="GZ13" s="3">
        <v>46299</v>
      </c>
      <c r="HA13" s="3">
        <v>46300</v>
      </c>
      <c r="HB13" s="3">
        <v>46301</v>
      </c>
      <c r="HC13" s="3">
        <v>46302</v>
      </c>
      <c r="HD13" s="3">
        <v>46303</v>
      </c>
      <c r="HE13" s="3">
        <v>46304</v>
      </c>
      <c r="HF13" s="3">
        <v>46305</v>
      </c>
      <c r="HG13" s="3">
        <v>46306</v>
      </c>
      <c r="HH13" s="3">
        <v>46307</v>
      </c>
      <c r="HI13" s="3">
        <v>46308</v>
      </c>
      <c r="HJ13" s="3">
        <v>46309</v>
      </c>
      <c r="HK13" s="3">
        <v>46310</v>
      </c>
      <c r="HL13" s="3">
        <v>46311</v>
      </c>
      <c r="HM13" s="3">
        <v>46312</v>
      </c>
      <c r="HN13" s="3">
        <v>46313</v>
      </c>
      <c r="HO13" s="3">
        <v>46314</v>
      </c>
      <c r="HP13" s="3">
        <v>46315</v>
      </c>
      <c r="HQ13" s="3">
        <v>46316</v>
      </c>
      <c r="HR13" s="3">
        <v>46317</v>
      </c>
      <c r="HS13" s="3">
        <v>46318</v>
      </c>
      <c r="HT13" s="3">
        <v>46319</v>
      </c>
      <c r="HU13" s="3">
        <v>46320</v>
      </c>
      <c r="HV13" s="3">
        <v>46321</v>
      </c>
      <c r="HW13" s="3">
        <v>46322</v>
      </c>
      <c r="HX13" s="3">
        <v>46323</v>
      </c>
      <c r="HY13" s="3">
        <v>46324</v>
      </c>
      <c r="HZ13" s="3">
        <v>46325</v>
      </c>
      <c r="IA13" s="3">
        <v>46326</v>
      </c>
      <c r="IB13" s="3">
        <v>46327</v>
      </c>
      <c r="IC13" s="3">
        <v>46328</v>
      </c>
    </row>
    <row r="14" spans="1:257">
      <c r="A14" s="4" t="s">
        <v>694</v>
      </c>
      <c r="B14" s="82" t="str">
        <f t="array" ref="B14">COLUMNS(_xlfn._xlws.FILTER(P13:HO13, (P15:HO15&lt;&gt;"")+(P17:HO17&lt;&gt;""))) &amp; "場"</f>
        <v>27場</v>
      </c>
      <c r="C14" s="7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 t="s">
        <v>675</v>
      </c>
      <c r="P14" s="3" t="s">
        <v>676</v>
      </c>
      <c r="Q14" s="3" t="s">
        <v>677</v>
      </c>
      <c r="R14" s="3" t="s">
        <v>678</v>
      </c>
      <c r="S14" s="3" t="s">
        <v>679</v>
      </c>
      <c r="T14" s="3" t="s">
        <v>680</v>
      </c>
      <c r="U14" s="3" t="s">
        <v>681</v>
      </c>
      <c r="V14" s="3" t="s">
        <v>682</v>
      </c>
      <c r="W14" s="3" t="s">
        <v>676</v>
      </c>
      <c r="X14" s="3" t="s">
        <v>677</v>
      </c>
      <c r="Y14" s="3" t="s">
        <v>678</v>
      </c>
      <c r="Z14" s="3" t="s">
        <v>679</v>
      </c>
      <c r="AA14" s="3" t="s">
        <v>680</v>
      </c>
      <c r="AB14" s="3" t="s">
        <v>681</v>
      </c>
      <c r="AC14" s="3" t="s">
        <v>682</v>
      </c>
      <c r="AD14" s="3" t="s">
        <v>676</v>
      </c>
      <c r="AE14" s="3" t="s">
        <v>677</v>
      </c>
      <c r="AF14" s="3" t="s">
        <v>678</v>
      </c>
      <c r="AG14" s="3" t="s">
        <v>679</v>
      </c>
      <c r="AH14" s="3" t="s">
        <v>680</v>
      </c>
      <c r="AI14" s="3" t="s">
        <v>681</v>
      </c>
      <c r="AJ14" s="3" t="s">
        <v>682</v>
      </c>
      <c r="AK14" s="3" t="s">
        <v>676</v>
      </c>
      <c r="AL14" s="3" t="s">
        <v>677</v>
      </c>
      <c r="AM14" s="3" t="s">
        <v>678</v>
      </c>
      <c r="AN14" s="3" t="s">
        <v>679</v>
      </c>
      <c r="AO14" s="3" t="s">
        <v>680</v>
      </c>
      <c r="AP14" s="3" t="s">
        <v>681</v>
      </c>
      <c r="AQ14" s="3" t="s">
        <v>682</v>
      </c>
      <c r="AR14" s="3" t="s">
        <v>676</v>
      </c>
      <c r="AS14" s="3" t="s">
        <v>677</v>
      </c>
      <c r="AT14" s="3" t="s">
        <v>678</v>
      </c>
      <c r="AU14" s="3" t="s">
        <v>679</v>
      </c>
      <c r="AV14" s="3" t="s">
        <v>680</v>
      </c>
      <c r="AW14" s="3" t="s">
        <v>681</v>
      </c>
      <c r="AX14" s="3" t="s">
        <v>682</v>
      </c>
      <c r="AY14" s="3" t="s">
        <v>676</v>
      </c>
      <c r="AZ14" s="3" t="s">
        <v>677</v>
      </c>
      <c r="BA14" s="3" t="s">
        <v>678</v>
      </c>
      <c r="BB14" s="3" t="s">
        <v>679</v>
      </c>
      <c r="BC14" s="3" t="s">
        <v>680</v>
      </c>
      <c r="BD14" s="3" t="s">
        <v>681</v>
      </c>
      <c r="BE14" s="3" t="s">
        <v>682</v>
      </c>
      <c r="BF14" s="3" t="s">
        <v>676</v>
      </c>
      <c r="BG14" s="3" t="s">
        <v>677</v>
      </c>
      <c r="BH14" s="3" t="s">
        <v>678</v>
      </c>
      <c r="BI14" s="3" t="s">
        <v>679</v>
      </c>
      <c r="BJ14" s="3" t="s">
        <v>680</v>
      </c>
      <c r="BK14" s="3" t="s">
        <v>681</v>
      </c>
      <c r="BL14" s="3" t="s">
        <v>682</v>
      </c>
      <c r="BM14" s="3" t="s">
        <v>676</v>
      </c>
      <c r="BN14" s="3" t="s">
        <v>677</v>
      </c>
      <c r="BO14" s="3" t="s">
        <v>678</v>
      </c>
      <c r="BP14" s="3" t="s">
        <v>679</v>
      </c>
      <c r="BQ14" s="3" t="s">
        <v>680</v>
      </c>
      <c r="BR14" s="3" t="s">
        <v>681</v>
      </c>
      <c r="BS14" s="3" t="s">
        <v>682</v>
      </c>
      <c r="BT14" s="3" t="s">
        <v>676</v>
      </c>
      <c r="BU14" s="3" t="s">
        <v>677</v>
      </c>
      <c r="BV14" s="3" t="s">
        <v>678</v>
      </c>
      <c r="BW14" s="3" t="s">
        <v>679</v>
      </c>
      <c r="BX14" s="3" t="s">
        <v>680</v>
      </c>
      <c r="BY14" s="3" t="s">
        <v>681</v>
      </c>
      <c r="BZ14" s="3" t="s">
        <v>682</v>
      </c>
      <c r="CA14" s="3" t="s">
        <v>676</v>
      </c>
      <c r="CB14" s="3" t="s">
        <v>677</v>
      </c>
      <c r="CC14" s="3" t="s">
        <v>678</v>
      </c>
      <c r="CD14" s="3" t="s">
        <v>679</v>
      </c>
      <c r="CE14" s="3" t="s">
        <v>680</v>
      </c>
      <c r="CF14" s="3" t="s">
        <v>681</v>
      </c>
      <c r="CG14" s="3" t="s">
        <v>682</v>
      </c>
      <c r="CH14" s="3" t="s">
        <v>676</v>
      </c>
      <c r="CI14" s="3" t="s">
        <v>677</v>
      </c>
      <c r="CJ14" s="3" t="s">
        <v>678</v>
      </c>
      <c r="CK14" s="3" t="s">
        <v>679</v>
      </c>
      <c r="CL14" s="3" t="s">
        <v>680</v>
      </c>
      <c r="CM14" s="3" t="s">
        <v>681</v>
      </c>
      <c r="CN14" s="3" t="s">
        <v>682</v>
      </c>
      <c r="CO14" s="3" t="s">
        <v>676</v>
      </c>
      <c r="CP14" s="3" t="s">
        <v>677</v>
      </c>
      <c r="CQ14" s="3" t="s">
        <v>678</v>
      </c>
      <c r="CR14" s="3" t="s">
        <v>679</v>
      </c>
      <c r="CS14" s="3" t="s">
        <v>680</v>
      </c>
      <c r="CT14" s="3" t="s">
        <v>681</v>
      </c>
      <c r="CU14" s="3" t="s">
        <v>682</v>
      </c>
      <c r="CV14" s="3" t="s">
        <v>676</v>
      </c>
      <c r="CW14" s="3" t="s">
        <v>677</v>
      </c>
      <c r="CX14" s="3" t="s">
        <v>678</v>
      </c>
      <c r="CY14" s="3" t="s">
        <v>679</v>
      </c>
      <c r="CZ14" s="3" t="s">
        <v>680</v>
      </c>
      <c r="DA14" s="3" t="s">
        <v>681</v>
      </c>
      <c r="DB14" s="3" t="s">
        <v>682</v>
      </c>
      <c r="DC14" s="3" t="s">
        <v>676</v>
      </c>
      <c r="DD14" s="3" t="s">
        <v>677</v>
      </c>
      <c r="DE14" s="3" t="s">
        <v>678</v>
      </c>
      <c r="DF14" s="3" t="s">
        <v>679</v>
      </c>
      <c r="DG14" s="3" t="s">
        <v>680</v>
      </c>
      <c r="DH14" s="3" t="s">
        <v>681</v>
      </c>
      <c r="DI14" s="3" t="s">
        <v>682</v>
      </c>
      <c r="DJ14" s="3" t="s">
        <v>676</v>
      </c>
      <c r="DK14" s="3" t="s">
        <v>677</v>
      </c>
      <c r="DL14" s="3" t="s">
        <v>678</v>
      </c>
      <c r="DM14" s="3" t="s">
        <v>679</v>
      </c>
      <c r="DN14" s="3" t="s">
        <v>680</v>
      </c>
      <c r="DO14" s="3" t="s">
        <v>681</v>
      </c>
      <c r="DP14" s="3" t="s">
        <v>682</v>
      </c>
      <c r="DQ14" s="3" t="s">
        <v>676</v>
      </c>
      <c r="DR14" s="3" t="s">
        <v>677</v>
      </c>
      <c r="DS14" s="3" t="s">
        <v>678</v>
      </c>
      <c r="DT14" s="3" t="s">
        <v>679</v>
      </c>
      <c r="DU14" s="3" t="s">
        <v>680</v>
      </c>
      <c r="DV14" s="3" t="s">
        <v>681</v>
      </c>
      <c r="DW14" s="3" t="s">
        <v>682</v>
      </c>
      <c r="DX14" s="3" t="s">
        <v>676</v>
      </c>
      <c r="DY14" s="3" t="s">
        <v>677</v>
      </c>
      <c r="DZ14" s="3" t="s">
        <v>678</v>
      </c>
      <c r="EA14" s="3" t="s">
        <v>679</v>
      </c>
      <c r="EB14" s="3" t="s">
        <v>680</v>
      </c>
      <c r="EC14" s="3" t="s">
        <v>681</v>
      </c>
      <c r="ED14" s="3" t="s">
        <v>682</v>
      </c>
      <c r="EE14" s="3" t="s">
        <v>676</v>
      </c>
      <c r="EF14" s="3" t="s">
        <v>677</v>
      </c>
      <c r="EG14" s="3" t="s">
        <v>678</v>
      </c>
      <c r="EH14" s="3" t="s">
        <v>679</v>
      </c>
      <c r="EI14" s="3" t="s">
        <v>680</v>
      </c>
      <c r="EJ14" s="3" t="s">
        <v>681</v>
      </c>
      <c r="EK14" s="3" t="s">
        <v>682</v>
      </c>
      <c r="EL14" s="3" t="s">
        <v>676</v>
      </c>
      <c r="EM14" s="3" t="s">
        <v>677</v>
      </c>
      <c r="EN14" s="3" t="s">
        <v>678</v>
      </c>
      <c r="EO14" s="3" t="s">
        <v>679</v>
      </c>
      <c r="EP14" s="3" t="s">
        <v>680</v>
      </c>
      <c r="EQ14" s="3" t="s">
        <v>681</v>
      </c>
      <c r="ER14" s="3" t="s">
        <v>682</v>
      </c>
      <c r="ES14" s="3" t="s">
        <v>676</v>
      </c>
      <c r="ET14" s="3" t="s">
        <v>677</v>
      </c>
      <c r="EU14" s="3" t="s">
        <v>678</v>
      </c>
      <c r="EV14" s="3" t="s">
        <v>679</v>
      </c>
      <c r="EW14" s="3" t="s">
        <v>680</v>
      </c>
      <c r="EX14" s="3" t="s">
        <v>681</v>
      </c>
      <c r="EY14" s="3" t="s">
        <v>682</v>
      </c>
      <c r="EZ14" s="3" t="s">
        <v>676</v>
      </c>
      <c r="FA14" s="3" t="s">
        <v>677</v>
      </c>
      <c r="FB14" s="3" t="s">
        <v>678</v>
      </c>
      <c r="FC14" s="3" t="s">
        <v>679</v>
      </c>
      <c r="FD14" s="3" t="s">
        <v>680</v>
      </c>
      <c r="FE14" s="3" t="s">
        <v>681</v>
      </c>
      <c r="FF14" s="3" t="s">
        <v>682</v>
      </c>
      <c r="FG14" s="3" t="s">
        <v>676</v>
      </c>
      <c r="FH14" s="3" t="s">
        <v>677</v>
      </c>
      <c r="FI14" s="3" t="s">
        <v>678</v>
      </c>
      <c r="FJ14" s="3" t="s">
        <v>679</v>
      </c>
      <c r="FK14" s="3" t="s">
        <v>680</v>
      </c>
      <c r="FL14" s="3" t="s">
        <v>681</v>
      </c>
      <c r="FM14" s="3" t="s">
        <v>682</v>
      </c>
      <c r="FN14" s="3" t="s">
        <v>676</v>
      </c>
      <c r="FO14" s="3" t="s">
        <v>677</v>
      </c>
      <c r="FP14" s="3" t="s">
        <v>678</v>
      </c>
      <c r="FQ14" s="3" t="s">
        <v>679</v>
      </c>
      <c r="FR14" s="3" t="s">
        <v>680</v>
      </c>
      <c r="FS14" s="3" t="s">
        <v>681</v>
      </c>
      <c r="FT14" s="3" t="s">
        <v>682</v>
      </c>
      <c r="FU14" s="3" t="s">
        <v>676</v>
      </c>
      <c r="FV14" s="3" t="s">
        <v>677</v>
      </c>
      <c r="FW14" s="3" t="s">
        <v>678</v>
      </c>
      <c r="FX14" s="3" t="s">
        <v>679</v>
      </c>
      <c r="FY14" s="3" t="s">
        <v>680</v>
      </c>
      <c r="FZ14" s="3" t="s">
        <v>681</v>
      </c>
      <c r="GA14" s="3" t="s">
        <v>682</v>
      </c>
      <c r="GB14" s="3" t="s">
        <v>676</v>
      </c>
      <c r="GC14" s="3" t="s">
        <v>677</v>
      </c>
      <c r="GD14" s="3" t="s">
        <v>678</v>
      </c>
      <c r="GE14" s="3" t="s">
        <v>679</v>
      </c>
      <c r="GF14" s="3" t="s">
        <v>680</v>
      </c>
      <c r="GG14" s="3" t="s">
        <v>681</v>
      </c>
      <c r="GH14" s="3" t="s">
        <v>682</v>
      </c>
      <c r="GI14" s="3" t="s">
        <v>676</v>
      </c>
      <c r="GJ14" s="3" t="s">
        <v>677</v>
      </c>
      <c r="GK14" s="3" t="s">
        <v>678</v>
      </c>
      <c r="GL14" s="3" t="s">
        <v>679</v>
      </c>
      <c r="GM14" s="3" t="s">
        <v>680</v>
      </c>
      <c r="GN14" s="3" t="s">
        <v>681</v>
      </c>
      <c r="GO14" s="3" t="s">
        <v>682</v>
      </c>
      <c r="GP14" s="3" t="s">
        <v>676</v>
      </c>
      <c r="GQ14" s="3" t="s">
        <v>677</v>
      </c>
      <c r="GR14" s="3" t="s">
        <v>678</v>
      </c>
      <c r="GS14" s="3" t="s">
        <v>679</v>
      </c>
      <c r="GT14" s="3" t="s">
        <v>680</v>
      </c>
      <c r="GU14" s="3" t="s">
        <v>681</v>
      </c>
      <c r="GV14" s="3" t="s">
        <v>682</v>
      </c>
      <c r="GW14" s="3" t="s">
        <v>676</v>
      </c>
      <c r="GX14" s="3" t="s">
        <v>677</v>
      </c>
      <c r="GY14" s="3" t="s">
        <v>678</v>
      </c>
      <c r="GZ14" s="3" t="s">
        <v>679</v>
      </c>
      <c r="HA14" s="3" t="s">
        <v>680</v>
      </c>
      <c r="HB14" s="3" t="s">
        <v>681</v>
      </c>
      <c r="HC14" s="3" t="s">
        <v>682</v>
      </c>
      <c r="HD14" s="3" t="s">
        <v>676</v>
      </c>
      <c r="HE14" s="3" t="s">
        <v>677</v>
      </c>
      <c r="HF14" s="3" t="s">
        <v>678</v>
      </c>
      <c r="HG14" s="3" t="s">
        <v>679</v>
      </c>
      <c r="HH14" s="3" t="s">
        <v>680</v>
      </c>
      <c r="HI14" s="3" t="s">
        <v>681</v>
      </c>
      <c r="HJ14" s="3" t="s">
        <v>682</v>
      </c>
      <c r="HK14" s="3" t="s">
        <v>676</v>
      </c>
      <c r="HL14" s="3" t="s">
        <v>677</v>
      </c>
      <c r="HM14" s="3" t="s">
        <v>678</v>
      </c>
      <c r="HN14" s="3" t="s">
        <v>679</v>
      </c>
      <c r="HO14" s="3" t="s">
        <v>680</v>
      </c>
      <c r="HP14" s="3" t="s">
        <v>681</v>
      </c>
      <c r="HQ14" s="3" t="s">
        <v>682</v>
      </c>
      <c r="HR14" s="3" t="s">
        <v>676</v>
      </c>
      <c r="HS14" s="3" t="s">
        <v>677</v>
      </c>
      <c r="HT14" s="3" t="s">
        <v>678</v>
      </c>
      <c r="HU14" s="3" t="s">
        <v>679</v>
      </c>
      <c r="HV14" s="3" t="s">
        <v>680</v>
      </c>
      <c r="HW14" s="3" t="s">
        <v>681</v>
      </c>
      <c r="HX14" s="3" t="s">
        <v>682</v>
      </c>
      <c r="HY14" s="3" t="s">
        <v>676</v>
      </c>
      <c r="HZ14" s="3" t="s">
        <v>677</v>
      </c>
      <c r="IA14" s="3" t="s">
        <v>678</v>
      </c>
      <c r="IB14" s="3" t="s">
        <v>679</v>
      </c>
      <c r="IC14" s="3" t="s">
        <v>680</v>
      </c>
    </row>
    <row r="15" spans="1:257">
      <c r="A15" s="82" t="s">
        <v>695</v>
      </c>
      <c r="B15" s="82" t="str">
        <f>COUNTIF(P15:IC15, "W")&amp;"勝"</f>
        <v>11勝</v>
      </c>
      <c r="C15" s="82" t="str">
        <f>COUNTIF(P15:IC15, "L")&amp;"敗"</f>
        <v>16敗</v>
      </c>
      <c r="D15" s="82" t="s">
        <v>696</v>
      </c>
      <c r="E15" s="78"/>
      <c r="F15" s="82" t="s">
        <v>711</v>
      </c>
      <c r="G15" s="78"/>
      <c r="H15" s="78"/>
      <c r="I15" s="78"/>
      <c r="J15" s="78"/>
      <c r="K15" s="78"/>
      <c r="L15" s="78"/>
      <c r="M15" s="82"/>
      <c r="N15" s="78"/>
      <c r="O15" s="1" t="s">
        <v>698</v>
      </c>
      <c r="Q15" t="s">
        <v>699</v>
      </c>
      <c r="S15" t="s">
        <v>700</v>
      </c>
      <c r="T15" t="s">
        <v>700</v>
      </c>
      <c r="U15" t="s">
        <v>700</v>
      </c>
      <c r="V15" t="s">
        <v>700</v>
      </c>
      <c r="W15" t="s">
        <v>700</v>
      </c>
      <c r="Y15" t="s">
        <v>699</v>
      </c>
      <c r="Z15" t="s">
        <v>700</v>
      </c>
      <c r="AA15" t="s">
        <v>700</v>
      </c>
      <c r="AB15" t="s">
        <v>700</v>
      </c>
      <c r="AC15" t="s">
        <v>699</v>
      </c>
      <c r="AD15" t="s">
        <v>699</v>
      </c>
      <c r="AF15" t="s">
        <v>700</v>
      </c>
      <c r="AG15" t="s">
        <v>699</v>
      </c>
      <c r="AH15" t="s">
        <v>699</v>
      </c>
      <c r="AI15" t="s">
        <v>700</v>
      </c>
      <c r="AJ15" t="s">
        <v>700</v>
      </c>
      <c r="AK15" t="s">
        <v>699</v>
      </c>
      <c r="AM15" t="s">
        <v>699</v>
      </c>
      <c r="AN15" t="s">
        <v>700</v>
      </c>
      <c r="AO15" t="s">
        <v>700</v>
      </c>
      <c r="AP15" t="s">
        <v>699</v>
      </c>
      <c r="AQ15" t="s">
        <v>700</v>
      </c>
      <c r="AS15" t="s">
        <v>700</v>
      </c>
      <c r="AT15" t="s">
        <v>700</v>
      </c>
      <c r="AU15" t="s">
        <v>699</v>
      </c>
      <c r="AV15" t="s">
        <v>699</v>
      </c>
    </row>
    <row r="16" spans="1:257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1" t="s">
        <v>701</v>
      </c>
    </row>
    <row r="17" spans="1:257">
      <c r="A17" s="82" t="s">
        <v>702</v>
      </c>
      <c r="B17" s="82" t="str">
        <f>COUNTIF(P17:IC17, "O")&amp;"正"</f>
        <v>11正</v>
      </c>
      <c r="C17" s="82" t="str">
        <f>COUNTIF(P17:IC17, "X")&amp;"負"</f>
        <v>16負</v>
      </c>
      <c r="D17" s="82" t="s">
        <v>703</v>
      </c>
      <c r="E17" s="78"/>
      <c r="F17" s="82" t="s">
        <v>712</v>
      </c>
      <c r="G17" s="78"/>
      <c r="H17" s="78"/>
      <c r="I17" s="78"/>
      <c r="J17" s="78"/>
      <c r="K17" s="78"/>
      <c r="L17" s="78"/>
      <c r="M17" s="82"/>
      <c r="N17" s="78"/>
      <c r="O17" s="1" t="s">
        <v>705</v>
      </c>
      <c r="Q17" t="s">
        <v>683</v>
      </c>
      <c r="S17" t="s">
        <v>684</v>
      </c>
      <c r="T17" t="s">
        <v>684</v>
      </c>
      <c r="U17" t="s">
        <v>684</v>
      </c>
      <c r="V17" t="s">
        <v>684</v>
      </c>
      <c r="W17" t="s">
        <v>684</v>
      </c>
      <c r="Y17" t="s">
        <v>683</v>
      </c>
      <c r="Z17" t="s">
        <v>684</v>
      </c>
      <c r="AA17" t="s">
        <v>684</v>
      </c>
      <c r="AB17" t="s">
        <v>684</v>
      </c>
      <c r="AC17" t="s">
        <v>683</v>
      </c>
      <c r="AD17" t="s">
        <v>683</v>
      </c>
      <c r="AF17" t="s">
        <v>684</v>
      </c>
      <c r="AG17" t="s">
        <v>683</v>
      </c>
      <c r="AH17" t="s">
        <v>683</v>
      </c>
      <c r="AI17" t="s">
        <v>684</v>
      </c>
      <c r="AJ17" t="s">
        <v>684</v>
      </c>
      <c r="AK17" t="s">
        <v>683</v>
      </c>
      <c r="AM17" t="s">
        <v>683</v>
      </c>
      <c r="AN17" t="s">
        <v>684</v>
      </c>
      <c r="AO17" t="s">
        <v>684</v>
      </c>
      <c r="AP17" t="s">
        <v>683</v>
      </c>
      <c r="AQ17" t="s">
        <v>684</v>
      </c>
      <c r="AS17" t="s">
        <v>684</v>
      </c>
      <c r="AT17" t="s">
        <v>684</v>
      </c>
      <c r="AU17" t="s">
        <v>683</v>
      </c>
      <c r="AV17" t="s">
        <v>683</v>
      </c>
      <c r="IN17" t="str">
        <f ca="1">IFERROR(INDEX($P17:$IC17,1,_xludf.AGGREGATE(14,6,(COLUMN($P17:$IC17)-COLUMN($P17)+1)/($P17:$IC17&lt;&gt;""),1)),"")</f>
        <v/>
      </c>
      <c r="IO17" t="str">
        <f ca="1">IFERROR(INDEX($P17:$IC17,1,_xludf.AGGREGATE(14,6,(COLUMN($P17:$IC17)-COLUMN($P17)+1)/($P17:$IC17&lt;&gt;""),2)),"")</f>
        <v/>
      </c>
      <c r="IP17" t="str">
        <f ca="1">IFERROR(INDEX($P17:$IC17,1,_xludf.AGGREGATE(14,6,(COLUMN($P17:$IC17)-COLUMN($P17)+1)/($P17:$IC17&lt;&gt;""),3)),"")</f>
        <v/>
      </c>
      <c r="IQ17" t="str">
        <f ca="1">IFERROR(INDEX($P17:$IC17,1,_xludf.AGGREGATE(14,6,(COLUMN($P17:$IC17)-COLUMN($P17)+1)/($P17:$IC17&lt;&gt;""),4)),"")</f>
        <v/>
      </c>
      <c r="IR17" t="str">
        <f ca="1">IFERROR(INDEX($P17:$IC17,1,_xludf.AGGREGATE(14,6,(COLUMN($P17:$IC17)-COLUMN($P17)+1)/($P17:$IC17&lt;&gt;""),5)),"")</f>
        <v/>
      </c>
      <c r="IS17" t="str">
        <f ca="1">IFERROR(INDEX($P17:$IC17,1,_xludf.AGGREGATE(14,6,(COLUMN($P17:$IC17)-COLUMN($P17)+1)/($P17:$IC17&lt;&gt;""),6)),"")</f>
        <v/>
      </c>
      <c r="IT17" t="str">
        <f ca="1">IFERROR(INDEX($P17:$IC17,1,_xludf.AGGREGATE(14,6,(COLUMN($P17:$IC17)-COLUMN($P17)+1)/($P17:$IC17&lt;&gt;""),7)),"")</f>
        <v/>
      </c>
      <c r="IU17" t="str">
        <f ca="1">IFERROR(INDEX($P17:$IC17,1,_xludf.AGGREGATE(14,6,(COLUMN($P17:$IC17)-COLUMN($P17)+1)/($P17:$IC17&lt;&gt;""),8)),"")</f>
        <v/>
      </c>
      <c r="IV17" t="str">
        <f ca="1">IFERROR(INDEX($P17:$IC17,1,_xludf.AGGREGATE(14,6,(COLUMN($P17:$IC17)-COLUMN($P17)+1)/($P17:$IC17&lt;&gt;""),9)),"")</f>
        <v/>
      </c>
      <c r="IW17" t="str">
        <f ca="1">IFERROR(INDEX($P17:$IC17,1,_xludf.AGGREGATE(14,6,(COLUMN($P17:$IC17)-COLUMN($P17)+1)/($P17:$IC17&lt;&gt;""),10)),"")</f>
        <v/>
      </c>
    </row>
    <row r="18" spans="1:257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1" t="s">
        <v>706</v>
      </c>
    </row>
    <row r="19" spans="1:257">
      <c r="A19" s="82" t="s">
        <v>707</v>
      </c>
      <c r="B19" s="77"/>
      <c r="C19" s="77"/>
      <c r="D19" s="82" t="s">
        <v>708</v>
      </c>
      <c r="E19" s="78"/>
      <c r="F19" s="82"/>
      <c r="G19" s="78"/>
      <c r="H19" s="78"/>
      <c r="I19" s="78"/>
      <c r="J19" s="78"/>
      <c r="K19" s="78"/>
      <c r="L19" s="78"/>
      <c r="M19" s="82"/>
      <c r="N19" s="78"/>
      <c r="O19" s="1" t="s">
        <v>709</v>
      </c>
    </row>
    <row r="20" spans="1:257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1" t="s">
        <v>710</v>
      </c>
    </row>
    <row r="21" spans="1:257">
      <c r="A21" s="108" t="s">
        <v>35</v>
      </c>
      <c r="B21" s="78"/>
      <c r="C21" s="7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 t="s">
        <v>674</v>
      </c>
      <c r="P21" s="6">
        <v>1</v>
      </c>
      <c r="Q21" s="6">
        <v>2</v>
      </c>
      <c r="R21" s="6">
        <v>3</v>
      </c>
      <c r="S21" s="6">
        <v>4</v>
      </c>
      <c r="T21" s="6">
        <v>5</v>
      </c>
      <c r="U21" s="6">
        <v>6</v>
      </c>
      <c r="V21" s="6">
        <v>7</v>
      </c>
      <c r="W21" s="6">
        <v>8</v>
      </c>
      <c r="X21" s="6">
        <v>9</v>
      </c>
      <c r="Y21" s="6">
        <v>10</v>
      </c>
      <c r="Z21" s="6">
        <v>11</v>
      </c>
      <c r="AA21" s="6">
        <v>12</v>
      </c>
      <c r="AB21" s="6">
        <v>13</v>
      </c>
      <c r="AC21" s="6">
        <v>14</v>
      </c>
      <c r="AD21" s="6">
        <v>15</v>
      </c>
      <c r="AE21" s="6">
        <v>16</v>
      </c>
      <c r="AF21" s="6">
        <v>17</v>
      </c>
      <c r="AG21" s="6">
        <v>18</v>
      </c>
      <c r="AH21" s="6">
        <v>19</v>
      </c>
      <c r="AI21" s="6">
        <v>20</v>
      </c>
      <c r="AJ21" s="6">
        <v>21</v>
      </c>
      <c r="AK21" s="6">
        <v>22</v>
      </c>
      <c r="AL21" s="6">
        <v>23</v>
      </c>
      <c r="AM21" s="6">
        <v>24</v>
      </c>
      <c r="AN21" s="6">
        <v>25</v>
      </c>
      <c r="AO21" s="6">
        <v>26</v>
      </c>
      <c r="AP21" s="6">
        <v>27</v>
      </c>
      <c r="AQ21" s="6">
        <v>28</v>
      </c>
      <c r="AR21" s="6">
        <v>29</v>
      </c>
      <c r="AS21" s="6">
        <v>30</v>
      </c>
      <c r="AT21" s="6">
        <v>31</v>
      </c>
      <c r="AU21" s="6">
        <v>32</v>
      </c>
      <c r="AV21" s="6">
        <v>33</v>
      </c>
      <c r="AW21" s="6">
        <v>34</v>
      </c>
      <c r="AX21" s="6">
        <v>35</v>
      </c>
      <c r="AY21" s="6">
        <v>36</v>
      </c>
      <c r="AZ21" s="6">
        <v>37</v>
      </c>
      <c r="BA21" s="6">
        <v>38</v>
      </c>
      <c r="BB21" s="6">
        <v>39</v>
      </c>
      <c r="BC21" s="6">
        <v>40</v>
      </c>
      <c r="BD21" s="6">
        <v>41</v>
      </c>
      <c r="BE21" s="6">
        <v>42</v>
      </c>
      <c r="BF21" s="6">
        <v>43</v>
      </c>
      <c r="BG21" s="6">
        <v>44</v>
      </c>
      <c r="BH21" s="6">
        <v>45</v>
      </c>
      <c r="BI21" s="6">
        <v>46</v>
      </c>
      <c r="BJ21" s="6">
        <v>47</v>
      </c>
      <c r="BK21" s="6">
        <v>48</v>
      </c>
      <c r="BL21" s="6">
        <v>49</v>
      </c>
      <c r="BM21" s="6">
        <v>50</v>
      </c>
      <c r="BN21" s="6">
        <v>51</v>
      </c>
      <c r="BO21" s="6">
        <v>52</v>
      </c>
      <c r="BP21" s="6">
        <v>53</v>
      </c>
      <c r="BQ21" s="6">
        <v>54</v>
      </c>
      <c r="BR21" s="6">
        <v>55</v>
      </c>
      <c r="BS21" s="6">
        <v>56</v>
      </c>
      <c r="BT21" s="6">
        <v>57</v>
      </c>
      <c r="BU21" s="6">
        <v>58</v>
      </c>
      <c r="BV21" s="6">
        <v>59</v>
      </c>
      <c r="BW21" s="6">
        <v>60</v>
      </c>
      <c r="BX21" s="6">
        <v>61</v>
      </c>
      <c r="BY21" s="6">
        <v>62</v>
      </c>
      <c r="BZ21" s="6">
        <v>63</v>
      </c>
      <c r="CA21" s="6">
        <v>64</v>
      </c>
      <c r="CB21" s="6">
        <v>65</v>
      </c>
      <c r="CC21" s="6">
        <v>66</v>
      </c>
      <c r="CD21" s="6">
        <v>67</v>
      </c>
      <c r="CE21" s="6">
        <v>68</v>
      </c>
      <c r="CF21" s="6">
        <v>69</v>
      </c>
      <c r="CG21" s="6">
        <v>70</v>
      </c>
      <c r="CH21" s="6">
        <v>71</v>
      </c>
      <c r="CI21" s="6">
        <v>72</v>
      </c>
      <c r="CJ21" s="6">
        <v>73</v>
      </c>
      <c r="CK21" s="6">
        <v>74</v>
      </c>
      <c r="CL21" s="6">
        <v>75</v>
      </c>
      <c r="CM21" s="6">
        <v>76</v>
      </c>
      <c r="CN21" s="6">
        <v>77</v>
      </c>
      <c r="CO21" s="6">
        <v>78</v>
      </c>
      <c r="CP21" s="6">
        <v>79</v>
      </c>
      <c r="CQ21" s="6">
        <v>80</v>
      </c>
      <c r="CR21" s="6">
        <v>81</v>
      </c>
      <c r="CS21" s="6">
        <v>82</v>
      </c>
      <c r="CT21" s="6">
        <v>83</v>
      </c>
      <c r="CU21" s="6">
        <v>84</v>
      </c>
      <c r="CV21" s="6">
        <v>85</v>
      </c>
      <c r="CW21" s="6">
        <v>86</v>
      </c>
      <c r="CX21" s="6">
        <v>87</v>
      </c>
      <c r="CY21" s="6">
        <v>88</v>
      </c>
      <c r="CZ21" s="6">
        <v>89</v>
      </c>
      <c r="DA21" s="6">
        <v>90</v>
      </c>
      <c r="DB21" s="6">
        <v>91</v>
      </c>
      <c r="DC21" s="6">
        <v>92</v>
      </c>
      <c r="DD21" s="6">
        <v>93</v>
      </c>
      <c r="DE21" s="6">
        <v>94</v>
      </c>
      <c r="DF21" s="6">
        <v>95</v>
      </c>
      <c r="DG21" s="6">
        <v>96</v>
      </c>
      <c r="DH21" s="6">
        <v>97</v>
      </c>
      <c r="DI21" s="6">
        <v>98</v>
      </c>
      <c r="DJ21" s="6">
        <v>99</v>
      </c>
      <c r="DK21" s="6">
        <v>100</v>
      </c>
      <c r="DL21" s="6">
        <v>101</v>
      </c>
      <c r="DM21" s="6">
        <v>102</v>
      </c>
      <c r="DN21" s="6">
        <v>103</v>
      </c>
      <c r="DO21" s="6">
        <v>104</v>
      </c>
      <c r="DP21" s="6">
        <v>105</v>
      </c>
      <c r="DQ21" s="6">
        <v>106</v>
      </c>
      <c r="DR21" s="6">
        <v>107</v>
      </c>
      <c r="DS21" s="6">
        <v>108</v>
      </c>
      <c r="DT21" s="6">
        <v>109</v>
      </c>
      <c r="DU21" s="6">
        <v>110</v>
      </c>
      <c r="DV21" s="6">
        <v>111</v>
      </c>
      <c r="DW21" s="6">
        <v>112</v>
      </c>
      <c r="DX21" s="6">
        <v>113</v>
      </c>
      <c r="DY21" s="6">
        <v>114</v>
      </c>
      <c r="DZ21" s="6">
        <v>115</v>
      </c>
      <c r="EA21" s="6">
        <v>116</v>
      </c>
      <c r="EB21" s="6">
        <v>117</v>
      </c>
      <c r="EC21" s="6">
        <v>118</v>
      </c>
      <c r="ED21" s="6">
        <v>119</v>
      </c>
      <c r="EE21" s="6">
        <v>120</v>
      </c>
      <c r="EF21" s="6">
        <v>121</v>
      </c>
      <c r="EG21" s="6">
        <v>122</v>
      </c>
      <c r="EH21" s="6">
        <v>123</v>
      </c>
      <c r="EI21" s="6">
        <v>124</v>
      </c>
      <c r="EJ21" s="6">
        <v>125</v>
      </c>
      <c r="EK21" s="6">
        <v>126</v>
      </c>
      <c r="EL21" s="6">
        <v>127</v>
      </c>
      <c r="EM21" s="6">
        <v>128</v>
      </c>
      <c r="EN21" s="6">
        <v>129</v>
      </c>
      <c r="EO21" s="6">
        <v>130</v>
      </c>
      <c r="EP21" s="6">
        <v>131</v>
      </c>
      <c r="EQ21" s="6">
        <v>132</v>
      </c>
      <c r="ER21" s="6">
        <v>133</v>
      </c>
      <c r="ES21" s="6">
        <v>134</v>
      </c>
      <c r="ET21" s="6">
        <v>135</v>
      </c>
      <c r="EU21" s="6">
        <v>136</v>
      </c>
      <c r="EV21" s="6">
        <v>137</v>
      </c>
      <c r="EW21" s="6">
        <v>138</v>
      </c>
      <c r="EX21" s="6">
        <v>139</v>
      </c>
      <c r="EY21" s="6">
        <v>140</v>
      </c>
      <c r="EZ21" s="6">
        <v>141</v>
      </c>
      <c r="FA21" s="6">
        <v>142</v>
      </c>
      <c r="FB21" s="6">
        <v>143</v>
      </c>
      <c r="FC21" s="6">
        <v>144</v>
      </c>
      <c r="FD21" s="6">
        <v>145</v>
      </c>
      <c r="FE21" s="6">
        <v>146</v>
      </c>
      <c r="FF21" s="6">
        <v>147</v>
      </c>
      <c r="FG21" s="6">
        <v>148</v>
      </c>
      <c r="FH21" s="6">
        <v>149</v>
      </c>
      <c r="FI21" s="6">
        <v>150</v>
      </c>
      <c r="FJ21" s="6">
        <v>151</v>
      </c>
      <c r="FK21" s="6">
        <v>152</v>
      </c>
      <c r="FL21" s="6">
        <v>153</v>
      </c>
      <c r="FM21" s="6">
        <v>154</v>
      </c>
      <c r="FN21" s="6">
        <v>155</v>
      </c>
      <c r="FO21" s="6">
        <v>156</v>
      </c>
      <c r="FP21" s="6">
        <v>157</v>
      </c>
      <c r="FQ21" s="6">
        <v>158</v>
      </c>
      <c r="FR21" s="6">
        <v>159</v>
      </c>
      <c r="FS21" s="6">
        <v>160</v>
      </c>
      <c r="FT21" s="6">
        <v>161</v>
      </c>
      <c r="FU21" s="6">
        <v>162</v>
      </c>
      <c r="FV21" s="6">
        <v>163</v>
      </c>
      <c r="FW21" s="6">
        <v>164</v>
      </c>
      <c r="FX21" s="6">
        <v>165</v>
      </c>
      <c r="FY21" s="6">
        <v>166</v>
      </c>
      <c r="FZ21" s="6">
        <v>167</v>
      </c>
      <c r="GA21" s="6">
        <v>168</v>
      </c>
      <c r="GB21" s="6">
        <v>169</v>
      </c>
      <c r="GC21" s="6">
        <v>170</v>
      </c>
      <c r="GD21" s="6">
        <v>171</v>
      </c>
      <c r="GE21" s="6">
        <v>172</v>
      </c>
      <c r="GF21" s="6">
        <v>173</v>
      </c>
      <c r="GG21" s="6">
        <v>174</v>
      </c>
      <c r="GH21" s="6">
        <v>175</v>
      </c>
      <c r="GI21" s="6">
        <v>176</v>
      </c>
      <c r="GJ21" s="6">
        <v>177</v>
      </c>
      <c r="GK21" s="6">
        <v>178</v>
      </c>
      <c r="GL21" s="6">
        <v>179</v>
      </c>
      <c r="GM21" s="6">
        <v>180</v>
      </c>
      <c r="GN21" s="6">
        <v>181</v>
      </c>
      <c r="GO21" s="6">
        <v>182</v>
      </c>
      <c r="GP21" s="6">
        <v>183</v>
      </c>
      <c r="GQ21" s="6">
        <v>184</v>
      </c>
      <c r="GR21" s="6">
        <v>185</v>
      </c>
      <c r="GS21" s="6">
        <v>186</v>
      </c>
      <c r="GT21" s="6">
        <v>187</v>
      </c>
      <c r="GU21" s="6">
        <v>188</v>
      </c>
      <c r="GV21" s="6">
        <v>189</v>
      </c>
      <c r="GW21" s="6">
        <v>190</v>
      </c>
      <c r="GX21" s="6">
        <v>191</v>
      </c>
      <c r="GY21" s="6">
        <v>192</v>
      </c>
      <c r="GZ21" s="6">
        <v>193</v>
      </c>
      <c r="HA21" s="6">
        <v>194</v>
      </c>
      <c r="HB21" s="6">
        <v>195</v>
      </c>
      <c r="HC21" s="6">
        <v>196</v>
      </c>
      <c r="HD21" s="6">
        <v>197</v>
      </c>
      <c r="HE21" s="6">
        <v>198</v>
      </c>
      <c r="HF21" s="6">
        <v>199</v>
      </c>
      <c r="HG21" s="6">
        <v>200</v>
      </c>
      <c r="HH21" s="6">
        <v>201</v>
      </c>
      <c r="HI21" s="6">
        <v>202</v>
      </c>
      <c r="HJ21" s="6">
        <v>203</v>
      </c>
      <c r="HK21" s="6">
        <v>204</v>
      </c>
      <c r="HL21" s="6">
        <v>205</v>
      </c>
      <c r="HM21" s="6">
        <v>206</v>
      </c>
      <c r="HN21" s="6">
        <v>207</v>
      </c>
      <c r="HO21" s="6">
        <v>208</v>
      </c>
      <c r="HP21" s="6">
        <v>209</v>
      </c>
      <c r="HQ21" s="6">
        <v>210</v>
      </c>
      <c r="HR21" s="6">
        <v>211</v>
      </c>
      <c r="HS21" s="6">
        <v>212</v>
      </c>
      <c r="HT21" s="6">
        <v>213</v>
      </c>
      <c r="HU21" s="6">
        <v>214</v>
      </c>
      <c r="HV21" s="6">
        <v>215</v>
      </c>
      <c r="HW21" s="6">
        <v>216</v>
      </c>
      <c r="HX21" s="6">
        <v>217</v>
      </c>
      <c r="HY21" s="6">
        <v>218</v>
      </c>
      <c r="HZ21" s="6">
        <v>219</v>
      </c>
      <c r="IA21" s="6">
        <v>220</v>
      </c>
      <c r="IB21" s="6">
        <v>221</v>
      </c>
      <c r="IC21" s="6">
        <v>222</v>
      </c>
    </row>
    <row r="22" spans="1:257">
      <c r="A22" s="78"/>
      <c r="B22" s="78"/>
      <c r="C22" s="78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5"/>
      <c r="P22" s="51" t="s">
        <v>35</v>
      </c>
      <c r="Q22" s="51" t="s">
        <v>35</v>
      </c>
      <c r="R22" s="51" t="s">
        <v>35</v>
      </c>
      <c r="S22" s="51" t="s">
        <v>35</v>
      </c>
      <c r="T22" s="51" t="s">
        <v>35</v>
      </c>
      <c r="U22" s="51" t="s">
        <v>35</v>
      </c>
      <c r="V22" s="51" t="s">
        <v>35</v>
      </c>
      <c r="W22" s="51" t="s">
        <v>35</v>
      </c>
      <c r="X22" s="51" t="s">
        <v>35</v>
      </c>
      <c r="Y22" s="51" t="s">
        <v>35</v>
      </c>
      <c r="Z22" s="51" t="s">
        <v>35</v>
      </c>
      <c r="AA22" s="51" t="s">
        <v>35</v>
      </c>
      <c r="AB22" s="51" t="s">
        <v>35</v>
      </c>
      <c r="AC22" s="51" t="s">
        <v>35</v>
      </c>
      <c r="AD22" s="51" t="s">
        <v>35</v>
      </c>
      <c r="AE22" s="51" t="s">
        <v>35</v>
      </c>
      <c r="AF22" s="51" t="s">
        <v>35</v>
      </c>
      <c r="AG22" s="51" t="s">
        <v>35</v>
      </c>
      <c r="AH22" s="51" t="s">
        <v>35</v>
      </c>
      <c r="AI22" s="51" t="s">
        <v>35</v>
      </c>
      <c r="AJ22" s="51" t="s">
        <v>35</v>
      </c>
      <c r="AK22" s="51" t="s">
        <v>35</v>
      </c>
      <c r="AL22" s="51" t="s">
        <v>35</v>
      </c>
      <c r="AM22" s="51" t="s">
        <v>35</v>
      </c>
      <c r="AN22" s="51" t="s">
        <v>35</v>
      </c>
      <c r="AO22" s="51" t="s">
        <v>35</v>
      </c>
      <c r="AP22" s="51" t="s">
        <v>35</v>
      </c>
      <c r="AQ22" s="51" t="s">
        <v>35</v>
      </c>
      <c r="AR22" s="51" t="s">
        <v>35</v>
      </c>
      <c r="AS22" s="51" t="s">
        <v>35</v>
      </c>
      <c r="AT22" s="51" t="s">
        <v>35</v>
      </c>
      <c r="AU22" s="51" t="s">
        <v>35</v>
      </c>
      <c r="AV22" s="51" t="s">
        <v>35</v>
      </c>
      <c r="AW22" s="51" t="s">
        <v>35</v>
      </c>
      <c r="AX22" s="51" t="s">
        <v>35</v>
      </c>
      <c r="AY22" s="51" t="s">
        <v>35</v>
      </c>
      <c r="AZ22" s="51" t="s">
        <v>35</v>
      </c>
      <c r="BA22" s="51" t="s">
        <v>35</v>
      </c>
      <c r="BB22" s="51" t="s">
        <v>35</v>
      </c>
      <c r="BC22" s="51" t="s">
        <v>35</v>
      </c>
      <c r="BD22" s="51" t="s">
        <v>35</v>
      </c>
      <c r="BE22" s="51" t="s">
        <v>35</v>
      </c>
      <c r="BF22" s="51" t="s">
        <v>35</v>
      </c>
      <c r="BG22" s="51" t="s">
        <v>35</v>
      </c>
      <c r="BH22" s="51" t="s">
        <v>35</v>
      </c>
      <c r="BI22" s="51" t="s">
        <v>35</v>
      </c>
      <c r="BJ22" s="51" t="s">
        <v>35</v>
      </c>
      <c r="BK22" s="51" t="s">
        <v>35</v>
      </c>
      <c r="BL22" s="51" t="s">
        <v>35</v>
      </c>
      <c r="BM22" s="51" t="s">
        <v>35</v>
      </c>
      <c r="BN22" s="51" t="s">
        <v>35</v>
      </c>
      <c r="BO22" s="51" t="s">
        <v>35</v>
      </c>
      <c r="BP22" s="51" t="s">
        <v>35</v>
      </c>
      <c r="BQ22" s="51" t="s">
        <v>35</v>
      </c>
      <c r="BR22" s="51" t="s">
        <v>35</v>
      </c>
      <c r="BS22" s="51" t="s">
        <v>35</v>
      </c>
      <c r="BT22" s="51" t="s">
        <v>35</v>
      </c>
      <c r="BU22" s="51" t="s">
        <v>35</v>
      </c>
      <c r="BV22" s="51" t="s">
        <v>35</v>
      </c>
      <c r="BW22" s="51" t="s">
        <v>35</v>
      </c>
      <c r="BX22" s="51" t="s">
        <v>35</v>
      </c>
      <c r="BY22" s="51" t="s">
        <v>35</v>
      </c>
      <c r="BZ22" s="51" t="s">
        <v>35</v>
      </c>
      <c r="CA22" s="51" t="s">
        <v>35</v>
      </c>
      <c r="CB22" s="51" t="s">
        <v>35</v>
      </c>
      <c r="CC22" s="51" t="s">
        <v>35</v>
      </c>
      <c r="CD22" s="51" t="s">
        <v>35</v>
      </c>
      <c r="CE22" s="51" t="s">
        <v>35</v>
      </c>
      <c r="CF22" s="51" t="s">
        <v>35</v>
      </c>
      <c r="CG22" s="51" t="s">
        <v>35</v>
      </c>
      <c r="CH22" s="51" t="s">
        <v>35</v>
      </c>
      <c r="CI22" s="51" t="s">
        <v>35</v>
      </c>
      <c r="CJ22" s="51" t="s">
        <v>35</v>
      </c>
      <c r="CK22" s="51" t="s">
        <v>35</v>
      </c>
      <c r="CL22" s="51" t="s">
        <v>35</v>
      </c>
      <c r="CM22" s="51" t="s">
        <v>35</v>
      </c>
      <c r="CN22" s="51" t="s">
        <v>35</v>
      </c>
      <c r="CO22" s="51" t="s">
        <v>35</v>
      </c>
      <c r="CP22" s="51" t="s">
        <v>35</v>
      </c>
      <c r="CQ22" s="51" t="s">
        <v>35</v>
      </c>
      <c r="CR22" s="51" t="s">
        <v>35</v>
      </c>
      <c r="CS22" s="51" t="s">
        <v>35</v>
      </c>
      <c r="CT22" s="51" t="s">
        <v>35</v>
      </c>
      <c r="CU22" s="51" t="s">
        <v>35</v>
      </c>
      <c r="CV22" s="51" t="s">
        <v>35</v>
      </c>
      <c r="CW22" s="51" t="s">
        <v>35</v>
      </c>
      <c r="CX22" s="51" t="s">
        <v>35</v>
      </c>
      <c r="CY22" s="51" t="s">
        <v>35</v>
      </c>
      <c r="CZ22" s="51" t="s">
        <v>35</v>
      </c>
      <c r="DA22" s="51" t="s">
        <v>35</v>
      </c>
      <c r="DB22" s="51" t="s">
        <v>35</v>
      </c>
      <c r="DC22" s="51" t="s">
        <v>35</v>
      </c>
      <c r="DD22" s="51" t="s">
        <v>35</v>
      </c>
      <c r="DE22" s="51" t="s">
        <v>35</v>
      </c>
      <c r="DF22" s="51" t="s">
        <v>35</v>
      </c>
      <c r="DG22" s="51" t="s">
        <v>35</v>
      </c>
      <c r="DH22" s="51" t="s">
        <v>35</v>
      </c>
      <c r="DI22" s="51" t="s">
        <v>35</v>
      </c>
      <c r="DJ22" s="51" t="s">
        <v>35</v>
      </c>
      <c r="DK22" s="51" t="s">
        <v>35</v>
      </c>
      <c r="DL22" s="51" t="s">
        <v>35</v>
      </c>
      <c r="DM22" s="51" t="s">
        <v>35</v>
      </c>
      <c r="DN22" s="51" t="s">
        <v>35</v>
      </c>
      <c r="DO22" s="51" t="s">
        <v>35</v>
      </c>
      <c r="DP22" s="51" t="s">
        <v>35</v>
      </c>
      <c r="DQ22" s="51" t="s">
        <v>35</v>
      </c>
      <c r="DR22" s="51" t="s">
        <v>35</v>
      </c>
      <c r="DS22" s="51" t="s">
        <v>35</v>
      </c>
      <c r="DT22" s="51" t="s">
        <v>35</v>
      </c>
      <c r="DU22" s="51" t="s">
        <v>35</v>
      </c>
      <c r="DV22" s="51" t="s">
        <v>35</v>
      </c>
      <c r="DW22" s="51" t="s">
        <v>35</v>
      </c>
      <c r="DX22" s="51" t="s">
        <v>35</v>
      </c>
      <c r="DY22" s="51" t="s">
        <v>35</v>
      </c>
      <c r="DZ22" s="51" t="s">
        <v>35</v>
      </c>
      <c r="EA22" s="51" t="s">
        <v>35</v>
      </c>
      <c r="EB22" s="51" t="s">
        <v>35</v>
      </c>
      <c r="EC22" s="51" t="s">
        <v>35</v>
      </c>
      <c r="ED22" s="51" t="s">
        <v>35</v>
      </c>
      <c r="EE22" s="51" t="s">
        <v>35</v>
      </c>
      <c r="EF22" s="51" t="s">
        <v>35</v>
      </c>
      <c r="EG22" s="51" t="s">
        <v>35</v>
      </c>
      <c r="EH22" s="51" t="s">
        <v>35</v>
      </c>
      <c r="EI22" s="51" t="s">
        <v>35</v>
      </c>
      <c r="EJ22" s="51" t="s">
        <v>35</v>
      </c>
      <c r="EK22" s="51" t="s">
        <v>35</v>
      </c>
      <c r="EL22" s="51" t="s">
        <v>35</v>
      </c>
      <c r="EM22" s="51" t="s">
        <v>35</v>
      </c>
      <c r="EN22" s="51" t="s">
        <v>35</v>
      </c>
      <c r="EO22" s="51" t="s">
        <v>35</v>
      </c>
      <c r="EP22" s="51" t="s">
        <v>35</v>
      </c>
      <c r="EQ22" s="51" t="s">
        <v>35</v>
      </c>
      <c r="ER22" s="51" t="s">
        <v>35</v>
      </c>
      <c r="ES22" s="51" t="s">
        <v>35</v>
      </c>
      <c r="ET22" s="51" t="s">
        <v>35</v>
      </c>
      <c r="EU22" s="51" t="s">
        <v>35</v>
      </c>
      <c r="EV22" s="51" t="s">
        <v>35</v>
      </c>
      <c r="EW22" s="51" t="s">
        <v>35</v>
      </c>
      <c r="EX22" s="51" t="s">
        <v>35</v>
      </c>
      <c r="EY22" s="51" t="s">
        <v>35</v>
      </c>
      <c r="EZ22" s="51" t="s">
        <v>35</v>
      </c>
      <c r="FA22" s="51" t="s">
        <v>35</v>
      </c>
      <c r="FB22" s="51" t="s">
        <v>35</v>
      </c>
      <c r="FC22" s="51" t="s">
        <v>35</v>
      </c>
      <c r="FD22" s="51" t="s">
        <v>35</v>
      </c>
      <c r="FE22" s="51" t="s">
        <v>35</v>
      </c>
      <c r="FF22" s="51" t="s">
        <v>35</v>
      </c>
      <c r="FG22" s="51" t="s">
        <v>35</v>
      </c>
      <c r="FH22" s="51" t="s">
        <v>35</v>
      </c>
      <c r="FI22" s="51" t="s">
        <v>35</v>
      </c>
      <c r="FJ22" s="51" t="s">
        <v>35</v>
      </c>
      <c r="FK22" s="51" t="s">
        <v>35</v>
      </c>
      <c r="FL22" s="51" t="s">
        <v>35</v>
      </c>
      <c r="FM22" s="51" t="s">
        <v>35</v>
      </c>
      <c r="FN22" s="51" t="s">
        <v>35</v>
      </c>
      <c r="FO22" s="51" t="s">
        <v>35</v>
      </c>
      <c r="FP22" s="51" t="s">
        <v>35</v>
      </c>
      <c r="FQ22" s="51" t="s">
        <v>35</v>
      </c>
      <c r="FR22" s="51" t="s">
        <v>35</v>
      </c>
      <c r="FS22" s="51" t="s">
        <v>35</v>
      </c>
      <c r="FT22" s="51" t="s">
        <v>35</v>
      </c>
      <c r="FU22" s="51" t="s">
        <v>35</v>
      </c>
      <c r="FV22" s="51" t="s">
        <v>35</v>
      </c>
      <c r="FW22" s="51" t="s">
        <v>35</v>
      </c>
      <c r="FX22" s="51" t="s">
        <v>35</v>
      </c>
      <c r="FY22" s="51" t="s">
        <v>35</v>
      </c>
      <c r="FZ22" s="51" t="s">
        <v>35</v>
      </c>
      <c r="GA22" s="51" t="s">
        <v>35</v>
      </c>
      <c r="GB22" s="51" t="s">
        <v>35</v>
      </c>
      <c r="GC22" s="51" t="s">
        <v>35</v>
      </c>
      <c r="GD22" s="51" t="s">
        <v>35</v>
      </c>
      <c r="GE22" s="51" t="s">
        <v>35</v>
      </c>
      <c r="GF22" s="51" t="s">
        <v>35</v>
      </c>
      <c r="GG22" s="51" t="s">
        <v>35</v>
      </c>
      <c r="GH22" s="51" t="s">
        <v>35</v>
      </c>
      <c r="GI22" s="51" t="s">
        <v>35</v>
      </c>
      <c r="GJ22" s="51" t="s">
        <v>35</v>
      </c>
      <c r="GK22" s="51" t="s">
        <v>35</v>
      </c>
      <c r="GL22" s="51" t="s">
        <v>35</v>
      </c>
      <c r="GM22" s="51" t="s">
        <v>35</v>
      </c>
      <c r="GN22" s="51" t="s">
        <v>35</v>
      </c>
      <c r="GO22" s="51" t="s">
        <v>35</v>
      </c>
      <c r="GP22" s="51" t="s">
        <v>35</v>
      </c>
      <c r="GQ22" s="51" t="s">
        <v>35</v>
      </c>
      <c r="GR22" s="51" t="s">
        <v>35</v>
      </c>
      <c r="GS22" s="51" t="s">
        <v>35</v>
      </c>
      <c r="GT22" s="51" t="s">
        <v>35</v>
      </c>
      <c r="GU22" s="51" t="s">
        <v>35</v>
      </c>
      <c r="GV22" s="51" t="s">
        <v>35</v>
      </c>
      <c r="GW22" s="51" t="s">
        <v>35</v>
      </c>
      <c r="GX22" s="51" t="s">
        <v>35</v>
      </c>
      <c r="GY22" s="51" t="s">
        <v>35</v>
      </c>
      <c r="GZ22" s="51" t="s">
        <v>35</v>
      </c>
      <c r="HA22" s="51" t="s">
        <v>35</v>
      </c>
      <c r="HB22" s="51" t="s">
        <v>35</v>
      </c>
      <c r="HC22" s="51" t="s">
        <v>35</v>
      </c>
      <c r="HD22" s="51" t="s">
        <v>35</v>
      </c>
      <c r="HE22" s="51" t="s">
        <v>35</v>
      </c>
      <c r="HF22" s="51" t="s">
        <v>35</v>
      </c>
      <c r="HG22" s="51" t="s">
        <v>35</v>
      </c>
      <c r="HH22" s="51" t="s">
        <v>35</v>
      </c>
      <c r="HI22" s="51" t="s">
        <v>35</v>
      </c>
      <c r="HJ22" s="51" t="s">
        <v>35</v>
      </c>
      <c r="HK22" s="51" t="s">
        <v>35</v>
      </c>
      <c r="HL22" s="51" t="s">
        <v>35</v>
      </c>
      <c r="HM22" s="51" t="s">
        <v>35</v>
      </c>
      <c r="HN22" s="51" t="s">
        <v>35</v>
      </c>
      <c r="HO22" s="51" t="s">
        <v>35</v>
      </c>
      <c r="HP22" s="51" t="s">
        <v>35</v>
      </c>
      <c r="HQ22" s="51" t="s">
        <v>35</v>
      </c>
      <c r="HR22" s="51" t="s">
        <v>35</v>
      </c>
      <c r="HS22" s="51" t="s">
        <v>35</v>
      </c>
      <c r="HT22" s="51" t="s">
        <v>35</v>
      </c>
      <c r="HU22" s="51" t="s">
        <v>35</v>
      </c>
      <c r="HV22" s="51" t="s">
        <v>35</v>
      </c>
      <c r="HW22" s="51" t="s">
        <v>35</v>
      </c>
      <c r="HX22" s="51" t="s">
        <v>35</v>
      </c>
      <c r="HY22" s="51" t="s">
        <v>35</v>
      </c>
      <c r="HZ22" s="51" t="s">
        <v>35</v>
      </c>
      <c r="IA22" s="51" t="s">
        <v>35</v>
      </c>
      <c r="IB22" s="51" t="s">
        <v>35</v>
      </c>
      <c r="IC22" s="51" t="s">
        <v>35</v>
      </c>
    </row>
    <row r="23" spans="1:257">
      <c r="A23" s="4" t="s">
        <v>522</v>
      </c>
      <c r="B23" s="82" t="str">
        <f t="array" ref="B23">_xlfn.LET(
  _xlpm.dates, _xlfn._xlws.FILTER(P23:HO23, (P25:HO25&lt;&gt;"")+(P27:HO27&lt;&gt;"")),
  _xlpm.numDates, IFERROR(VALUE(_xlpm.dates), _xlpm.dates),
  _xlpm.first, TEXT(MIN(_xlpm.numDates), "m/dd"),
  _xlpm.last, TEXT(MAX(_xlpm.numDates), "m/dd"),
  _xlpm.first &amp; "~" &amp; _xlpm.last
)</f>
        <v>3/26~4/27</v>
      </c>
      <c r="C23" s="78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522</v>
      </c>
      <c r="P23" s="3">
        <v>46107</v>
      </c>
      <c r="Q23" s="3">
        <v>46108</v>
      </c>
      <c r="R23" s="3">
        <v>46109</v>
      </c>
      <c r="S23" s="3">
        <v>46110</v>
      </c>
      <c r="T23" s="3">
        <v>46111</v>
      </c>
      <c r="U23" s="3">
        <v>46112</v>
      </c>
      <c r="V23" s="3">
        <v>46113</v>
      </c>
      <c r="W23" s="3">
        <v>46114</v>
      </c>
      <c r="X23" s="3">
        <v>46115</v>
      </c>
      <c r="Y23" s="3">
        <v>46116</v>
      </c>
      <c r="Z23" s="3">
        <v>46117</v>
      </c>
      <c r="AA23" s="3">
        <v>46118</v>
      </c>
      <c r="AB23" s="3">
        <v>46119</v>
      </c>
      <c r="AC23" s="3">
        <v>46120</v>
      </c>
      <c r="AD23" s="3">
        <v>46121</v>
      </c>
      <c r="AE23" s="3">
        <v>46122</v>
      </c>
      <c r="AF23" s="3">
        <v>46123</v>
      </c>
      <c r="AG23" s="3">
        <v>46124</v>
      </c>
      <c r="AH23" s="3">
        <v>46125</v>
      </c>
      <c r="AI23" s="3">
        <v>46126</v>
      </c>
      <c r="AJ23" s="3">
        <v>46127</v>
      </c>
      <c r="AK23" s="3">
        <v>46128</v>
      </c>
      <c r="AL23" s="3">
        <v>46129</v>
      </c>
      <c r="AM23" s="3">
        <v>46130</v>
      </c>
      <c r="AN23" s="3">
        <v>46131</v>
      </c>
      <c r="AO23" s="3">
        <v>46132</v>
      </c>
      <c r="AP23" s="3">
        <v>46133</v>
      </c>
      <c r="AQ23" s="3">
        <v>46134</v>
      </c>
      <c r="AR23" s="3">
        <v>46135</v>
      </c>
      <c r="AS23" s="3">
        <v>46136</v>
      </c>
      <c r="AT23" s="3">
        <v>46137</v>
      </c>
      <c r="AU23" s="3">
        <v>46138</v>
      </c>
      <c r="AV23" s="3">
        <v>46139</v>
      </c>
      <c r="AW23" s="3">
        <v>46140</v>
      </c>
      <c r="AX23" s="3">
        <v>46141</v>
      </c>
      <c r="AY23" s="3">
        <v>46142</v>
      </c>
      <c r="AZ23" s="3">
        <v>46143</v>
      </c>
      <c r="BA23" s="3">
        <v>46144</v>
      </c>
      <c r="BB23" s="3">
        <v>46145</v>
      </c>
      <c r="BC23" s="3">
        <v>46146</v>
      </c>
      <c r="BD23" s="3">
        <v>46147</v>
      </c>
      <c r="BE23" s="3">
        <v>46148</v>
      </c>
      <c r="BF23" s="3">
        <v>46149</v>
      </c>
      <c r="BG23" s="3">
        <v>46150</v>
      </c>
      <c r="BH23" s="3">
        <v>46151</v>
      </c>
      <c r="BI23" s="3">
        <v>46152</v>
      </c>
      <c r="BJ23" s="3">
        <v>46153</v>
      </c>
      <c r="BK23" s="3">
        <v>46154</v>
      </c>
      <c r="BL23" s="3">
        <v>46155</v>
      </c>
      <c r="BM23" s="3">
        <v>46156</v>
      </c>
      <c r="BN23" s="3">
        <v>46157</v>
      </c>
      <c r="BO23" s="3">
        <v>46158</v>
      </c>
      <c r="BP23" s="3">
        <v>46159</v>
      </c>
      <c r="BQ23" s="3">
        <v>46160</v>
      </c>
      <c r="BR23" s="3">
        <v>46161</v>
      </c>
      <c r="BS23" s="3">
        <v>46162</v>
      </c>
      <c r="BT23" s="3">
        <v>46163</v>
      </c>
      <c r="BU23" s="3">
        <v>46164</v>
      </c>
      <c r="BV23" s="3">
        <v>46165</v>
      </c>
      <c r="BW23" s="3">
        <v>46166</v>
      </c>
      <c r="BX23" s="3">
        <v>46167</v>
      </c>
      <c r="BY23" s="3">
        <v>46168</v>
      </c>
      <c r="BZ23" s="3">
        <v>46169</v>
      </c>
      <c r="CA23" s="3">
        <v>46170</v>
      </c>
      <c r="CB23" s="3">
        <v>46171</v>
      </c>
      <c r="CC23" s="3">
        <v>46172</v>
      </c>
      <c r="CD23" s="3">
        <v>46173</v>
      </c>
      <c r="CE23" s="3">
        <v>46174</v>
      </c>
      <c r="CF23" s="3">
        <v>46175</v>
      </c>
      <c r="CG23" s="3">
        <v>46176</v>
      </c>
      <c r="CH23" s="3">
        <v>46177</v>
      </c>
      <c r="CI23" s="3">
        <v>46178</v>
      </c>
      <c r="CJ23" s="3">
        <v>46179</v>
      </c>
      <c r="CK23" s="3">
        <v>46180</v>
      </c>
      <c r="CL23" s="3">
        <v>46181</v>
      </c>
      <c r="CM23" s="3">
        <v>46182</v>
      </c>
      <c r="CN23" s="3">
        <v>46183</v>
      </c>
      <c r="CO23" s="3">
        <v>46184</v>
      </c>
      <c r="CP23" s="3">
        <v>46185</v>
      </c>
      <c r="CQ23" s="3">
        <v>46186</v>
      </c>
      <c r="CR23" s="3">
        <v>46187</v>
      </c>
      <c r="CS23" s="3">
        <v>46188</v>
      </c>
      <c r="CT23" s="3">
        <v>46189</v>
      </c>
      <c r="CU23" s="3">
        <v>46190</v>
      </c>
      <c r="CV23" s="3">
        <v>46191</v>
      </c>
      <c r="CW23" s="3">
        <v>46192</v>
      </c>
      <c r="CX23" s="3">
        <v>46193</v>
      </c>
      <c r="CY23" s="3">
        <v>46194</v>
      </c>
      <c r="CZ23" s="3">
        <v>46195</v>
      </c>
      <c r="DA23" s="3">
        <v>46196</v>
      </c>
      <c r="DB23" s="3">
        <v>46197</v>
      </c>
      <c r="DC23" s="3">
        <v>46198</v>
      </c>
      <c r="DD23" s="3">
        <v>46199</v>
      </c>
      <c r="DE23" s="3">
        <v>46200</v>
      </c>
      <c r="DF23" s="3">
        <v>46201</v>
      </c>
      <c r="DG23" s="3">
        <v>46202</v>
      </c>
      <c r="DH23" s="3">
        <v>46203</v>
      </c>
      <c r="DI23" s="3">
        <v>46204</v>
      </c>
      <c r="DJ23" s="3">
        <v>46205</v>
      </c>
      <c r="DK23" s="3">
        <v>46206</v>
      </c>
      <c r="DL23" s="3">
        <v>46207</v>
      </c>
      <c r="DM23" s="3">
        <v>46208</v>
      </c>
      <c r="DN23" s="3">
        <v>46209</v>
      </c>
      <c r="DO23" s="3">
        <v>46210</v>
      </c>
      <c r="DP23" s="3">
        <v>46211</v>
      </c>
      <c r="DQ23" s="3">
        <v>46212</v>
      </c>
      <c r="DR23" s="3">
        <v>46213</v>
      </c>
      <c r="DS23" s="3">
        <v>46214</v>
      </c>
      <c r="DT23" s="3">
        <v>46215</v>
      </c>
      <c r="DU23" s="3">
        <v>46216</v>
      </c>
      <c r="DV23" s="3">
        <v>46217</v>
      </c>
      <c r="DW23" s="3">
        <v>46218</v>
      </c>
      <c r="DX23" s="3">
        <v>46219</v>
      </c>
      <c r="DY23" s="3">
        <v>46220</v>
      </c>
      <c r="DZ23" s="3">
        <v>46221</v>
      </c>
      <c r="EA23" s="3">
        <v>46222</v>
      </c>
      <c r="EB23" s="3">
        <v>46223</v>
      </c>
      <c r="EC23" s="3">
        <v>46224</v>
      </c>
      <c r="ED23" s="3">
        <v>46225</v>
      </c>
      <c r="EE23" s="3">
        <v>46226</v>
      </c>
      <c r="EF23" s="3">
        <v>46227</v>
      </c>
      <c r="EG23" s="3">
        <v>46228</v>
      </c>
      <c r="EH23" s="3">
        <v>46229</v>
      </c>
      <c r="EI23" s="3">
        <v>46230</v>
      </c>
      <c r="EJ23" s="3">
        <v>46231</v>
      </c>
      <c r="EK23" s="3">
        <v>46232</v>
      </c>
      <c r="EL23" s="3">
        <v>46233</v>
      </c>
      <c r="EM23" s="3">
        <v>46234</v>
      </c>
      <c r="EN23" s="3">
        <v>46235</v>
      </c>
      <c r="EO23" s="3">
        <v>46236</v>
      </c>
      <c r="EP23" s="3">
        <v>46237</v>
      </c>
      <c r="EQ23" s="3">
        <v>46238</v>
      </c>
      <c r="ER23" s="3">
        <v>46239</v>
      </c>
      <c r="ES23" s="3">
        <v>46240</v>
      </c>
      <c r="ET23" s="3">
        <v>46241</v>
      </c>
      <c r="EU23" s="3">
        <v>46242</v>
      </c>
      <c r="EV23" s="3">
        <v>46243</v>
      </c>
      <c r="EW23" s="3">
        <v>46244</v>
      </c>
      <c r="EX23" s="3">
        <v>46245</v>
      </c>
      <c r="EY23" s="3">
        <v>46246</v>
      </c>
      <c r="EZ23" s="3">
        <v>46247</v>
      </c>
      <c r="FA23" s="3">
        <v>46248</v>
      </c>
      <c r="FB23" s="3">
        <v>46249</v>
      </c>
      <c r="FC23" s="3">
        <v>46250</v>
      </c>
      <c r="FD23" s="3">
        <v>46251</v>
      </c>
      <c r="FE23" s="3">
        <v>46252</v>
      </c>
      <c r="FF23" s="3">
        <v>46253</v>
      </c>
      <c r="FG23" s="3">
        <v>46254</v>
      </c>
      <c r="FH23" s="3">
        <v>46255</v>
      </c>
      <c r="FI23" s="3">
        <v>46256</v>
      </c>
      <c r="FJ23" s="3">
        <v>46257</v>
      </c>
      <c r="FK23" s="3">
        <v>46258</v>
      </c>
      <c r="FL23" s="3">
        <v>46259</v>
      </c>
      <c r="FM23" s="3">
        <v>46260</v>
      </c>
      <c r="FN23" s="3">
        <v>46261</v>
      </c>
      <c r="FO23" s="3">
        <v>46262</v>
      </c>
      <c r="FP23" s="3">
        <v>46263</v>
      </c>
      <c r="FQ23" s="3">
        <v>46264</v>
      </c>
      <c r="FR23" s="3">
        <v>46265</v>
      </c>
      <c r="FS23" s="3">
        <v>46266</v>
      </c>
      <c r="FT23" s="3">
        <v>46267</v>
      </c>
      <c r="FU23" s="3">
        <v>46268</v>
      </c>
      <c r="FV23" s="3">
        <v>46269</v>
      </c>
      <c r="FW23" s="3">
        <v>46270</v>
      </c>
      <c r="FX23" s="3">
        <v>46271</v>
      </c>
      <c r="FY23" s="3">
        <v>46272</v>
      </c>
      <c r="FZ23" s="3">
        <v>46273</v>
      </c>
      <c r="GA23" s="3">
        <v>46274</v>
      </c>
      <c r="GB23" s="3">
        <v>46275</v>
      </c>
      <c r="GC23" s="3">
        <v>46276</v>
      </c>
      <c r="GD23" s="3">
        <v>46277</v>
      </c>
      <c r="GE23" s="3">
        <v>46278</v>
      </c>
      <c r="GF23" s="3">
        <v>46279</v>
      </c>
      <c r="GG23" s="3">
        <v>46280</v>
      </c>
      <c r="GH23" s="3">
        <v>46281</v>
      </c>
      <c r="GI23" s="3">
        <v>46282</v>
      </c>
      <c r="GJ23" s="3">
        <v>46283</v>
      </c>
      <c r="GK23" s="3">
        <v>46284</v>
      </c>
      <c r="GL23" s="3">
        <v>46285</v>
      </c>
      <c r="GM23" s="3">
        <v>46286</v>
      </c>
      <c r="GN23" s="3">
        <v>46287</v>
      </c>
      <c r="GO23" s="3">
        <v>46288</v>
      </c>
      <c r="GP23" s="3">
        <v>46289</v>
      </c>
      <c r="GQ23" s="3">
        <v>46290</v>
      </c>
      <c r="GR23" s="3">
        <v>46291</v>
      </c>
      <c r="GS23" s="3">
        <v>46292</v>
      </c>
      <c r="GT23" s="3">
        <v>46293</v>
      </c>
      <c r="GU23" s="3">
        <v>46294</v>
      </c>
      <c r="GV23" s="3">
        <v>46295</v>
      </c>
      <c r="GW23" s="3">
        <v>46296</v>
      </c>
      <c r="GX23" s="3">
        <v>46297</v>
      </c>
      <c r="GY23" s="3">
        <v>46298</v>
      </c>
      <c r="GZ23" s="3">
        <v>46299</v>
      </c>
      <c r="HA23" s="3">
        <v>46300</v>
      </c>
      <c r="HB23" s="3">
        <v>46301</v>
      </c>
      <c r="HC23" s="3">
        <v>46302</v>
      </c>
      <c r="HD23" s="3">
        <v>46303</v>
      </c>
      <c r="HE23" s="3">
        <v>46304</v>
      </c>
      <c r="HF23" s="3">
        <v>46305</v>
      </c>
      <c r="HG23" s="3">
        <v>46306</v>
      </c>
      <c r="HH23" s="3">
        <v>46307</v>
      </c>
      <c r="HI23" s="3">
        <v>46308</v>
      </c>
      <c r="HJ23" s="3">
        <v>46309</v>
      </c>
      <c r="HK23" s="3">
        <v>46310</v>
      </c>
      <c r="HL23" s="3">
        <v>46311</v>
      </c>
      <c r="HM23" s="3">
        <v>46312</v>
      </c>
      <c r="HN23" s="3">
        <v>46313</v>
      </c>
      <c r="HO23" s="3">
        <v>46314</v>
      </c>
      <c r="HP23" s="3">
        <v>46315</v>
      </c>
      <c r="HQ23" s="3">
        <v>46316</v>
      </c>
      <c r="HR23" s="3">
        <v>46317</v>
      </c>
      <c r="HS23" s="3">
        <v>46318</v>
      </c>
      <c r="HT23" s="3">
        <v>46319</v>
      </c>
      <c r="HU23" s="3">
        <v>46320</v>
      </c>
      <c r="HV23" s="3">
        <v>46321</v>
      </c>
      <c r="HW23" s="3">
        <v>46322</v>
      </c>
      <c r="HX23" s="3">
        <v>46323</v>
      </c>
      <c r="HY23" s="3">
        <v>46324</v>
      </c>
      <c r="HZ23" s="3">
        <v>46325</v>
      </c>
      <c r="IA23" s="3">
        <v>46326</v>
      </c>
      <c r="IB23" s="3">
        <v>46327</v>
      </c>
      <c r="IC23" s="3">
        <v>46328</v>
      </c>
    </row>
    <row r="24" spans="1:257">
      <c r="A24" s="4" t="s">
        <v>694</v>
      </c>
      <c r="B24" s="82" t="str">
        <f t="array" ref="B24">COLUMNS(_xlfn._xlws.FILTER(P23:HO23, (P25:HO25&lt;&gt;"")+(P27:HO27&lt;&gt;""))) &amp; "場"</f>
        <v>27場</v>
      </c>
      <c r="C24" s="78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675</v>
      </c>
      <c r="P24" s="3" t="s">
        <v>676</v>
      </c>
      <c r="Q24" s="3" t="s">
        <v>677</v>
      </c>
      <c r="R24" s="3" t="s">
        <v>678</v>
      </c>
      <c r="S24" s="3" t="s">
        <v>679</v>
      </c>
      <c r="T24" s="3" t="s">
        <v>680</v>
      </c>
      <c r="U24" s="3" t="s">
        <v>681</v>
      </c>
      <c r="V24" s="3" t="s">
        <v>682</v>
      </c>
      <c r="W24" s="3" t="s">
        <v>676</v>
      </c>
      <c r="X24" s="3" t="s">
        <v>677</v>
      </c>
      <c r="Y24" s="3" t="s">
        <v>678</v>
      </c>
      <c r="Z24" s="3" t="s">
        <v>679</v>
      </c>
      <c r="AA24" s="3" t="s">
        <v>680</v>
      </c>
      <c r="AB24" s="3" t="s">
        <v>681</v>
      </c>
      <c r="AC24" s="3" t="s">
        <v>682</v>
      </c>
      <c r="AD24" s="3" t="s">
        <v>676</v>
      </c>
      <c r="AE24" s="3" t="s">
        <v>677</v>
      </c>
      <c r="AF24" s="3" t="s">
        <v>678</v>
      </c>
      <c r="AG24" s="3" t="s">
        <v>679</v>
      </c>
      <c r="AH24" s="3" t="s">
        <v>680</v>
      </c>
      <c r="AI24" s="3" t="s">
        <v>681</v>
      </c>
      <c r="AJ24" s="3" t="s">
        <v>682</v>
      </c>
      <c r="AK24" s="3" t="s">
        <v>676</v>
      </c>
      <c r="AL24" s="3" t="s">
        <v>677</v>
      </c>
      <c r="AM24" s="3" t="s">
        <v>678</v>
      </c>
      <c r="AN24" s="3" t="s">
        <v>679</v>
      </c>
      <c r="AO24" s="3" t="s">
        <v>680</v>
      </c>
      <c r="AP24" s="3" t="s">
        <v>681</v>
      </c>
      <c r="AQ24" s="3" t="s">
        <v>682</v>
      </c>
      <c r="AR24" s="3" t="s">
        <v>676</v>
      </c>
      <c r="AS24" s="3" t="s">
        <v>677</v>
      </c>
      <c r="AT24" s="3" t="s">
        <v>678</v>
      </c>
      <c r="AU24" s="3" t="s">
        <v>679</v>
      </c>
      <c r="AV24" s="3" t="s">
        <v>680</v>
      </c>
      <c r="AW24" s="3" t="s">
        <v>681</v>
      </c>
      <c r="AX24" s="3" t="s">
        <v>682</v>
      </c>
      <c r="AY24" s="3" t="s">
        <v>676</v>
      </c>
      <c r="AZ24" s="3" t="s">
        <v>677</v>
      </c>
      <c r="BA24" s="3" t="s">
        <v>678</v>
      </c>
      <c r="BB24" s="3" t="s">
        <v>679</v>
      </c>
      <c r="BC24" s="3" t="s">
        <v>680</v>
      </c>
      <c r="BD24" s="3" t="s">
        <v>681</v>
      </c>
      <c r="BE24" s="3" t="s">
        <v>682</v>
      </c>
      <c r="BF24" s="3" t="s">
        <v>676</v>
      </c>
      <c r="BG24" s="3" t="s">
        <v>677</v>
      </c>
      <c r="BH24" s="3" t="s">
        <v>678</v>
      </c>
      <c r="BI24" s="3" t="s">
        <v>679</v>
      </c>
      <c r="BJ24" s="3" t="s">
        <v>680</v>
      </c>
      <c r="BK24" s="3" t="s">
        <v>681</v>
      </c>
      <c r="BL24" s="3" t="s">
        <v>682</v>
      </c>
      <c r="BM24" s="3" t="s">
        <v>676</v>
      </c>
      <c r="BN24" s="3" t="s">
        <v>677</v>
      </c>
      <c r="BO24" s="3" t="s">
        <v>678</v>
      </c>
      <c r="BP24" s="3" t="s">
        <v>679</v>
      </c>
      <c r="BQ24" s="3" t="s">
        <v>680</v>
      </c>
      <c r="BR24" s="3" t="s">
        <v>681</v>
      </c>
      <c r="BS24" s="3" t="s">
        <v>682</v>
      </c>
      <c r="BT24" s="3" t="s">
        <v>676</v>
      </c>
      <c r="BU24" s="3" t="s">
        <v>677</v>
      </c>
      <c r="BV24" s="3" t="s">
        <v>678</v>
      </c>
      <c r="BW24" s="3" t="s">
        <v>679</v>
      </c>
      <c r="BX24" s="3" t="s">
        <v>680</v>
      </c>
      <c r="BY24" s="3" t="s">
        <v>681</v>
      </c>
      <c r="BZ24" s="3" t="s">
        <v>682</v>
      </c>
      <c r="CA24" s="3" t="s">
        <v>676</v>
      </c>
      <c r="CB24" s="3" t="s">
        <v>677</v>
      </c>
      <c r="CC24" s="3" t="s">
        <v>678</v>
      </c>
      <c r="CD24" s="3" t="s">
        <v>679</v>
      </c>
      <c r="CE24" s="3" t="s">
        <v>680</v>
      </c>
      <c r="CF24" s="3" t="s">
        <v>681</v>
      </c>
      <c r="CG24" s="3" t="s">
        <v>682</v>
      </c>
      <c r="CH24" s="3" t="s">
        <v>676</v>
      </c>
      <c r="CI24" s="3" t="s">
        <v>677</v>
      </c>
      <c r="CJ24" s="3" t="s">
        <v>678</v>
      </c>
      <c r="CK24" s="3" t="s">
        <v>679</v>
      </c>
      <c r="CL24" s="3" t="s">
        <v>680</v>
      </c>
      <c r="CM24" s="3" t="s">
        <v>681</v>
      </c>
      <c r="CN24" s="3" t="s">
        <v>682</v>
      </c>
      <c r="CO24" s="3" t="s">
        <v>676</v>
      </c>
      <c r="CP24" s="3" t="s">
        <v>677</v>
      </c>
      <c r="CQ24" s="3" t="s">
        <v>678</v>
      </c>
      <c r="CR24" s="3" t="s">
        <v>679</v>
      </c>
      <c r="CS24" s="3" t="s">
        <v>680</v>
      </c>
      <c r="CT24" s="3" t="s">
        <v>681</v>
      </c>
      <c r="CU24" s="3" t="s">
        <v>682</v>
      </c>
      <c r="CV24" s="3" t="s">
        <v>676</v>
      </c>
      <c r="CW24" s="3" t="s">
        <v>677</v>
      </c>
      <c r="CX24" s="3" t="s">
        <v>678</v>
      </c>
      <c r="CY24" s="3" t="s">
        <v>679</v>
      </c>
      <c r="CZ24" s="3" t="s">
        <v>680</v>
      </c>
      <c r="DA24" s="3" t="s">
        <v>681</v>
      </c>
      <c r="DB24" s="3" t="s">
        <v>682</v>
      </c>
      <c r="DC24" s="3" t="s">
        <v>676</v>
      </c>
      <c r="DD24" s="3" t="s">
        <v>677</v>
      </c>
      <c r="DE24" s="3" t="s">
        <v>678</v>
      </c>
      <c r="DF24" s="3" t="s">
        <v>679</v>
      </c>
      <c r="DG24" s="3" t="s">
        <v>680</v>
      </c>
      <c r="DH24" s="3" t="s">
        <v>681</v>
      </c>
      <c r="DI24" s="3" t="s">
        <v>682</v>
      </c>
      <c r="DJ24" s="3" t="s">
        <v>676</v>
      </c>
      <c r="DK24" s="3" t="s">
        <v>677</v>
      </c>
      <c r="DL24" s="3" t="s">
        <v>678</v>
      </c>
      <c r="DM24" s="3" t="s">
        <v>679</v>
      </c>
      <c r="DN24" s="3" t="s">
        <v>680</v>
      </c>
      <c r="DO24" s="3" t="s">
        <v>681</v>
      </c>
      <c r="DP24" s="3" t="s">
        <v>682</v>
      </c>
      <c r="DQ24" s="3" t="s">
        <v>676</v>
      </c>
      <c r="DR24" s="3" t="s">
        <v>677</v>
      </c>
      <c r="DS24" s="3" t="s">
        <v>678</v>
      </c>
      <c r="DT24" s="3" t="s">
        <v>679</v>
      </c>
      <c r="DU24" s="3" t="s">
        <v>680</v>
      </c>
      <c r="DV24" s="3" t="s">
        <v>681</v>
      </c>
      <c r="DW24" s="3" t="s">
        <v>682</v>
      </c>
      <c r="DX24" s="3" t="s">
        <v>676</v>
      </c>
      <c r="DY24" s="3" t="s">
        <v>677</v>
      </c>
      <c r="DZ24" s="3" t="s">
        <v>678</v>
      </c>
      <c r="EA24" s="3" t="s">
        <v>679</v>
      </c>
      <c r="EB24" s="3" t="s">
        <v>680</v>
      </c>
      <c r="EC24" s="3" t="s">
        <v>681</v>
      </c>
      <c r="ED24" s="3" t="s">
        <v>682</v>
      </c>
      <c r="EE24" s="3" t="s">
        <v>676</v>
      </c>
      <c r="EF24" s="3" t="s">
        <v>677</v>
      </c>
      <c r="EG24" s="3" t="s">
        <v>678</v>
      </c>
      <c r="EH24" s="3" t="s">
        <v>679</v>
      </c>
      <c r="EI24" s="3" t="s">
        <v>680</v>
      </c>
      <c r="EJ24" s="3" t="s">
        <v>681</v>
      </c>
      <c r="EK24" s="3" t="s">
        <v>682</v>
      </c>
      <c r="EL24" s="3" t="s">
        <v>676</v>
      </c>
      <c r="EM24" s="3" t="s">
        <v>677</v>
      </c>
      <c r="EN24" s="3" t="s">
        <v>678</v>
      </c>
      <c r="EO24" s="3" t="s">
        <v>679</v>
      </c>
      <c r="EP24" s="3" t="s">
        <v>680</v>
      </c>
      <c r="EQ24" s="3" t="s">
        <v>681</v>
      </c>
      <c r="ER24" s="3" t="s">
        <v>682</v>
      </c>
      <c r="ES24" s="3" t="s">
        <v>676</v>
      </c>
      <c r="ET24" s="3" t="s">
        <v>677</v>
      </c>
      <c r="EU24" s="3" t="s">
        <v>678</v>
      </c>
      <c r="EV24" s="3" t="s">
        <v>679</v>
      </c>
      <c r="EW24" s="3" t="s">
        <v>680</v>
      </c>
      <c r="EX24" s="3" t="s">
        <v>681</v>
      </c>
      <c r="EY24" s="3" t="s">
        <v>682</v>
      </c>
      <c r="EZ24" s="3" t="s">
        <v>676</v>
      </c>
      <c r="FA24" s="3" t="s">
        <v>677</v>
      </c>
      <c r="FB24" s="3" t="s">
        <v>678</v>
      </c>
      <c r="FC24" s="3" t="s">
        <v>679</v>
      </c>
      <c r="FD24" s="3" t="s">
        <v>680</v>
      </c>
      <c r="FE24" s="3" t="s">
        <v>681</v>
      </c>
      <c r="FF24" s="3" t="s">
        <v>682</v>
      </c>
      <c r="FG24" s="3" t="s">
        <v>676</v>
      </c>
      <c r="FH24" s="3" t="s">
        <v>677</v>
      </c>
      <c r="FI24" s="3" t="s">
        <v>678</v>
      </c>
      <c r="FJ24" s="3" t="s">
        <v>679</v>
      </c>
      <c r="FK24" s="3" t="s">
        <v>680</v>
      </c>
      <c r="FL24" s="3" t="s">
        <v>681</v>
      </c>
      <c r="FM24" s="3" t="s">
        <v>682</v>
      </c>
      <c r="FN24" s="3" t="s">
        <v>676</v>
      </c>
      <c r="FO24" s="3" t="s">
        <v>677</v>
      </c>
      <c r="FP24" s="3" t="s">
        <v>678</v>
      </c>
      <c r="FQ24" s="3" t="s">
        <v>679</v>
      </c>
      <c r="FR24" s="3" t="s">
        <v>680</v>
      </c>
      <c r="FS24" s="3" t="s">
        <v>681</v>
      </c>
      <c r="FT24" s="3" t="s">
        <v>682</v>
      </c>
      <c r="FU24" s="3" t="s">
        <v>676</v>
      </c>
      <c r="FV24" s="3" t="s">
        <v>677</v>
      </c>
      <c r="FW24" s="3" t="s">
        <v>678</v>
      </c>
      <c r="FX24" s="3" t="s">
        <v>679</v>
      </c>
      <c r="FY24" s="3" t="s">
        <v>680</v>
      </c>
      <c r="FZ24" s="3" t="s">
        <v>681</v>
      </c>
      <c r="GA24" s="3" t="s">
        <v>682</v>
      </c>
      <c r="GB24" s="3" t="s">
        <v>676</v>
      </c>
      <c r="GC24" s="3" t="s">
        <v>677</v>
      </c>
      <c r="GD24" s="3" t="s">
        <v>678</v>
      </c>
      <c r="GE24" s="3" t="s">
        <v>679</v>
      </c>
      <c r="GF24" s="3" t="s">
        <v>680</v>
      </c>
      <c r="GG24" s="3" t="s">
        <v>681</v>
      </c>
      <c r="GH24" s="3" t="s">
        <v>682</v>
      </c>
      <c r="GI24" s="3" t="s">
        <v>676</v>
      </c>
      <c r="GJ24" s="3" t="s">
        <v>677</v>
      </c>
      <c r="GK24" s="3" t="s">
        <v>678</v>
      </c>
      <c r="GL24" s="3" t="s">
        <v>679</v>
      </c>
      <c r="GM24" s="3" t="s">
        <v>680</v>
      </c>
      <c r="GN24" s="3" t="s">
        <v>681</v>
      </c>
      <c r="GO24" s="3" t="s">
        <v>682</v>
      </c>
      <c r="GP24" s="3" t="s">
        <v>676</v>
      </c>
      <c r="GQ24" s="3" t="s">
        <v>677</v>
      </c>
      <c r="GR24" s="3" t="s">
        <v>678</v>
      </c>
      <c r="GS24" s="3" t="s">
        <v>679</v>
      </c>
      <c r="GT24" s="3" t="s">
        <v>680</v>
      </c>
      <c r="GU24" s="3" t="s">
        <v>681</v>
      </c>
      <c r="GV24" s="3" t="s">
        <v>682</v>
      </c>
      <c r="GW24" s="3" t="s">
        <v>676</v>
      </c>
      <c r="GX24" s="3" t="s">
        <v>677</v>
      </c>
      <c r="GY24" s="3" t="s">
        <v>678</v>
      </c>
      <c r="GZ24" s="3" t="s">
        <v>679</v>
      </c>
      <c r="HA24" s="3" t="s">
        <v>680</v>
      </c>
      <c r="HB24" s="3" t="s">
        <v>681</v>
      </c>
      <c r="HC24" s="3" t="s">
        <v>682</v>
      </c>
      <c r="HD24" s="3" t="s">
        <v>676</v>
      </c>
      <c r="HE24" s="3" t="s">
        <v>677</v>
      </c>
      <c r="HF24" s="3" t="s">
        <v>678</v>
      </c>
      <c r="HG24" s="3" t="s">
        <v>679</v>
      </c>
      <c r="HH24" s="3" t="s">
        <v>680</v>
      </c>
      <c r="HI24" s="3" t="s">
        <v>681</v>
      </c>
      <c r="HJ24" s="3" t="s">
        <v>682</v>
      </c>
      <c r="HK24" s="3" t="s">
        <v>676</v>
      </c>
      <c r="HL24" s="3" t="s">
        <v>677</v>
      </c>
      <c r="HM24" s="3" t="s">
        <v>678</v>
      </c>
      <c r="HN24" s="3" t="s">
        <v>679</v>
      </c>
      <c r="HO24" s="3" t="s">
        <v>680</v>
      </c>
      <c r="HP24" s="3" t="s">
        <v>681</v>
      </c>
      <c r="HQ24" s="3" t="s">
        <v>682</v>
      </c>
      <c r="HR24" s="3" t="s">
        <v>676</v>
      </c>
      <c r="HS24" s="3" t="s">
        <v>677</v>
      </c>
      <c r="HT24" s="3" t="s">
        <v>678</v>
      </c>
      <c r="HU24" s="3" t="s">
        <v>679</v>
      </c>
      <c r="HV24" s="3" t="s">
        <v>680</v>
      </c>
      <c r="HW24" s="3" t="s">
        <v>681</v>
      </c>
      <c r="HX24" s="3" t="s">
        <v>682</v>
      </c>
      <c r="HY24" s="3" t="s">
        <v>676</v>
      </c>
      <c r="HZ24" s="3" t="s">
        <v>677</v>
      </c>
      <c r="IA24" s="3" t="s">
        <v>678</v>
      </c>
      <c r="IB24" s="3" t="s">
        <v>679</v>
      </c>
      <c r="IC24" s="3" t="s">
        <v>680</v>
      </c>
    </row>
    <row r="25" spans="1:257">
      <c r="A25" s="82" t="s">
        <v>695</v>
      </c>
      <c r="B25" s="82" t="str">
        <f>COUNTIF(P25:IC25, "W")&amp;"勝"</f>
        <v>17勝</v>
      </c>
      <c r="C25" s="82" t="str">
        <f>COUNTIF(P25:IC25, "L")&amp;"敗"</f>
        <v>10敗</v>
      </c>
      <c r="D25" s="82" t="s">
        <v>696</v>
      </c>
      <c r="E25" s="78"/>
      <c r="F25" s="82" t="s">
        <v>713</v>
      </c>
      <c r="G25" s="78"/>
      <c r="H25" s="78"/>
      <c r="I25" s="78"/>
      <c r="J25" s="78"/>
      <c r="K25" s="78"/>
      <c r="L25" s="78"/>
      <c r="M25" s="82"/>
      <c r="N25" s="78"/>
      <c r="O25" s="1" t="s">
        <v>698</v>
      </c>
      <c r="P25" t="s">
        <v>699</v>
      </c>
      <c r="R25" t="s">
        <v>699</v>
      </c>
      <c r="S25" t="s">
        <v>699</v>
      </c>
      <c r="U25" t="s">
        <v>700</v>
      </c>
      <c r="V25" t="s">
        <v>699</v>
      </c>
      <c r="W25" t="s">
        <v>699</v>
      </c>
      <c r="Y25" t="s">
        <v>699</v>
      </c>
      <c r="Z25" t="s">
        <v>699</v>
      </c>
      <c r="AA25" t="s">
        <v>700</v>
      </c>
      <c r="AC25" t="s">
        <v>699</v>
      </c>
      <c r="AD25" t="s">
        <v>700</v>
      </c>
      <c r="AE25" t="s">
        <v>700</v>
      </c>
      <c r="AF25" t="s">
        <v>700</v>
      </c>
      <c r="AG25" t="s">
        <v>700</v>
      </c>
      <c r="AH25" t="s">
        <v>700</v>
      </c>
      <c r="AI25" t="s">
        <v>699</v>
      </c>
      <c r="AJ25" t="s">
        <v>700</v>
      </c>
      <c r="AK25" t="s">
        <v>699</v>
      </c>
      <c r="AL25" t="s">
        <v>700</v>
      </c>
      <c r="AM25" t="s">
        <v>699</v>
      </c>
      <c r="AN25" t="s">
        <v>699</v>
      </c>
      <c r="AO25" t="s">
        <v>699</v>
      </c>
      <c r="AQ25" t="s">
        <v>699</v>
      </c>
      <c r="AS25" t="s">
        <v>699</v>
      </c>
      <c r="AT25" t="s">
        <v>699</v>
      </c>
      <c r="AU25" t="s">
        <v>699</v>
      </c>
      <c r="AV25" t="s">
        <v>700</v>
      </c>
    </row>
    <row r="26" spans="1:257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1" t="s">
        <v>701</v>
      </c>
    </row>
    <row r="27" spans="1:257">
      <c r="A27" s="82" t="s">
        <v>702</v>
      </c>
      <c r="B27" s="82" t="str">
        <f>COUNTIF(P27:IC27, "O")&amp;"正"</f>
        <v>15正</v>
      </c>
      <c r="C27" s="82" t="str">
        <f>COUNTIF(P27:IC27, "X")&amp;"負"</f>
        <v>12負</v>
      </c>
      <c r="D27" s="82" t="s">
        <v>703</v>
      </c>
      <c r="E27" s="78"/>
      <c r="F27" s="82" t="s">
        <v>714</v>
      </c>
      <c r="G27" s="78"/>
      <c r="H27" s="78"/>
      <c r="I27" s="78"/>
      <c r="J27" s="78"/>
      <c r="K27" s="78"/>
      <c r="L27" s="78"/>
      <c r="M27" s="82"/>
      <c r="N27" s="78"/>
      <c r="O27" s="1" t="s">
        <v>705</v>
      </c>
      <c r="P27" t="s">
        <v>683</v>
      </c>
      <c r="R27" t="s">
        <v>683</v>
      </c>
      <c r="S27" t="s">
        <v>683</v>
      </c>
      <c r="U27" t="s">
        <v>684</v>
      </c>
      <c r="V27" t="s">
        <v>683</v>
      </c>
      <c r="W27" t="s">
        <v>683</v>
      </c>
      <c r="Y27" t="s">
        <v>683</v>
      </c>
      <c r="Z27" t="s">
        <v>683</v>
      </c>
      <c r="AA27" t="s">
        <v>684</v>
      </c>
      <c r="AC27" t="s">
        <v>683</v>
      </c>
      <c r="AD27" t="s">
        <v>684</v>
      </c>
      <c r="AE27" t="s">
        <v>684</v>
      </c>
      <c r="AF27" t="s">
        <v>684</v>
      </c>
      <c r="AG27" t="s">
        <v>684</v>
      </c>
      <c r="AH27" t="s">
        <v>684</v>
      </c>
      <c r="AI27" t="s">
        <v>684</v>
      </c>
      <c r="AJ27" t="s">
        <v>684</v>
      </c>
      <c r="AK27" t="s">
        <v>684</v>
      </c>
      <c r="AL27" t="s">
        <v>684</v>
      </c>
      <c r="AM27" t="s">
        <v>683</v>
      </c>
      <c r="AN27" t="s">
        <v>683</v>
      </c>
      <c r="AO27" t="s">
        <v>683</v>
      </c>
      <c r="AQ27" t="s">
        <v>683</v>
      </c>
      <c r="AS27" t="s">
        <v>683</v>
      </c>
      <c r="AT27" t="s">
        <v>683</v>
      </c>
      <c r="AU27" t="s">
        <v>683</v>
      </c>
      <c r="AV27" t="s">
        <v>684</v>
      </c>
      <c r="IN27" t="str">
        <f ca="1">IFERROR(INDEX($P27:$IC27,1,_xludf.AGGREGATE(14,6,(COLUMN($P27:$IC27)-COLUMN($P27)+1)/($P27:$IC27&lt;&gt;""),1)),"")</f>
        <v/>
      </c>
      <c r="IO27" t="str">
        <f ca="1">IFERROR(INDEX($P27:$IC27,1,_xludf.AGGREGATE(14,6,(COLUMN($P27:$IC27)-COLUMN($P27)+1)/($P27:$IC27&lt;&gt;""),2)),"")</f>
        <v/>
      </c>
      <c r="IP27" t="str">
        <f ca="1">IFERROR(INDEX($P27:$IC27,1,_xludf.AGGREGATE(14,6,(COLUMN($P27:$IC27)-COLUMN($P27)+1)/($P27:$IC27&lt;&gt;""),3)),"")</f>
        <v/>
      </c>
      <c r="IQ27" t="str">
        <f ca="1">IFERROR(INDEX($P27:$IC27,1,_xludf.AGGREGATE(14,6,(COLUMN($P27:$IC27)-COLUMN($P27)+1)/($P27:$IC27&lt;&gt;""),4)),"")</f>
        <v/>
      </c>
      <c r="IR27" t="str">
        <f ca="1">IFERROR(INDEX($P27:$IC27,1,_xludf.AGGREGATE(14,6,(COLUMN($P27:$IC27)-COLUMN($P27)+1)/($P27:$IC27&lt;&gt;""),5)),"")</f>
        <v/>
      </c>
      <c r="IS27" t="str">
        <f ca="1">IFERROR(INDEX($P27:$IC27,1,_xludf.AGGREGATE(14,6,(COLUMN($P27:$IC27)-COLUMN($P27)+1)/($P27:$IC27&lt;&gt;""),6)),"")</f>
        <v/>
      </c>
      <c r="IT27" t="str">
        <f ca="1">IFERROR(INDEX($P27:$IC27,1,_xludf.AGGREGATE(14,6,(COLUMN($P27:$IC27)-COLUMN($P27)+1)/($P27:$IC27&lt;&gt;""),7)),"")</f>
        <v/>
      </c>
      <c r="IU27" t="str">
        <f ca="1">IFERROR(INDEX($P27:$IC27,1,_xludf.AGGREGATE(14,6,(COLUMN($P27:$IC27)-COLUMN($P27)+1)/($P27:$IC27&lt;&gt;""),8)),"")</f>
        <v/>
      </c>
      <c r="IV27" t="str">
        <f ca="1">IFERROR(INDEX($P27:$IC27,1,_xludf.AGGREGATE(14,6,(COLUMN($P27:$IC27)-COLUMN($P27)+1)/($P27:$IC27&lt;&gt;""),9)),"")</f>
        <v/>
      </c>
      <c r="IW27" t="str">
        <f ca="1">IFERROR(INDEX($P27:$IC27,1,_xludf.AGGREGATE(14,6,(COLUMN($P27:$IC27)-COLUMN($P27)+1)/($P27:$IC27&lt;&gt;""),10)),"")</f>
        <v/>
      </c>
    </row>
    <row r="28" spans="1:257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1" t="s">
        <v>706</v>
      </c>
    </row>
    <row r="29" spans="1:257">
      <c r="A29" s="82" t="s">
        <v>707</v>
      </c>
      <c r="B29" s="77"/>
      <c r="C29" s="77"/>
      <c r="D29" s="82" t="s">
        <v>708</v>
      </c>
      <c r="E29" s="78"/>
      <c r="F29" s="82"/>
      <c r="G29" s="78"/>
      <c r="H29" s="78"/>
      <c r="I29" s="78"/>
      <c r="J29" s="78"/>
      <c r="K29" s="78"/>
      <c r="L29" s="78"/>
      <c r="M29" s="82"/>
      <c r="N29" s="78"/>
      <c r="O29" s="1" t="s">
        <v>709</v>
      </c>
    </row>
    <row r="30" spans="1:257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1" t="s">
        <v>710</v>
      </c>
    </row>
    <row r="31" spans="1:257">
      <c r="A31" s="109" t="s">
        <v>68</v>
      </c>
      <c r="B31" s="78"/>
      <c r="C31" s="7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 t="s">
        <v>674</v>
      </c>
      <c r="P31" s="8">
        <v>1</v>
      </c>
      <c r="Q31" s="8">
        <v>2</v>
      </c>
      <c r="R31" s="8">
        <v>3</v>
      </c>
      <c r="S31" s="8">
        <v>4</v>
      </c>
      <c r="T31" s="8">
        <v>5</v>
      </c>
      <c r="U31" s="8">
        <v>6</v>
      </c>
      <c r="V31" s="8">
        <v>7</v>
      </c>
      <c r="W31" s="8">
        <v>8</v>
      </c>
      <c r="X31" s="8">
        <v>9</v>
      </c>
      <c r="Y31" s="8">
        <v>10</v>
      </c>
      <c r="Z31" s="8">
        <v>11</v>
      </c>
      <c r="AA31" s="8">
        <v>12</v>
      </c>
      <c r="AB31" s="8">
        <v>13</v>
      </c>
      <c r="AC31" s="8">
        <v>14</v>
      </c>
      <c r="AD31" s="8">
        <v>15</v>
      </c>
      <c r="AE31" s="8">
        <v>16</v>
      </c>
      <c r="AF31" s="8">
        <v>17</v>
      </c>
      <c r="AG31" s="8">
        <v>18</v>
      </c>
      <c r="AH31" s="8">
        <v>19</v>
      </c>
      <c r="AI31" s="8">
        <v>20</v>
      </c>
      <c r="AJ31" s="8">
        <v>21</v>
      </c>
      <c r="AK31" s="8">
        <v>22</v>
      </c>
      <c r="AL31" s="8">
        <v>23</v>
      </c>
      <c r="AM31" s="8">
        <v>24</v>
      </c>
      <c r="AN31" s="8">
        <v>25</v>
      </c>
      <c r="AO31" s="8">
        <v>26</v>
      </c>
      <c r="AP31" s="8">
        <v>27</v>
      </c>
      <c r="AQ31" s="8">
        <v>28</v>
      </c>
      <c r="AR31" s="8">
        <v>29</v>
      </c>
      <c r="AS31" s="8">
        <v>30</v>
      </c>
      <c r="AT31" s="8">
        <v>31</v>
      </c>
      <c r="AU31" s="8">
        <v>32</v>
      </c>
      <c r="AV31" s="8">
        <v>33</v>
      </c>
      <c r="AW31" s="8">
        <v>34</v>
      </c>
      <c r="AX31" s="8">
        <v>35</v>
      </c>
      <c r="AY31" s="8">
        <v>36</v>
      </c>
      <c r="AZ31" s="8">
        <v>37</v>
      </c>
      <c r="BA31" s="8">
        <v>38</v>
      </c>
      <c r="BB31" s="8">
        <v>39</v>
      </c>
      <c r="BC31" s="8">
        <v>40</v>
      </c>
      <c r="BD31" s="8">
        <v>41</v>
      </c>
      <c r="BE31" s="8">
        <v>42</v>
      </c>
      <c r="BF31" s="8">
        <v>43</v>
      </c>
      <c r="BG31" s="8">
        <v>44</v>
      </c>
      <c r="BH31" s="8">
        <v>45</v>
      </c>
      <c r="BI31" s="8">
        <v>46</v>
      </c>
      <c r="BJ31" s="8">
        <v>47</v>
      </c>
      <c r="BK31" s="8">
        <v>48</v>
      </c>
      <c r="BL31" s="8">
        <v>49</v>
      </c>
      <c r="BM31" s="8">
        <v>50</v>
      </c>
      <c r="BN31" s="8">
        <v>51</v>
      </c>
      <c r="BO31" s="8">
        <v>52</v>
      </c>
      <c r="BP31" s="8">
        <v>53</v>
      </c>
      <c r="BQ31" s="8">
        <v>54</v>
      </c>
      <c r="BR31" s="8">
        <v>55</v>
      </c>
      <c r="BS31" s="8">
        <v>56</v>
      </c>
      <c r="BT31" s="8">
        <v>57</v>
      </c>
      <c r="BU31" s="8">
        <v>58</v>
      </c>
      <c r="BV31" s="8">
        <v>59</v>
      </c>
      <c r="BW31" s="8">
        <v>60</v>
      </c>
      <c r="BX31" s="8">
        <v>61</v>
      </c>
      <c r="BY31" s="8">
        <v>62</v>
      </c>
      <c r="BZ31" s="8">
        <v>63</v>
      </c>
      <c r="CA31" s="8">
        <v>64</v>
      </c>
      <c r="CB31" s="8">
        <v>65</v>
      </c>
      <c r="CC31" s="8">
        <v>66</v>
      </c>
      <c r="CD31" s="8">
        <v>67</v>
      </c>
      <c r="CE31" s="8">
        <v>68</v>
      </c>
      <c r="CF31" s="8">
        <v>69</v>
      </c>
      <c r="CG31" s="8">
        <v>70</v>
      </c>
      <c r="CH31" s="8">
        <v>71</v>
      </c>
      <c r="CI31" s="8">
        <v>72</v>
      </c>
      <c r="CJ31" s="8">
        <v>73</v>
      </c>
      <c r="CK31" s="8">
        <v>74</v>
      </c>
      <c r="CL31" s="8">
        <v>75</v>
      </c>
      <c r="CM31" s="8">
        <v>76</v>
      </c>
      <c r="CN31" s="8">
        <v>77</v>
      </c>
      <c r="CO31" s="8">
        <v>78</v>
      </c>
      <c r="CP31" s="8">
        <v>79</v>
      </c>
      <c r="CQ31" s="8">
        <v>80</v>
      </c>
      <c r="CR31" s="8">
        <v>81</v>
      </c>
      <c r="CS31" s="8">
        <v>82</v>
      </c>
      <c r="CT31" s="8">
        <v>83</v>
      </c>
      <c r="CU31" s="8">
        <v>84</v>
      </c>
      <c r="CV31" s="8">
        <v>85</v>
      </c>
      <c r="CW31" s="8">
        <v>86</v>
      </c>
      <c r="CX31" s="8">
        <v>87</v>
      </c>
      <c r="CY31" s="8">
        <v>88</v>
      </c>
      <c r="CZ31" s="8">
        <v>89</v>
      </c>
      <c r="DA31" s="8">
        <v>90</v>
      </c>
      <c r="DB31" s="8">
        <v>91</v>
      </c>
      <c r="DC31" s="8">
        <v>92</v>
      </c>
      <c r="DD31" s="8">
        <v>93</v>
      </c>
      <c r="DE31" s="8">
        <v>94</v>
      </c>
      <c r="DF31" s="8">
        <v>95</v>
      </c>
      <c r="DG31" s="8">
        <v>96</v>
      </c>
      <c r="DH31" s="8">
        <v>97</v>
      </c>
      <c r="DI31" s="8">
        <v>98</v>
      </c>
      <c r="DJ31" s="8">
        <v>99</v>
      </c>
      <c r="DK31" s="8">
        <v>100</v>
      </c>
      <c r="DL31" s="8">
        <v>101</v>
      </c>
      <c r="DM31" s="8">
        <v>102</v>
      </c>
      <c r="DN31" s="8">
        <v>103</v>
      </c>
      <c r="DO31" s="8">
        <v>104</v>
      </c>
      <c r="DP31" s="8">
        <v>105</v>
      </c>
      <c r="DQ31" s="8">
        <v>106</v>
      </c>
      <c r="DR31" s="8">
        <v>107</v>
      </c>
      <c r="DS31" s="8">
        <v>108</v>
      </c>
      <c r="DT31" s="8">
        <v>109</v>
      </c>
      <c r="DU31" s="8">
        <v>110</v>
      </c>
      <c r="DV31" s="8">
        <v>111</v>
      </c>
      <c r="DW31" s="8">
        <v>112</v>
      </c>
      <c r="DX31" s="8">
        <v>113</v>
      </c>
      <c r="DY31" s="8">
        <v>114</v>
      </c>
      <c r="DZ31" s="8">
        <v>115</v>
      </c>
      <c r="EA31" s="8">
        <v>116</v>
      </c>
      <c r="EB31" s="8">
        <v>117</v>
      </c>
      <c r="EC31" s="8">
        <v>118</v>
      </c>
      <c r="ED31" s="8">
        <v>119</v>
      </c>
      <c r="EE31" s="8">
        <v>120</v>
      </c>
      <c r="EF31" s="8">
        <v>121</v>
      </c>
      <c r="EG31" s="8">
        <v>122</v>
      </c>
      <c r="EH31" s="8">
        <v>123</v>
      </c>
      <c r="EI31" s="8">
        <v>124</v>
      </c>
      <c r="EJ31" s="8">
        <v>125</v>
      </c>
      <c r="EK31" s="8">
        <v>126</v>
      </c>
      <c r="EL31" s="8">
        <v>127</v>
      </c>
      <c r="EM31" s="8">
        <v>128</v>
      </c>
      <c r="EN31" s="8">
        <v>129</v>
      </c>
      <c r="EO31" s="8">
        <v>130</v>
      </c>
      <c r="EP31" s="8">
        <v>131</v>
      </c>
      <c r="EQ31" s="8">
        <v>132</v>
      </c>
      <c r="ER31" s="8">
        <v>133</v>
      </c>
      <c r="ES31" s="8">
        <v>134</v>
      </c>
      <c r="ET31" s="8">
        <v>135</v>
      </c>
      <c r="EU31" s="8">
        <v>136</v>
      </c>
      <c r="EV31" s="8">
        <v>137</v>
      </c>
      <c r="EW31" s="8">
        <v>138</v>
      </c>
      <c r="EX31" s="8">
        <v>139</v>
      </c>
      <c r="EY31" s="8">
        <v>140</v>
      </c>
      <c r="EZ31" s="8">
        <v>141</v>
      </c>
      <c r="FA31" s="8">
        <v>142</v>
      </c>
      <c r="FB31" s="8">
        <v>143</v>
      </c>
      <c r="FC31" s="8">
        <v>144</v>
      </c>
      <c r="FD31" s="8">
        <v>145</v>
      </c>
      <c r="FE31" s="8">
        <v>146</v>
      </c>
      <c r="FF31" s="8">
        <v>147</v>
      </c>
      <c r="FG31" s="8">
        <v>148</v>
      </c>
      <c r="FH31" s="8">
        <v>149</v>
      </c>
      <c r="FI31" s="8">
        <v>150</v>
      </c>
      <c r="FJ31" s="8">
        <v>151</v>
      </c>
      <c r="FK31" s="8">
        <v>152</v>
      </c>
      <c r="FL31" s="8">
        <v>153</v>
      </c>
      <c r="FM31" s="8">
        <v>154</v>
      </c>
      <c r="FN31" s="8">
        <v>155</v>
      </c>
      <c r="FO31" s="8">
        <v>156</v>
      </c>
      <c r="FP31" s="8">
        <v>157</v>
      </c>
      <c r="FQ31" s="8">
        <v>158</v>
      </c>
      <c r="FR31" s="8">
        <v>159</v>
      </c>
      <c r="FS31" s="8">
        <v>160</v>
      </c>
      <c r="FT31" s="8">
        <v>161</v>
      </c>
      <c r="FU31" s="8">
        <v>162</v>
      </c>
      <c r="FV31" s="8">
        <v>163</v>
      </c>
      <c r="FW31" s="8">
        <v>164</v>
      </c>
      <c r="FX31" s="8">
        <v>165</v>
      </c>
      <c r="FY31" s="8">
        <v>166</v>
      </c>
      <c r="FZ31" s="8">
        <v>167</v>
      </c>
      <c r="GA31" s="8">
        <v>168</v>
      </c>
      <c r="GB31" s="8">
        <v>169</v>
      </c>
      <c r="GC31" s="8">
        <v>170</v>
      </c>
      <c r="GD31" s="8">
        <v>171</v>
      </c>
      <c r="GE31" s="8">
        <v>172</v>
      </c>
      <c r="GF31" s="8">
        <v>173</v>
      </c>
      <c r="GG31" s="8">
        <v>174</v>
      </c>
      <c r="GH31" s="8">
        <v>175</v>
      </c>
      <c r="GI31" s="8">
        <v>176</v>
      </c>
      <c r="GJ31" s="8">
        <v>177</v>
      </c>
      <c r="GK31" s="8">
        <v>178</v>
      </c>
      <c r="GL31" s="8">
        <v>179</v>
      </c>
      <c r="GM31" s="8">
        <v>180</v>
      </c>
      <c r="GN31" s="8">
        <v>181</v>
      </c>
      <c r="GO31" s="8">
        <v>182</v>
      </c>
      <c r="GP31" s="8">
        <v>183</v>
      </c>
      <c r="GQ31" s="8">
        <v>184</v>
      </c>
      <c r="GR31" s="8">
        <v>185</v>
      </c>
      <c r="GS31" s="8">
        <v>186</v>
      </c>
      <c r="GT31" s="8">
        <v>187</v>
      </c>
      <c r="GU31" s="8">
        <v>188</v>
      </c>
      <c r="GV31" s="8">
        <v>189</v>
      </c>
      <c r="GW31" s="8">
        <v>190</v>
      </c>
      <c r="GX31" s="8">
        <v>191</v>
      </c>
      <c r="GY31" s="8">
        <v>192</v>
      </c>
      <c r="GZ31" s="8">
        <v>193</v>
      </c>
      <c r="HA31" s="8">
        <v>194</v>
      </c>
      <c r="HB31" s="8">
        <v>195</v>
      </c>
      <c r="HC31" s="8">
        <v>196</v>
      </c>
      <c r="HD31" s="8">
        <v>197</v>
      </c>
      <c r="HE31" s="8">
        <v>198</v>
      </c>
      <c r="HF31" s="8">
        <v>199</v>
      </c>
      <c r="HG31" s="8">
        <v>200</v>
      </c>
      <c r="HH31" s="8">
        <v>201</v>
      </c>
      <c r="HI31" s="8">
        <v>202</v>
      </c>
      <c r="HJ31" s="8">
        <v>203</v>
      </c>
      <c r="HK31" s="8">
        <v>204</v>
      </c>
      <c r="HL31" s="8">
        <v>205</v>
      </c>
      <c r="HM31" s="8">
        <v>206</v>
      </c>
      <c r="HN31" s="8">
        <v>207</v>
      </c>
      <c r="HO31" s="8">
        <v>208</v>
      </c>
      <c r="HP31" s="8">
        <v>209</v>
      </c>
      <c r="HQ31" s="8">
        <v>210</v>
      </c>
      <c r="HR31" s="8">
        <v>211</v>
      </c>
      <c r="HS31" s="8">
        <v>212</v>
      </c>
      <c r="HT31" s="8">
        <v>213</v>
      </c>
      <c r="HU31" s="8">
        <v>214</v>
      </c>
      <c r="HV31" s="8">
        <v>215</v>
      </c>
      <c r="HW31" s="8">
        <v>216</v>
      </c>
      <c r="HX31" s="8">
        <v>217</v>
      </c>
      <c r="HY31" s="8">
        <v>218</v>
      </c>
      <c r="HZ31" s="8">
        <v>219</v>
      </c>
      <c r="IA31" s="8">
        <v>220</v>
      </c>
      <c r="IB31" s="8">
        <v>221</v>
      </c>
      <c r="IC31" s="8">
        <v>222</v>
      </c>
    </row>
    <row r="32" spans="1:257">
      <c r="A32" s="78"/>
      <c r="B32" s="78"/>
      <c r="C32" s="7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"/>
      <c r="P32" s="50" t="s">
        <v>68</v>
      </c>
      <c r="Q32" s="50" t="s">
        <v>68</v>
      </c>
      <c r="R32" s="50" t="s">
        <v>68</v>
      </c>
      <c r="S32" s="50" t="s">
        <v>68</v>
      </c>
      <c r="T32" s="50" t="s">
        <v>68</v>
      </c>
      <c r="U32" s="50" t="s">
        <v>68</v>
      </c>
      <c r="V32" s="50" t="s">
        <v>68</v>
      </c>
      <c r="W32" s="50" t="s">
        <v>68</v>
      </c>
      <c r="X32" s="50" t="s">
        <v>68</v>
      </c>
      <c r="Y32" s="50" t="s">
        <v>68</v>
      </c>
      <c r="Z32" s="50" t="s">
        <v>68</v>
      </c>
      <c r="AA32" s="50" t="s">
        <v>68</v>
      </c>
      <c r="AB32" s="50" t="s">
        <v>68</v>
      </c>
      <c r="AC32" s="50" t="s">
        <v>68</v>
      </c>
      <c r="AD32" s="50" t="s">
        <v>68</v>
      </c>
      <c r="AE32" s="50" t="s">
        <v>68</v>
      </c>
      <c r="AF32" s="50" t="s">
        <v>68</v>
      </c>
      <c r="AG32" s="50" t="s">
        <v>68</v>
      </c>
      <c r="AH32" s="50" t="s">
        <v>68</v>
      </c>
      <c r="AI32" s="50" t="s">
        <v>68</v>
      </c>
      <c r="AJ32" s="50" t="s">
        <v>68</v>
      </c>
      <c r="AK32" s="50" t="s">
        <v>68</v>
      </c>
      <c r="AL32" s="50" t="s">
        <v>68</v>
      </c>
      <c r="AM32" s="50" t="s">
        <v>68</v>
      </c>
      <c r="AN32" s="50" t="s">
        <v>68</v>
      </c>
      <c r="AO32" s="50" t="s">
        <v>68</v>
      </c>
      <c r="AP32" s="50" t="s">
        <v>68</v>
      </c>
      <c r="AQ32" s="50" t="s">
        <v>68</v>
      </c>
      <c r="AR32" s="50" t="s">
        <v>68</v>
      </c>
      <c r="AS32" s="50" t="s">
        <v>68</v>
      </c>
      <c r="AT32" s="50" t="s">
        <v>68</v>
      </c>
      <c r="AU32" s="50" t="s">
        <v>68</v>
      </c>
      <c r="AV32" s="50" t="s">
        <v>68</v>
      </c>
      <c r="AW32" s="50" t="s">
        <v>68</v>
      </c>
      <c r="AX32" s="50" t="s">
        <v>68</v>
      </c>
      <c r="AY32" s="50" t="s">
        <v>68</v>
      </c>
      <c r="AZ32" s="50" t="s">
        <v>68</v>
      </c>
      <c r="BA32" s="50" t="s">
        <v>68</v>
      </c>
      <c r="BB32" s="50" t="s">
        <v>68</v>
      </c>
      <c r="BC32" s="50" t="s">
        <v>68</v>
      </c>
      <c r="BD32" s="50" t="s">
        <v>68</v>
      </c>
      <c r="BE32" s="50" t="s">
        <v>68</v>
      </c>
      <c r="BF32" s="50" t="s">
        <v>68</v>
      </c>
      <c r="BG32" s="50" t="s">
        <v>68</v>
      </c>
      <c r="BH32" s="50" t="s">
        <v>68</v>
      </c>
      <c r="BI32" s="50" t="s">
        <v>68</v>
      </c>
      <c r="BJ32" s="50" t="s">
        <v>68</v>
      </c>
      <c r="BK32" s="50" t="s">
        <v>68</v>
      </c>
      <c r="BL32" s="50" t="s">
        <v>68</v>
      </c>
      <c r="BM32" s="50" t="s">
        <v>68</v>
      </c>
      <c r="BN32" s="50" t="s">
        <v>68</v>
      </c>
      <c r="BO32" s="50" t="s">
        <v>68</v>
      </c>
      <c r="BP32" s="50" t="s">
        <v>68</v>
      </c>
      <c r="BQ32" s="50" t="s">
        <v>68</v>
      </c>
      <c r="BR32" s="50" t="s">
        <v>68</v>
      </c>
      <c r="BS32" s="50" t="s">
        <v>68</v>
      </c>
      <c r="BT32" s="50" t="s">
        <v>68</v>
      </c>
      <c r="BU32" s="50" t="s">
        <v>68</v>
      </c>
      <c r="BV32" s="50" t="s">
        <v>68</v>
      </c>
      <c r="BW32" s="50" t="s">
        <v>68</v>
      </c>
      <c r="BX32" s="50" t="s">
        <v>68</v>
      </c>
      <c r="BY32" s="50" t="s">
        <v>68</v>
      </c>
      <c r="BZ32" s="50" t="s">
        <v>68</v>
      </c>
      <c r="CA32" s="50" t="s">
        <v>68</v>
      </c>
      <c r="CB32" s="50" t="s">
        <v>68</v>
      </c>
      <c r="CC32" s="50" t="s">
        <v>68</v>
      </c>
      <c r="CD32" s="50" t="s">
        <v>68</v>
      </c>
      <c r="CE32" s="50" t="s">
        <v>68</v>
      </c>
      <c r="CF32" s="50" t="s">
        <v>68</v>
      </c>
      <c r="CG32" s="50" t="s">
        <v>68</v>
      </c>
      <c r="CH32" s="50" t="s">
        <v>68</v>
      </c>
      <c r="CI32" s="50" t="s">
        <v>68</v>
      </c>
      <c r="CJ32" s="50" t="s">
        <v>68</v>
      </c>
      <c r="CK32" s="50" t="s">
        <v>68</v>
      </c>
      <c r="CL32" s="50" t="s">
        <v>68</v>
      </c>
      <c r="CM32" s="50" t="s">
        <v>68</v>
      </c>
      <c r="CN32" s="50" t="s">
        <v>68</v>
      </c>
      <c r="CO32" s="50" t="s">
        <v>68</v>
      </c>
      <c r="CP32" s="50" t="s">
        <v>68</v>
      </c>
      <c r="CQ32" s="50" t="s">
        <v>68</v>
      </c>
      <c r="CR32" s="50" t="s">
        <v>68</v>
      </c>
      <c r="CS32" s="50" t="s">
        <v>68</v>
      </c>
      <c r="CT32" s="50" t="s">
        <v>68</v>
      </c>
      <c r="CU32" s="50" t="s">
        <v>68</v>
      </c>
      <c r="CV32" s="50" t="s">
        <v>68</v>
      </c>
      <c r="CW32" s="50" t="s">
        <v>68</v>
      </c>
      <c r="CX32" s="50" t="s">
        <v>68</v>
      </c>
      <c r="CY32" s="50" t="s">
        <v>68</v>
      </c>
      <c r="CZ32" s="50" t="s">
        <v>68</v>
      </c>
      <c r="DA32" s="50" t="s">
        <v>68</v>
      </c>
      <c r="DB32" s="50" t="s">
        <v>68</v>
      </c>
      <c r="DC32" s="50" t="s">
        <v>68</v>
      </c>
      <c r="DD32" s="50" t="s">
        <v>68</v>
      </c>
      <c r="DE32" s="50" t="s">
        <v>68</v>
      </c>
      <c r="DF32" s="50" t="s">
        <v>68</v>
      </c>
      <c r="DG32" s="50" t="s">
        <v>68</v>
      </c>
      <c r="DH32" s="50" t="s">
        <v>68</v>
      </c>
      <c r="DI32" s="50" t="s">
        <v>68</v>
      </c>
      <c r="DJ32" s="50" t="s">
        <v>68</v>
      </c>
      <c r="DK32" s="50" t="s">
        <v>68</v>
      </c>
      <c r="DL32" s="50" t="s">
        <v>68</v>
      </c>
      <c r="DM32" s="50" t="s">
        <v>68</v>
      </c>
      <c r="DN32" s="50" t="s">
        <v>68</v>
      </c>
      <c r="DO32" s="50" t="s">
        <v>68</v>
      </c>
      <c r="DP32" s="50" t="s">
        <v>68</v>
      </c>
      <c r="DQ32" s="50" t="s">
        <v>68</v>
      </c>
      <c r="DR32" s="50" t="s">
        <v>68</v>
      </c>
      <c r="DS32" s="50" t="s">
        <v>68</v>
      </c>
      <c r="DT32" s="50" t="s">
        <v>68</v>
      </c>
      <c r="DU32" s="50" t="s">
        <v>68</v>
      </c>
      <c r="DV32" s="50" t="s">
        <v>68</v>
      </c>
      <c r="DW32" s="50" t="s">
        <v>68</v>
      </c>
      <c r="DX32" s="50" t="s">
        <v>68</v>
      </c>
      <c r="DY32" s="50" t="s">
        <v>68</v>
      </c>
      <c r="DZ32" s="50" t="s">
        <v>68</v>
      </c>
      <c r="EA32" s="50" t="s">
        <v>68</v>
      </c>
      <c r="EB32" s="50" t="s">
        <v>68</v>
      </c>
      <c r="EC32" s="50" t="s">
        <v>68</v>
      </c>
      <c r="ED32" s="50" t="s">
        <v>68</v>
      </c>
      <c r="EE32" s="50" t="s">
        <v>68</v>
      </c>
      <c r="EF32" s="50" t="s">
        <v>68</v>
      </c>
      <c r="EG32" s="50" t="s">
        <v>68</v>
      </c>
      <c r="EH32" s="50" t="s">
        <v>68</v>
      </c>
      <c r="EI32" s="50" t="s">
        <v>68</v>
      </c>
      <c r="EJ32" s="50" t="s">
        <v>68</v>
      </c>
      <c r="EK32" s="50" t="s">
        <v>68</v>
      </c>
      <c r="EL32" s="50" t="s">
        <v>68</v>
      </c>
      <c r="EM32" s="50" t="s">
        <v>68</v>
      </c>
      <c r="EN32" s="50" t="s">
        <v>68</v>
      </c>
      <c r="EO32" s="50" t="s">
        <v>68</v>
      </c>
      <c r="EP32" s="50" t="s">
        <v>68</v>
      </c>
      <c r="EQ32" s="50" t="s">
        <v>68</v>
      </c>
      <c r="ER32" s="50" t="s">
        <v>68</v>
      </c>
      <c r="ES32" s="50" t="s">
        <v>68</v>
      </c>
      <c r="ET32" s="50" t="s">
        <v>68</v>
      </c>
      <c r="EU32" s="50" t="s">
        <v>68</v>
      </c>
      <c r="EV32" s="50" t="s">
        <v>68</v>
      </c>
      <c r="EW32" s="50" t="s">
        <v>68</v>
      </c>
      <c r="EX32" s="50" t="s">
        <v>68</v>
      </c>
      <c r="EY32" s="50" t="s">
        <v>68</v>
      </c>
      <c r="EZ32" s="50" t="s">
        <v>68</v>
      </c>
      <c r="FA32" s="50" t="s">
        <v>68</v>
      </c>
      <c r="FB32" s="50" t="s">
        <v>68</v>
      </c>
      <c r="FC32" s="50" t="s">
        <v>68</v>
      </c>
      <c r="FD32" s="50" t="s">
        <v>68</v>
      </c>
      <c r="FE32" s="50" t="s">
        <v>68</v>
      </c>
      <c r="FF32" s="50" t="s">
        <v>68</v>
      </c>
      <c r="FG32" s="50" t="s">
        <v>68</v>
      </c>
      <c r="FH32" s="50" t="s">
        <v>68</v>
      </c>
      <c r="FI32" s="50" t="s">
        <v>68</v>
      </c>
      <c r="FJ32" s="50" t="s">
        <v>68</v>
      </c>
      <c r="FK32" s="50" t="s">
        <v>68</v>
      </c>
      <c r="FL32" s="50" t="s">
        <v>68</v>
      </c>
      <c r="FM32" s="50" t="s">
        <v>68</v>
      </c>
      <c r="FN32" s="50" t="s">
        <v>68</v>
      </c>
      <c r="FO32" s="50" t="s">
        <v>68</v>
      </c>
      <c r="FP32" s="50" t="s">
        <v>68</v>
      </c>
      <c r="FQ32" s="50" t="s">
        <v>68</v>
      </c>
      <c r="FR32" s="50" t="s">
        <v>68</v>
      </c>
      <c r="FS32" s="50" t="s">
        <v>68</v>
      </c>
      <c r="FT32" s="50" t="s">
        <v>68</v>
      </c>
      <c r="FU32" s="50" t="s">
        <v>68</v>
      </c>
      <c r="FV32" s="50" t="s">
        <v>68</v>
      </c>
      <c r="FW32" s="50" t="s">
        <v>68</v>
      </c>
      <c r="FX32" s="50" t="s">
        <v>68</v>
      </c>
      <c r="FY32" s="50" t="s">
        <v>68</v>
      </c>
      <c r="FZ32" s="50" t="s">
        <v>68</v>
      </c>
      <c r="GA32" s="50" t="s">
        <v>68</v>
      </c>
      <c r="GB32" s="50" t="s">
        <v>68</v>
      </c>
      <c r="GC32" s="50" t="s">
        <v>68</v>
      </c>
      <c r="GD32" s="50" t="s">
        <v>68</v>
      </c>
      <c r="GE32" s="50" t="s">
        <v>68</v>
      </c>
      <c r="GF32" s="50" t="s">
        <v>68</v>
      </c>
      <c r="GG32" s="50" t="s">
        <v>68</v>
      </c>
      <c r="GH32" s="50" t="s">
        <v>68</v>
      </c>
      <c r="GI32" s="50" t="s">
        <v>68</v>
      </c>
      <c r="GJ32" s="50" t="s">
        <v>68</v>
      </c>
      <c r="GK32" s="50" t="s">
        <v>68</v>
      </c>
      <c r="GL32" s="50" t="s">
        <v>68</v>
      </c>
      <c r="GM32" s="50" t="s">
        <v>68</v>
      </c>
      <c r="GN32" s="50" t="s">
        <v>68</v>
      </c>
      <c r="GO32" s="50" t="s">
        <v>68</v>
      </c>
      <c r="GP32" s="50" t="s">
        <v>68</v>
      </c>
      <c r="GQ32" s="50" t="s">
        <v>68</v>
      </c>
      <c r="GR32" s="50" t="s">
        <v>68</v>
      </c>
      <c r="GS32" s="50" t="s">
        <v>68</v>
      </c>
      <c r="GT32" s="50" t="s">
        <v>68</v>
      </c>
      <c r="GU32" s="50" t="s">
        <v>68</v>
      </c>
      <c r="GV32" s="50" t="s">
        <v>68</v>
      </c>
      <c r="GW32" s="50" t="s">
        <v>68</v>
      </c>
      <c r="GX32" s="50" t="s">
        <v>68</v>
      </c>
      <c r="GY32" s="50" t="s">
        <v>68</v>
      </c>
      <c r="GZ32" s="50" t="s">
        <v>68</v>
      </c>
      <c r="HA32" s="50" t="s">
        <v>68</v>
      </c>
      <c r="HB32" s="50" t="s">
        <v>68</v>
      </c>
      <c r="HC32" s="50" t="s">
        <v>68</v>
      </c>
      <c r="HD32" s="50" t="s">
        <v>68</v>
      </c>
      <c r="HE32" s="50" t="s">
        <v>68</v>
      </c>
      <c r="HF32" s="50" t="s">
        <v>68</v>
      </c>
      <c r="HG32" s="50" t="s">
        <v>68</v>
      </c>
      <c r="HH32" s="50" t="s">
        <v>68</v>
      </c>
      <c r="HI32" s="50" t="s">
        <v>68</v>
      </c>
      <c r="HJ32" s="50" t="s">
        <v>68</v>
      </c>
      <c r="HK32" s="50" t="s">
        <v>68</v>
      </c>
      <c r="HL32" s="50" t="s">
        <v>68</v>
      </c>
      <c r="HM32" s="50" t="s">
        <v>68</v>
      </c>
      <c r="HN32" s="50" t="s">
        <v>68</v>
      </c>
      <c r="HO32" s="50" t="s">
        <v>68</v>
      </c>
      <c r="HP32" s="50" t="s">
        <v>68</v>
      </c>
      <c r="HQ32" s="50" t="s">
        <v>68</v>
      </c>
      <c r="HR32" s="50" t="s">
        <v>68</v>
      </c>
      <c r="HS32" s="50" t="s">
        <v>68</v>
      </c>
      <c r="HT32" s="50" t="s">
        <v>68</v>
      </c>
      <c r="HU32" s="50" t="s">
        <v>68</v>
      </c>
      <c r="HV32" s="50" t="s">
        <v>68</v>
      </c>
      <c r="HW32" s="50" t="s">
        <v>68</v>
      </c>
      <c r="HX32" s="50" t="s">
        <v>68</v>
      </c>
      <c r="HY32" s="50" t="s">
        <v>68</v>
      </c>
      <c r="HZ32" s="50" t="s">
        <v>68</v>
      </c>
      <c r="IA32" s="50" t="s">
        <v>68</v>
      </c>
      <c r="IB32" s="50" t="s">
        <v>68</v>
      </c>
      <c r="IC32" s="50" t="s">
        <v>68</v>
      </c>
    </row>
    <row r="33" spans="1:257">
      <c r="A33" s="4" t="s">
        <v>522</v>
      </c>
      <c r="B33" s="82" t="str">
        <f t="array" ref="B33">_xlfn.LET(
  _xlpm.dates, _xlfn._xlws.FILTER(P33:HO33, (P35:HO35&lt;&gt;"")+(P37:HO37&lt;&gt;"")),
  _xlpm.numDates, IFERROR(VALUE(_xlpm.dates), _xlpm.dates),
  _xlpm.first, TEXT(MIN(_xlpm.numDates), "m/dd"),
  _xlpm.last, TEXT(MAX(_xlpm.numDates), "m/dd"),
  _xlpm.first &amp; "~" &amp; _xlpm.last
)</f>
        <v>3/27~4/27</v>
      </c>
      <c r="C33" s="78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522</v>
      </c>
      <c r="P33" s="3">
        <v>46107</v>
      </c>
      <c r="Q33" s="3">
        <v>46108</v>
      </c>
      <c r="R33" s="3">
        <v>46109</v>
      </c>
      <c r="S33" s="3">
        <v>46110</v>
      </c>
      <c r="T33" s="3">
        <v>46111</v>
      </c>
      <c r="U33" s="3">
        <v>46112</v>
      </c>
      <c r="V33" s="3">
        <v>46113</v>
      </c>
      <c r="W33" s="3">
        <v>46114</v>
      </c>
      <c r="X33" s="3">
        <v>46115</v>
      </c>
      <c r="Y33" s="3">
        <v>46116</v>
      </c>
      <c r="Z33" s="3">
        <v>46117</v>
      </c>
      <c r="AA33" s="3">
        <v>46118</v>
      </c>
      <c r="AB33" s="3">
        <v>46119</v>
      </c>
      <c r="AC33" s="3">
        <v>46120</v>
      </c>
      <c r="AD33" s="3">
        <v>46121</v>
      </c>
      <c r="AE33" s="3">
        <v>46122</v>
      </c>
      <c r="AF33" s="3">
        <v>46123</v>
      </c>
      <c r="AG33" s="3">
        <v>46124</v>
      </c>
      <c r="AH33" s="3">
        <v>46125</v>
      </c>
      <c r="AI33" s="3">
        <v>46126</v>
      </c>
      <c r="AJ33" s="3">
        <v>46127</v>
      </c>
      <c r="AK33" s="3">
        <v>46128</v>
      </c>
      <c r="AL33" s="3">
        <v>46129</v>
      </c>
      <c r="AM33" s="3">
        <v>46130</v>
      </c>
      <c r="AN33" s="3">
        <v>46131</v>
      </c>
      <c r="AO33" s="3">
        <v>46132</v>
      </c>
      <c r="AP33" s="3">
        <v>46133</v>
      </c>
      <c r="AQ33" s="3">
        <v>46134</v>
      </c>
      <c r="AR33" s="3">
        <v>46135</v>
      </c>
      <c r="AS33" s="3">
        <v>46136</v>
      </c>
      <c r="AT33" s="3">
        <v>46137</v>
      </c>
      <c r="AU33" s="3">
        <v>46138</v>
      </c>
      <c r="AV33" s="3">
        <v>46139</v>
      </c>
      <c r="AW33" s="3">
        <v>46140</v>
      </c>
      <c r="AX33" s="3">
        <v>46141</v>
      </c>
      <c r="AY33" s="3">
        <v>46142</v>
      </c>
      <c r="AZ33" s="3">
        <v>46143</v>
      </c>
      <c r="BA33" s="3">
        <v>46144</v>
      </c>
      <c r="BB33" s="3">
        <v>46145</v>
      </c>
      <c r="BC33" s="3">
        <v>46146</v>
      </c>
      <c r="BD33" s="3">
        <v>46147</v>
      </c>
      <c r="BE33" s="3">
        <v>46148</v>
      </c>
      <c r="BF33" s="3">
        <v>46149</v>
      </c>
      <c r="BG33" s="3">
        <v>46150</v>
      </c>
      <c r="BH33" s="3">
        <v>46151</v>
      </c>
      <c r="BI33" s="3">
        <v>46152</v>
      </c>
      <c r="BJ33" s="3">
        <v>46153</v>
      </c>
      <c r="BK33" s="3">
        <v>46154</v>
      </c>
      <c r="BL33" s="3">
        <v>46155</v>
      </c>
      <c r="BM33" s="3">
        <v>46156</v>
      </c>
      <c r="BN33" s="3">
        <v>46157</v>
      </c>
      <c r="BO33" s="3">
        <v>46158</v>
      </c>
      <c r="BP33" s="3">
        <v>46159</v>
      </c>
      <c r="BQ33" s="3">
        <v>46160</v>
      </c>
      <c r="BR33" s="3">
        <v>46161</v>
      </c>
      <c r="BS33" s="3">
        <v>46162</v>
      </c>
      <c r="BT33" s="3">
        <v>46163</v>
      </c>
      <c r="BU33" s="3">
        <v>46164</v>
      </c>
      <c r="BV33" s="3">
        <v>46165</v>
      </c>
      <c r="BW33" s="3">
        <v>46166</v>
      </c>
      <c r="BX33" s="3">
        <v>46167</v>
      </c>
      <c r="BY33" s="3">
        <v>46168</v>
      </c>
      <c r="BZ33" s="3">
        <v>46169</v>
      </c>
      <c r="CA33" s="3">
        <v>46170</v>
      </c>
      <c r="CB33" s="3">
        <v>46171</v>
      </c>
      <c r="CC33" s="3">
        <v>46172</v>
      </c>
      <c r="CD33" s="3">
        <v>46173</v>
      </c>
      <c r="CE33" s="3">
        <v>46174</v>
      </c>
      <c r="CF33" s="3">
        <v>46175</v>
      </c>
      <c r="CG33" s="3">
        <v>46176</v>
      </c>
      <c r="CH33" s="3">
        <v>46177</v>
      </c>
      <c r="CI33" s="3">
        <v>46178</v>
      </c>
      <c r="CJ33" s="3">
        <v>46179</v>
      </c>
      <c r="CK33" s="3">
        <v>46180</v>
      </c>
      <c r="CL33" s="3">
        <v>46181</v>
      </c>
      <c r="CM33" s="3">
        <v>46182</v>
      </c>
      <c r="CN33" s="3">
        <v>46183</v>
      </c>
      <c r="CO33" s="3">
        <v>46184</v>
      </c>
      <c r="CP33" s="3">
        <v>46185</v>
      </c>
      <c r="CQ33" s="3">
        <v>46186</v>
      </c>
      <c r="CR33" s="3">
        <v>46187</v>
      </c>
      <c r="CS33" s="3">
        <v>46188</v>
      </c>
      <c r="CT33" s="3">
        <v>46189</v>
      </c>
      <c r="CU33" s="3">
        <v>46190</v>
      </c>
      <c r="CV33" s="3">
        <v>46191</v>
      </c>
      <c r="CW33" s="3">
        <v>46192</v>
      </c>
      <c r="CX33" s="3">
        <v>46193</v>
      </c>
      <c r="CY33" s="3">
        <v>46194</v>
      </c>
      <c r="CZ33" s="3">
        <v>46195</v>
      </c>
      <c r="DA33" s="3">
        <v>46196</v>
      </c>
      <c r="DB33" s="3">
        <v>46197</v>
      </c>
      <c r="DC33" s="3">
        <v>46198</v>
      </c>
      <c r="DD33" s="3">
        <v>46199</v>
      </c>
      <c r="DE33" s="3">
        <v>46200</v>
      </c>
      <c r="DF33" s="3">
        <v>46201</v>
      </c>
      <c r="DG33" s="3">
        <v>46202</v>
      </c>
      <c r="DH33" s="3">
        <v>46203</v>
      </c>
      <c r="DI33" s="3">
        <v>46204</v>
      </c>
      <c r="DJ33" s="3">
        <v>46205</v>
      </c>
      <c r="DK33" s="3">
        <v>46206</v>
      </c>
      <c r="DL33" s="3">
        <v>46207</v>
      </c>
      <c r="DM33" s="3">
        <v>46208</v>
      </c>
      <c r="DN33" s="3">
        <v>46209</v>
      </c>
      <c r="DO33" s="3">
        <v>46210</v>
      </c>
      <c r="DP33" s="3">
        <v>46211</v>
      </c>
      <c r="DQ33" s="3">
        <v>46212</v>
      </c>
      <c r="DR33" s="3">
        <v>46213</v>
      </c>
      <c r="DS33" s="3">
        <v>46214</v>
      </c>
      <c r="DT33" s="3">
        <v>46215</v>
      </c>
      <c r="DU33" s="3">
        <v>46216</v>
      </c>
      <c r="DV33" s="3">
        <v>46217</v>
      </c>
      <c r="DW33" s="3">
        <v>46218</v>
      </c>
      <c r="DX33" s="3">
        <v>46219</v>
      </c>
      <c r="DY33" s="3">
        <v>46220</v>
      </c>
      <c r="DZ33" s="3">
        <v>46221</v>
      </c>
      <c r="EA33" s="3">
        <v>46222</v>
      </c>
      <c r="EB33" s="3">
        <v>46223</v>
      </c>
      <c r="EC33" s="3">
        <v>46224</v>
      </c>
      <c r="ED33" s="3">
        <v>46225</v>
      </c>
      <c r="EE33" s="3">
        <v>46226</v>
      </c>
      <c r="EF33" s="3">
        <v>46227</v>
      </c>
      <c r="EG33" s="3">
        <v>46228</v>
      </c>
      <c r="EH33" s="3">
        <v>46229</v>
      </c>
      <c r="EI33" s="3">
        <v>46230</v>
      </c>
      <c r="EJ33" s="3">
        <v>46231</v>
      </c>
      <c r="EK33" s="3">
        <v>46232</v>
      </c>
      <c r="EL33" s="3">
        <v>46233</v>
      </c>
      <c r="EM33" s="3">
        <v>46234</v>
      </c>
      <c r="EN33" s="3">
        <v>46235</v>
      </c>
      <c r="EO33" s="3">
        <v>46236</v>
      </c>
      <c r="EP33" s="3">
        <v>46237</v>
      </c>
      <c r="EQ33" s="3">
        <v>46238</v>
      </c>
      <c r="ER33" s="3">
        <v>46239</v>
      </c>
      <c r="ES33" s="3">
        <v>46240</v>
      </c>
      <c r="ET33" s="3">
        <v>46241</v>
      </c>
      <c r="EU33" s="3">
        <v>46242</v>
      </c>
      <c r="EV33" s="3">
        <v>46243</v>
      </c>
      <c r="EW33" s="3">
        <v>46244</v>
      </c>
      <c r="EX33" s="3">
        <v>46245</v>
      </c>
      <c r="EY33" s="3">
        <v>46246</v>
      </c>
      <c r="EZ33" s="3">
        <v>46247</v>
      </c>
      <c r="FA33" s="3">
        <v>46248</v>
      </c>
      <c r="FB33" s="3">
        <v>46249</v>
      </c>
      <c r="FC33" s="3">
        <v>46250</v>
      </c>
      <c r="FD33" s="3">
        <v>46251</v>
      </c>
      <c r="FE33" s="3">
        <v>46252</v>
      </c>
      <c r="FF33" s="3">
        <v>46253</v>
      </c>
      <c r="FG33" s="3">
        <v>46254</v>
      </c>
      <c r="FH33" s="3">
        <v>46255</v>
      </c>
      <c r="FI33" s="3">
        <v>46256</v>
      </c>
      <c r="FJ33" s="3">
        <v>46257</v>
      </c>
      <c r="FK33" s="3">
        <v>46258</v>
      </c>
      <c r="FL33" s="3">
        <v>46259</v>
      </c>
      <c r="FM33" s="3">
        <v>46260</v>
      </c>
      <c r="FN33" s="3">
        <v>46261</v>
      </c>
      <c r="FO33" s="3">
        <v>46262</v>
      </c>
      <c r="FP33" s="3">
        <v>46263</v>
      </c>
      <c r="FQ33" s="3">
        <v>46264</v>
      </c>
      <c r="FR33" s="3">
        <v>46265</v>
      </c>
      <c r="FS33" s="3">
        <v>46266</v>
      </c>
      <c r="FT33" s="3">
        <v>46267</v>
      </c>
      <c r="FU33" s="3">
        <v>46268</v>
      </c>
      <c r="FV33" s="3">
        <v>46269</v>
      </c>
      <c r="FW33" s="3">
        <v>46270</v>
      </c>
      <c r="FX33" s="3">
        <v>46271</v>
      </c>
      <c r="FY33" s="3">
        <v>46272</v>
      </c>
      <c r="FZ33" s="3">
        <v>46273</v>
      </c>
      <c r="GA33" s="3">
        <v>46274</v>
      </c>
      <c r="GB33" s="3">
        <v>46275</v>
      </c>
      <c r="GC33" s="3">
        <v>46276</v>
      </c>
      <c r="GD33" s="3">
        <v>46277</v>
      </c>
      <c r="GE33" s="3">
        <v>46278</v>
      </c>
      <c r="GF33" s="3">
        <v>46279</v>
      </c>
      <c r="GG33" s="3">
        <v>46280</v>
      </c>
      <c r="GH33" s="3">
        <v>46281</v>
      </c>
      <c r="GI33" s="3">
        <v>46282</v>
      </c>
      <c r="GJ33" s="3">
        <v>46283</v>
      </c>
      <c r="GK33" s="3">
        <v>46284</v>
      </c>
      <c r="GL33" s="3">
        <v>46285</v>
      </c>
      <c r="GM33" s="3">
        <v>46286</v>
      </c>
      <c r="GN33" s="3">
        <v>46287</v>
      </c>
      <c r="GO33" s="3">
        <v>46288</v>
      </c>
      <c r="GP33" s="3">
        <v>46289</v>
      </c>
      <c r="GQ33" s="3">
        <v>46290</v>
      </c>
      <c r="GR33" s="3">
        <v>46291</v>
      </c>
      <c r="GS33" s="3">
        <v>46292</v>
      </c>
      <c r="GT33" s="3">
        <v>46293</v>
      </c>
      <c r="GU33" s="3">
        <v>46294</v>
      </c>
      <c r="GV33" s="3">
        <v>46295</v>
      </c>
      <c r="GW33" s="3">
        <v>46296</v>
      </c>
      <c r="GX33" s="3">
        <v>46297</v>
      </c>
      <c r="GY33" s="3">
        <v>46298</v>
      </c>
      <c r="GZ33" s="3">
        <v>46299</v>
      </c>
      <c r="HA33" s="3">
        <v>46300</v>
      </c>
      <c r="HB33" s="3">
        <v>46301</v>
      </c>
      <c r="HC33" s="3">
        <v>46302</v>
      </c>
      <c r="HD33" s="3">
        <v>46303</v>
      </c>
      <c r="HE33" s="3">
        <v>46304</v>
      </c>
      <c r="HF33" s="3">
        <v>46305</v>
      </c>
      <c r="HG33" s="3">
        <v>46306</v>
      </c>
      <c r="HH33" s="3">
        <v>46307</v>
      </c>
      <c r="HI33" s="3">
        <v>46308</v>
      </c>
      <c r="HJ33" s="3">
        <v>46309</v>
      </c>
      <c r="HK33" s="3">
        <v>46310</v>
      </c>
      <c r="HL33" s="3">
        <v>46311</v>
      </c>
      <c r="HM33" s="3">
        <v>46312</v>
      </c>
      <c r="HN33" s="3">
        <v>46313</v>
      </c>
      <c r="HO33" s="3">
        <v>46314</v>
      </c>
      <c r="HP33" s="3">
        <v>46315</v>
      </c>
      <c r="HQ33" s="3">
        <v>46316</v>
      </c>
      <c r="HR33" s="3">
        <v>46317</v>
      </c>
      <c r="HS33" s="3">
        <v>46318</v>
      </c>
      <c r="HT33" s="3">
        <v>46319</v>
      </c>
      <c r="HU33" s="3">
        <v>46320</v>
      </c>
      <c r="HV33" s="3">
        <v>46321</v>
      </c>
      <c r="HW33" s="3">
        <v>46322</v>
      </c>
      <c r="HX33" s="3">
        <v>46323</v>
      </c>
      <c r="HY33" s="3">
        <v>46324</v>
      </c>
      <c r="HZ33" s="3">
        <v>46325</v>
      </c>
      <c r="IA33" s="3">
        <v>46326</v>
      </c>
      <c r="IB33" s="3">
        <v>46327</v>
      </c>
      <c r="IC33" s="3">
        <v>46328</v>
      </c>
    </row>
    <row r="34" spans="1:257">
      <c r="A34" s="4" t="s">
        <v>694</v>
      </c>
      <c r="B34" s="82" t="str">
        <f t="array" ref="B34">COLUMNS(_xlfn._xlws.FILTER(P33:HO33, (P35:HO35&lt;&gt;"")+(P37:HO37&lt;&gt;""))) &amp; "場"</f>
        <v>26場</v>
      </c>
      <c r="C34" s="78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 t="s">
        <v>675</v>
      </c>
      <c r="P34" s="3" t="s">
        <v>676</v>
      </c>
      <c r="Q34" s="3" t="s">
        <v>677</v>
      </c>
      <c r="R34" s="3" t="s">
        <v>678</v>
      </c>
      <c r="S34" s="3" t="s">
        <v>679</v>
      </c>
      <c r="T34" s="3" t="s">
        <v>680</v>
      </c>
      <c r="U34" s="3" t="s">
        <v>681</v>
      </c>
      <c r="V34" s="3" t="s">
        <v>682</v>
      </c>
      <c r="W34" s="3" t="s">
        <v>676</v>
      </c>
      <c r="X34" s="3" t="s">
        <v>677</v>
      </c>
      <c r="Y34" s="3" t="s">
        <v>678</v>
      </c>
      <c r="Z34" s="3" t="s">
        <v>679</v>
      </c>
      <c r="AA34" s="3" t="s">
        <v>680</v>
      </c>
      <c r="AB34" s="3" t="s">
        <v>681</v>
      </c>
      <c r="AC34" s="3" t="s">
        <v>682</v>
      </c>
      <c r="AD34" s="3" t="s">
        <v>676</v>
      </c>
      <c r="AE34" s="3" t="s">
        <v>677</v>
      </c>
      <c r="AF34" s="3" t="s">
        <v>678</v>
      </c>
      <c r="AG34" s="3" t="s">
        <v>679</v>
      </c>
      <c r="AH34" s="3" t="s">
        <v>680</v>
      </c>
      <c r="AI34" s="3" t="s">
        <v>681</v>
      </c>
      <c r="AJ34" s="3" t="s">
        <v>682</v>
      </c>
      <c r="AK34" s="3" t="s">
        <v>676</v>
      </c>
      <c r="AL34" s="3" t="s">
        <v>677</v>
      </c>
      <c r="AM34" s="3" t="s">
        <v>678</v>
      </c>
      <c r="AN34" s="3" t="s">
        <v>679</v>
      </c>
      <c r="AO34" s="3" t="s">
        <v>680</v>
      </c>
      <c r="AP34" s="3" t="s">
        <v>681</v>
      </c>
      <c r="AQ34" s="3" t="s">
        <v>682</v>
      </c>
      <c r="AR34" s="3" t="s">
        <v>676</v>
      </c>
      <c r="AS34" s="3" t="s">
        <v>677</v>
      </c>
      <c r="AT34" s="3" t="s">
        <v>678</v>
      </c>
      <c r="AU34" s="3" t="s">
        <v>679</v>
      </c>
      <c r="AV34" s="3" t="s">
        <v>680</v>
      </c>
      <c r="AW34" s="3" t="s">
        <v>681</v>
      </c>
      <c r="AX34" s="3" t="s">
        <v>682</v>
      </c>
      <c r="AY34" s="3" t="s">
        <v>676</v>
      </c>
      <c r="AZ34" s="3" t="s">
        <v>677</v>
      </c>
      <c r="BA34" s="3" t="s">
        <v>678</v>
      </c>
      <c r="BB34" s="3" t="s">
        <v>679</v>
      </c>
      <c r="BC34" s="3" t="s">
        <v>680</v>
      </c>
      <c r="BD34" s="3" t="s">
        <v>681</v>
      </c>
      <c r="BE34" s="3" t="s">
        <v>682</v>
      </c>
      <c r="BF34" s="3" t="s">
        <v>676</v>
      </c>
      <c r="BG34" s="3" t="s">
        <v>677</v>
      </c>
      <c r="BH34" s="3" t="s">
        <v>678</v>
      </c>
      <c r="BI34" s="3" t="s">
        <v>679</v>
      </c>
      <c r="BJ34" s="3" t="s">
        <v>680</v>
      </c>
      <c r="BK34" s="3" t="s">
        <v>681</v>
      </c>
      <c r="BL34" s="3" t="s">
        <v>682</v>
      </c>
      <c r="BM34" s="3" t="s">
        <v>676</v>
      </c>
      <c r="BN34" s="3" t="s">
        <v>677</v>
      </c>
      <c r="BO34" s="3" t="s">
        <v>678</v>
      </c>
      <c r="BP34" s="3" t="s">
        <v>679</v>
      </c>
      <c r="BQ34" s="3" t="s">
        <v>680</v>
      </c>
      <c r="BR34" s="3" t="s">
        <v>681</v>
      </c>
      <c r="BS34" s="3" t="s">
        <v>682</v>
      </c>
      <c r="BT34" s="3" t="s">
        <v>676</v>
      </c>
      <c r="BU34" s="3" t="s">
        <v>677</v>
      </c>
      <c r="BV34" s="3" t="s">
        <v>678</v>
      </c>
      <c r="BW34" s="3" t="s">
        <v>679</v>
      </c>
      <c r="BX34" s="3" t="s">
        <v>680</v>
      </c>
      <c r="BY34" s="3" t="s">
        <v>681</v>
      </c>
      <c r="BZ34" s="3" t="s">
        <v>682</v>
      </c>
      <c r="CA34" s="3" t="s">
        <v>676</v>
      </c>
      <c r="CB34" s="3" t="s">
        <v>677</v>
      </c>
      <c r="CC34" s="3" t="s">
        <v>678</v>
      </c>
      <c r="CD34" s="3" t="s">
        <v>679</v>
      </c>
      <c r="CE34" s="3" t="s">
        <v>680</v>
      </c>
      <c r="CF34" s="3" t="s">
        <v>681</v>
      </c>
      <c r="CG34" s="3" t="s">
        <v>682</v>
      </c>
      <c r="CH34" s="3" t="s">
        <v>676</v>
      </c>
      <c r="CI34" s="3" t="s">
        <v>677</v>
      </c>
      <c r="CJ34" s="3" t="s">
        <v>678</v>
      </c>
      <c r="CK34" s="3" t="s">
        <v>679</v>
      </c>
      <c r="CL34" s="3" t="s">
        <v>680</v>
      </c>
      <c r="CM34" s="3" t="s">
        <v>681</v>
      </c>
      <c r="CN34" s="3" t="s">
        <v>682</v>
      </c>
      <c r="CO34" s="3" t="s">
        <v>676</v>
      </c>
      <c r="CP34" s="3" t="s">
        <v>677</v>
      </c>
      <c r="CQ34" s="3" t="s">
        <v>678</v>
      </c>
      <c r="CR34" s="3" t="s">
        <v>679</v>
      </c>
      <c r="CS34" s="3" t="s">
        <v>680</v>
      </c>
      <c r="CT34" s="3" t="s">
        <v>681</v>
      </c>
      <c r="CU34" s="3" t="s">
        <v>682</v>
      </c>
      <c r="CV34" s="3" t="s">
        <v>676</v>
      </c>
      <c r="CW34" s="3" t="s">
        <v>677</v>
      </c>
      <c r="CX34" s="3" t="s">
        <v>678</v>
      </c>
      <c r="CY34" s="3" t="s">
        <v>679</v>
      </c>
      <c r="CZ34" s="3" t="s">
        <v>680</v>
      </c>
      <c r="DA34" s="3" t="s">
        <v>681</v>
      </c>
      <c r="DB34" s="3" t="s">
        <v>682</v>
      </c>
      <c r="DC34" s="3" t="s">
        <v>676</v>
      </c>
      <c r="DD34" s="3" t="s">
        <v>677</v>
      </c>
      <c r="DE34" s="3" t="s">
        <v>678</v>
      </c>
      <c r="DF34" s="3" t="s">
        <v>679</v>
      </c>
      <c r="DG34" s="3" t="s">
        <v>680</v>
      </c>
      <c r="DH34" s="3" t="s">
        <v>681</v>
      </c>
      <c r="DI34" s="3" t="s">
        <v>682</v>
      </c>
      <c r="DJ34" s="3" t="s">
        <v>676</v>
      </c>
      <c r="DK34" s="3" t="s">
        <v>677</v>
      </c>
      <c r="DL34" s="3" t="s">
        <v>678</v>
      </c>
      <c r="DM34" s="3" t="s">
        <v>679</v>
      </c>
      <c r="DN34" s="3" t="s">
        <v>680</v>
      </c>
      <c r="DO34" s="3" t="s">
        <v>681</v>
      </c>
      <c r="DP34" s="3" t="s">
        <v>682</v>
      </c>
      <c r="DQ34" s="3" t="s">
        <v>676</v>
      </c>
      <c r="DR34" s="3" t="s">
        <v>677</v>
      </c>
      <c r="DS34" s="3" t="s">
        <v>678</v>
      </c>
      <c r="DT34" s="3" t="s">
        <v>679</v>
      </c>
      <c r="DU34" s="3" t="s">
        <v>680</v>
      </c>
      <c r="DV34" s="3" t="s">
        <v>681</v>
      </c>
      <c r="DW34" s="3" t="s">
        <v>682</v>
      </c>
      <c r="DX34" s="3" t="s">
        <v>676</v>
      </c>
      <c r="DY34" s="3" t="s">
        <v>677</v>
      </c>
      <c r="DZ34" s="3" t="s">
        <v>678</v>
      </c>
      <c r="EA34" s="3" t="s">
        <v>679</v>
      </c>
      <c r="EB34" s="3" t="s">
        <v>680</v>
      </c>
      <c r="EC34" s="3" t="s">
        <v>681</v>
      </c>
      <c r="ED34" s="3" t="s">
        <v>682</v>
      </c>
      <c r="EE34" s="3" t="s">
        <v>676</v>
      </c>
      <c r="EF34" s="3" t="s">
        <v>677</v>
      </c>
      <c r="EG34" s="3" t="s">
        <v>678</v>
      </c>
      <c r="EH34" s="3" t="s">
        <v>679</v>
      </c>
      <c r="EI34" s="3" t="s">
        <v>680</v>
      </c>
      <c r="EJ34" s="3" t="s">
        <v>681</v>
      </c>
      <c r="EK34" s="3" t="s">
        <v>682</v>
      </c>
      <c r="EL34" s="3" t="s">
        <v>676</v>
      </c>
      <c r="EM34" s="3" t="s">
        <v>677</v>
      </c>
      <c r="EN34" s="3" t="s">
        <v>678</v>
      </c>
      <c r="EO34" s="3" t="s">
        <v>679</v>
      </c>
      <c r="EP34" s="3" t="s">
        <v>680</v>
      </c>
      <c r="EQ34" s="3" t="s">
        <v>681</v>
      </c>
      <c r="ER34" s="3" t="s">
        <v>682</v>
      </c>
      <c r="ES34" s="3" t="s">
        <v>676</v>
      </c>
      <c r="ET34" s="3" t="s">
        <v>677</v>
      </c>
      <c r="EU34" s="3" t="s">
        <v>678</v>
      </c>
      <c r="EV34" s="3" t="s">
        <v>679</v>
      </c>
      <c r="EW34" s="3" t="s">
        <v>680</v>
      </c>
      <c r="EX34" s="3" t="s">
        <v>681</v>
      </c>
      <c r="EY34" s="3" t="s">
        <v>682</v>
      </c>
      <c r="EZ34" s="3" t="s">
        <v>676</v>
      </c>
      <c r="FA34" s="3" t="s">
        <v>677</v>
      </c>
      <c r="FB34" s="3" t="s">
        <v>678</v>
      </c>
      <c r="FC34" s="3" t="s">
        <v>679</v>
      </c>
      <c r="FD34" s="3" t="s">
        <v>680</v>
      </c>
      <c r="FE34" s="3" t="s">
        <v>681</v>
      </c>
      <c r="FF34" s="3" t="s">
        <v>682</v>
      </c>
      <c r="FG34" s="3" t="s">
        <v>676</v>
      </c>
      <c r="FH34" s="3" t="s">
        <v>677</v>
      </c>
      <c r="FI34" s="3" t="s">
        <v>678</v>
      </c>
      <c r="FJ34" s="3" t="s">
        <v>679</v>
      </c>
      <c r="FK34" s="3" t="s">
        <v>680</v>
      </c>
      <c r="FL34" s="3" t="s">
        <v>681</v>
      </c>
      <c r="FM34" s="3" t="s">
        <v>682</v>
      </c>
      <c r="FN34" s="3" t="s">
        <v>676</v>
      </c>
      <c r="FO34" s="3" t="s">
        <v>677</v>
      </c>
      <c r="FP34" s="3" t="s">
        <v>678</v>
      </c>
      <c r="FQ34" s="3" t="s">
        <v>679</v>
      </c>
      <c r="FR34" s="3" t="s">
        <v>680</v>
      </c>
      <c r="FS34" s="3" t="s">
        <v>681</v>
      </c>
      <c r="FT34" s="3" t="s">
        <v>682</v>
      </c>
      <c r="FU34" s="3" t="s">
        <v>676</v>
      </c>
      <c r="FV34" s="3" t="s">
        <v>677</v>
      </c>
      <c r="FW34" s="3" t="s">
        <v>678</v>
      </c>
      <c r="FX34" s="3" t="s">
        <v>679</v>
      </c>
      <c r="FY34" s="3" t="s">
        <v>680</v>
      </c>
      <c r="FZ34" s="3" t="s">
        <v>681</v>
      </c>
      <c r="GA34" s="3" t="s">
        <v>682</v>
      </c>
      <c r="GB34" s="3" t="s">
        <v>676</v>
      </c>
      <c r="GC34" s="3" t="s">
        <v>677</v>
      </c>
      <c r="GD34" s="3" t="s">
        <v>678</v>
      </c>
      <c r="GE34" s="3" t="s">
        <v>679</v>
      </c>
      <c r="GF34" s="3" t="s">
        <v>680</v>
      </c>
      <c r="GG34" s="3" t="s">
        <v>681</v>
      </c>
      <c r="GH34" s="3" t="s">
        <v>682</v>
      </c>
      <c r="GI34" s="3" t="s">
        <v>676</v>
      </c>
      <c r="GJ34" s="3" t="s">
        <v>677</v>
      </c>
      <c r="GK34" s="3" t="s">
        <v>678</v>
      </c>
      <c r="GL34" s="3" t="s">
        <v>679</v>
      </c>
      <c r="GM34" s="3" t="s">
        <v>680</v>
      </c>
      <c r="GN34" s="3" t="s">
        <v>681</v>
      </c>
      <c r="GO34" s="3" t="s">
        <v>682</v>
      </c>
      <c r="GP34" s="3" t="s">
        <v>676</v>
      </c>
      <c r="GQ34" s="3" t="s">
        <v>677</v>
      </c>
      <c r="GR34" s="3" t="s">
        <v>678</v>
      </c>
      <c r="GS34" s="3" t="s">
        <v>679</v>
      </c>
      <c r="GT34" s="3" t="s">
        <v>680</v>
      </c>
      <c r="GU34" s="3" t="s">
        <v>681</v>
      </c>
      <c r="GV34" s="3" t="s">
        <v>682</v>
      </c>
      <c r="GW34" s="3" t="s">
        <v>676</v>
      </c>
      <c r="GX34" s="3" t="s">
        <v>677</v>
      </c>
      <c r="GY34" s="3" t="s">
        <v>678</v>
      </c>
      <c r="GZ34" s="3" t="s">
        <v>679</v>
      </c>
      <c r="HA34" s="3" t="s">
        <v>680</v>
      </c>
      <c r="HB34" s="3" t="s">
        <v>681</v>
      </c>
      <c r="HC34" s="3" t="s">
        <v>682</v>
      </c>
      <c r="HD34" s="3" t="s">
        <v>676</v>
      </c>
      <c r="HE34" s="3" t="s">
        <v>677</v>
      </c>
      <c r="HF34" s="3" t="s">
        <v>678</v>
      </c>
      <c r="HG34" s="3" t="s">
        <v>679</v>
      </c>
      <c r="HH34" s="3" t="s">
        <v>680</v>
      </c>
      <c r="HI34" s="3" t="s">
        <v>681</v>
      </c>
      <c r="HJ34" s="3" t="s">
        <v>682</v>
      </c>
      <c r="HK34" s="3" t="s">
        <v>676</v>
      </c>
      <c r="HL34" s="3" t="s">
        <v>677</v>
      </c>
      <c r="HM34" s="3" t="s">
        <v>678</v>
      </c>
      <c r="HN34" s="3" t="s">
        <v>679</v>
      </c>
      <c r="HO34" s="3" t="s">
        <v>680</v>
      </c>
      <c r="HP34" s="3" t="s">
        <v>681</v>
      </c>
      <c r="HQ34" s="3" t="s">
        <v>682</v>
      </c>
      <c r="HR34" s="3" t="s">
        <v>676</v>
      </c>
      <c r="HS34" s="3" t="s">
        <v>677</v>
      </c>
      <c r="HT34" s="3" t="s">
        <v>678</v>
      </c>
      <c r="HU34" s="3" t="s">
        <v>679</v>
      </c>
      <c r="HV34" s="3" t="s">
        <v>680</v>
      </c>
      <c r="HW34" s="3" t="s">
        <v>681</v>
      </c>
      <c r="HX34" s="3" t="s">
        <v>682</v>
      </c>
      <c r="HY34" s="3" t="s">
        <v>676</v>
      </c>
      <c r="HZ34" s="3" t="s">
        <v>677</v>
      </c>
      <c r="IA34" s="3" t="s">
        <v>678</v>
      </c>
      <c r="IB34" s="3" t="s">
        <v>679</v>
      </c>
      <c r="IC34" s="3" t="s">
        <v>680</v>
      </c>
    </row>
    <row r="35" spans="1:257">
      <c r="A35" s="82" t="s">
        <v>695</v>
      </c>
      <c r="B35" s="82" t="str">
        <f>COUNTIF(P35:IC35, "W")&amp;"勝"</f>
        <v>15勝</v>
      </c>
      <c r="C35" s="82" t="str">
        <f>COUNTIF(P35:IC35, "L")&amp;"敗"</f>
        <v>11敗</v>
      </c>
      <c r="D35" s="82" t="s">
        <v>696</v>
      </c>
      <c r="E35" s="78"/>
      <c r="F35" s="82" t="s">
        <v>715</v>
      </c>
      <c r="G35" s="78"/>
      <c r="H35" s="78"/>
      <c r="I35" s="78"/>
      <c r="J35" s="78"/>
      <c r="K35" s="78"/>
      <c r="L35" s="78"/>
      <c r="M35" s="82"/>
      <c r="N35" s="78"/>
      <c r="O35" s="1" t="s">
        <v>698</v>
      </c>
      <c r="Q35" t="s">
        <v>700</v>
      </c>
      <c r="S35" t="s">
        <v>700</v>
      </c>
      <c r="T35" t="s">
        <v>699</v>
      </c>
      <c r="U35" t="s">
        <v>699</v>
      </c>
      <c r="V35" t="s">
        <v>700</v>
      </c>
      <c r="W35" t="s">
        <v>700</v>
      </c>
      <c r="Y35" t="s">
        <v>700</v>
      </c>
      <c r="Z35" t="s">
        <v>699</v>
      </c>
      <c r="AA35" t="s">
        <v>699</v>
      </c>
      <c r="AB35" t="s">
        <v>699</v>
      </c>
      <c r="AC35" t="s">
        <v>700</v>
      </c>
      <c r="AD35" t="s">
        <v>700</v>
      </c>
      <c r="AF35" t="s">
        <v>699</v>
      </c>
      <c r="AG35" t="s">
        <v>699</v>
      </c>
      <c r="AH35" t="s">
        <v>699</v>
      </c>
      <c r="AJ35" t="s">
        <v>699</v>
      </c>
      <c r="AK35" t="s">
        <v>699</v>
      </c>
      <c r="AL35" t="s">
        <v>699</v>
      </c>
      <c r="AM35" t="s">
        <v>700</v>
      </c>
      <c r="AN35" t="s">
        <v>699</v>
      </c>
      <c r="AO35" t="s">
        <v>700</v>
      </c>
      <c r="AP35" t="s">
        <v>700</v>
      </c>
      <c r="AQ35" t="s">
        <v>700</v>
      </c>
      <c r="AT35" t="s">
        <v>699</v>
      </c>
      <c r="AU35" t="s">
        <v>699</v>
      </c>
      <c r="AV35" t="s">
        <v>699</v>
      </c>
    </row>
    <row r="36" spans="1:257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1" t="s">
        <v>701</v>
      </c>
    </row>
    <row r="37" spans="1:257">
      <c r="A37" s="82" t="s">
        <v>702</v>
      </c>
      <c r="B37" s="82" t="str">
        <f>COUNTIF(P37:IC37, "O")&amp;"正"</f>
        <v>15正</v>
      </c>
      <c r="C37" s="82" t="str">
        <f>COUNTIF(P37:IC37, "X")&amp;"負"</f>
        <v>11負</v>
      </c>
      <c r="D37" s="82" t="s">
        <v>703</v>
      </c>
      <c r="E37" s="78"/>
      <c r="F37" s="82" t="s">
        <v>716</v>
      </c>
      <c r="G37" s="78"/>
      <c r="H37" s="78"/>
      <c r="I37" s="78"/>
      <c r="J37" s="78"/>
      <c r="K37" s="78"/>
      <c r="L37" s="78"/>
      <c r="M37" s="82"/>
      <c r="N37" s="78"/>
      <c r="O37" s="1" t="s">
        <v>705</v>
      </c>
      <c r="Q37" t="s">
        <v>684</v>
      </c>
      <c r="S37" t="s">
        <v>684</v>
      </c>
      <c r="T37" t="s">
        <v>683</v>
      </c>
      <c r="U37" t="s">
        <v>683</v>
      </c>
      <c r="V37" t="s">
        <v>684</v>
      </c>
      <c r="W37" t="s">
        <v>684</v>
      </c>
      <c r="Y37" t="s">
        <v>684</v>
      </c>
      <c r="Z37" t="s">
        <v>683</v>
      </c>
      <c r="AA37" t="s">
        <v>683</v>
      </c>
      <c r="AB37" t="s">
        <v>683</v>
      </c>
      <c r="AC37" t="s">
        <v>684</v>
      </c>
      <c r="AD37" t="s">
        <v>684</v>
      </c>
      <c r="AF37" t="s">
        <v>683</v>
      </c>
      <c r="AG37" t="s">
        <v>683</v>
      </c>
      <c r="AH37" t="s">
        <v>683</v>
      </c>
      <c r="AJ37" t="s">
        <v>683</v>
      </c>
      <c r="AK37" t="s">
        <v>683</v>
      </c>
      <c r="AL37" t="s">
        <v>683</v>
      </c>
      <c r="AM37" t="s">
        <v>684</v>
      </c>
      <c r="AN37" t="s">
        <v>683</v>
      </c>
      <c r="AO37" t="s">
        <v>684</v>
      </c>
      <c r="AP37" t="s">
        <v>684</v>
      </c>
      <c r="AQ37" t="s">
        <v>684</v>
      </c>
      <c r="AT37" t="s">
        <v>683</v>
      </c>
      <c r="AU37" t="s">
        <v>683</v>
      </c>
      <c r="AV37" t="s">
        <v>683</v>
      </c>
      <c r="IN37" t="str">
        <f ca="1">IFERROR(INDEX($P37:$IC37,1,_xludf.AGGREGATE(14,6,(COLUMN($P37:$IC37)-COLUMN($P37)+1)/($P37:$IC37&lt;&gt;""),1)),"")</f>
        <v/>
      </c>
      <c r="IO37" t="str">
        <f ca="1">IFERROR(INDEX($P37:$IC37,1,_xludf.AGGREGATE(14,6,(COLUMN($P37:$IC37)-COLUMN($P37)+1)/($P37:$IC37&lt;&gt;""),2)),"")</f>
        <v/>
      </c>
      <c r="IP37" t="str">
        <f ca="1">IFERROR(INDEX($P37:$IC37,1,_xludf.AGGREGATE(14,6,(COLUMN($P37:$IC37)-COLUMN($P37)+1)/($P37:$IC37&lt;&gt;""),3)),"")</f>
        <v/>
      </c>
      <c r="IQ37" t="str">
        <f ca="1">IFERROR(INDEX($P37:$IC37,1,_xludf.AGGREGATE(14,6,(COLUMN($P37:$IC37)-COLUMN($P37)+1)/($P37:$IC37&lt;&gt;""),4)),"")</f>
        <v/>
      </c>
      <c r="IR37" t="str">
        <f ca="1">IFERROR(INDEX($P37:$IC37,1,_xludf.AGGREGATE(14,6,(COLUMN($P37:$IC37)-COLUMN($P37)+1)/($P37:$IC37&lt;&gt;""),5)),"")</f>
        <v/>
      </c>
      <c r="IS37" t="str">
        <f ca="1">IFERROR(INDEX($P37:$IC37,1,_xludf.AGGREGATE(14,6,(COLUMN($P37:$IC37)-COLUMN($P37)+1)/($P37:$IC37&lt;&gt;""),6)),"")</f>
        <v/>
      </c>
      <c r="IT37" t="str">
        <f ca="1">IFERROR(INDEX($P37:$IC37,1,_xludf.AGGREGATE(14,6,(COLUMN($P37:$IC37)-COLUMN($P37)+1)/($P37:$IC37&lt;&gt;""),7)),"")</f>
        <v/>
      </c>
      <c r="IU37" t="str">
        <f ca="1">IFERROR(INDEX($P37:$IC37,1,_xludf.AGGREGATE(14,6,(COLUMN($P37:$IC37)-COLUMN($P37)+1)/($P37:$IC37&lt;&gt;""),8)),"")</f>
        <v/>
      </c>
      <c r="IV37" t="str">
        <f ca="1">IFERROR(INDEX($P37:$IC37,1,_xludf.AGGREGATE(14,6,(COLUMN($P37:$IC37)-COLUMN($P37)+1)/($P37:$IC37&lt;&gt;""),9)),"")</f>
        <v/>
      </c>
      <c r="IW37" t="str">
        <f ca="1">IFERROR(INDEX($P37:$IC37,1,_xludf.AGGREGATE(14,6,(COLUMN($P37:$IC37)-COLUMN($P37)+1)/($P37:$IC37&lt;&gt;""),10)),"")</f>
        <v/>
      </c>
    </row>
    <row r="38" spans="1:257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1" t="s">
        <v>706</v>
      </c>
    </row>
    <row r="39" spans="1:257">
      <c r="A39" s="82" t="s">
        <v>707</v>
      </c>
      <c r="B39" s="77"/>
      <c r="C39" s="77"/>
      <c r="D39" s="82" t="s">
        <v>708</v>
      </c>
      <c r="E39" s="78"/>
      <c r="F39" s="82"/>
      <c r="G39" s="78"/>
      <c r="H39" s="78"/>
      <c r="I39" s="78"/>
      <c r="J39" s="78"/>
      <c r="K39" s="78"/>
      <c r="L39" s="78"/>
      <c r="M39" s="82"/>
      <c r="N39" s="78"/>
      <c r="O39" s="1" t="s">
        <v>709</v>
      </c>
    </row>
    <row r="40" spans="1:257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1" t="s">
        <v>710</v>
      </c>
    </row>
    <row r="41" spans="1:257">
      <c r="A41" s="108" t="s">
        <v>17</v>
      </c>
      <c r="B41" s="78"/>
      <c r="C41" s="78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 t="s">
        <v>674</v>
      </c>
      <c r="P41" s="6">
        <v>1</v>
      </c>
      <c r="Q41" s="6">
        <v>2</v>
      </c>
      <c r="R41" s="6">
        <v>3</v>
      </c>
      <c r="S41" s="6">
        <v>4</v>
      </c>
      <c r="T41" s="6">
        <v>5</v>
      </c>
      <c r="U41" s="6">
        <v>6</v>
      </c>
      <c r="V41" s="6">
        <v>7</v>
      </c>
      <c r="W41" s="6">
        <v>8</v>
      </c>
      <c r="X41" s="6">
        <v>9</v>
      </c>
      <c r="Y41" s="6">
        <v>10</v>
      </c>
      <c r="Z41" s="6">
        <v>11</v>
      </c>
      <c r="AA41" s="6">
        <v>12</v>
      </c>
      <c r="AB41" s="6">
        <v>13</v>
      </c>
      <c r="AC41" s="6">
        <v>14</v>
      </c>
      <c r="AD41" s="6">
        <v>15</v>
      </c>
      <c r="AE41" s="6">
        <v>16</v>
      </c>
      <c r="AF41" s="6">
        <v>17</v>
      </c>
      <c r="AG41" s="6">
        <v>18</v>
      </c>
      <c r="AH41" s="6">
        <v>19</v>
      </c>
      <c r="AI41" s="6">
        <v>20</v>
      </c>
      <c r="AJ41" s="6">
        <v>21</v>
      </c>
      <c r="AK41" s="6">
        <v>22</v>
      </c>
      <c r="AL41" s="6">
        <v>23</v>
      </c>
      <c r="AM41" s="6">
        <v>24</v>
      </c>
      <c r="AN41" s="6">
        <v>25</v>
      </c>
      <c r="AO41" s="6">
        <v>26</v>
      </c>
      <c r="AP41" s="6">
        <v>27</v>
      </c>
      <c r="AQ41" s="6">
        <v>28</v>
      </c>
      <c r="AR41" s="6">
        <v>29</v>
      </c>
      <c r="AS41" s="6">
        <v>30</v>
      </c>
      <c r="AT41" s="6">
        <v>31</v>
      </c>
      <c r="AU41" s="6">
        <v>32</v>
      </c>
      <c r="AV41" s="6">
        <v>33</v>
      </c>
      <c r="AW41" s="6">
        <v>34</v>
      </c>
      <c r="AX41" s="6">
        <v>35</v>
      </c>
      <c r="AY41" s="6">
        <v>36</v>
      </c>
      <c r="AZ41" s="6">
        <v>37</v>
      </c>
      <c r="BA41" s="6">
        <v>38</v>
      </c>
      <c r="BB41" s="6">
        <v>39</v>
      </c>
      <c r="BC41" s="6">
        <v>40</v>
      </c>
      <c r="BD41" s="6">
        <v>41</v>
      </c>
      <c r="BE41" s="6">
        <v>42</v>
      </c>
      <c r="BF41" s="6">
        <v>43</v>
      </c>
      <c r="BG41" s="6">
        <v>44</v>
      </c>
      <c r="BH41" s="6">
        <v>45</v>
      </c>
      <c r="BI41" s="6">
        <v>46</v>
      </c>
      <c r="BJ41" s="6">
        <v>47</v>
      </c>
      <c r="BK41" s="6">
        <v>48</v>
      </c>
      <c r="BL41" s="6">
        <v>49</v>
      </c>
      <c r="BM41" s="6">
        <v>50</v>
      </c>
      <c r="BN41" s="6">
        <v>51</v>
      </c>
      <c r="BO41" s="6">
        <v>52</v>
      </c>
      <c r="BP41" s="6">
        <v>53</v>
      </c>
      <c r="BQ41" s="6">
        <v>54</v>
      </c>
      <c r="BR41" s="6">
        <v>55</v>
      </c>
      <c r="BS41" s="6">
        <v>56</v>
      </c>
      <c r="BT41" s="6">
        <v>57</v>
      </c>
      <c r="BU41" s="6">
        <v>58</v>
      </c>
      <c r="BV41" s="6">
        <v>59</v>
      </c>
      <c r="BW41" s="6">
        <v>60</v>
      </c>
      <c r="BX41" s="6">
        <v>61</v>
      </c>
      <c r="BY41" s="6">
        <v>62</v>
      </c>
      <c r="BZ41" s="6">
        <v>63</v>
      </c>
      <c r="CA41" s="6">
        <v>64</v>
      </c>
      <c r="CB41" s="6">
        <v>65</v>
      </c>
      <c r="CC41" s="6">
        <v>66</v>
      </c>
      <c r="CD41" s="6">
        <v>67</v>
      </c>
      <c r="CE41" s="6">
        <v>68</v>
      </c>
      <c r="CF41" s="6">
        <v>69</v>
      </c>
      <c r="CG41" s="6">
        <v>70</v>
      </c>
      <c r="CH41" s="6">
        <v>71</v>
      </c>
      <c r="CI41" s="6">
        <v>72</v>
      </c>
      <c r="CJ41" s="6">
        <v>73</v>
      </c>
      <c r="CK41" s="6">
        <v>74</v>
      </c>
      <c r="CL41" s="6">
        <v>75</v>
      </c>
      <c r="CM41" s="6">
        <v>76</v>
      </c>
      <c r="CN41" s="6">
        <v>77</v>
      </c>
      <c r="CO41" s="6">
        <v>78</v>
      </c>
      <c r="CP41" s="6">
        <v>79</v>
      </c>
      <c r="CQ41" s="6">
        <v>80</v>
      </c>
      <c r="CR41" s="6">
        <v>81</v>
      </c>
      <c r="CS41" s="6">
        <v>82</v>
      </c>
      <c r="CT41" s="6">
        <v>83</v>
      </c>
      <c r="CU41" s="6">
        <v>84</v>
      </c>
      <c r="CV41" s="6">
        <v>85</v>
      </c>
      <c r="CW41" s="6">
        <v>86</v>
      </c>
      <c r="CX41" s="6">
        <v>87</v>
      </c>
      <c r="CY41" s="6">
        <v>88</v>
      </c>
      <c r="CZ41" s="6">
        <v>89</v>
      </c>
      <c r="DA41" s="6">
        <v>90</v>
      </c>
      <c r="DB41" s="6">
        <v>91</v>
      </c>
      <c r="DC41" s="6">
        <v>92</v>
      </c>
      <c r="DD41" s="6">
        <v>93</v>
      </c>
      <c r="DE41" s="6">
        <v>94</v>
      </c>
      <c r="DF41" s="6">
        <v>95</v>
      </c>
      <c r="DG41" s="6">
        <v>96</v>
      </c>
      <c r="DH41" s="6">
        <v>97</v>
      </c>
      <c r="DI41" s="6">
        <v>98</v>
      </c>
      <c r="DJ41" s="6">
        <v>99</v>
      </c>
      <c r="DK41" s="6">
        <v>100</v>
      </c>
      <c r="DL41" s="6">
        <v>101</v>
      </c>
      <c r="DM41" s="6">
        <v>102</v>
      </c>
      <c r="DN41" s="6">
        <v>103</v>
      </c>
      <c r="DO41" s="6">
        <v>104</v>
      </c>
      <c r="DP41" s="6">
        <v>105</v>
      </c>
      <c r="DQ41" s="6">
        <v>106</v>
      </c>
      <c r="DR41" s="6">
        <v>107</v>
      </c>
      <c r="DS41" s="6">
        <v>108</v>
      </c>
      <c r="DT41" s="6">
        <v>109</v>
      </c>
      <c r="DU41" s="6">
        <v>110</v>
      </c>
      <c r="DV41" s="6">
        <v>111</v>
      </c>
      <c r="DW41" s="6">
        <v>112</v>
      </c>
      <c r="DX41" s="6">
        <v>113</v>
      </c>
      <c r="DY41" s="6">
        <v>114</v>
      </c>
      <c r="DZ41" s="6">
        <v>115</v>
      </c>
      <c r="EA41" s="6">
        <v>116</v>
      </c>
      <c r="EB41" s="6">
        <v>117</v>
      </c>
      <c r="EC41" s="6">
        <v>118</v>
      </c>
      <c r="ED41" s="6">
        <v>119</v>
      </c>
      <c r="EE41" s="6">
        <v>120</v>
      </c>
      <c r="EF41" s="6">
        <v>121</v>
      </c>
      <c r="EG41" s="6">
        <v>122</v>
      </c>
      <c r="EH41" s="6">
        <v>123</v>
      </c>
      <c r="EI41" s="6">
        <v>124</v>
      </c>
      <c r="EJ41" s="6">
        <v>125</v>
      </c>
      <c r="EK41" s="6">
        <v>126</v>
      </c>
      <c r="EL41" s="6">
        <v>127</v>
      </c>
      <c r="EM41" s="6">
        <v>128</v>
      </c>
      <c r="EN41" s="6">
        <v>129</v>
      </c>
      <c r="EO41" s="6">
        <v>130</v>
      </c>
      <c r="EP41" s="6">
        <v>131</v>
      </c>
      <c r="EQ41" s="6">
        <v>132</v>
      </c>
      <c r="ER41" s="6">
        <v>133</v>
      </c>
      <c r="ES41" s="6">
        <v>134</v>
      </c>
      <c r="ET41" s="6">
        <v>135</v>
      </c>
      <c r="EU41" s="6">
        <v>136</v>
      </c>
      <c r="EV41" s="6">
        <v>137</v>
      </c>
      <c r="EW41" s="6">
        <v>138</v>
      </c>
      <c r="EX41" s="6">
        <v>139</v>
      </c>
      <c r="EY41" s="6">
        <v>140</v>
      </c>
      <c r="EZ41" s="6">
        <v>141</v>
      </c>
      <c r="FA41" s="6">
        <v>142</v>
      </c>
      <c r="FB41" s="6">
        <v>143</v>
      </c>
      <c r="FC41" s="6">
        <v>144</v>
      </c>
      <c r="FD41" s="6">
        <v>145</v>
      </c>
      <c r="FE41" s="6">
        <v>146</v>
      </c>
      <c r="FF41" s="6">
        <v>147</v>
      </c>
      <c r="FG41" s="6">
        <v>148</v>
      </c>
      <c r="FH41" s="6">
        <v>149</v>
      </c>
      <c r="FI41" s="6">
        <v>150</v>
      </c>
      <c r="FJ41" s="6">
        <v>151</v>
      </c>
      <c r="FK41" s="6">
        <v>152</v>
      </c>
      <c r="FL41" s="6">
        <v>153</v>
      </c>
      <c r="FM41" s="6">
        <v>154</v>
      </c>
      <c r="FN41" s="6">
        <v>155</v>
      </c>
      <c r="FO41" s="6">
        <v>156</v>
      </c>
      <c r="FP41" s="6">
        <v>157</v>
      </c>
      <c r="FQ41" s="6">
        <v>158</v>
      </c>
      <c r="FR41" s="6">
        <v>159</v>
      </c>
      <c r="FS41" s="6">
        <v>160</v>
      </c>
      <c r="FT41" s="6">
        <v>161</v>
      </c>
      <c r="FU41" s="6">
        <v>162</v>
      </c>
      <c r="FV41" s="6">
        <v>163</v>
      </c>
      <c r="FW41" s="6">
        <v>164</v>
      </c>
      <c r="FX41" s="6">
        <v>165</v>
      </c>
      <c r="FY41" s="6">
        <v>166</v>
      </c>
      <c r="FZ41" s="6">
        <v>167</v>
      </c>
      <c r="GA41" s="6">
        <v>168</v>
      </c>
      <c r="GB41" s="6">
        <v>169</v>
      </c>
      <c r="GC41" s="6">
        <v>170</v>
      </c>
      <c r="GD41" s="6">
        <v>171</v>
      </c>
      <c r="GE41" s="6">
        <v>172</v>
      </c>
      <c r="GF41" s="6">
        <v>173</v>
      </c>
      <c r="GG41" s="6">
        <v>174</v>
      </c>
      <c r="GH41" s="6">
        <v>175</v>
      </c>
      <c r="GI41" s="6">
        <v>176</v>
      </c>
      <c r="GJ41" s="6">
        <v>177</v>
      </c>
      <c r="GK41" s="6">
        <v>178</v>
      </c>
      <c r="GL41" s="6">
        <v>179</v>
      </c>
      <c r="GM41" s="6">
        <v>180</v>
      </c>
      <c r="GN41" s="6">
        <v>181</v>
      </c>
      <c r="GO41" s="6">
        <v>182</v>
      </c>
      <c r="GP41" s="6">
        <v>183</v>
      </c>
      <c r="GQ41" s="6">
        <v>184</v>
      </c>
      <c r="GR41" s="6">
        <v>185</v>
      </c>
      <c r="GS41" s="6">
        <v>186</v>
      </c>
      <c r="GT41" s="6">
        <v>187</v>
      </c>
      <c r="GU41" s="6">
        <v>188</v>
      </c>
      <c r="GV41" s="6">
        <v>189</v>
      </c>
      <c r="GW41" s="6">
        <v>190</v>
      </c>
      <c r="GX41" s="6">
        <v>191</v>
      </c>
      <c r="GY41" s="6">
        <v>192</v>
      </c>
      <c r="GZ41" s="6">
        <v>193</v>
      </c>
      <c r="HA41" s="6">
        <v>194</v>
      </c>
      <c r="HB41" s="6">
        <v>195</v>
      </c>
      <c r="HC41" s="6">
        <v>196</v>
      </c>
      <c r="HD41" s="6">
        <v>197</v>
      </c>
      <c r="HE41" s="6">
        <v>198</v>
      </c>
      <c r="HF41" s="6">
        <v>199</v>
      </c>
      <c r="HG41" s="6">
        <v>200</v>
      </c>
      <c r="HH41" s="6">
        <v>201</v>
      </c>
      <c r="HI41" s="6">
        <v>202</v>
      </c>
      <c r="HJ41" s="6">
        <v>203</v>
      </c>
      <c r="HK41" s="6">
        <v>204</v>
      </c>
      <c r="HL41" s="6">
        <v>205</v>
      </c>
      <c r="HM41" s="6">
        <v>206</v>
      </c>
      <c r="HN41" s="6">
        <v>207</v>
      </c>
      <c r="HO41" s="6">
        <v>208</v>
      </c>
      <c r="HP41" s="6">
        <v>209</v>
      </c>
      <c r="HQ41" s="6">
        <v>210</v>
      </c>
      <c r="HR41" s="6">
        <v>211</v>
      </c>
      <c r="HS41" s="6">
        <v>212</v>
      </c>
      <c r="HT41" s="6">
        <v>213</v>
      </c>
      <c r="HU41" s="6">
        <v>214</v>
      </c>
      <c r="HV41" s="6">
        <v>215</v>
      </c>
      <c r="HW41" s="6">
        <v>216</v>
      </c>
      <c r="HX41" s="6">
        <v>217</v>
      </c>
      <c r="HY41" s="6">
        <v>218</v>
      </c>
      <c r="HZ41" s="6">
        <v>219</v>
      </c>
      <c r="IA41" s="6">
        <v>220</v>
      </c>
      <c r="IB41" s="6">
        <v>221</v>
      </c>
      <c r="IC41" s="6">
        <v>222</v>
      </c>
    </row>
    <row r="42" spans="1:257">
      <c r="A42" s="78"/>
      <c r="B42" s="78"/>
      <c r="C42" s="78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5"/>
      <c r="P42" s="51" t="s">
        <v>17</v>
      </c>
      <c r="Q42" s="51" t="s">
        <v>17</v>
      </c>
      <c r="R42" s="51" t="s">
        <v>17</v>
      </c>
      <c r="S42" s="51" t="s">
        <v>17</v>
      </c>
      <c r="T42" s="51" t="s">
        <v>17</v>
      </c>
      <c r="U42" s="51" t="s">
        <v>17</v>
      </c>
      <c r="V42" s="51" t="s">
        <v>17</v>
      </c>
      <c r="W42" s="51" t="s">
        <v>17</v>
      </c>
      <c r="X42" s="51" t="s">
        <v>17</v>
      </c>
      <c r="Y42" s="51" t="s">
        <v>17</v>
      </c>
      <c r="Z42" s="51" t="s">
        <v>17</v>
      </c>
      <c r="AA42" s="51" t="s">
        <v>17</v>
      </c>
      <c r="AB42" s="51" t="s">
        <v>17</v>
      </c>
      <c r="AC42" s="51" t="s">
        <v>17</v>
      </c>
      <c r="AD42" s="51" t="s">
        <v>17</v>
      </c>
      <c r="AE42" s="51" t="s">
        <v>17</v>
      </c>
      <c r="AF42" s="51" t="s">
        <v>17</v>
      </c>
      <c r="AG42" s="51" t="s">
        <v>17</v>
      </c>
      <c r="AH42" s="51" t="s">
        <v>17</v>
      </c>
      <c r="AI42" s="51" t="s">
        <v>17</v>
      </c>
      <c r="AJ42" s="51" t="s">
        <v>17</v>
      </c>
      <c r="AK42" s="51" t="s">
        <v>17</v>
      </c>
      <c r="AL42" s="51" t="s">
        <v>17</v>
      </c>
      <c r="AM42" s="51" t="s">
        <v>17</v>
      </c>
      <c r="AN42" s="51" t="s">
        <v>17</v>
      </c>
      <c r="AO42" s="51" t="s">
        <v>17</v>
      </c>
      <c r="AP42" s="51" t="s">
        <v>17</v>
      </c>
      <c r="AQ42" s="51" t="s">
        <v>17</v>
      </c>
      <c r="AR42" s="51" t="s">
        <v>17</v>
      </c>
      <c r="AS42" s="51" t="s">
        <v>17</v>
      </c>
      <c r="AT42" s="51" t="s">
        <v>17</v>
      </c>
      <c r="AU42" s="51" t="s">
        <v>17</v>
      </c>
      <c r="AV42" s="51" t="s">
        <v>17</v>
      </c>
      <c r="AW42" s="51" t="s">
        <v>17</v>
      </c>
      <c r="AX42" s="51" t="s">
        <v>17</v>
      </c>
      <c r="AY42" s="51" t="s">
        <v>17</v>
      </c>
      <c r="AZ42" s="51" t="s">
        <v>17</v>
      </c>
      <c r="BA42" s="51" t="s">
        <v>17</v>
      </c>
      <c r="BB42" s="51" t="s">
        <v>17</v>
      </c>
      <c r="BC42" s="51" t="s">
        <v>17</v>
      </c>
      <c r="BD42" s="51" t="s">
        <v>17</v>
      </c>
      <c r="BE42" s="51" t="s">
        <v>17</v>
      </c>
      <c r="BF42" s="51" t="s">
        <v>17</v>
      </c>
      <c r="BG42" s="51" t="s">
        <v>17</v>
      </c>
      <c r="BH42" s="51" t="s">
        <v>17</v>
      </c>
      <c r="BI42" s="51" t="s">
        <v>17</v>
      </c>
      <c r="BJ42" s="51" t="s">
        <v>17</v>
      </c>
      <c r="BK42" s="51" t="s">
        <v>17</v>
      </c>
      <c r="BL42" s="51" t="s">
        <v>17</v>
      </c>
      <c r="BM42" s="51" t="s">
        <v>17</v>
      </c>
      <c r="BN42" s="51" t="s">
        <v>17</v>
      </c>
      <c r="BO42" s="51" t="s">
        <v>17</v>
      </c>
      <c r="BP42" s="51" t="s">
        <v>17</v>
      </c>
      <c r="BQ42" s="51" t="s">
        <v>17</v>
      </c>
      <c r="BR42" s="51" t="s">
        <v>17</v>
      </c>
      <c r="BS42" s="51" t="s">
        <v>17</v>
      </c>
      <c r="BT42" s="51" t="s">
        <v>17</v>
      </c>
      <c r="BU42" s="51" t="s">
        <v>17</v>
      </c>
      <c r="BV42" s="51" t="s">
        <v>17</v>
      </c>
      <c r="BW42" s="51" t="s">
        <v>17</v>
      </c>
      <c r="BX42" s="51" t="s">
        <v>17</v>
      </c>
      <c r="BY42" s="51" t="s">
        <v>17</v>
      </c>
      <c r="BZ42" s="51" t="s">
        <v>17</v>
      </c>
      <c r="CA42" s="51" t="s">
        <v>17</v>
      </c>
      <c r="CB42" s="51" t="s">
        <v>17</v>
      </c>
      <c r="CC42" s="51" t="s">
        <v>17</v>
      </c>
      <c r="CD42" s="51" t="s">
        <v>17</v>
      </c>
      <c r="CE42" s="51" t="s">
        <v>17</v>
      </c>
      <c r="CF42" s="51" t="s">
        <v>17</v>
      </c>
      <c r="CG42" s="51" t="s">
        <v>17</v>
      </c>
      <c r="CH42" s="51" t="s">
        <v>17</v>
      </c>
      <c r="CI42" s="51" t="s">
        <v>17</v>
      </c>
      <c r="CJ42" s="51" t="s">
        <v>17</v>
      </c>
      <c r="CK42" s="51" t="s">
        <v>17</v>
      </c>
      <c r="CL42" s="51" t="s">
        <v>17</v>
      </c>
      <c r="CM42" s="51" t="s">
        <v>17</v>
      </c>
      <c r="CN42" s="51" t="s">
        <v>17</v>
      </c>
      <c r="CO42" s="51" t="s">
        <v>17</v>
      </c>
      <c r="CP42" s="51" t="s">
        <v>17</v>
      </c>
      <c r="CQ42" s="51" t="s">
        <v>17</v>
      </c>
      <c r="CR42" s="51" t="s">
        <v>17</v>
      </c>
      <c r="CS42" s="51" t="s">
        <v>17</v>
      </c>
      <c r="CT42" s="51" t="s">
        <v>17</v>
      </c>
      <c r="CU42" s="51" t="s">
        <v>17</v>
      </c>
      <c r="CV42" s="51" t="s">
        <v>17</v>
      </c>
      <c r="CW42" s="51" t="s">
        <v>17</v>
      </c>
      <c r="CX42" s="51" t="s">
        <v>17</v>
      </c>
      <c r="CY42" s="51" t="s">
        <v>17</v>
      </c>
      <c r="CZ42" s="51" t="s">
        <v>17</v>
      </c>
      <c r="DA42" s="51" t="s">
        <v>17</v>
      </c>
      <c r="DB42" s="51" t="s">
        <v>17</v>
      </c>
      <c r="DC42" s="51" t="s">
        <v>17</v>
      </c>
      <c r="DD42" s="51" t="s">
        <v>17</v>
      </c>
      <c r="DE42" s="51" t="s">
        <v>17</v>
      </c>
      <c r="DF42" s="51" t="s">
        <v>17</v>
      </c>
      <c r="DG42" s="51" t="s">
        <v>17</v>
      </c>
      <c r="DH42" s="51" t="s">
        <v>17</v>
      </c>
      <c r="DI42" s="51" t="s">
        <v>17</v>
      </c>
      <c r="DJ42" s="51" t="s">
        <v>17</v>
      </c>
      <c r="DK42" s="51" t="s">
        <v>17</v>
      </c>
      <c r="DL42" s="51" t="s">
        <v>17</v>
      </c>
      <c r="DM42" s="51" t="s">
        <v>17</v>
      </c>
      <c r="DN42" s="51" t="s">
        <v>17</v>
      </c>
      <c r="DO42" s="51" t="s">
        <v>17</v>
      </c>
      <c r="DP42" s="51" t="s">
        <v>17</v>
      </c>
      <c r="DQ42" s="51" t="s">
        <v>17</v>
      </c>
      <c r="DR42" s="51" t="s">
        <v>17</v>
      </c>
      <c r="DS42" s="51" t="s">
        <v>17</v>
      </c>
      <c r="DT42" s="51" t="s">
        <v>17</v>
      </c>
      <c r="DU42" s="51" t="s">
        <v>17</v>
      </c>
      <c r="DV42" s="51" t="s">
        <v>17</v>
      </c>
      <c r="DW42" s="51" t="s">
        <v>17</v>
      </c>
      <c r="DX42" s="51" t="s">
        <v>17</v>
      </c>
      <c r="DY42" s="51" t="s">
        <v>17</v>
      </c>
      <c r="DZ42" s="51" t="s">
        <v>17</v>
      </c>
      <c r="EA42" s="51" t="s">
        <v>17</v>
      </c>
      <c r="EB42" s="51" t="s">
        <v>17</v>
      </c>
      <c r="EC42" s="51" t="s">
        <v>17</v>
      </c>
      <c r="ED42" s="51" t="s">
        <v>17</v>
      </c>
      <c r="EE42" s="51" t="s">
        <v>17</v>
      </c>
      <c r="EF42" s="51" t="s">
        <v>17</v>
      </c>
      <c r="EG42" s="51" t="s">
        <v>17</v>
      </c>
      <c r="EH42" s="51" t="s">
        <v>17</v>
      </c>
      <c r="EI42" s="51" t="s">
        <v>17</v>
      </c>
      <c r="EJ42" s="51" t="s">
        <v>17</v>
      </c>
      <c r="EK42" s="51" t="s">
        <v>17</v>
      </c>
      <c r="EL42" s="51" t="s">
        <v>17</v>
      </c>
      <c r="EM42" s="51" t="s">
        <v>17</v>
      </c>
      <c r="EN42" s="51" t="s">
        <v>17</v>
      </c>
      <c r="EO42" s="51" t="s">
        <v>17</v>
      </c>
      <c r="EP42" s="51" t="s">
        <v>17</v>
      </c>
      <c r="EQ42" s="51" t="s">
        <v>17</v>
      </c>
      <c r="ER42" s="51" t="s">
        <v>17</v>
      </c>
      <c r="ES42" s="51" t="s">
        <v>17</v>
      </c>
      <c r="ET42" s="51" t="s">
        <v>17</v>
      </c>
      <c r="EU42" s="51" t="s">
        <v>17</v>
      </c>
      <c r="EV42" s="51" t="s">
        <v>17</v>
      </c>
      <c r="EW42" s="51" t="s">
        <v>17</v>
      </c>
      <c r="EX42" s="51" t="s">
        <v>17</v>
      </c>
      <c r="EY42" s="51" t="s">
        <v>17</v>
      </c>
      <c r="EZ42" s="51" t="s">
        <v>17</v>
      </c>
      <c r="FA42" s="51" t="s">
        <v>17</v>
      </c>
      <c r="FB42" s="51" t="s">
        <v>17</v>
      </c>
      <c r="FC42" s="51" t="s">
        <v>17</v>
      </c>
      <c r="FD42" s="51" t="s">
        <v>17</v>
      </c>
      <c r="FE42" s="51" t="s">
        <v>17</v>
      </c>
      <c r="FF42" s="51" t="s">
        <v>17</v>
      </c>
      <c r="FG42" s="51" t="s">
        <v>17</v>
      </c>
      <c r="FH42" s="51" t="s">
        <v>17</v>
      </c>
      <c r="FI42" s="51" t="s">
        <v>17</v>
      </c>
      <c r="FJ42" s="51" t="s">
        <v>17</v>
      </c>
      <c r="FK42" s="51" t="s">
        <v>17</v>
      </c>
      <c r="FL42" s="51" t="s">
        <v>17</v>
      </c>
      <c r="FM42" s="51" t="s">
        <v>17</v>
      </c>
      <c r="FN42" s="51" t="s">
        <v>17</v>
      </c>
      <c r="FO42" s="51" t="s">
        <v>17</v>
      </c>
      <c r="FP42" s="51" t="s">
        <v>17</v>
      </c>
      <c r="FQ42" s="51" t="s">
        <v>17</v>
      </c>
      <c r="FR42" s="51" t="s">
        <v>17</v>
      </c>
      <c r="FS42" s="51" t="s">
        <v>17</v>
      </c>
      <c r="FT42" s="51" t="s">
        <v>17</v>
      </c>
      <c r="FU42" s="51" t="s">
        <v>17</v>
      </c>
      <c r="FV42" s="51" t="s">
        <v>17</v>
      </c>
      <c r="FW42" s="51" t="s">
        <v>17</v>
      </c>
      <c r="FX42" s="51" t="s">
        <v>17</v>
      </c>
      <c r="FY42" s="51" t="s">
        <v>17</v>
      </c>
      <c r="FZ42" s="51" t="s">
        <v>17</v>
      </c>
      <c r="GA42" s="51" t="s">
        <v>17</v>
      </c>
      <c r="GB42" s="51" t="s">
        <v>17</v>
      </c>
      <c r="GC42" s="51" t="s">
        <v>17</v>
      </c>
      <c r="GD42" s="51" t="s">
        <v>17</v>
      </c>
      <c r="GE42" s="51" t="s">
        <v>17</v>
      </c>
      <c r="GF42" s="51" t="s">
        <v>17</v>
      </c>
      <c r="GG42" s="51" t="s">
        <v>17</v>
      </c>
      <c r="GH42" s="51" t="s">
        <v>17</v>
      </c>
      <c r="GI42" s="51" t="s">
        <v>17</v>
      </c>
      <c r="GJ42" s="51" t="s">
        <v>17</v>
      </c>
      <c r="GK42" s="51" t="s">
        <v>17</v>
      </c>
      <c r="GL42" s="51" t="s">
        <v>17</v>
      </c>
      <c r="GM42" s="51" t="s">
        <v>17</v>
      </c>
      <c r="GN42" s="51" t="s">
        <v>17</v>
      </c>
      <c r="GO42" s="51" t="s">
        <v>17</v>
      </c>
      <c r="GP42" s="51" t="s">
        <v>17</v>
      </c>
      <c r="GQ42" s="51" t="s">
        <v>17</v>
      </c>
      <c r="GR42" s="51" t="s">
        <v>17</v>
      </c>
      <c r="GS42" s="51" t="s">
        <v>17</v>
      </c>
      <c r="GT42" s="51" t="s">
        <v>17</v>
      </c>
      <c r="GU42" s="51" t="s">
        <v>17</v>
      </c>
      <c r="GV42" s="51" t="s">
        <v>17</v>
      </c>
      <c r="GW42" s="51" t="s">
        <v>17</v>
      </c>
      <c r="GX42" s="51" t="s">
        <v>17</v>
      </c>
      <c r="GY42" s="51" t="s">
        <v>17</v>
      </c>
      <c r="GZ42" s="51" t="s">
        <v>17</v>
      </c>
      <c r="HA42" s="51" t="s">
        <v>17</v>
      </c>
      <c r="HB42" s="51" t="s">
        <v>17</v>
      </c>
      <c r="HC42" s="51" t="s">
        <v>17</v>
      </c>
      <c r="HD42" s="51" t="s">
        <v>17</v>
      </c>
      <c r="HE42" s="51" t="s">
        <v>17</v>
      </c>
      <c r="HF42" s="51" t="s">
        <v>17</v>
      </c>
      <c r="HG42" s="51" t="s">
        <v>17</v>
      </c>
      <c r="HH42" s="51" t="s">
        <v>17</v>
      </c>
      <c r="HI42" s="51" t="s">
        <v>17</v>
      </c>
      <c r="HJ42" s="51" t="s">
        <v>17</v>
      </c>
      <c r="HK42" s="51" t="s">
        <v>17</v>
      </c>
      <c r="HL42" s="51" t="s">
        <v>17</v>
      </c>
      <c r="HM42" s="51" t="s">
        <v>17</v>
      </c>
      <c r="HN42" s="51" t="s">
        <v>17</v>
      </c>
      <c r="HO42" s="51" t="s">
        <v>17</v>
      </c>
      <c r="HP42" s="51" t="s">
        <v>17</v>
      </c>
      <c r="HQ42" s="51" t="s">
        <v>17</v>
      </c>
      <c r="HR42" s="51" t="s">
        <v>17</v>
      </c>
      <c r="HS42" s="51" t="s">
        <v>17</v>
      </c>
      <c r="HT42" s="51" t="s">
        <v>17</v>
      </c>
      <c r="HU42" s="51" t="s">
        <v>17</v>
      </c>
      <c r="HV42" s="51" t="s">
        <v>17</v>
      </c>
      <c r="HW42" s="51" t="s">
        <v>17</v>
      </c>
      <c r="HX42" s="51" t="s">
        <v>17</v>
      </c>
      <c r="HY42" s="51" t="s">
        <v>17</v>
      </c>
      <c r="HZ42" s="51" t="s">
        <v>17</v>
      </c>
      <c r="IA42" s="51" t="s">
        <v>17</v>
      </c>
      <c r="IB42" s="51" t="s">
        <v>17</v>
      </c>
      <c r="IC42" s="51" t="s">
        <v>17</v>
      </c>
    </row>
    <row r="43" spans="1:257">
      <c r="A43" s="4" t="s">
        <v>522</v>
      </c>
      <c r="B43" s="82" t="str">
        <f t="array" ref="B43">_xlfn.LET(
  _xlpm.dates, _xlfn._xlws.FILTER(P43:HO43, (P45:HO45&lt;&gt;"")+(P47:HO47&lt;&gt;"")),
  _xlpm.numDates, IFERROR(VALUE(_xlpm.dates), _xlpm.dates),
  _xlpm.first, TEXT(MIN(_xlpm.numDates), "m/dd"),
  _xlpm.last, TEXT(MAX(_xlpm.numDates), "m/dd"),
  _xlpm.first &amp; "~" &amp; _xlpm.last
)</f>
        <v>3/28~4/27</v>
      </c>
      <c r="C43" s="78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 t="s">
        <v>522</v>
      </c>
      <c r="P43" s="3">
        <v>46107</v>
      </c>
      <c r="Q43" s="3">
        <v>46108</v>
      </c>
      <c r="R43" s="3">
        <v>46109</v>
      </c>
      <c r="S43" s="3">
        <v>46110</v>
      </c>
      <c r="T43" s="3">
        <v>46111</v>
      </c>
      <c r="U43" s="3">
        <v>46112</v>
      </c>
      <c r="V43" s="3">
        <v>46113</v>
      </c>
      <c r="W43" s="3">
        <v>46114</v>
      </c>
      <c r="X43" s="3">
        <v>46115</v>
      </c>
      <c r="Y43" s="3">
        <v>46116</v>
      </c>
      <c r="Z43" s="3">
        <v>46117</v>
      </c>
      <c r="AA43" s="3">
        <v>46118</v>
      </c>
      <c r="AB43" s="3">
        <v>46119</v>
      </c>
      <c r="AC43" s="3">
        <v>46120</v>
      </c>
      <c r="AD43" s="3">
        <v>46121</v>
      </c>
      <c r="AE43" s="3">
        <v>46122</v>
      </c>
      <c r="AF43" s="3">
        <v>46123</v>
      </c>
      <c r="AG43" s="3">
        <v>46124</v>
      </c>
      <c r="AH43" s="3">
        <v>46125</v>
      </c>
      <c r="AI43" s="3">
        <v>46126</v>
      </c>
      <c r="AJ43" s="3">
        <v>46127</v>
      </c>
      <c r="AK43" s="3">
        <v>46128</v>
      </c>
      <c r="AL43" s="3">
        <v>46129</v>
      </c>
      <c r="AM43" s="3">
        <v>46130</v>
      </c>
      <c r="AN43" s="3">
        <v>46131</v>
      </c>
      <c r="AO43" s="3">
        <v>46132</v>
      </c>
      <c r="AP43" s="3">
        <v>46133</v>
      </c>
      <c r="AQ43" s="3">
        <v>46134</v>
      </c>
      <c r="AR43" s="3">
        <v>46135</v>
      </c>
      <c r="AS43" s="3">
        <v>46136</v>
      </c>
      <c r="AT43" s="3">
        <v>46137</v>
      </c>
      <c r="AU43" s="3">
        <v>46138</v>
      </c>
      <c r="AV43" s="3">
        <v>46139</v>
      </c>
      <c r="AW43" s="3">
        <v>46140</v>
      </c>
      <c r="AX43" s="3">
        <v>46141</v>
      </c>
      <c r="AY43" s="3">
        <v>46142</v>
      </c>
      <c r="AZ43" s="3">
        <v>46143</v>
      </c>
      <c r="BA43" s="3">
        <v>46144</v>
      </c>
      <c r="BB43" s="3">
        <v>46145</v>
      </c>
      <c r="BC43" s="3">
        <v>46146</v>
      </c>
      <c r="BD43" s="3">
        <v>46147</v>
      </c>
      <c r="BE43" s="3">
        <v>46148</v>
      </c>
      <c r="BF43" s="3">
        <v>46149</v>
      </c>
      <c r="BG43" s="3">
        <v>46150</v>
      </c>
      <c r="BH43" s="3">
        <v>46151</v>
      </c>
      <c r="BI43" s="3">
        <v>46152</v>
      </c>
      <c r="BJ43" s="3">
        <v>46153</v>
      </c>
      <c r="BK43" s="3">
        <v>46154</v>
      </c>
      <c r="BL43" s="3">
        <v>46155</v>
      </c>
      <c r="BM43" s="3">
        <v>46156</v>
      </c>
      <c r="BN43" s="3">
        <v>46157</v>
      </c>
      <c r="BO43" s="3">
        <v>46158</v>
      </c>
      <c r="BP43" s="3">
        <v>46159</v>
      </c>
      <c r="BQ43" s="3">
        <v>46160</v>
      </c>
      <c r="BR43" s="3">
        <v>46161</v>
      </c>
      <c r="BS43" s="3">
        <v>46162</v>
      </c>
      <c r="BT43" s="3">
        <v>46163</v>
      </c>
      <c r="BU43" s="3">
        <v>46164</v>
      </c>
      <c r="BV43" s="3">
        <v>46165</v>
      </c>
      <c r="BW43" s="3">
        <v>46166</v>
      </c>
      <c r="BX43" s="3">
        <v>46167</v>
      </c>
      <c r="BY43" s="3">
        <v>46168</v>
      </c>
      <c r="BZ43" s="3">
        <v>46169</v>
      </c>
      <c r="CA43" s="3">
        <v>46170</v>
      </c>
      <c r="CB43" s="3">
        <v>46171</v>
      </c>
      <c r="CC43" s="3">
        <v>46172</v>
      </c>
      <c r="CD43" s="3">
        <v>46173</v>
      </c>
      <c r="CE43" s="3">
        <v>46174</v>
      </c>
      <c r="CF43" s="3">
        <v>46175</v>
      </c>
      <c r="CG43" s="3">
        <v>46176</v>
      </c>
      <c r="CH43" s="3">
        <v>46177</v>
      </c>
      <c r="CI43" s="3">
        <v>46178</v>
      </c>
      <c r="CJ43" s="3">
        <v>46179</v>
      </c>
      <c r="CK43" s="3">
        <v>46180</v>
      </c>
      <c r="CL43" s="3">
        <v>46181</v>
      </c>
      <c r="CM43" s="3">
        <v>46182</v>
      </c>
      <c r="CN43" s="3">
        <v>46183</v>
      </c>
      <c r="CO43" s="3">
        <v>46184</v>
      </c>
      <c r="CP43" s="3">
        <v>46185</v>
      </c>
      <c r="CQ43" s="3">
        <v>46186</v>
      </c>
      <c r="CR43" s="3">
        <v>46187</v>
      </c>
      <c r="CS43" s="3">
        <v>46188</v>
      </c>
      <c r="CT43" s="3">
        <v>46189</v>
      </c>
      <c r="CU43" s="3">
        <v>46190</v>
      </c>
      <c r="CV43" s="3">
        <v>46191</v>
      </c>
      <c r="CW43" s="3">
        <v>46192</v>
      </c>
      <c r="CX43" s="3">
        <v>46193</v>
      </c>
      <c r="CY43" s="3">
        <v>46194</v>
      </c>
      <c r="CZ43" s="3">
        <v>46195</v>
      </c>
      <c r="DA43" s="3">
        <v>46196</v>
      </c>
      <c r="DB43" s="3">
        <v>46197</v>
      </c>
      <c r="DC43" s="3">
        <v>46198</v>
      </c>
      <c r="DD43" s="3">
        <v>46199</v>
      </c>
      <c r="DE43" s="3">
        <v>46200</v>
      </c>
      <c r="DF43" s="3">
        <v>46201</v>
      </c>
      <c r="DG43" s="3">
        <v>46202</v>
      </c>
      <c r="DH43" s="3">
        <v>46203</v>
      </c>
      <c r="DI43" s="3">
        <v>46204</v>
      </c>
      <c r="DJ43" s="3">
        <v>46205</v>
      </c>
      <c r="DK43" s="3">
        <v>46206</v>
      </c>
      <c r="DL43" s="3">
        <v>46207</v>
      </c>
      <c r="DM43" s="3">
        <v>46208</v>
      </c>
      <c r="DN43" s="3">
        <v>46209</v>
      </c>
      <c r="DO43" s="3">
        <v>46210</v>
      </c>
      <c r="DP43" s="3">
        <v>46211</v>
      </c>
      <c r="DQ43" s="3">
        <v>46212</v>
      </c>
      <c r="DR43" s="3">
        <v>46213</v>
      </c>
      <c r="DS43" s="3">
        <v>46214</v>
      </c>
      <c r="DT43" s="3">
        <v>46215</v>
      </c>
      <c r="DU43" s="3">
        <v>46216</v>
      </c>
      <c r="DV43" s="3">
        <v>46217</v>
      </c>
      <c r="DW43" s="3">
        <v>46218</v>
      </c>
      <c r="DX43" s="3">
        <v>46219</v>
      </c>
      <c r="DY43" s="3">
        <v>46220</v>
      </c>
      <c r="DZ43" s="3">
        <v>46221</v>
      </c>
      <c r="EA43" s="3">
        <v>46222</v>
      </c>
      <c r="EB43" s="3">
        <v>46223</v>
      </c>
      <c r="EC43" s="3">
        <v>46224</v>
      </c>
      <c r="ED43" s="3">
        <v>46225</v>
      </c>
      <c r="EE43" s="3">
        <v>46226</v>
      </c>
      <c r="EF43" s="3">
        <v>46227</v>
      </c>
      <c r="EG43" s="3">
        <v>46228</v>
      </c>
      <c r="EH43" s="3">
        <v>46229</v>
      </c>
      <c r="EI43" s="3">
        <v>46230</v>
      </c>
      <c r="EJ43" s="3">
        <v>46231</v>
      </c>
      <c r="EK43" s="3">
        <v>46232</v>
      </c>
      <c r="EL43" s="3">
        <v>46233</v>
      </c>
      <c r="EM43" s="3">
        <v>46234</v>
      </c>
      <c r="EN43" s="3">
        <v>46235</v>
      </c>
      <c r="EO43" s="3">
        <v>46236</v>
      </c>
      <c r="EP43" s="3">
        <v>46237</v>
      </c>
      <c r="EQ43" s="3">
        <v>46238</v>
      </c>
      <c r="ER43" s="3">
        <v>46239</v>
      </c>
      <c r="ES43" s="3">
        <v>46240</v>
      </c>
      <c r="ET43" s="3">
        <v>46241</v>
      </c>
      <c r="EU43" s="3">
        <v>46242</v>
      </c>
      <c r="EV43" s="3">
        <v>46243</v>
      </c>
      <c r="EW43" s="3">
        <v>46244</v>
      </c>
      <c r="EX43" s="3">
        <v>46245</v>
      </c>
      <c r="EY43" s="3">
        <v>46246</v>
      </c>
      <c r="EZ43" s="3">
        <v>46247</v>
      </c>
      <c r="FA43" s="3">
        <v>46248</v>
      </c>
      <c r="FB43" s="3">
        <v>46249</v>
      </c>
      <c r="FC43" s="3">
        <v>46250</v>
      </c>
      <c r="FD43" s="3">
        <v>46251</v>
      </c>
      <c r="FE43" s="3">
        <v>46252</v>
      </c>
      <c r="FF43" s="3">
        <v>46253</v>
      </c>
      <c r="FG43" s="3">
        <v>46254</v>
      </c>
      <c r="FH43" s="3">
        <v>46255</v>
      </c>
      <c r="FI43" s="3">
        <v>46256</v>
      </c>
      <c r="FJ43" s="3">
        <v>46257</v>
      </c>
      <c r="FK43" s="3">
        <v>46258</v>
      </c>
      <c r="FL43" s="3">
        <v>46259</v>
      </c>
      <c r="FM43" s="3">
        <v>46260</v>
      </c>
      <c r="FN43" s="3">
        <v>46261</v>
      </c>
      <c r="FO43" s="3">
        <v>46262</v>
      </c>
      <c r="FP43" s="3">
        <v>46263</v>
      </c>
      <c r="FQ43" s="3">
        <v>46264</v>
      </c>
      <c r="FR43" s="3">
        <v>46265</v>
      </c>
      <c r="FS43" s="3">
        <v>46266</v>
      </c>
      <c r="FT43" s="3">
        <v>46267</v>
      </c>
      <c r="FU43" s="3">
        <v>46268</v>
      </c>
      <c r="FV43" s="3">
        <v>46269</v>
      </c>
      <c r="FW43" s="3">
        <v>46270</v>
      </c>
      <c r="FX43" s="3">
        <v>46271</v>
      </c>
      <c r="FY43" s="3">
        <v>46272</v>
      </c>
      <c r="FZ43" s="3">
        <v>46273</v>
      </c>
      <c r="GA43" s="3">
        <v>46274</v>
      </c>
      <c r="GB43" s="3">
        <v>46275</v>
      </c>
      <c r="GC43" s="3">
        <v>46276</v>
      </c>
      <c r="GD43" s="3">
        <v>46277</v>
      </c>
      <c r="GE43" s="3">
        <v>46278</v>
      </c>
      <c r="GF43" s="3">
        <v>46279</v>
      </c>
      <c r="GG43" s="3">
        <v>46280</v>
      </c>
      <c r="GH43" s="3">
        <v>46281</v>
      </c>
      <c r="GI43" s="3">
        <v>46282</v>
      </c>
      <c r="GJ43" s="3">
        <v>46283</v>
      </c>
      <c r="GK43" s="3">
        <v>46284</v>
      </c>
      <c r="GL43" s="3">
        <v>46285</v>
      </c>
      <c r="GM43" s="3">
        <v>46286</v>
      </c>
      <c r="GN43" s="3">
        <v>46287</v>
      </c>
      <c r="GO43" s="3">
        <v>46288</v>
      </c>
      <c r="GP43" s="3">
        <v>46289</v>
      </c>
      <c r="GQ43" s="3">
        <v>46290</v>
      </c>
      <c r="GR43" s="3">
        <v>46291</v>
      </c>
      <c r="GS43" s="3">
        <v>46292</v>
      </c>
      <c r="GT43" s="3">
        <v>46293</v>
      </c>
      <c r="GU43" s="3">
        <v>46294</v>
      </c>
      <c r="GV43" s="3">
        <v>46295</v>
      </c>
      <c r="GW43" s="3">
        <v>46296</v>
      </c>
      <c r="GX43" s="3">
        <v>46297</v>
      </c>
      <c r="GY43" s="3">
        <v>46298</v>
      </c>
      <c r="GZ43" s="3">
        <v>46299</v>
      </c>
      <c r="HA43" s="3">
        <v>46300</v>
      </c>
      <c r="HB43" s="3">
        <v>46301</v>
      </c>
      <c r="HC43" s="3">
        <v>46302</v>
      </c>
      <c r="HD43" s="3">
        <v>46303</v>
      </c>
      <c r="HE43" s="3">
        <v>46304</v>
      </c>
      <c r="HF43" s="3">
        <v>46305</v>
      </c>
      <c r="HG43" s="3">
        <v>46306</v>
      </c>
      <c r="HH43" s="3">
        <v>46307</v>
      </c>
      <c r="HI43" s="3">
        <v>46308</v>
      </c>
      <c r="HJ43" s="3">
        <v>46309</v>
      </c>
      <c r="HK43" s="3">
        <v>46310</v>
      </c>
      <c r="HL43" s="3">
        <v>46311</v>
      </c>
      <c r="HM43" s="3">
        <v>46312</v>
      </c>
      <c r="HN43" s="3">
        <v>46313</v>
      </c>
      <c r="HO43" s="3">
        <v>46314</v>
      </c>
      <c r="HP43" s="3">
        <v>46315</v>
      </c>
      <c r="HQ43" s="3">
        <v>46316</v>
      </c>
      <c r="HR43" s="3">
        <v>46317</v>
      </c>
      <c r="HS43" s="3">
        <v>46318</v>
      </c>
      <c r="HT43" s="3">
        <v>46319</v>
      </c>
      <c r="HU43" s="3">
        <v>46320</v>
      </c>
      <c r="HV43" s="3">
        <v>46321</v>
      </c>
      <c r="HW43" s="3">
        <v>46322</v>
      </c>
      <c r="HX43" s="3">
        <v>46323</v>
      </c>
      <c r="HY43" s="3">
        <v>46324</v>
      </c>
      <c r="HZ43" s="3">
        <v>46325</v>
      </c>
      <c r="IA43" s="3">
        <v>46326</v>
      </c>
      <c r="IB43" s="3">
        <v>46327</v>
      </c>
      <c r="IC43" s="3">
        <v>46328</v>
      </c>
    </row>
    <row r="44" spans="1:257">
      <c r="A44" s="4" t="s">
        <v>694</v>
      </c>
      <c r="B44" s="82" t="str">
        <f t="array" ref="B44">COLUMNS(_xlfn._xlws.FILTER(P43:HO43, (P45:HO45&lt;&gt;"")+(P47:HO47&lt;&gt;""))) &amp; "場"</f>
        <v>26場</v>
      </c>
      <c r="C44" s="78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 t="s">
        <v>675</v>
      </c>
      <c r="P44" s="3" t="s">
        <v>676</v>
      </c>
      <c r="Q44" s="3" t="s">
        <v>677</v>
      </c>
      <c r="R44" s="3" t="s">
        <v>678</v>
      </c>
      <c r="S44" s="3" t="s">
        <v>679</v>
      </c>
      <c r="T44" s="3" t="s">
        <v>680</v>
      </c>
      <c r="U44" s="3" t="s">
        <v>681</v>
      </c>
      <c r="V44" s="3" t="s">
        <v>682</v>
      </c>
      <c r="W44" s="3" t="s">
        <v>676</v>
      </c>
      <c r="X44" s="3" t="s">
        <v>677</v>
      </c>
      <c r="Y44" s="3" t="s">
        <v>678</v>
      </c>
      <c r="Z44" s="3" t="s">
        <v>679</v>
      </c>
      <c r="AA44" s="3" t="s">
        <v>680</v>
      </c>
      <c r="AB44" s="3" t="s">
        <v>681</v>
      </c>
      <c r="AC44" s="3" t="s">
        <v>682</v>
      </c>
      <c r="AD44" s="3" t="s">
        <v>676</v>
      </c>
      <c r="AE44" s="3" t="s">
        <v>677</v>
      </c>
      <c r="AF44" s="3" t="s">
        <v>678</v>
      </c>
      <c r="AG44" s="3" t="s">
        <v>679</v>
      </c>
      <c r="AH44" s="3" t="s">
        <v>680</v>
      </c>
      <c r="AI44" s="3" t="s">
        <v>681</v>
      </c>
      <c r="AJ44" s="3" t="s">
        <v>682</v>
      </c>
      <c r="AK44" s="3" t="s">
        <v>676</v>
      </c>
      <c r="AL44" s="3" t="s">
        <v>677</v>
      </c>
      <c r="AM44" s="3" t="s">
        <v>678</v>
      </c>
      <c r="AN44" s="3" t="s">
        <v>679</v>
      </c>
      <c r="AO44" s="3" t="s">
        <v>680</v>
      </c>
      <c r="AP44" s="3" t="s">
        <v>681</v>
      </c>
      <c r="AQ44" s="3" t="s">
        <v>682</v>
      </c>
      <c r="AR44" s="3" t="s">
        <v>676</v>
      </c>
      <c r="AS44" s="3" t="s">
        <v>677</v>
      </c>
      <c r="AT44" s="3" t="s">
        <v>678</v>
      </c>
      <c r="AU44" s="3" t="s">
        <v>679</v>
      </c>
      <c r="AV44" s="3" t="s">
        <v>680</v>
      </c>
      <c r="AW44" s="3" t="s">
        <v>681</v>
      </c>
      <c r="AX44" s="3" t="s">
        <v>682</v>
      </c>
      <c r="AY44" s="3" t="s">
        <v>676</v>
      </c>
      <c r="AZ44" s="3" t="s">
        <v>677</v>
      </c>
      <c r="BA44" s="3" t="s">
        <v>678</v>
      </c>
      <c r="BB44" s="3" t="s">
        <v>679</v>
      </c>
      <c r="BC44" s="3" t="s">
        <v>680</v>
      </c>
      <c r="BD44" s="3" t="s">
        <v>681</v>
      </c>
      <c r="BE44" s="3" t="s">
        <v>682</v>
      </c>
      <c r="BF44" s="3" t="s">
        <v>676</v>
      </c>
      <c r="BG44" s="3" t="s">
        <v>677</v>
      </c>
      <c r="BH44" s="3" t="s">
        <v>678</v>
      </c>
      <c r="BI44" s="3" t="s">
        <v>679</v>
      </c>
      <c r="BJ44" s="3" t="s">
        <v>680</v>
      </c>
      <c r="BK44" s="3" t="s">
        <v>681</v>
      </c>
      <c r="BL44" s="3" t="s">
        <v>682</v>
      </c>
      <c r="BM44" s="3" t="s">
        <v>676</v>
      </c>
      <c r="BN44" s="3" t="s">
        <v>677</v>
      </c>
      <c r="BO44" s="3" t="s">
        <v>678</v>
      </c>
      <c r="BP44" s="3" t="s">
        <v>679</v>
      </c>
      <c r="BQ44" s="3" t="s">
        <v>680</v>
      </c>
      <c r="BR44" s="3" t="s">
        <v>681</v>
      </c>
      <c r="BS44" s="3" t="s">
        <v>682</v>
      </c>
      <c r="BT44" s="3" t="s">
        <v>676</v>
      </c>
      <c r="BU44" s="3" t="s">
        <v>677</v>
      </c>
      <c r="BV44" s="3" t="s">
        <v>678</v>
      </c>
      <c r="BW44" s="3" t="s">
        <v>679</v>
      </c>
      <c r="BX44" s="3" t="s">
        <v>680</v>
      </c>
      <c r="BY44" s="3" t="s">
        <v>681</v>
      </c>
      <c r="BZ44" s="3" t="s">
        <v>682</v>
      </c>
      <c r="CA44" s="3" t="s">
        <v>676</v>
      </c>
      <c r="CB44" s="3" t="s">
        <v>677</v>
      </c>
      <c r="CC44" s="3" t="s">
        <v>678</v>
      </c>
      <c r="CD44" s="3" t="s">
        <v>679</v>
      </c>
      <c r="CE44" s="3" t="s">
        <v>680</v>
      </c>
      <c r="CF44" s="3" t="s">
        <v>681</v>
      </c>
      <c r="CG44" s="3" t="s">
        <v>682</v>
      </c>
      <c r="CH44" s="3" t="s">
        <v>676</v>
      </c>
      <c r="CI44" s="3" t="s">
        <v>677</v>
      </c>
      <c r="CJ44" s="3" t="s">
        <v>678</v>
      </c>
      <c r="CK44" s="3" t="s">
        <v>679</v>
      </c>
      <c r="CL44" s="3" t="s">
        <v>680</v>
      </c>
      <c r="CM44" s="3" t="s">
        <v>681</v>
      </c>
      <c r="CN44" s="3" t="s">
        <v>682</v>
      </c>
      <c r="CO44" s="3" t="s">
        <v>676</v>
      </c>
      <c r="CP44" s="3" t="s">
        <v>677</v>
      </c>
      <c r="CQ44" s="3" t="s">
        <v>678</v>
      </c>
      <c r="CR44" s="3" t="s">
        <v>679</v>
      </c>
      <c r="CS44" s="3" t="s">
        <v>680</v>
      </c>
      <c r="CT44" s="3" t="s">
        <v>681</v>
      </c>
      <c r="CU44" s="3" t="s">
        <v>682</v>
      </c>
      <c r="CV44" s="3" t="s">
        <v>676</v>
      </c>
      <c r="CW44" s="3" t="s">
        <v>677</v>
      </c>
      <c r="CX44" s="3" t="s">
        <v>678</v>
      </c>
      <c r="CY44" s="3" t="s">
        <v>679</v>
      </c>
      <c r="CZ44" s="3" t="s">
        <v>680</v>
      </c>
      <c r="DA44" s="3" t="s">
        <v>681</v>
      </c>
      <c r="DB44" s="3" t="s">
        <v>682</v>
      </c>
      <c r="DC44" s="3" t="s">
        <v>676</v>
      </c>
      <c r="DD44" s="3" t="s">
        <v>677</v>
      </c>
      <c r="DE44" s="3" t="s">
        <v>678</v>
      </c>
      <c r="DF44" s="3" t="s">
        <v>679</v>
      </c>
      <c r="DG44" s="3" t="s">
        <v>680</v>
      </c>
      <c r="DH44" s="3" t="s">
        <v>681</v>
      </c>
      <c r="DI44" s="3" t="s">
        <v>682</v>
      </c>
      <c r="DJ44" s="3" t="s">
        <v>676</v>
      </c>
      <c r="DK44" s="3" t="s">
        <v>677</v>
      </c>
      <c r="DL44" s="3" t="s">
        <v>678</v>
      </c>
      <c r="DM44" s="3" t="s">
        <v>679</v>
      </c>
      <c r="DN44" s="3" t="s">
        <v>680</v>
      </c>
      <c r="DO44" s="3" t="s">
        <v>681</v>
      </c>
      <c r="DP44" s="3" t="s">
        <v>682</v>
      </c>
      <c r="DQ44" s="3" t="s">
        <v>676</v>
      </c>
      <c r="DR44" s="3" t="s">
        <v>677</v>
      </c>
      <c r="DS44" s="3" t="s">
        <v>678</v>
      </c>
      <c r="DT44" s="3" t="s">
        <v>679</v>
      </c>
      <c r="DU44" s="3" t="s">
        <v>680</v>
      </c>
      <c r="DV44" s="3" t="s">
        <v>681</v>
      </c>
      <c r="DW44" s="3" t="s">
        <v>682</v>
      </c>
      <c r="DX44" s="3" t="s">
        <v>676</v>
      </c>
      <c r="DY44" s="3" t="s">
        <v>677</v>
      </c>
      <c r="DZ44" s="3" t="s">
        <v>678</v>
      </c>
      <c r="EA44" s="3" t="s">
        <v>679</v>
      </c>
      <c r="EB44" s="3" t="s">
        <v>680</v>
      </c>
      <c r="EC44" s="3" t="s">
        <v>681</v>
      </c>
      <c r="ED44" s="3" t="s">
        <v>682</v>
      </c>
      <c r="EE44" s="3" t="s">
        <v>676</v>
      </c>
      <c r="EF44" s="3" t="s">
        <v>677</v>
      </c>
      <c r="EG44" s="3" t="s">
        <v>678</v>
      </c>
      <c r="EH44" s="3" t="s">
        <v>679</v>
      </c>
      <c r="EI44" s="3" t="s">
        <v>680</v>
      </c>
      <c r="EJ44" s="3" t="s">
        <v>681</v>
      </c>
      <c r="EK44" s="3" t="s">
        <v>682</v>
      </c>
      <c r="EL44" s="3" t="s">
        <v>676</v>
      </c>
      <c r="EM44" s="3" t="s">
        <v>677</v>
      </c>
      <c r="EN44" s="3" t="s">
        <v>678</v>
      </c>
      <c r="EO44" s="3" t="s">
        <v>679</v>
      </c>
      <c r="EP44" s="3" t="s">
        <v>680</v>
      </c>
      <c r="EQ44" s="3" t="s">
        <v>681</v>
      </c>
      <c r="ER44" s="3" t="s">
        <v>682</v>
      </c>
      <c r="ES44" s="3" t="s">
        <v>676</v>
      </c>
      <c r="ET44" s="3" t="s">
        <v>677</v>
      </c>
      <c r="EU44" s="3" t="s">
        <v>678</v>
      </c>
      <c r="EV44" s="3" t="s">
        <v>679</v>
      </c>
      <c r="EW44" s="3" t="s">
        <v>680</v>
      </c>
      <c r="EX44" s="3" t="s">
        <v>681</v>
      </c>
      <c r="EY44" s="3" t="s">
        <v>682</v>
      </c>
      <c r="EZ44" s="3" t="s">
        <v>676</v>
      </c>
      <c r="FA44" s="3" t="s">
        <v>677</v>
      </c>
      <c r="FB44" s="3" t="s">
        <v>678</v>
      </c>
      <c r="FC44" s="3" t="s">
        <v>679</v>
      </c>
      <c r="FD44" s="3" t="s">
        <v>680</v>
      </c>
      <c r="FE44" s="3" t="s">
        <v>681</v>
      </c>
      <c r="FF44" s="3" t="s">
        <v>682</v>
      </c>
      <c r="FG44" s="3" t="s">
        <v>676</v>
      </c>
      <c r="FH44" s="3" t="s">
        <v>677</v>
      </c>
      <c r="FI44" s="3" t="s">
        <v>678</v>
      </c>
      <c r="FJ44" s="3" t="s">
        <v>679</v>
      </c>
      <c r="FK44" s="3" t="s">
        <v>680</v>
      </c>
      <c r="FL44" s="3" t="s">
        <v>681</v>
      </c>
      <c r="FM44" s="3" t="s">
        <v>682</v>
      </c>
      <c r="FN44" s="3" t="s">
        <v>676</v>
      </c>
      <c r="FO44" s="3" t="s">
        <v>677</v>
      </c>
      <c r="FP44" s="3" t="s">
        <v>678</v>
      </c>
      <c r="FQ44" s="3" t="s">
        <v>679</v>
      </c>
      <c r="FR44" s="3" t="s">
        <v>680</v>
      </c>
      <c r="FS44" s="3" t="s">
        <v>681</v>
      </c>
      <c r="FT44" s="3" t="s">
        <v>682</v>
      </c>
      <c r="FU44" s="3" t="s">
        <v>676</v>
      </c>
      <c r="FV44" s="3" t="s">
        <v>677</v>
      </c>
      <c r="FW44" s="3" t="s">
        <v>678</v>
      </c>
      <c r="FX44" s="3" t="s">
        <v>679</v>
      </c>
      <c r="FY44" s="3" t="s">
        <v>680</v>
      </c>
      <c r="FZ44" s="3" t="s">
        <v>681</v>
      </c>
      <c r="GA44" s="3" t="s">
        <v>682</v>
      </c>
      <c r="GB44" s="3" t="s">
        <v>676</v>
      </c>
      <c r="GC44" s="3" t="s">
        <v>677</v>
      </c>
      <c r="GD44" s="3" t="s">
        <v>678</v>
      </c>
      <c r="GE44" s="3" t="s">
        <v>679</v>
      </c>
      <c r="GF44" s="3" t="s">
        <v>680</v>
      </c>
      <c r="GG44" s="3" t="s">
        <v>681</v>
      </c>
      <c r="GH44" s="3" t="s">
        <v>682</v>
      </c>
      <c r="GI44" s="3" t="s">
        <v>676</v>
      </c>
      <c r="GJ44" s="3" t="s">
        <v>677</v>
      </c>
      <c r="GK44" s="3" t="s">
        <v>678</v>
      </c>
      <c r="GL44" s="3" t="s">
        <v>679</v>
      </c>
      <c r="GM44" s="3" t="s">
        <v>680</v>
      </c>
      <c r="GN44" s="3" t="s">
        <v>681</v>
      </c>
      <c r="GO44" s="3" t="s">
        <v>682</v>
      </c>
      <c r="GP44" s="3" t="s">
        <v>676</v>
      </c>
      <c r="GQ44" s="3" t="s">
        <v>677</v>
      </c>
      <c r="GR44" s="3" t="s">
        <v>678</v>
      </c>
      <c r="GS44" s="3" t="s">
        <v>679</v>
      </c>
      <c r="GT44" s="3" t="s">
        <v>680</v>
      </c>
      <c r="GU44" s="3" t="s">
        <v>681</v>
      </c>
      <c r="GV44" s="3" t="s">
        <v>682</v>
      </c>
      <c r="GW44" s="3" t="s">
        <v>676</v>
      </c>
      <c r="GX44" s="3" t="s">
        <v>677</v>
      </c>
      <c r="GY44" s="3" t="s">
        <v>678</v>
      </c>
      <c r="GZ44" s="3" t="s">
        <v>679</v>
      </c>
      <c r="HA44" s="3" t="s">
        <v>680</v>
      </c>
      <c r="HB44" s="3" t="s">
        <v>681</v>
      </c>
      <c r="HC44" s="3" t="s">
        <v>682</v>
      </c>
      <c r="HD44" s="3" t="s">
        <v>676</v>
      </c>
      <c r="HE44" s="3" t="s">
        <v>677</v>
      </c>
      <c r="HF44" s="3" t="s">
        <v>678</v>
      </c>
      <c r="HG44" s="3" t="s">
        <v>679</v>
      </c>
      <c r="HH44" s="3" t="s">
        <v>680</v>
      </c>
      <c r="HI44" s="3" t="s">
        <v>681</v>
      </c>
      <c r="HJ44" s="3" t="s">
        <v>682</v>
      </c>
      <c r="HK44" s="3" t="s">
        <v>676</v>
      </c>
      <c r="HL44" s="3" t="s">
        <v>677</v>
      </c>
      <c r="HM44" s="3" t="s">
        <v>678</v>
      </c>
      <c r="HN44" s="3" t="s">
        <v>679</v>
      </c>
      <c r="HO44" s="3" t="s">
        <v>680</v>
      </c>
      <c r="HP44" s="3" t="s">
        <v>681</v>
      </c>
      <c r="HQ44" s="3" t="s">
        <v>682</v>
      </c>
      <c r="HR44" s="3" t="s">
        <v>676</v>
      </c>
      <c r="HS44" s="3" t="s">
        <v>677</v>
      </c>
      <c r="HT44" s="3" t="s">
        <v>678</v>
      </c>
      <c r="HU44" s="3" t="s">
        <v>679</v>
      </c>
      <c r="HV44" s="3" t="s">
        <v>680</v>
      </c>
      <c r="HW44" s="3" t="s">
        <v>681</v>
      </c>
      <c r="HX44" s="3" t="s">
        <v>682</v>
      </c>
      <c r="HY44" s="3" t="s">
        <v>676</v>
      </c>
      <c r="HZ44" s="3" t="s">
        <v>677</v>
      </c>
      <c r="IA44" s="3" t="s">
        <v>678</v>
      </c>
      <c r="IB44" s="3" t="s">
        <v>679</v>
      </c>
      <c r="IC44" s="3" t="s">
        <v>680</v>
      </c>
    </row>
    <row r="45" spans="1:257">
      <c r="A45" s="82" t="s">
        <v>695</v>
      </c>
      <c r="B45" s="82" t="str">
        <f>COUNTIF(P45:IC45, "W")&amp;"勝"</f>
        <v>12勝</v>
      </c>
      <c r="C45" s="82" t="str">
        <f>COUNTIF(P45:IC45, "L")&amp;"敗"</f>
        <v>14敗</v>
      </c>
      <c r="D45" s="82" t="s">
        <v>696</v>
      </c>
      <c r="E45" s="78"/>
      <c r="F45" s="82" t="s">
        <v>717</v>
      </c>
      <c r="G45" s="78"/>
      <c r="H45" s="78"/>
      <c r="I45" s="78"/>
      <c r="J45" s="78"/>
      <c r="K45" s="78"/>
      <c r="L45" s="78"/>
      <c r="M45" s="82"/>
      <c r="N45" s="78"/>
      <c r="O45" s="1" t="s">
        <v>698</v>
      </c>
      <c r="R45" t="s">
        <v>699</v>
      </c>
      <c r="S45" t="s">
        <v>699</v>
      </c>
      <c r="T45" t="s">
        <v>699</v>
      </c>
      <c r="U45" t="s">
        <v>700</v>
      </c>
      <c r="V45" t="s">
        <v>699</v>
      </c>
      <c r="W45" t="s">
        <v>700</v>
      </c>
      <c r="Y45" t="s">
        <v>700</v>
      </c>
      <c r="Z45" t="s">
        <v>700</v>
      </c>
      <c r="AA45" t="s">
        <v>700</v>
      </c>
      <c r="AB45" t="s">
        <v>700</v>
      </c>
      <c r="AC45" t="s">
        <v>700</v>
      </c>
      <c r="AD45" t="s">
        <v>699</v>
      </c>
      <c r="AF45" t="s">
        <v>699</v>
      </c>
      <c r="AG45" t="s">
        <v>700</v>
      </c>
      <c r="AH45" t="s">
        <v>700</v>
      </c>
      <c r="AJ45" t="s">
        <v>699</v>
      </c>
      <c r="AK45" t="s">
        <v>700</v>
      </c>
      <c r="AL45" t="s">
        <v>700</v>
      </c>
      <c r="AM45" t="s">
        <v>700</v>
      </c>
      <c r="AN45" t="s">
        <v>700</v>
      </c>
      <c r="AO45" t="s">
        <v>699</v>
      </c>
      <c r="AP45" t="s">
        <v>699</v>
      </c>
      <c r="AQ45" t="s">
        <v>699</v>
      </c>
      <c r="AT45" t="s">
        <v>700</v>
      </c>
      <c r="AU45" t="s">
        <v>699</v>
      </c>
      <c r="AV45" t="s">
        <v>699</v>
      </c>
    </row>
    <row r="46" spans="1:257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1" t="s">
        <v>701</v>
      </c>
    </row>
    <row r="47" spans="1:257">
      <c r="A47" s="82" t="s">
        <v>702</v>
      </c>
      <c r="B47" s="82" t="str">
        <f>COUNTIF(P47:IC47, "O")&amp;"正"</f>
        <v>10正</v>
      </c>
      <c r="C47" s="82" t="str">
        <f>COUNTIF(P47:IC47, "X")&amp;"負"</f>
        <v>16負</v>
      </c>
      <c r="D47" s="82" t="s">
        <v>703</v>
      </c>
      <c r="E47" s="78"/>
      <c r="F47" s="82" t="s">
        <v>718</v>
      </c>
      <c r="G47" s="78"/>
      <c r="H47" s="78"/>
      <c r="I47" s="78"/>
      <c r="J47" s="78"/>
      <c r="K47" s="78"/>
      <c r="L47" s="78"/>
      <c r="M47" s="82"/>
      <c r="N47" s="78"/>
      <c r="O47" s="1" t="s">
        <v>705</v>
      </c>
      <c r="R47" t="s">
        <v>684</v>
      </c>
      <c r="S47" t="s">
        <v>684</v>
      </c>
      <c r="T47" t="s">
        <v>683</v>
      </c>
      <c r="U47" t="s">
        <v>684</v>
      </c>
      <c r="V47" t="s">
        <v>683</v>
      </c>
      <c r="W47" t="s">
        <v>684</v>
      </c>
      <c r="Y47" t="s">
        <v>684</v>
      </c>
      <c r="Z47" t="s">
        <v>684</v>
      </c>
      <c r="AA47" t="s">
        <v>684</v>
      </c>
      <c r="AB47" t="s">
        <v>684</v>
      </c>
      <c r="AC47" t="s">
        <v>684</v>
      </c>
      <c r="AD47" t="s">
        <v>683</v>
      </c>
      <c r="AF47" t="s">
        <v>683</v>
      </c>
      <c r="AG47" t="s">
        <v>684</v>
      </c>
      <c r="AH47" t="s">
        <v>684</v>
      </c>
      <c r="AJ47" t="s">
        <v>683</v>
      </c>
      <c r="AK47" t="s">
        <v>684</v>
      </c>
      <c r="AL47" t="s">
        <v>684</v>
      </c>
      <c r="AM47" t="s">
        <v>684</v>
      </c>
      <c r="AN47" t="s">
        <v>684</v>
      </c>
      <c r="AO47" t="s">
        <v>683</v>
      </c>
      <c r="AP47" t="s">
        <v>683</v>
      </c>
      <c r="AQ47" t="s">
        <v>683</v>
      </c>
      <c r="AT47" t="s">
        <v>684</v>
      </c>
      <c r="AU47" t="s">
        <v>683</v>
      </c>
      <c r="AV47" t="s">
        <v>683</v>
      </c>
      <c r="IN47" t="str">
        <f ca="1">IFERROR(INDEX($P47:$IC47,1,_xludf.AGGREGATE(14,6,(COLUMN($P47:$IC47)-COLUMN($P47)+1)/($P47:$IC47&lt;&gt;""),1)),"")</f>
        <v/>
      </c>
      <c r="IO47" t="str">
        <f ca="1">IFERROR(INDEX($P47:$IC47,1,_xludf.AGGREGATE(14,6,(COLUMN($P47:$IC47)-COLUMN($P47)+1)/($P47:$IC47&lt;&gt;""),2)),"")</f>
        <v/>
      </c>
      <c r="IP47" t="str">
        <f ca="1">IFERROR(INDEX($P47:$IC47,1,_xludf.AGGREGATE(14,6,(COLUMN($P47:$IC47)-COLUMN($P47)+1)/($P47:$IC47&lt;&gt;""),3)),"")</f>
        <v/>
      </c>
      <c r="IQ47" t="str">
        <f ca="1">IFERROR(INDEX($P47:$IC47,1,_xludf.AGGREGATE(14,6,(COLUMN($P47:$IC47)-COLUMN($P47)+1)/($P47:$IC47&lt;&gt;""),4)),"")</f>
        <v/>
      </c>
      <c r="IR47" t="str">
        <f ca="1">IFERROR(INDEX($P47:$IC47,1,_xludf.AGGREGATE(14,6,(COLUMN($P47:$IC47)-COLUMN($P47)+1)/($P47:$IC47&lt;&gt;""),5)),"")</f>
        <v/>
      </c>
      <c r="IS47" t="str">
        <f ca="1">IFERROR(INDEX($P47:$IC47,1,_xludf.AGGREGATE(14,6,(COLUMN($P47:$IC47)-COLUMN($P47)+1)/($P47:$IC47&lt;&gt;""),6)),"")</f>
        <v/>
      </c>
      <c r="IT47" t="str">
        <f ca="1">IFERROR(INDEX($P47:$IC47,1,_xludf.AGGREGATE(14,6,(COLUMN($P47:$IC47)-COLUMN($P47)+1)/($P47:$IC47&lt;&gt;""),7)),"")</f>
        <v/>
      </c>
      <c r="IU47" t="str">
        <f ca="1">IFERROR(INDEX($P47:$IC47,1,_xludf.AGGREGATE(14,6,(COLUMN($P47:$IC47)-COLUMN($P47)+1)/($P47:$IC47&lt;&gt;""),8)),"")</f>
        <v/>
      </c>
      <c r="IV47" t="str">
        <f ca="1">IFERROR(INDEX($P47:$IC47,1,_xludf.AGGREGATE(14,6,(COLUMN($P47:$IC47)-COLUMN($P47)+1)/($P47:$IC47&lt;&gt;""),9)),"")</f>
        <v/>
      </c>
      <c r="IW47" t="str">
        <f ca="1">IFERROR(INDEX($P47:$IC47,1,_xludf.AGGREGATE(14,6,(COLUMN($P47:$IC47)-COLUMN($P47)+1)/($P47:$IC47&lt;&gt;""),10)),"")</f>
        <v/>
      </c>
    </row>
    <row r="48" spans="1:257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1" t="s">
        <v>706</v>
      </c>
    </row>
    <row r="49" spans="1:257">
      <c r="A49" s="82" t="s">
        <v>707</v>
      </c>
      <c r="B49" s="77"/>
      <c r="C49" s="77"/>
      <c r="D49" s="82" t="s">
        <v>708</v>
      </c>
      <c r="E49" s="78"/>
      <c r="F49" s="82"/>
      <c r="G49" s="78"/>
      <c r="H49" s="78"/>
      <c r="I49" s="78"/>
      <c r="J49" s="78"/>
      <c r="K49" s="78"/>
      <c r="L49" s="78"/>
      <c r="M49" s="82"/>
      <c r="N49" s="78"/>
      <c r="O49" s="1" t="s">
        <v>709</v>
      </c>
    </row>
    <row r="50" spans="1:257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1" t="s">
        <v>710</v>
      </c>
    </row>
    <row r="51" spans="1:257">
      <c r="A51" s="109" t="s">
        <v>3</v>
      </c>
      <c r="B51" s="78"/>
      <c r="C51" s="7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 t="s">
        <v>674</v>
      </c>
      <c r="P51" s="8">
        <v>1</v>
      </c>
      <c r="Q51" s="8">
        <v>2</v>
      </c>
      <c r="R51" s="8">
        <v>3</v>
      </c>
      <c r="S51" s="8">
        <v>4</v>
      </c>
      <c r="T51" s="8">
        <v>5</v>
      </c>
      <c r="U51" s="8">
        <v>6</v>
      </c>
      <c r="V51" s="8">
        <v>7</v>
      </c>
      <c r="W51" s="8">
        <v>8</v>
      </c>
      <c r="X51" s="8">
        <v>9</v>
      </c>
      <c r="Y51" s="8">
        <v>10</v>
      </c>
      <c r="Z51" s="8">
        <v>11</v>
      </c>
      <c r="AA51" s="8">
        <v>12</v>
      </c>
      <c r="AB51" s="8">
        <v>13</v>
      </c>
      <c r="AC51" s="8">
        <v>14</v>
      </c>
      <c r="AD51" s="8">
        <v>15</v>
      </c>
      <c r="AE51" s="8">
        <v>16</v>
      </c>
      <c r="AF51" s="8">
        <v>17</v>
      </c>
      <c r="AG51" s="8">
        <v>18</v>
      </c>
      <c r="AH51" s="8">
        <v>19</v>
      </c>
      <c r="AI51" s="8">
        <v>20</v>
      </c>
      <c r="AJ51" s="8">
        <v>21</v>
      </c>
      <c r="AK51" s="8">
        <v>22</v>
      </c>
      <c r="AL51" s="8">
        <v>23</v>
      </c>
      <c r="AM51" s="8">
        <v>24</v>
      </c>
      <c r="AN51" s="8">
        <v>25</v>
      </c>
      <c r="AO51" s="8">
        <v>26</v>
      </c>
      <c r="AP51" s="8">
        <v>27</v>
      </c>
      <c r="AQ51" s="8">
        <v>28</v>
      </c>
      <c r="AR51" s="8">
        <v>29</v>
      </c>
      <c r="AS51" s="8">
        <v>30</v>
      </c>
      <c r="AT51" s="8">
        <v>31</v>
      </c>
      <c r="AU51" s="8">
        <v>32</v>
      </c>
      <c r="AV51" s="8">
        <v>33</v>
      </c>
      <c r="AW51" s="8">
        <v>34</v>
      </c>
      <c r="AX51" s="8">
        <v>35</v>
      </c>
      <c r="AY51" s="8">
        <v>36</v>
      </c>
      <c r="AZ51" s="8">
        <v>37</v>
      </c>
      <c r="BA51" s="8">
        <v>38</v>
      </c>
      <c r="BB51" s="8">
        <v>39</v>
      </c>
      <c r="BC51" s="8">
        <v>40</v>
      </c>
      <c r="BD51" s="8">
        <v>41</v>
      </c>
      <c r="BE51" s="8">
        <v>42</v>
      </c>
      <c r="BF51" s="8">
        <v>43</v>
      </c>
      <c r="BG51" s="8">
        <v>44</v>
      </c>
      <c r="BH51" s="8">
        <v>45</v>
      </c>
      <c r="BI51" s="8">
        <v>46</v>
      </c>
      <c r="BJ51" s="8">
        <v>47</v>
      </c>
      <c r="BK51" s="8">
        <v>48</v>
      </c>
      <c r="BL51" s="8">
        <v>49</v>
      </c>
      <c r="BM51" s="8">
        <v>50</v>
      </c>
      <c r="BN51" s="8">
        <v>51</v>
      </c>
      <c r="BO51" s="8">
        <v>52</v>
      </c>
      <c r="BP51" s="8">
        <v>53</v>
      </c>
      <c r="BQ51" s="8">
        <v>54</v>
      </c>
      <c r="BR51" s="8">
        <v>55</v>
      </c>
      <c r="BS51" s="8">
        <v>56</v>
      </c>
      <c r="BT51" s="8">
        <v>57</v>
      </c>
      <c r="BU51" s="8">
        <v>58</v>
      </c>
      <c r="BV51" s="8">
        <v>59</v>
      </c>
      <c r="BW51" s="8">
        <v>60</v>
      </c>
      <c r="BX51" s="8">
        <v>61</v>
      </c>
      <c r="BY51" s="8">
        <v>62</v>
      </c>
      <c r="BZ51" s="8">
        <v>63</v>
      </c>
      <c r="CA51" s="8">
        <v>64</v>
      </c>
      <c r="CB51" s="8">
        <v>65</v>
      </c>
      <c r="CC51" s="8">
        <v>66</v>
      </c>
      <c r="CD51" s="8">
        <v>67</v>
      </c>
      <c r="CE51" s="8">
        <v>68</v>
      </c>
      <c r="CF51" s="8">
        <v>69</v>
      </c>
      <c r="CG51" s="8">
        <v>70</v>
      </c>
      <c r="CH51" s="8">
        <v>71</v>
      </c>
      <c r="CI51" s="8">
        <v>72</v>
      </c>
      <c r="CJ51" s="8">
        <v>73</v>
      </c>
      <c r="CK51" s="8">
        <v>74</v>
      </c>
      <c r="CL51" s="8">
        <v>75</v>
      </c>
      <c r="CM51" s="8">
        <v>76</v>
      </c>
      <c r="CN51" s="8">
        <v>77</v>
      </c>
      <c r="CO51" s="8">
        <v>78</v>
      </c>
      <c r="CP51" s="8">
        <v>79</v>
      </c>
      <c r="CQ51" s="8">
        <v>80</v>
      </c>
      <c r="CR51" s="8">
        <v>81</v>
      </c>
      <c r="CS51" s="8">
        <v>82</v>
      </c>
      <c r="CT51" s="8">
        <v>83</v>
      </c>
      <c r="CU51" s="8">
        <v>84</v>
      </c>
      <c r="CV51" s="8">
        <v>85</v>
      </c>
      <c r="CW51" s="8">
        <v>86</v>
      </c>
      <c r="CX51" s="8">
        <v>87</v>
      </c>
      <c r="CY51" s="8">
        <v>88</v>
      </c>
      <c r="CZ51" s="8">
        <v>89</v>
      </c>
      <c r="DA51" s="8">
        <v>90</v>
      </c>
      <c r="DB51" s="8">
        <v>91</v>
      </c>
      <c r="DC51" s="8">
        <v>92</v>
      </c>
      <c r="DD51" s="8">
        <v>93</v>
      </c>
      <c r="DE51" s="8">
        <v>94</v>
      </c>
      <c r="DF51" s="8">
        <v>95</v>
      </c>
      <c r="DG51" s="8">
        <v>96</v>
      </c>
      <c r="DH51" s="8">
        <v>97</v>
      </c>
      <c r="DI51" s="8">
        <v>98</v>
      </c>
      <c r="DJ51" s="8">
        <v>99</v>
      </c>
      <c r="DK51" s="8">
        <v>100</v>
      </c>
      <c r="DL51" s="8">
        <v>101</v>
      </c>
      <c r="DM51" s="8">
        <v>102</v>
      </c>
      <c r="DN51" s="8">
        <v>103</v>
      </c>
      <c r="DO51" s="8">
        <v>104</v>
      </c>
      <c r="DP51" s="8">
        <v>105</v>
      </c>
      <c r="DQ51" s="8">
        <v>106</v>
      </c>
      <c r="DR51" s="8">
        <v>107</v>
      </c>
      <c r="DS51" s="8">
        <v>108</v>
      </c>
      <c r="DT51" s="8">
        <v>109</v>
      </c>
      <c r="DU51" s="8">
        <v>110</v>
      </c>
      <c r="DV51" s="8">
        <v>111</v>
      </c>
      <c r="DW51" s="8">
        <v>112</v>
      </c>
      <c r="DX51" s="8">
        <v>113</v>
      </c>
      <c r="DY51" s="8">
        <v>114</v>
      </c>
      <c r="DZ51" s="8">
        <v>115</v>
      </c>
      <c r="EA51" s="8">
        <v>116</v>
      </c>
      <c r="EB51" s="8">
        <v>117</v>
      </c>
      <c r="EC51" s="8">
        <v>118</v>
      </c>
      <c r="ED51" s="8">
        <v>119</v>
      </c>
      <c r="EE51" s="8">
        <v>120</v>
      </c>
      <c r="EF51" s="8">
        <v>121</v>
      </c>
      <c r="EG51" s="8">
        <v>122</v>
      </c>
      <c r="EH51" s="8">
        <v>123</v>
      </c>
      <c r="EI51" s="8">
        <v>124</v>
      </c>
      <c r="EJ51" s="8">
        <v>125</v>
      </c>
      <c r="EK51" s="8">
        <v>126</v>
      </c>
      <c r="EL51" s="8">
        <v>127</v>
      </c>
      <c r="EM51" s="8">
        <v>128</v>
      </c>
      <c r="EN51" s="8">
        <v>129</v>
      </c>
      <c r="EO51" s="8">
        <v>130</v>
      </c>
      <c r="EP51" s="8">
        <v>131</v>
      </c>
      <c r="EQ51" s="8">
        <v>132</v>
      </c>
      <c r="ER51" s="8">
        <v>133</v>
      </c>
      <c r="ES51" s="8">
        <v>134</v>
      </c>
      <c r="ET51" s="8">
        <v>135</v>
      </c>
      <c r="EU51" s="8">
        <v>136</v>
      </c>
      <c r="EV51" s="8">
        <v>137</v>
      </c>
      <c r="EW51" s="8">
        <v>138</v>
      </c>
      <c r="EX51" s="8">
        <v>139</v>
      </c>
      <c r="EY51" s="8">
        <v>140</v>
      </c>
      <c r="EZ51" s="8">
        <v>141</v>
      </c>
      <c r="FA51" s="8">
        <v>142</v>
      </c>
      <c r="FB51" s="8">
        <v>143</v>
      </c>
      <c r="FC51" s="8">
        <v>144</v>
      </c>
      <c r="FD51" s="8">
        <v>145</v>
      </c>
      <c r="FE51" s="8">
        <v>146</v>
      </c>
      <c r="FF51" s="8">
        <v>147</v>
      </c>
      <c r="FG51" s="8">
        <v>148</v>
      </c>
      <c r="FH51" s="8">
        <v>149</v>
      </c>
      <c r="FI51" s="8">
        <v>150</v>
      </c>
      <c r="FJ51" s="8">
        <v>151</v>
      </c>
      <c r="FK51" s="8">
        <v>152</v>
      </c>
      <c r="FL51" s="8">
        <v>153</v>
      </c>
      <c r="FM51" s="8">
        <v>154</v>
      </c>
      <c r="FN51" s="8">
        <v>155</v>
      </c>
      <c r="FO51" s="8">
        <v>156</v>
      </c>
      <c r="FP51" s="8">
        <v>157</v>
      </c>
      <c r="FQ51" s="8">
        <v>158</v>
      </c>
      <c r="FR51" s="8">
        <v>159</v>
      </c>
      <c r="FS51" s="8">
        <v>160</v>
      </c>
      <c r="FT51" s="8">
        <v>161</v>
      </c>
      <c r="FU51" s="8">
        <v>162</v>
      </c>
      <c r="FV51" s="8">
        <v>163</v>
      </c>
      <c r="FW51" s="8">
        <v>164</v>
      </c>
      <c r="FX51" s="8">
        <v>165</v>
      </c>
      <c r="FY51" s="8">
        <v>166</v>
      </c>
      <c r="FZ51" s="8">
        <v>167</v>
      </c>
      <c r="GA51" s="8">
        <v>168</v>
      </c>
      <c r="GB51" s="8">
        <v>169</v>
      </c>
      <c r="GC51" s="8">
        <v>170</v>
      </c>
      <c r="GD51" s="8">
        <v>171</v>
      </c>
      <c r="GE51" s="8">
        <v>172</v>
      </c>
      <c r="GF51" s="8">
        <v>173</v>
      </c>
      <c r="GG51" s="8">
        <v>174</v>
      </c>
      <c r="GH51" s="8">
        <v>175</v>
      </c>
      <c r="GI51" s="8">
        <v>176</v>
      </c>
      <c r="GJ51" s="8">
        <v>177</v>
      </c>
      <c r="GK51" s="8">
        <v>178</v>
      </c>
      <c r="GL51" s="8">
        <v>179</v>
      </c>
      <c r="GM51" s="8">
        <v>180</v>
      </c>
      <c r="GN51" s="8">
        <v>181</v>
      </c>
      <c r="GO51" s="8">
        <v>182</v>
      </c>
      <c r="GP51" s="8">
        <v>183</v>
      </c>
      <c r="GQ51" s="8">
        <v>184</v>
      </c>
      <c r="GR51" s="8">
        <v>185</v>
      </c>
      <c r="GS51" s="8">
        <v>186</v>
      </c>
      <c r="GT51" s="8">
        <v>187</v>
      </c>
      <c r="GU51" s="8">
        <v>188</v>
      </c>
      <c r="GV51" s="8">
        <v>189</v>
      </c>
      <c r="GW51" s="8">
        <v>190</v>
      </c>
      <c r="GX51" s="8">
        <v>191</v>
      </c>
      <c r="GY51" s="8">
        <v>192</v>
      </c>
      <c r="GZ51" s="8">
        <v>193</v>
      </c>
      <c r="HA51" s="8">
        <v>194</v>
      </c>
      <c r="HB51" s="8">
        <v>195</v>
      </c>
      <c r="HC51" s="8">
        <v>196</v>
      </c>
      <c r="HD51" s="8">
        <v>197</v>
      </c>
      <c r="HE51" s="8">
        <v>198</v>
      </c>
      <c r="HF51" s="8">
        <v>199</v>
      </c>
      <c r="HG51" s="8">
        <v>200</v>
      </c>
      <c r="HH51" s="8">
        <v>201</v>
      </c>
      <c r="HI51" s="8">
        <v>202</v>
      </c>
      <c r="HJ51" s="8">
        <v>203</v>
      </c>
      <c r="HK51" s="8">
        <v>204</v>
      </c>
      <c r="HL51" s="8">
        <v>205</v>
      </c>
      <c r="HM51" s="8">
        <v>206</v>
      </c>
      <c r="HN51" s="8">
        <v>207</v>
      </c>
      <c r="HO51" s="8">
        <v>208</v>
      </c>
      <c r="HP51" s="8">
        <v>209</v>
      </c>
      <c r="HQ51" s="8">
        <v>210</v>
      </c>
      <c r="HR51" s="8">
        <v>211</v>
      </c>
      <c r="HS51" s="8">
        <v>212</v>
      </c>
      <c r="HT51" s="8">
        <v>213</v>
      </c>
      <c r="HU51" s="8">
        <v>214</v>
      </c>
      <c r="HV51" s="8">
        <v>215</v>
      </c>
      <c r="HW51" s="8">
        <v>216</v>
      </c>
      <c r="HX51" s="8">
        <v>217</v>
      </c>
      <c r="HY51" s="8">
        <v>218</v>
      </c>
      <c r="HZ51" s="8">
        <v>219</v>
      </c>
      <c r="IA51" s="8">
        <v>220</v>
      </c>
      <c r="IB51" s="8">
        <v>221</v>
      </c>
      <c r="IC51" s="8">
        <v>222</v>
      </c>
    </row>
    <row r="52" spans="1:257">
      <c r="A52" s="78"/>
      <c r="B52" s="78"/>
      <c r="C52" s="7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7"/>
      <c r="P52" s="50" t="s">
        <v>3</v>
      </c>
      <c r="Q52" s="50" t="s">
        <v>3</v>
      </c>
      <c r="R52" s="50" t="s">
        <v>3</v>
      </c>
      <c r="S52" s="50" t="s">
        <v>3</v>
      </c>
      <c r="T52" s="50" t="s">
        <v>3</v>
      </c>
      <c r="U52" s="50" t="s">
        <v>3</v>
      </c>
      <c r="V52" s="50" t="s">
        <v>3</v>
      </c>
      <c r="W52" s="50" t="s">
        <v>3</v>
      </c>
      <c r="X52" s="50" t="s">
        <v>3</v>
      </c>
      <c r="Y52" s="50" t="s">
        <v>3</v>
      </c>
      <c r="Z52" s="50" t="s">
        <v>3</v>
      </c>
      <c r="AA52" s="50" t="s">
        <v>3</v>
      </c>
      <c r="AB52" s="50" t="s">
        <v>3</v>
      </c>
      <c r="AC52" s="50" t="s">
        <v>3</v>
      </c>
      <c r="AD52" s="50" t="s">
        <v>3</v>
      </c>
      <c r="AE52" s="50" t="s">
        <v>3</v>
      </c>
      <c r="AF52" s="50" t="s">
        <v>3</v>
      </c>
      <c r="AG52" s="50" t="s">
        <v>3</v>
      </c>
      <c r="AH52" s="50" t="s">
        <v>3</v>
      </c>
      <c r="AI52" s="50" t="s">
        <v>3</v>
      </c>
      <c r="AJ52" s="50" t="s">
        <v>3</v>
      </c>
      <c r="AK52" s="50" t="s">
        <v>3</v>
      </c>
      <c r="AL52" s="50" t="s">
        <v>3</v>
      </c>
      <c r="AM52" s="50" t="s">
        <v>3</v>
      </c>
      <c r="AN52" s="50" t="s">
        <v>3</v>
      </c>
      <c r="AO52" s="50" t="s">
        <v>3</v>
      </c>
      <c r="AP52" s="50" t="s">
        <v>3</v>
      </c>
      <c r="AQ52" s="50" t="s">
        <v>3</v>
      </c>
      <c r="AR52" s="50" t="s">
        <v>3</v>
      </c>
      <c r="AS52" s="50" t="s">
        <v>3</v>
      </c>
      <c r="AT52" s="50" t="s">
        <v>3</v>
      </c>
      <c r="AU52" s="50" t="s">
        <v>3</v>
      </c>
      <c r="AV52" s="50" t="s">
        <v>3</v>
      </c>
      <c r="AW52" s="50" t="s">
        <v>3</v>
      </c>
      <c r="AX52" s="50" t="s">
        <v>3</v>
      </c>
      <c r="AY52" s="50" t="s">
        <v>3</v>
      </c>
      <c r="AZ52" s="50" t="s">
        <v>3</v>
      </c>
      <c r="BA52" s="50" t="s">
        <v>3</v>
      </c>
      <c r="BB52" s="50" t="s">
        <v>3</v>
      </c>
      <c r="BC52" s="50" t="s">
        <v>3</v>
      </c>
      <c r="BD52" s="50" t="s">
        <v>3</v>
      </c>
      <c r="BE52" s="50" t="s">
        <v>3</v>
      </c>
      <c r="BF52" s="50" t="s">
        <v>3</v>
      </c>
      <c r="BG52" s="50" t="s">
        <v>3</v>
      </c>
      <c r="BH52" s="50" t="s">
        <v>3</v>
      </c>
      <c r="BI52" s="50" t="s">
        <v>3</v>
      </c>
      <c r="BJ52" s="50" t="s">
        <v>3</v>
      </c>
      <c r="BK52" s="50" t="s">
        <v>3</v>
      </c>
      <c r="BL52" s="50" t="s">
        <v>3</v>
      </c>
      <c r="BM52" s="50" t="s">
        <v>3</v>
      </c>
      <c r="BN52" s="50" t="s">
        <v>3</v>
      </c>
      <c r="BO52" s="50" t="s">
        <v>3</v>
      </c>
      <c r="BP52" s="50" t="s">
        <v>3</v>
      </c>
      <c r="BQ52" s="50" t="s">
        <v>3</v>
      </c>
      <c r="BR52" s="50" t="s">
        <v>3</v>
      </c>
      <c r="BS52" s="50" t="s">
        <v>3</v>
      </c>
      <c r="BT52" s="50" t="s">
        <v>3</v>
      </c>
      <c r="BU52" s="50" t="s">
        <v>3</v>
      </c>
      <c r="BV52" s="50" t="s">
        <v>3</v>
      </c>
      <c r="BW52" s="50" t="s">
        <v>3</v>
      </c>
      <c r="BX52" s="50" t="s">
        <v>3</v>
      </c>
      <c r="BY52" s="50" t="s">
        <v>3</v>
      </c>
      <c r="BZ52" s="50" t="s">
        <v>3</v>
      </c>
      <c r="CA52" s="50" t="s">
        <v>3</v>
      </c>
      <c r="CB52" s="50" t="s">
        <v>3</v>
      </c>
      <c r="CC52" s="50" t="s">
        <v>3</v>
      </c>
      <c r="CD52" s="50" t="s">
        <v>3</v>
      </c>
      <c r="CE52" s="50" t="s">
        <v>3</v>
      </c>
      <c r="CF52" s="50" t="s">
        <v>3</v>
      </c>
      <c r="CG52" s="50" t="s">
        <v>3</v>
      </c>
      <c r="CH52" s="50" t="s">
        <v>3</v>
      </c>
      <c r="CI52" s="50" t="s">
        <v>3</v>
      </c>
      <c r="CJ52" s="50" t="s">
        <v>3</v>
      </c>
      <c r="CK52" s="50" t="s">
        <v>3</v>
      </c>
      <c r="CL52" s="50" t="s">
        <v>3</v>
      </c>
      <c r="CM52" s="50" t="s">
        <v>3</v>
      </c>
      <c r="CN52" s="50" t="s">
        <v>3</v>
      </c>
      <c r="CO52" s="50" t="s">
        <v>3</v>
      </c>
      <c r="CP52" s="50" t="s">
        <v>3</v>
      </c>
      <c r="CQ52" s="50" t="s">
        <v>3</v>
      </c>
      <c r="CR52" s="50" t="s">
        <v>3</v>
      </c>
      <c r="CS52" s="50" t="s">
        <v>3</v>
      </c>
      <c r="CT52" s="50" t="s">
        <v>3</v>
      </c>
      <c r="CU52" s="50" t="s">
        <v>3</v>
      </c>
      <c r="CV52" s="50" t="s">
        <v>3</v>
      </c>
      <c r="CW52" s="50" t="s">
        <v>3</v>
      </c>
      <c r="CX52" s="50" t="s">
        <v>3</v>
      </c>
      <c r="CY52" s="50" t="s">
        <v>3</v>
      </c>
      <c r="CZ52" s="50" t="s">
        <v>3</v>
      </c>
      <c r="DA52" s="50" t="s">
        <v>3</v>
      </c>
      <c r="DB52" s="50" t="s">
        <v>3</v>
      </c>
      <c r="DC52" s="50" t="s">
        <v>3</v>
      </c>
      <c r="DD52" s="50" t="s">
        <v>3</v>
      </c>
      <c r="DE52" s="50" t="s">
        <v>3</v>
      </c>
      <c r="DF52" s="50" t="s">
        <v>3</v>
      </c>
      <c r="DG52" s="50" t="s">
        <v>3</v>
      </c>
      <c r="DH52" s="50" t="s">
        <v>3</v>
      </c>
      <c r="DI52" s="50" t="s">
        <v>3</v>
      </c>
      <c r="DJ52" s="50" t="s">
        <v>3</v>
      </c>
      <c r="DK52" s="50" t="s">
        <v>3</v>
      </c>
      <c r="DL52" s="50" t="s">
        <v>3</v>
      </c>
      <c r="DM52" s="50" t="s">
        <v>3</v>
      </c>
      <c r="DN52" s="50" t="s">
        <v>3</v>
      </c>
      <c r="DO52" s="50" t="s">
        <v>3</v>
      </c>
      <c r="DP52" s="50" t="s">
        <v>3</v>
      </c>
      <c r="DQ52" s="50" t="s">
        <v>3</v>
      </c>
      <c r="DR52" s="50" t="s">
        <v>3</v>
      </c>
      <c r="DS52" s="50" t="s">
        <v>3</v>
      </c>
      <c r="DT52" s="50" t="s">
        <v>3</v>
      </c>
      <c r="DU52" s="50" t="s">
        <v>3</v>
      </c>
      <c r="DV52" s="50" t="s">
        <v>3</v>
      </c>
      <c r="DW52" s="50" t="s">
        <v>3</v>
      </c>
      <c r="DX52" s="50" t="s">
        <v>3</v>
      </c>
      <c r="DY52" s="50" t="s">
        <v>3</v>
      </c>
      <c r="DZ52" s="50" t="s">
        <v>3</v>
      </c>
      <c r="EA52" s="50" t="s">
        <v>3</v>
      </c>
      <c r="EB52" s="50" t="s">
        <v>3</v>
      </c>
      <c r="EC52" s="50" t="s">
        <v>3</v>
      </c>
      <c r="ED52" s="50" t="s">
        <v>3</v>
      </c>
      <c r="EE52" s="50" t="s">
        <v>3</v>
      </c>
      <c r="EF52" s="50" t="s">
        <v>3</v>
      </c>
      <c r="EG52" s="50" t="s">
        <v>3</v>
      </c>
      <c r="EH52" s="50" t="s">
        <v>3</v>
      </c>
      <c r="EI52" s="50" t="s">
        <v>3</v>
      </c>
      <c r="EJ52" s="50" t="s">
        <v>3</v>
      </c>
      <c r="EK52" s="50" t="s">
        <v>3</v>
      </c>
      <c r="EL52" s="50" t="s">
        <v>3</v>
      </c>
      <c r="EM52" s="50" t="s">
        <v>3</v>
      </c>
      <c r="EN52" s="50" t="s">
        <v>3</v>
      </c>
      <c r="EO52" s="50" t="s">
        <v>3</v>
      </c>
      <c r="EP52" s="50" t="s">
        <v>3</v>
      </c>
      <c r="EQ52" s="50" t="s">
        <v>3</v>
      </c>
      <c r="ER52" s="50" t="s">
        <v>3</v>
      </c>
      <c r="ES52" s="50" t="s">
        <v>3</v>
      </c>
      <c r="ET52" s="50" t="s">
        <v>3</v>
      </c>
      <c r="EU52" s="50" t="s">
        <v>3</v>
      </c>
      <c r="EV52" s="50" t="s">
        <v>3</v>
      </c>
      <c r="EW52" s="50" t="s">
        <v>3</v>
      </c>
      <c r="EX52" s="50" t="s">
        <v>3</v>
      </c>
      <c r="EY52" s="50" t="s">
        <v>3</v>
      </c>
      <c r="EZ52" s="50" t="s">
        <v>3</v>
      </c>
      <c r="FA52" s="50" t="s">
        <v>3</v>
      </c>
      <c r="FB52" s="50" t="s">
        <v>3</v>
      </c>
      <c r="FC52" s="50" t="s">
        <v>3</v>
      </c>
      <c r="FD52" s="50" t="s">
        <v>3</v>
      </c>
      <c r="FE52" s="50" t="s">
        <v>3</v>
      </c>
      <c r="FF52" s="50" t="s">
        <v>3</v>
      </c>
      <c r="FG52" s="50" t="s">
        <v>3</v>
      </c>
      <c r="FH52" s="50" t="s">
        <v>3</v>
      </c>
      <c r="FI52" s="50" t="s">
        <v>3</v>
      </c>
      <c r="FJ52" s="50" t="s">
        <v>3</v>
      </c>
      <c r="FK52" s="50" t="s">
        <v>3</v>
      </c>
      <c r="FL52" s="50" t="s">
        <v>3</v>
      </c>
      <c r="FM52" s="50" t="s">
        <v>3</v>
      </c>
      <c r="FN52" s="50" t="s">
        <v>3</v>
      </c>
      <c r="FO52" s="50" t="s">
        <v>3</v>
      </c>
      <c r="FP52" s="50" t="s">
        <v>3</v>
      </c>
      <c r="FQ52" s="50" t="s">
        <v>3</v>
      </c>
      <c r="FR52" s="50" t="s">
        <v>3</v>
      </c>
      <c r="FS52" s="50" t="s">
        <v>3</v>
      </c>
      <c r="FT52" s="50" t="s">
        <v>3</v>
      </c>
      <c r="FU52" s="50" t="s">
        <v>3</v>
      </c>
      <c r="FV52" s="50" t="s">
        <v>3</v>
      </c>
      <c r="FW52" s="50" t="s">
        <v>3</v>
      </c>
      <c r="FX52" s="50" t="s">
        <v>3</v>
      </c>
      <c r="FY52" s="50" t="s">
        <v>3</v>
      </c>
      <c r="FZ52" s="50" t="s">
        <v>3</v>
      </c>
      <c r="GA52" s="50" t="s">
        <v>3</v>
      </c>
      <c r="GB52" s="50" t="s">
        <v>3</v>
      </c>
      <c r="GC52" s="50" t="s">
        <v>3</v>
      </c>
      <c r="GD52" s="50" t="s">
        <v>3</v>
      </c>
      <c r="GE52" s="50" t="s">
        <v>3</v>
      </c>
      <c r="GF52" s="50" t="s">
        <v>3</v>
      </c>
      <c r="GG52" s="50" t="s">
        <v>3</v>
      </c>
      <c r="GH52" s="50" t="s">
        <v>3</v>
      </c>
      <c r="GI52" s="50" t="s">
        <v>3</v>
      </c>
      <c r="GJ52" s="50" t="s">
        <v>3</v>
      </c>
      <c r="GK52" s="50" t="s">
        <v>3</v>
      </c>
      <c r="GL52" s="50" t="s">
        <v>3</v>
      </c>
      <c r="GM52" s="50" t="s">
        <v>3</v>
      </c>
      <c r="GN52" s="50" t="s">
        <v>3</v>
      </c>
      <c r="GO52" s="50" t="s">
        <v>3</v>
      </c>
      <c r="GP52" s="50" t="s">
        <v>3</v>
      </c>
      <c r="GQ52" s="50" t="s">
        <v>3</v>
      </c>
      <c r="GR52" s="50" t="s">
        <v>3</v>
      </c>
      <c r="GS52" s="50" t="s">
        <v>3</v>
      </c>
      <c r="GT52" s="50" t="s">
        <v>3</v>
      </c>
      <c r="GU52" s="50" t="s">
        <v>3</v>
      </c>
      <c r="GV52" s="50" t="s">
        <v>3</v>
      </c>
      <c r="GW52" s="50" t="s">
        <v>3</v>
      </c>
      <c r="GX52" s="50" t="s">
        <v>3</v>
      </c>
      <c r="GY52" s="50" t="s">
        <v>3</v>
      </c>
      <c r="GZ52" s="50" t="s">
        <v>3</v>
      </c>
      <c r="HA52" s="50" t="s">
        <v>3</v>
      </c>
      <c r="HB52" s="50" t="s">
        <v>3</v>
      </c>
      <c r="HC52" s="50" t="s">
        <v>3</v>
      </c>
      <c r="HD52" s="50" t="s">
        <v>3</v>
      </c>
      <c r="HE52" s="50" t="s">
        <v>3</v>
      </c>
      <c r="HF52" s="50" t="s">
        <v>3</v>
      </c>
      <c r="HG52" s="50" t="s">
        <v>3</v>
      </c>
      <c r="HH52" s="50" t="s">
        <v>3</v>
      </c>
      <c r="HI52" s="50" t="s">
        <v>3</v>
      </c>
      <c r="HJ52" s="50" t="s">
        <v>3</v>
      </c>
      <c r="HK52" s="50" t="s">
        <v>3</v>
      </c>
      <c r="HL52" s="50" t="s">
        <v>3</v>
      </c>
      <c r="HM52" s="50" t="s">
        <v>3</v>
      </c>
      <c r="HN52" s="50" t="s">
        <v>3</v>
      </c>
      <c r="HO52" s="50" t="s">
        <v>3</v>
      </c>
      <c r="HP52" s="50" t="s">
        <v>3</v>
      </c>
      <c r="HQ52" s="50" t="s">
        <v>3</v>
      </c>
      <c r="HR52" s="50" t="s">
        <v>3</v>
      </c>
      <c r="HS52" s="50" t="s">
        <v>3</v>
      </c>
      <c r="HT52" s="50" t="s">
        <v>3</v>
      </c>
      <c r="HU52" s="50" t="s">
        <v>3</v>
      </c>
      <c r="HV52" s="50" t="s">
        <v>3</v>
      </c>
      <c r="HW52" s="50" t="s">
        <v>3</v>
      </c>
      <c r="HX52" s="50" t="s">
        <v>3</v>
      </c>
      <c r="HY52" s="50" t="s">
        <v>3</v>
      </c>
      <c r="HZ52" s="50" t="s">
        <v>3</v>
      </c>
      <c r="IA52" s="50" t="s">
        <v>3</v>
      </c>
      <c r="IB52" s="50" t="s">
        <v>3</v>
      </c>
      <c r="IC52" s="50" t="s">
        <v>3</v>
      </c>
    </row>
    <row r="53" spans="1:257">
      <c r="A53" s="4" t="s">
        <v>522</v>
      </c>
      <c r="B53" s="82" t="str">
        <f t="array" ref="B53">_xlfn.LET(
  _xlpm.dates, _xlfn._xlws.FILTER(P53:HO53, (P55:HO55&lt;&gt;"")+(P57:HO57&lt;&gt;"")),
  _xlpm.numDates, IFERROR(VALUE(_xlpm.dates), _xlpm.dates),
  _xlpm.first, TEXT(MIN(_xlpm.numDates), "m/dd"),
  _xlpm.last, TEXT(MAX(_xlpm.numDates), "m/dd"),
  _xlpm.first &amp; "~" &amp; _xlpm.last
)</f>
        <v>3/27~4/27</v>
      </c>
      <c r="C53" s="78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 t="s">
        <v>522</v>
      </c>
      <c r="P53" s="3">
        <v>46107</v>
      </c>
      <c r="Q53" s="3">
        <v>46108</v>
      </c>
      <c r="R53" s="3">
        <v>46109</v>
      </c>
      <c r="S53" s="3">
        <v>46110</v>
      </c>
      <c r="T53" s="3">
        <v>46111</v>
      </c>
      <c r="U53" s="3">
        <v>46112</v>
      </c>
      <c r="V53" s="3">
        <v>46113</v>
      </c>
      <c r="W53" s="3">
        <v>46114</v>
      </c>
      <c r="X53" s="3">
        <v>46115</v>
      </c>
      <c r="Y53" s="3">
        <v>46116</v>
      </c>
      <c r="Z53" s="3">
        <v>46117</v>
      </c>
      <c r="AA53" s="3">
        <v>46118</v>
      </c>
      <c r="AB53" s="3">
        <v>46119</v>
      </c>
      <c r="AC53" s="3">
        <v>46120</v>
      </c>
      <c r="AD53" s="3">
        <v>46121</v>
      </c>
      <c r="AE53" s="3">
        <v>46122</v>
      </c>
      <c r="AF53" s="3">
        <v>46123</v>
      </c>
      <c r="AG53" s="3">
        <v>46124</v>
      </c>
      <c r="AH53" s="3">
        <v>46125</v>
      </c>
      <c r="AI53" s="3">
        <v>46126</v>
      </c>
      <c r="AJ53" s="3">
        <v>46127</v>
      </c>
      <c r="AK53" s="3">
        <v>46128</v>
      </c>
      <c r="AL53" s="3">
        <v>46129</v>
      </c>
      <c r="AM53" s="3">
        <v>46130</v>
      </c>
      <c r="AN53" s="3">
        <v>46131</v>
      </c>
      <c r="AO53" s="3">
        <v>46132</v>
      </c>
      <c r="AP53" s="3">
        <v>46133</v>
      </c>
      <c r="AQ53" s="3">
        <v>46134</v>
      </c>
      <c r="AR53" s="3">
        <v>46135</v>
      </c>
      <c r="AS53" s="3">
        <v>46136</v>
      </c>
      <c r="AT53" s="3">
        <v>46137</v>
      </c>
      <c r="AU53" s="3">
        <v>46138</v>
      </c>
      <c r="AV53" s="3">
        <v>46139</v>
      </c>
      <c r="AW53" s="3">
        <v>46140</v>
      </c>
      <c r="AX53" s="3">
        <v>46141</v>
      </c>
      <c r="AY53" s="3">
        <v>46142</v>
      </c>
      <c r="AZ53" s="3">
        <v>46143</v>
      </c>
      <c r="BA53" s="3">
        <v>46144</v>
      </c>
      <c r="BB53" s="3">
        <v>46145</v>
      </c>
      <c r="BC53" s="3">
        <v>46146</v>
      </c>
      <c r="BD53" s="3">
        <v>46147</v>
      </c>
      <c r="BE53" s="3">
        <v>46148</v>
      </c>
      <c r="BF53" s="3">
        <v>46149</v>
      </c>
      <c r="BG53" s="3">
        <v>46150</v>
      </c>
      <c r="BH53" s="3">
        <v>46151</v>
      </c>
      <c r="BI53" s="3">
        <v>46152</v>
      </c>
      <c r="BJ53" s="3">
        <v>46153</v>
      </c>
      <c r="BK53" s="3">
        <v>46154</v>
      </c>
      <c r="BL53" s="3">
        <v>46155</v>
      </c>
      <c r="BM53" s="3">
        <v>46156</v>
      </c>
      <c r="BN53" s="3">
        <v>46157</v>
      </c>
      <c r="BO53" s="3">
        <v>46158</v>
      </c>
      <c r="BP53" s="3">
        <v>46159</v>
      </c>
      <c r="BQ53" s="3">
        <v>46160</v>
      </c>
      <c r="BR53" s="3">
        <v>46161</v>
      </c>
      <c r="BS53" s="3">
        <v>46162</v>
      </c>
      <c r="BT53" s="3">
        <v>46163</v>
      </c>
      <c r="BU53" s="3">
        <v>46164</v>
      </c>
      <c r="BV53" s="3">
        <v>46165</v>
      </c>
      <c r="BW53" s="3">
        <v>46166</v>
      </c>
      <c r="BX53" s="3">
        <v>46167</v>
      </c>
      <c r="BY53" s="3">
        <v>46168</v>
      </c>
      <c r="BZ53" s="3">
        <v>46169</v>
      </c>
      <c r="CA53" s="3">
        <v>46170</v>
      </c>
      <c r="CB53" s="3">
        <v>46171</v>
      </c>
      <c r="CC53" s="3">
        <v>46172</v>
      </c>
      <c r="CD53" s="3">
        <v>46173</v>
      </c>
      <c r="CE53" s="3">
        <v>46174</v>
      </c>
      <c r="CF53" s="3">
        <v>46175</v>
      </c>
      <c r="CG53" s="3">
        <v>46176</v>
      </c>
      <c r="CH53" s="3">
        <v>46177</v>
      </c>
      <c r="CI53" s="3">
        <v>46178</v>
      </c>
      <c r="CJ53" s="3">
        <v>46179</v>
      </c>
      <c r="CK53" s="3">
        <v>46180</v>
      </c>
      <c r="CL53" s="3">
        <v>46181</v>
      </c>
      <c r="CM53" s="3">
        <v>46182</v>
      </c>
      <c r="CN53" s="3">
        <v>46183</v>
      </c>
      <c r="CO53" s="3">
        <v>46184</v>
      </c>
      <c r="CP53" s="3">
        <v>46185</v>
      </c>
      <c r="CQ53" s="3">
        <v>46186</v>
      </c>
      <c r="CR53" s="3">
        <v>46187</v>
      </c>
      <c r="CS53" s="3">
        <v>46188</v>
      </c>
      <c r="CT53" s="3">
        <v>46189</v>
      </c>
      <c r="CU53" s="3">
        <v>46190</v>
      </c>
      <c r="CV53" s="3">
        <v>46191</v>
      </c>
      <c r="CW53" s="3">
        <v>46192</v>
      </c>
      <c r="CX53" s="3">
        <v>46193</v>
      </c>
      <c r="CY53" s="3">
        <v>46194</v>
      </c>
      <c r="CZ53" s="3">
        <v>46195</v>
      </c>
      <c r="DA53" s="3">
        <v>46196</v>
      </c>
      <c r="DB53" s="3">
        <v>46197</v>
      </c>
      <c r="DC53" s="3">
        <v>46198</v>
      </c>
      <c r="DD53" s="3">
        <v>46199</v>
      </c>
      <c r="DE53" s="3">
        <v>46200</v>
      </c>
      <c r="DF53" s="3">
        <v>46201</v>
      </c>
      <c r="DG53" s="3">
        <v>46202</v>
      </c>
      <c r="DH53" s="3">
        <v>46203</v>
      </c>
      <c r="DI53" s="3">
        <v>46204</v>
      </c>
      <c r="DJ53" s="3">
        <v>46205</v>
      </c>
      <c r="DK53" s="3">
        <v>46206</v>
      </c>
      <c r="DL53" s="3">
        <v>46207</v>
      </c>
      <c r="DM53" s="3">
        <v>46208</v>
      </c>
      <c r="DN53" s="3">
        <v>46209</v>
      </c>
      <c r="DO53" s="3">
        <v>46210</v>
      </c>
      <c r="DP53" s="3">
        <v>46211</v>
      </c>
      <c r="DQ53" s="3">
        <v>46212</v>
      </c>
      <c r="DR53" s="3">
        <v>46213</v>
      </c>
      <c r="DS53" s="3">
        <v>46214</v>
      </c>
      <c r="DT53" s="3">
        <v>46215</v>
      </c>
      <c r="DU53" s="3">
        <v>46216</v>
      </c>
      <c r="DV53" s="3">
        <v>46217</v>
      </c>
      <c r="DW53" s="3">
        <v>46218</v>
      </c>
      <c r="DX53" s="3">
        <v>46219</v>
      </c>
      <c r="DY53" s="3">
        <v>46220</v>
      </c>
      <c r="DZ53" s="3">
        <v>46221</v>
      </c>
      <c r="EA53" s="3">
        <v>46222</v>
      </c>
      <c r="EB53" s="3">
        <v>46223</v>
      </c>
      <c r="EC53" s="3">
        <v>46224</v>
      </c>
      <c r="ED53" s="3">
        <v>46225</v>
      </c>
      <c r="EE53" s="3">
        <v>46226</v>
      </c>
      <c r="EF53" s="3">
        <v>46227</v>
      </c>
      <c r="EG53" s="3">
        <v>46228</v>
      </c>
      <c r="EH53" s="3">
        <v>46229</v>
      </c>
      <c r="EI53" s="3">
        <v>46230</v>
      </c>
      <c r="EJ53" s="3">
        <v>46231</v>
      </c>
      <c r="EK53" s="3">
        <v>46232</v>
      </c>
      <c r="EL53" s="3">
        <v>46233</v>
      </c>
      <c r="EM53" s="3">
        <v>46234</v>
      </c>
      <c r="EN53" s="3">
        <v>46235</v>
      </c>
      <c r="EO53" s="3">
        <v>46236</v>
      </c>
      <c r="EP53" s="3">
        <v>46237</v>
      </c>
      <c r="EQ53" s="3">
        <v>46238</v>
      </c>
      <c r="ER53" s="3">
        <v>46239</v>
      </c>
      <c r="ES53" s="3">
        <v>46240</v>
      </c>
      <c r="ET53" s="3">
        <v>46241</v>
      </c>
      <c r="EU53" s="3">
        <v>46242</v>
      </c>
      <c r="EV53" s="3">
        <v>46243</v>
      </c>
      <c r="EW53" s="3">
        <v>46244</v>
      </c>
      <c r="EX53" s="3">
        <v>46245</v>
      </c>
      <c r="EY53" s="3">
        <v>46246</v>
      </c>
      <c r="EZ53" s="3">
        <v>46247</v>
      </c>
      <c r="FA53" s="3">
        <v>46248</v>
      </c>
      <c r="FB53" s="3">
        <v>46249</v>
      </c>
      <c r="FC53" s="3">
        <v>46250</v>
      </c>
      <c r="FD53" s="3">
        <v>46251</v>
      </c>
      <c r="FE53" s="3">
        <v>46252</v>
      </c>
      <c r="FF53" s="3">
        <v>46253</v>
      </c>
      <c r="FG53" s="3">
        <v>46254</v>
      </c>
      <c r="FH53" s="3">
        <v>46255</v>
      </c>
      <c r="FI53" s="3">
        <v>46256</v>
      </c>
      <c r="FJ53" s="3">
        <v>46257</v>
      </c>
      <c r="FK53" s="3">
        <v>46258</v>
      </c>
      <c r="FL53" s="3">
        <v>46259</v>
      </c>
      <c r="FM53" s="3">
        <v>46260</v>
      </c>
      <c r="FN53" s="3">
        <v>46261</v>
      </c>
      <c r="FO53" s="3">
        <v>46262</v>
      </c>
      <c r="FP53" s="3">
        <v>46263</v>
      </c>
      <c r="FQ53" s="3">
        <v>46264</v>
      </c>
      <c r="FR53" s="3">
        <v>46265</v>
      </c>
      <c r="FS53" s="3">
        <v>46266</v>
      </c>
      <c r="FT53" s="3">
        <v>46267</v>
      </c>
      <c r="FU53" s="3">
        <v>46268</v>
      </c>
      <c r="FV53" s="3">
        <v>46269</v>
      </c>
      <c r="FW53" s="3">
        <v>46270</v>
      </c>
      <c r="FX53" s="3">
        <v>46271</v>
      </c>
      <c r="FY53" s="3">
        <v>46272</v>
      </c>
      <c r="FZ53" s="3">
        <v>46273</v>
      </c>
      <c r="GA53" s="3">
        <v>46274</v>
      </c>
      <c r="GB53" s="3">
        <v>46275</v>
      </c>
      <c r="GC53" s="3">
        <v>46276</v>
      </c>
      <c r="GD53" s="3">
        <v>46277</v>
      </c>
      <c r="GE53" s="3">
        <v>46278</v>
      </c>
      <c r="GF53" s="3">
        <v>46279</v>
      </c>
      <c r="GG53" s="3">
        <v>46280</v>
      </c>
      <c r="GH53" s="3">
        <v>46281</v>
      </c>
      <c r="GI53" s="3">
        <v>46282</v>
      </c>
      <c r="GJ53" s="3">
        <v>46283</v>
      </c>
      <c r="GK53" s="3">
        <v>46284</v>
      </c>
      <c r="GL53" s="3">
        <v>46285</v>
      </c>
      <c r="GM53" s="3">
        <v>46286</v>
      </c>
      <c r="GN53" s="3">
        <v>46287</v>
      </c>
      <c r="GO53" s="3">
        <v>46288</v>
      </c>
      <c r="GP53" s="3">
        <v>46289</v>
      </c>
      <c r="GQ53" s="3">
        <v>46290</v>
      </c>
      <c r="GR53" s="3">
        <v>46291</v>
      </c>
      <c r="GS53" s="3">
        <v>46292</v>
      </c>
      <c r="GT53" s="3">
        <v>46293</v>
      </c>
      <c r="GU53" s="3">
        <v>46294</v>
      </c>
      <c r="GV53" s="3">
        <v>46295</v>
      </c>
      <c r="GW53" s="3">
        <v>46296</v>
      </c>
      <c r="GX53" s="3">
        <v>46297</v>
      </c>
      <c r="GY53" s="3">
        <v>46298</v>
      </c>
      <c r="GZ53" s="3">
        <v>46299</v>
      </c>
      <c r="HA53" s="3">
        <v>46300</v>
      </c>
      <c r="HB53" s="3">
        <v>46301</v>
      </c>
      <c r="HC53" s="3">
        <v>46302</v>
      </c>
      <c r="HD53" s="3">
        <v>46303</v>
      </c>
      <c r="HE53" s="3">
        <v>46304</v>
      </c>
      <c r="HF53" s="3">
        <v>46305</v>
      </c>
      <c r="HG53" s="3">
        <v>46306</v>
      </c>
      <c r="HH53" s="3">
        <v>46307</v>
      </c>
      <c r="HI53" s="3">
        <v>46308</v>
      </c>
      <c r="HJ53" s="3">
        <v>46309</v>
      </c>
      <c r="HK53" s="3">
        <v>46310</v>
      </c>
      <c r="HL53" s="3">
        <v>46311</v>
      </c>
      <c r="HM53" s="3">
        <v>46312</v>
      </c>
      <c r="HN53" s="3">
        <v>46313</v>
      </c>
      <c r="HO53" s="3">
        <v>46314</v>
      </c>
      <c r="HP53" s="3">
        <v>46315</v>
      </c>
      <c r="HQ53" s="3">
        <v>46316</v>
      </c>
      <c r="HR53" s="3">
        <v>46317</v>
      </c>
      <c r="HS53" s="3">
        <v>46318</v>
      </c>
      <c r="HT53" s="3">
        <v>46319</v>
      </c>
      <c r="HU53" s="3">
        <v>46320</v>
      </c>
      <c r="HV53" s="3">
        <v>46321</v>
      </c>
      <c r="HW53" s="3">
        <v>46322</v>
      </c>
      <c r="HX53" s="3">
        <v>46323</v>
      </c>
      <c r="HY53" s="3">
        <v>46324</v>
      </c>
      <c r="HZ53" s="3">
        <v>46325</v>
      </c>
      <c r="IA53" s="3">
        <v>46326</v>
      </c>
      <c r="IB53" s="3">
        <v>46327</v>
      </c>
      <c r="IC53" s="3">
        <v>46328</v>
      </c>
    </row>
    <row r="54" spans="1:257">
      <c r="A54" s="4" t="s">
        <v>694</v>
      </c>
      <c r="B54" s="82" t="str">
        <f t="array" ref="B54">COLUMNS(_xlfn._xlws.FILTER(P53:HO53, (P55:HO55&lt;&gt;"")+(P57:HO57&lt;&gt;""))) &amp; "場"</f>
        <v>27場</v>
      </c>
      <c r="C54" s="78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 t="s">
        <v>675</v>
      </c>
      <c r="P54" s="3" t="s">
        <v>676</v>
      </c>
      <c r="Q54" s="3" t="s">
        <v>677</v>
      </c>
      <c r="R54" s="3" t="s">
        <v>678</v>
      </c>
      <c r="S54" s="3" t="s">
        <v>679</v>
      </c>
      <c r="T54" s="3" t="s">
        <v>680</v>
      </c>
      <c r="U54" s="3" t="s">
        <v>681</v>
      </c>
      <c r="V54" s="3" t="s">
        <v>682</v>
      </c>
      <c r="W54" s="3" t="s">
        <v>676</v>
      </c>
      <c r="X54" s="3" t="s">
        <v>677</v>
      </c>
      <c r="Y54" s="3" t="s">
        <v>678</v>
      </c>
      <c r="Z54" s="3" t="s">
        <v>679</v>
      </c>
      <c r="AA54" s="3" t="s">
        <v>680</v>
      </c>
      <c r="AB54" s="3" t="s">
        <v>681</v>
      </c>
      <c r="AC54" s="3" t="s">
        <v>682</v>
      </c>
      <c r="AD54" s="3" t="s">
        <v>676</v>
      </c>
      <c r="AE54" s="3" t="s">
        <v>677</v>
      </c>
      <c r="AF54" s="3" t="s">
        <v>678</v>
      </c>
      <c r="AG54" s="3" t="s">
        <v>679</v>
      </c>
      <c r="AH54" s="3" t="s">
        <v>680</v>
      </c>
      <c r="AI54" s="3" t="s">
        <v>681</v>
      </c>
      <c r="AJ54" s="3" t="s">
        <v>682</v>
      </c>
      <c r="AK54" s="3" t="s">
        <v>676</v>
      </c>
      <c r="AL54" s="3" t="s">
        <v>677</v>
      </c>
      <c r="AM54" s="3" t="s">
        <v>678</v>
      </c>
      <c r="AN54" s="3" t="s">
        <v>679</v>
      </c>
      <c r="AO54" s="3" t="s">
        <v>680</v>
      </c>
      <c r="AP54" s="3" t="s">
        <v>681</v>
      </c>
      <c r="AQ54" s="3" t="s">
        <v>682</v>
      </c>
      <c r="AR54" s="3" t="s">
        <v>676</v>
      </c>
      <c r="AS54" s="3" t="s">
        <v>677</v>
      </c>
      <c r="AT54" s="3" t="s">
        <v>678</v>
      </c>
      <c r="AU54" s="3" t="s">
        <v>679</v>
      </c>
      <c r="AV54" s="3" t="s">
        <v>680</v>
      </c>
      <c r="AW54" s="3" t="s">
        <v>681</v>
      </c>
      <c r="AX54" s="3" t="s">
        <v>682</v>
      </c>
      <c r="AY54" s="3" t="s">
        <v>676</v>
      </c>
      <c r="AZ54" s="3" t="s">
        <v>677</v>
      </c>
      <c r="BA54" s="3" t="s">
        <v>678</v>
      </c>
      <c r="BB54" s="3" t="s">
        <v>679</v>
      </c>
      <c r="BC54" s="3" t="s">
        <v>680</v>
      </c>
      <c r="BD54" s="3" t="s">
        <v>681</v>
      </c>
      <c r="BE54" s="3" t="s">
        <v>682</v>
      </c>
      <c r="BF54" s="3" t="s">
        <v>676</v>
      </c>
      <c r="BG54" s="3" t="s">
        <v>677</v>
      </c>
      <c r="BH54" s="3" t="s">
        <v>678</v>
      </c>
      <c r="BI54" s="3" t="s">
        <v>679</v>
      </c>
      <c r="BJ54" s="3" t="s">
        <v>680</v>
      </c>
      <c r="BK54" s="3" t="s">
        <v>681</v>
      </c>
      <c r="BL54" s="3" t="s">
        <v>682</v>
      </c>
      <c r="BM54" s="3" t="s">
        <v>676</v>
      </c>
      <c r="BN54" s="3" t="s">
        <v>677</v>
      </c>
      <c r="BO54" s="3" t="s">
        <v>678</v>
      </c>
      <c r="BP54" s="3" t="s">
        <v>679</v>
      </c>
      <c r="BQ54" s="3" t="s">
        <v>680</v>
      </c>
      <c r="BR54" s="3" t="s">
        <v>681</v>
      </c>
      <c r="BS54" s="3" t="s">
        <v>682</v>
      </c>
      <c r="BT54" s="3" t="s">
        <v>676</v>
      </c>
      <c r="BU54" s="3" t="s">
        <v>677</v>
      </c>
      <c r="BV54" s="3" t="s">
        <v>678</v>
      </c>
      <c r="BW54" s="3" t="s">
        <v>679</v>
      </c>
      <c r="BX54" s="3" t="s">
        <v>680</v>
      </c>
      <c r="BY54" s="3" t="s">
        <v>681</v>
      </c>
      <c r="BZ54" s="3" t="s">
        <v>682</v>
      </c>
      <c r="CA54" s="3" t="s">
        <v>676</v>
      </c>
      <c r="CB54" s="3" t="s">
        <v>677</v>
      </c>
      <c r="CC54" s="3" t="s">
        <v>678</v>
      </c>
      <c r="CD54" s="3" t="s">
        <v>679</v>
      </c>
      <c r="CE54" s="3" t="s">
        <v>680</v>
      </c>
      <c r="CF54" s="3" t="s">
        <v>681</v>
      </c>
      <c r="CG54" s="3" t="s">
        <v>682</v>
      </c>
      <c r="CH54" s="3" t="s">
        <v>676</v>
      </c>
      <c r="CI54" s="3" t="s">
        <v>677</v>
      </c>
      <c r="CJ54" s="3" t="s">
        <v>678</v>
      </c>
      <c r="CK54" s="3" t="s">
        <v>679</v>
      </c>
      <c r="CL54" s="3" t="s">
        <v>680</v>
      </c>
      <c r="CM54" s="3" t="s">
        <v>681</v>
      </c>
      <c r="CN54" s="3" t="s">
        <v>682</v>
      </c>
      <c r="CO54" s="3" t="s">
        <v>676</v>
      </c>
      <c r="CP54" s="3" t="s">
        <v>677</v>
      </c>
      <c r="CQ54" s="3" t="s">
        <v>678</v>
      </c>
      <c r="CR54" s="3" t="s">
        <v>679</v>
      </c>
      <c r="CS54" s="3" t="s">
        <v>680</v>
      </c>
      <c r="CT54" s="3" t="s">
        <v>681</v>
      </c>
      <c r="CU54" s="3" t="s">
        <v>682</v>
      </c>
      <c r="CV54" s="3" t="s">
        <v>676</v>
      </c>
      <c r="CW54" s="3" t="s">
        <v>677</v>
      </c>
      <c r="CX54" s="3" t="s">
        <v>678</v>
      </c>
      <c r="CY54" s="3" t="s">
        <v>679</v>
      </c>
      <c r="CZ54" s="3" t="s">
        <v>680</v>
      </c>
      <c r="DA54" s="3" t="s">
        <v>681</v>
      </c>
      <c r="DB54" s="3" t="s">
        <v>682</v>
      </c>
      <c r="DC54" s="3" t="s">
        <v>676</v>
      </c>
      <c r="DD54" s="3" t="s">
        <v>677</v>
      </c>
      <c r="DE54" s="3" t="s">
        <v>678</v>
      </c>
      <c r="DF54" s="3" t="s">
        <v>679</v>
      </c>
      <c r="DG54" s="3" t="s">
        <v>680</v>
      </c>
      <c r="DH54" s="3" t="s">
        <v>681</v>
      </c>
      <c r="DI54" s="3" t="s">
        <v>682</v>
      </c>
      <c r="DJ54" s="3" t="s">
        <v>676</v>
      </c>
      <c r="DK54" s="3" t="s">
        <v>677</v>
      </c>
      <c r="DL54" s="3" t="s">
        <v>678</v>
      </c>
      <c r="DM54" s="3" t="s">
        <v>679</v>
      </c>
      <c r="DN54" s="3" t="s">
        <v>680</v>
      </c>
      <c r="DO54" s="3" t="s">
        <v>681</v>
      </c>
      <c r="DP54" s="3" t="s">
        <v>682</v>
      </c>
      <c r="DQ54" s="3" t="s">
        <v>676</v>
      </c>
      <c r="DR54" s="3" t="s">
        <v>677</v>
      </c>
      <c r="DS54" s="3" t="s">
        <v>678</v>
      </c>
      <c r="DT54" s="3" t="s">
        <v>679</v>
      </c>
      <c r="DU54" s="3" t="s">
        <v>680</v>
      </c>
      <c r="DV54" s="3" t="s">
        <v>681</v>
      </c>
      <c r="DW54" s="3" t="s">
        <v>682</v>
      </c>
      <c r="DX54" s="3" t="s">
        <v>676</v>
      </c>
      <c r="DY54" s="3" t="s">
        <v>677</v>
      </c>
      <c r="DZ54" s="3" t="s">
        <v>678</v>
      </c>
      <c r="EA54" s="3" t="s">
        <v>679</v>
      </c>
      <c r="EB54" s="3" t="s">
        <v>680</v>
      </c>
      <c r="EC54" s="3" t="s">
        <v>681</v>
      </c>
      <c r="ED54" s="3" t="s">
        <v>682</v>
      </c>
      <c r="EE54" s="3" t="s">
        <v>676</v>
      </c>
      <c r="EF54" s="3" t="s">
        <v>677</v>
      </c>
      <c r="EG54" s="3" t="s">
        <v>678</v>
      </c>
      <c r="EH54" s="3" t="s">
        <v>679</v>
      </c>
      <c r="EI54" s="3" t="s">
        <v>680</v>
      </c>
      <c r="EJ54" s="3" t="s">
        <v>681</v>
      </c>
      <c r="EK54" s="3" t="s">
        <v>682</v>
      </c>
      <c r="EL54" s="3" t="s">
        <v>676</v>
      </c>
      <c r="EM54" s="3" t="s">
        <v>677</v>
      </c>
      <c r="EN54" s="3" t="s">
        <v>678</v>
      </c>
      <c r="EO54" s="3" t="s">
        <v>679</v>
      </c>
      <c r="EP54" s="3" t="s">
        <v>680</v>
      </c>
      <c r="EQ54" s="3" t="s">
        <v>681</v>
      </c>
      <c r="ER54" s="3" t="s">
        <v>682</v>
      </c>
      <c r="ES54" s="3" t="s">
        <v>676</v>
      </c>
      <c r="ET54" s="3" t="s">
        <v>677</v>
      </c>
      <c r="EU54" s="3" t="s">
        <v>678</v>
      </c>
      <c r="EV54" s="3" t="s">
        <v>679</v>
      </c>
      <c r="EW54" s="3" t="s">
        <v>680</v>
      </c>
      <c r="EX54" s="3" t="s">
        <v>681</v>
      </c>
      <c r="EY54" s="3" t="s">
        <v>682</v>
      </c>
      <c r="EZ54" s="3" t="s">
        <v>676</v>
      </c>
      <c r="FA54" s="3" t="s">
        <v>677</v>
      </c>
      <c r="FB54" s="3" t="s">
        <v>678</v>
      </c>
      <c r="FC54" s="3" t="s">
        <v>679</v>
      </c>
      <c r="FD54" s="3" t="s">
        <v>680</v>
      </c>
      <c r="FE54" s="3" t="s">
        <v>681</v>
      </c>
      <c r="FF54" s="3" t="s">
        <v>682</v>
      </c>
      <c r="FG54" s="3" t="s">
        <v>676</v>
      </c>
      <c r="FH54" s="3" t="s">
        <v>677</v>
      </c>
      <c r="FI54" s="3" t="s">
        <v>678</v>
      </c>
      <c r="FJ54" s="3" t="s">
        <v>679</v>
      </c>
      <c r="FK54" s="3" t="s">
        <v>680</v>
      </c>
      <c r="FL54" s="3" t="s">
        <v>681</v>
      </c>
      <c r="FM54" s="3" t="s">
        <v>682</v>
      </c>
      <c r="FN54" s="3" t="s">
        <v>676</v>
      </c>
      <c r="FO54" s="3" t="s">
        <v>677</v>
      </c>
      <c r="FP54" s="3" t="s">
        <v>678</v>
      </c>
      <c r="FQ54" s="3" t="s">
        <v>679</v>
      </c>
      <c r="FR54" s="3" t="s">
        <v>680</v>
      </c>
      <c r="FS54" s="3" t="s">
        <v>681</v>
      </c>
      <c r="FT54" s="3" t="s">
        <v>682</v>
      </c>
      <c r="FU54" s="3" t="s">
        <v>676</v>
      </c>
      <c r="FV54" s="3" t="s">
        <v>677</v>
      </c>
      <c r="FW54" s="3" t="s">
        <v>678</v>
      </c>
      <c r="FX54" s="3" t="s">
        <v>679</v>
      </c>
      <c r="FY54" s="3" t="s">
        <v>680</v>
      </c>
      <c r="FZ54" s="3" t="s">
        <v>681</v>
      </c>
      <c r="GA54" s="3" t="s">
        <v>682</v>
      </c>
      <c r="GB54" s="3" t="s">
        <v>676</v>
      </c>
      <c r="GC54" s="3" t="s">
        <v>677</v>
      </c>
      <c r="GD54" s="3" t="s">
        <v>678</v>
      </c>
      <c r="GE54" s="3" t="s">
        <v>679</v>
      </c>
      <c r="GF54" s="3" t="s">
        <v>680</v>
      </c>
      <c r="GG54" s="3" t="s">
        <v>681</v>
      </c>
      <c r="GH54" s="3" t="s">
        <v>682</v>
      </c>
      <c r="GI54" s="3" t="s">
        <v>676</v>
      </c>
      <c r="GJ54" s="3" t="s">
        <v>677</v>
      </c>
      <c r="GK54" s="3" t="s">
        <v>678</v>
      </c>
      <c r="GL54" s="3" t="s">
        <v>679</v>
      </c>
      <c r="GM54" s="3" t="s">
        <v>680</v>
      </c>
      <c r="GN54" s="3" t="s">
        <v>681</v>
      </c>
      <c r="GO54" s="3" t="s">
        <v>682</v>
      </c>
      <c r="GP54" s="3" t="s">
        <v>676</v>
      </c>
      <c r="GQ54" s="3" t="s">
        <v>677</v>
      </c>
      <c r="GR54" s="3" t="s">
        <v>678</v>
      </c>
      <c r="GS54" s="3" t="s">
        <v>679</v>
      </c>
      <c r="GT54" s="3" t="s">
        <v>680</v>
      </c>
      <c r="GU54" s="3" t="s">
        <v>681</v>
      </c>
      <c r="GV54" s="3" t="s">
        <v>682</v>
      </c>
      <c r="GW54" s="3" t="s">
        <v>676</v>
      </c>
      <c r="GX54" s="3" t="s">
        <v>677</v>
      </c>
      <c r="GY54" s="3" t="s">
        <v>678</v>
      </c>
      <c r="GZ54" s="3" t="s">
        <v>679</v>
      </c>
      <c r="HA54" s="3" t="s">
        <v>680</v>
      </c>
      <c r="HB54" s="3" t="s">
        <v>681</v>
      </c>
      <c r="HC54" s="3" t="s">
        <v>682</v>
      </c>
      <c r="HD54" s="3" t="s">
        <v>676</v>
      </c>
      <c r="HE54" s="3" t="s">
        <v>677</v>
      </c>
      <c r="HF54" s="3" t="s">
        <v>678</v>
      </c>
      <c r="HG54" s="3" t="s">
        <v>679</v>
      </c>
      <c r="HH54" s="3" t="s">
        <v>680</v>
      </c>
      <c r="HI54" s="3" t="s">
        <v>681</v>
      </c>
      <c r="HJ54" s="3" t="s">
        <v>682</v>
      </c>
      <c r="HK54" s="3" t="s">
        <v>676</v>
      </c>
      <c r="HL54" s="3" t="s">
        <v>677</v>
      </c>
      <c r="HM54" s="3" t="s">
        <v>678</v>
      </c>
      <c r="HN54" s="3" t="s">
        <v>679</v>
      </c>
      <c r="HO54" s="3" t="s">
        <v>680</v>
      </c>
      <c r="HP54" s="3" t="s">
        <v>681</v>
      </c>
      <c r="HQ54" s="3" t="s">
        <v>682</v>
      </c>
      <c r="HR54" s="3" t="s">
        <v>676</v>
      </c>
      <c r="HS54" s="3" t="s">
        <v>677</v>
      </c>
      <c r="HT54" s="3" t="s">
        <v>678</v>
      </c>
      <c r="HU54" s="3" t="s">
        <v>679</v>
      </c>
      <c r="HV54" s="3" t="s">
        <v>680</v>
      </c>
      <c r="HW54" s="3" t="s">
        <v>681</v>
      </c>
      <c r="HX54" s="3" t="s">
        <v>682</v>
      </c>
      <c r="HY54" s="3" t="s">
        <v>676</v>
      </c>
      <c r="HZ54" s="3" t="s">
        <v>677</v>
      </c>
      <c r="IA54" s="3" t="s">
        <v>678</v>
      </c>
      <c r="IB54" s="3" t="s">
        <v>679</v>
      </c>
      <c r="IC54" s="3" t="s">
        <v>680</v>
      </c>
    </row>
    <row r="55" spans="1:257">
      <c r="A55" s="82" t="s">
        <v>695</v>
      </c>
      <c r="B55" s="82" t="str">
        <f>COUNTIF(P55:IC55, "W")&amp;"勝"</f>
        <v>11勝</v>
      </c>
      <c r="C55" s="82" t="str">
        <f>COUNTIF(P55:IC55, "L")&amp;"敗"</f>
        <v>16敗</v>
      </c>
      <c r="D55" s="82" t="s">
        <v>696</v>
      </c>
      <c r="E55" s="78"/>
      <c r="F55" s="82" t="s">
        <v>719</v>
      </c>
      <c r="G55" s="78"/>
      <c r="H55" s="78"/>
      <c r="I55" s="78"/>
      <c r="J55" s="78"/>
      <c r="K55" s="78"/>
      <c r="L55" s="78"/>
      <c r="M55" s="82"/>
      <c r="N55" s="78"/>
      <c r="O55" s="1" t="s">
        <v>698</v>
      </c>
      <c r="Q55" t="s">
        <v>700</v>
      </c>
      <c r="S55" t="s">
        <v>700</v>
      </c>
      <c r="T55" t="s">
        <v>700</v>
      </c>
      <c r="U55" t="s">
        <v>699</v>
      </c>
      <c r="V55" t="s">
        <v>700</v>
      </c>
      <c r="W55" t="s">
        <v>700</v>
      </c>
      <c r="Y55" t="s">
        <v>699</v>
      </c>
      <c r="Z55" t="s">
        <v>699</v>
      </c>
      <c r="AA55" t="s">
        <v>699</v>
      </c>
      <c r="AB55" t="s">
        <v>700</v>
      </c>
      <c r="AC55" t="s">
        <v>700</v>
      </c>
      <c r="AD55" t="s">
        <v>700</v>
      </c>
      <c r="AE55" t="s">
        <v>699</v>
      </c>
      <c r="AF55" t="s">
        <v>700</v>
      </c>
      <c r="AG55" t="s">
        <v>700</v>
      </c>
      <c r="AH55" t="s">
        <v>699</v>
      </c>
      <c r="AJ55" t="s">
        <v>700</v>
      </c>
      <c r="AK55" t="s">
        <v>700</v>
      </c>
      <c r="AL55" t="s">
        <v>700</v>
      </c>
      <c r="AM55" t="s">
        <v>699</v>
      </c>
      <c r="AN55" t="s">
        <v>700</v>
      </c>
      <c r="AO55" t="s">
        <v>699</v>
      </c>
      <c r="AQ55" t="s">
        <v>699</v>
      </c>
      <c r="AS55" t="s">
        <v>699</v>
      </c>
      <c r="AT55" t="s">
        <v>699</v>
      </c>
      <c r="AU55" t="s">
        <v>700</v>
      </c>
      <c r="AV55" t="s">
        <v>700</v>
      </c>
    </row>
    <row r="56" spans="1:257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1" t="s">
        <v>701</v>
      </c>
    </row>
    <row r="57" spans="1:257">
      <c r="A57" s="82" t="s">
        <v>702</v>
      </c>
      <c r="B57" s="82" t="str">
        <f>COUNTIF(P57:IC57, "O")&amp;"正"</f>
        <v>12正</v>
      </c>
      <c r="C57" s="82" t="str">
        <f>COUNTIF(P57:IC57, "X")&amp;"負"</f>
        <v>15負</v>
      </c>
      <c r="D57" s="82" t="s">
        <v>703</v>
      </c>
      <c r="E57" s="78"/>
      <c r="F57" s="82" t="s">
        <v>720</v>
      </c>
      <c r="G57" s="78"/>
      <c r="H57" s="78"/>
      <c r="I57" s="78"/>
      <c r="J57" s="78"/>
      <c r="K57" s="78"/>
      <c r="L57" s="78"/>
      <c r="M57" s="82"/>
      <c r="N57" s="78"/>
      <c r="O57" s="1" t="s">
        <v>705</v>
      </c>
      <c r="Q57" t="s">
        <v>684</v>
      </c>
      <c r="S57" t="s">
        <v>684</v>
      </c>
      <c r="T57" t="s">
        <v>684</v>
      </c>
      <c r="U57" t="s">
        <v>683</v>
      </c>
      <c r="V57" t="s">
        <v>684</v>
      </c>
      <c r="W57" t="s">
        <v>684</v>
      </c>
      <c r="Y57" t="s">
        <v>683</v>
      </c>
      <c r="Z57" t="s">
        <v>683</v>
      </c>
      <c r="AA57" t="s">
        <v>683</v>
      </c>
      <c r="AB57" t="s">
        <v>684</v>
      </c>
      <c r="AC57" t="s">
        <v>684</v>
      </c>
      <c r="AD57" t="s">
        <v>684</v>
      </c>
      <c r="AE57" t="s">
        <v>683</v>
      </c>
      <c r="AF57" t="s">
        <v>684</v>
      </c>
      <c r="AG57" t="s">
        <v>684</v>
      </c>
      <c r="AH57" t="s">
        <v>683</v>
      </c>
      <c r="AJ57" t="s">
        <v>684</v>
      </c>
      <c r="AK57" t="s">
        <v>684</v>
      </c>
      <c r="AL57" t="s">
        <v>684</v>
      </c>
      <c r="AM57" t="s">
        <v>683</v>
      </c>
      <c r="AN57" t="s">
        <v>683</v>
      </c>
      <c r="AO57" t="s">
        <v>683</v>
      </c>
      <c r="AQ57" t="s">
        <v>683</v>
      </c>
      <c r="AS57" t="s">
        <v>683</v>
      </c>
      <c r="AT57" t="s">
        <v>683</v>
      </c>
      <c r="AU57" t="s">
        <v>684</v>
      </c>
      <c r="AV57" t="s">
        <v>684</v>
      </c>
      <c r="IN57" t="str">
        <f ca="1">IFERROR(INDEX($P57:$IC57,1,_xludf.AGGREGATE(14,6,(COLUMN($P57:$IC57)-COLUMN($P57)+1)/($P57:$IC57&lt;&gt;""),1)),"")</f>
        <v/>
      </c>
      <c r="IO57" t="str">
        <f ca="1">IFERROR(INDEX($P57:$IC57,1,_xludf.AGGREGATE(14,6,(COLUMN($P57:$IC57)-COLUMN($P57)+1)/($P57:$IC57&lt;&gt;""),2)),"")</f>
        <v/>
      </c>
      <c r="IP57" t="str">
        <f ca="1">IFERROR(INDEX($P57:$IC57,1,_xludf.AGGREGATE(14,6,(COLUMN($P57:$IC57)-COLUMN($P57)+1)/($P57:$IC57&lt;&gt;""),3)),"")</f>
        <v/>
      </c>
      <c r="IQ57" t="str">
        <f ca="1">IFERROR(INDEX($P57:$IC57,1,_xludf.AGGREGATE(14,6,(COLUMN($P57:$IC57)-COLUMN($P57)+1)/($P57:$IC57&lt;&gt;""),4)),"")</f>
        <v/>
      </c>
      <c r="IR57" t="str">
        <f ca="1">IFERROR(INDEX($P57:$IC57,1,_xludf.AGGREGATE(14,6,(COLUMN($P57:$IC57)-COLUMN($P57)+1)/($P57:$IC57&lt;&gt;""),5)),"")</f>
        <v/>
      </c>
      <c r="IS57" t="str">
        <f ca="1">IFERROR(INDEX($P57:$IC57,1,_xludf.AGGREGATE(14,6,(COLUMN($P57:$IC57)-COLUMN($P57)+1)/($P57:$IC57&lt;&gt;""),6)),"")</f>
        <v/>
      </c>
      <c r="IT57" t="str">
        <f ca="1">IFERROR(INDEX($P57:$IC57,1,_xludf.AGGREGATE(14,6,(COLUMN($P57:$IC57)-COLUMN($P57)+1)/($P57:$IC57&lt;&gt;""),7)),"")</f>
        <v/>
      </c>
      <c r="IU57" t="str">
        <f ca="1">IFERROR(INDEX($P57:$IC57,1,_xludf.AGGREGATE(14,6,(COLUMN($P57:$IC57)-COLUMN($P57)+1)/($P57:$IC57&lt;&gt;""),8)),"")</f>
        <v/>
      </c>
      <c r="IV57" t="str">
        <f ca="1">IFERROR(INDEX($P57:$IC57,1,_xludf.AGGREGATE(14,6,(COLUMN($P57:$IC57)-COLUMN($P57)+1)/($P57:$IC57&lt;&gt;""),9)),"")</f>
        <v/>
      </c>
      <c r="IW57" t="str">
        <f ca="1">IFERROR(INDEX($P57:$IC57,1,_xludf.AGGREGATE(14,6,(COLUMN($P57:$IC57)-COLUMN($P57)+1)/($P57:$IC57&lt;&gt;""),10)),"")</f>
        <v/>
      </c>
    </row>
    <row r="58" spans="1:257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1" t="s">
        <v>706</v>
      </c>
    </row>
    <row r="59" spans="1:257">
      <c r="A59" s="82" t="s">
        <v>707</v>
      </c>
      <c r="B59" s="77"/>
      <c r="C59" s="77"/>
      <c r="D59" s="82" t="s">
        <v>708</v>
      </c>
      <c r="E59" s="78"/>
      <c r="F59" s="82"/>
      <c r="G59" s="78"/>
      <c r="H59" s="78"/>
      <c r="I59" s="78"/>
      <c r="J59" s="78"/>
      <c r="K59" s="78"/>
      <c r="L59" s="78"/>
      <c r="M59" s="82"/>
      <c r="N59" s="78"/>
      <c r="O59" s="1" t="s">
        <v>709</v>
      </c>
    </row>
    <row r="60" spans="1:257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1" t="s">
        <v>710</v>
      </c>
    </row>
    <row r="61" spans="1:257">
      <c r="A61" s="108" t="s">
        <v>20</v>
      </c>
      <c r="B61" s="78"/>
      <c r="C61" s="78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 t="s">
        <v>674</v>
      </c>
      <c r="P61" s="6">
        <v>1</v>
      </c>
      <c r="Q61" s="6">
        <v>2</v>
      </c>
      <c r="R61" s="6">
        <v>3</v>
      </c>
      <c r="S61" s="6">
        <v>4</v>
      </c>
      <c r="T61" s="6">
        <v>5</v>
      </c>
      <c r="U61" s="6">
        <v>6</v>
      </c>
      <c r="V61" s="6">
        <v>7</v>
      </c>
      <c r="W61" s="6">
        <v>8</v>
      </c>
      <c r="X61" s="6">
        <v>9</v>
      </c>
      <c r="Y61" s="6">
        <v>10</v>
      </c>
      <c r="Z61" s="6">
        <v>11</v>
      </c>
      <c r="AA61" s="6">
        <v>12</v>
      </c>
      <c r="AB61" s="6">
        <v>13</v>
      </c>
      <c r="AC61" s="6">
        <v>14</v>
      </c>
      <c r="AD61" s="6">
        <v>15</v>
      </c>
      <c r="AE61" s="6">
        <v>16</v>
      </c>
      <c r="AF61" s="6">
        <v>17</v>
      </c>
      <c r="AG61" s="6">
        <v>18</v>
      </c>
      <c r="AH61" s="6">
        <v>19</v>
      </c>
      <c r="AI61" s="6">
        <v>20</v>
      </c>
      <c r="AJ61" s="6">
        <v>21</v>
      </c>
      <c r="AK61" s="6">
        <v>22</v>
      </c>
      <c r="AL61" s="6">
        <v>23</v>
      </c>
      <c r="AM61" s="6">
        <v>24</v>
      </c>
      <c r="AN61" s="6">
        <v>25</v>
      </c>
      <c r="AO61" s="6">
        <v>26</v>
      </c>
      <c r="AP61" s="6">
        <v>27</v>
      </c>
      <c r="AQ61" s="6">
        <v>28</v>
      </c>
      <c r="AR61" s="6">
        <v>29</v>
      </c>
      <c r="AS61" s="6">
        <v>30</v>
      </c>
      <c r="AT61" s="6">
        <v>31</v>
      </c>
      <c r="AU61" s="6">
        <v>32</v>
      </c>
      <c r="AV61" s="6">
        <v>33</v>
      </c>
      <c r="AW61" s="6">
        <v>34</v>
      </c>
      <c r="AX61" s="6">
        <v>35</v>
      </c>
      <c r="AY61" s="6">
        <v>36</v>
      </c>
      <c r="AZ61" s="6">
        <v>37</v>
      </c>
      <c r="BA61" s="6">
        <v>38</v>
      </c>
      <c r="BB61" s="6">
        <v>39</v>
      </c>
      <c r="BC61" s="6">
        <v>40</v>
      </c>
      <c r="BD61" s="6">
        <v>41</v>
      </c>
      <c r="BE61" s="6">
        <v>42</v>
      </c>
      <c r="BF61" s="6">
        <v>43</v>
      </c>
      <c r="BG61" s="6">
        <v>44</v>
      </c>
      <c r="BH61" s="6">
        <v>45</v>
      </c>
      <c r="BI61" s="6">
        <v>46</v>
      </c>
      <c r="BJ61" s="6">
        <v>47</v>
      </c>
      <c r="BK61" s="6">
        <v>48</v>
      </c>
      <c r="BL61" s="6">
        <v>49</v>
      </c>
      <c r="BM61" s="6">
        <v>50</v>
      </c>
      <c r="BN61" s="6">
        <v>51</v>
      </c>
      <c r="BO61" s="6">
        <v>52</v>
      </c>
      <c r="BP61" s="6">
        <v>53</v>
      </c>
      <c r="BQ61" s="6">
        <v>54</v>
      </c>
      <c r="BR61" s="6">
        <v>55</v>
      </c>
      <c r="BS61" s="6">
        <v>56</v>
      </c>
      <c r="BT61" s="6">
        <v>57</v>
      </c>
      <c r="BU61" s="6">
        <v>58</v>
      </c>
      <c r="BV61" s="6">
        <v>59</v>
      </c>
      <c r="BW61" s="6">
        <v>60</v>
      </c>
      <c r="BX61" s="6">
        <v>61</v>
      </c>
      <c r="BY61" s="6">
        <v>62</v>
      </c>
      <c r="BZ61" s="6">
        <v>63</v>
      </c>
      <c r="CA61" s="6">
        <v>64</v>
      </c>
      <c r="CB61" s="6">
        <v>65</v>
      </c>
      <c r="CC61" s="6">
        <v>66</v>
      </c>
      <c r="CD61" s="6">
        <v>67</v>
      </c>
      <c r="CE61" s="6">
        <v>68</v>
      </c>
      <c r="CF61" s="6">
        <v>69</v>
      </c>
      <c r="CG61" s="6">
        <v>70</v>
      </c>
      <c r="CH61" s="6">
        <v>71</v>
      </c>
      <c r="CI61" s="6">
        <v>72</v>
      </c>
      <c r="CJ61" s="6">
        <v>73</v>
      </c>
      <c r="CK61" s="6">
        <v>74</v>
      </c>
      <c r="CL61" s="6">
        <v>75</v>
      </c>
      <c r="CM61" s="6">
        <v>76</v>
      </c>
      <c r="CN61" s="6">
        <v>77</v>
      </c>
      <c r="CO61" s="6">
        <v>78</v>
      </c>
      <c r="CP61" s="6">
        <v>79</v>
      </c>
      <c r="CQ61" s="6">
        <v>80</v>
      </c>
      <c r="CR61" s="6">
        <v>81</v>
      </c>
      <c r="CS61" s="6">
        <v>82</v>
      </c>
      <c r="CT61" s="6">
        <v>83</v>
      </c>
      <c r="CU61" s="6">
        <v>84</v>
      </c>
      <c r="CV61" s="6">
        <v>85</v>
      </c>
      <c r="CW61" s="6">
        <v>86</v>
      </c>
      <c r="CX61" s="6">
        <v>87</v>
      </c>
      <c r="CY61" s="6">
        <v>88</v>
      </c>
      <c r="CZ61" s="6">
        <v>89</v>
      </c>
      <c r="DA61" s="6">
        <v>90</v>
      </c>
      <c r="DB61" s="6">
        <v>91</v>
      </c>
      <c r="DC61" s="6">
        <v>92</v>
      </c>
      <c r="DD61" s="6">
        <v>93</v>
      </c>
      <c r="DE61" s="6">
        <v>94</v>
      </c>
      <c r="DF61" s="6">
        <v>95</v>
      </c>
      <c r="DG61" s="6">
        <v>96</v>
      </c>
      <c r="DH61" s="6">
        <v>97</v>
      </c>
      <c r="DI61" s="6">
        <v>98</v>
      </c>
      <c r="DJ61" s="6">
        <v>99</v>
      </c>
      <c r="DK61" s="6">
        <v>100</v>
      </c>
      <c r="DL61" s="6">
        <v>101</v>
      </c>
      <c r="DM61" s="6">
        <v>102</v>
      </c>
      <c r="DN61" s="6">
        <v>103</v>
      </c>
      <c r="DO61" s="6">
        <v>104</v>
      </c>
      <c r="DP61" s="6">
        <v>105</v>
      </c>
      <c r="DQ61" s="6">
        <v>106</v>
      </c>
      <c r="DR61" s="6">
        <v>107</v>
      </c>
      <c r="DS61" s="6">
        <v>108</v>
      </c>
      <c r="DT61" s="6">
        <v>109</v>
      </c>
      <c r="DU61" s="6">
        <v>110</v>
      </c>
      <c r="DV61" s="6">
        <v>111</v>
      </c>
      <c r="DW61" s="6">
        <v>112</v>
      </c>
      <c r="DX61" s="6">
        <v>113</v>
      </c>
      <c r="DY61" s="6">
        <v>114</v>
      </c>
      <c r="DZ61" s="6">
        <v>115</v>
      </c>
      <c r="EA61" s="6">
        <v>116</v>
      </c>
      <c r="EB61" s="6">
        <v>117</v>
      </c>
      <c r="EC61" s="6">
        <v>118</v>
      </c>
      <c r="ED61" s="6">
        <v>119</v>
      </c>
      <c r="EE61" s="6">
        <v>120</v>
      </c>
      <c r="EF61" s="6">
        <v>121</v>
      </c>
      <c r="EG61" s="6">
        <v>122</v>
      </c>
      <c r="EH61" s="6">
        <v>123</v>
      </c>
      <c r="EI61" s="6">
        <v>124</v>
      </c>
      <c r="EJ61" s="6">
        <v>125</v>
      </c>
      <c r="EK61" s="6">
        <v>126</v>
      </c>
      <c r="EL61" s="6">
        <v>127</v>
      </c>
      <c r="EM61" s="6">
        <v>128</v>
      </c>
      <c r="EN61" s="6">
        <v>129</v>
      </c>
      <c r="EO61" s="6">
        <v>130</v>
      </c>
      <c r="EP61" s="6">
        <v>131</v>
      </c>
      <c r="EQ61" s="6">
        <v>132</v>
      </c>
      <c r="ER61" s="6">
        <v>133</v>
      </c>
      <c r="ES61" s="6">
        <v>134</v>
      </c>
      <c r="ET61" s="6">
        <v>135</v>
      </c>
      <c r="EU61" s="6">
        <v>136</v>
      </c>
      <c r="EV61" s="6">
        <v>137</v>
      </c>
      <c r="EW61" s="6">
        <v>138</v>
      </c>
      <c r="EX61" s="6">
        <v>139</v>
      </c>
      <c r="EY61" s="6">
        <v>140</v>
      </c>
      <c r="EZ61" s="6">
        <v>141</v>
      </c>
      <c r="FA61" s="6">
        <v>142</v>
      </c>
      <c r="FB61" s="6">
        <v>143</v>
      </c>
      <c r="FC61" s="6">
        <v>144</v>
      </c>
      <c r="FD61" s="6">
        <v>145</v>
      </c>
      <c r="FE61" s="6">
        <v>146</v>
      </c>
      <c r="FF61" s="6">
        <v>147</v>
      </c>
      <c r="FG61" s="6">
        <v>148</v>
      </c>
      <c r="FH61" s="6">
        <v>149</v>
      </c>
      <c r="FI61" s="6">
        <v>150</v>
      </c>
      <c r="FJ61" s="6">
        <v>151</v>
      </c>
      <c r="FK61" s="6">
        <v>152</v>
      </c>
      <c r="FL61" s="6">
        <v>153</v>
      </c>
      <c r="FM61" s="6">
        <v>154</v>
      </c>
      <c r="FN61" s="6">
        <v>155</v>
      </c>
      <c r="FO61" s="6">
        <v>156</v>
      </c>
      <c r="FP61" s="6">
        <v>157</v>
      </c>
      <c r="FQ61" s="6">
        <v>158</v>
      </c>
      <c r="FR61" s="6">
        <v>159</v>
      </c>
      <c r="FS61" s="6">
        <v>160</v>
      </c>
      <c r="FT61" s="6">
        <v>161</v>
      </c>
      <c r="FU61" s="6">
        <v>162</v>
      </c>
      <c r="FV61" s="6">
        <v>163</v>
      </c>
      <c r="FW61" s="6">
        <v>164</v>
      </c>
      <c r="FX61" s="6">
        <v>165</v>
      </c>
      <c r="FY61" s="6">
        <v>166</v>
      </c>
      <c r="FZ61" s="6">
        <v>167</v>
      </c>
      <c r="GA61" s="6">
        <v>168</v>
      </c>
      <c r="GB61" s="6">
        <v>169</v>
      </c>
      <c r="GC61" s="6">
        <v>170</v>
      </c>
      <c r="GD61" s="6">
        <v>171</v>
      </c>
      <c r="GE61" s="6">
        <v>172</v>
      </c>
      <c r="GF61" s="6">
        <v>173</v>
      </c>
      <c r="GG61" s="6">
        <v>174</v>
      </c>
      <c r="GH61" s="6">
        <v>175</v>
      </c>
      <c r="GI61" s="6">
        <v>176</v>
      </c>
      <c r="GJ61" s="6">
        <v>177</v>
      </c>
      <c r="GK61" s="6">
        <v>178</v>
      </c>
      <c r="GL61" s="6">
        <v>179</v>
      </c>
      <c r="GM61" s="6">
        <v>180</v>
      </c>
      <c r="GN61" s="6">
        <v>181</v>
      </c>
      <c r="GO61" s="6">
        <v>182</v>
      </c>
      <c r="GP61" s="6">
        <v>183</v>
      </c>
      <c r="GQ61" s="6">
        <v>184</v>
      </c>
      <c r="GR61" s="6">
        <v>185</v>
      </c>
      <c r="GS61" s="6">
        <v>186</v>
      </c>
      <c r="GT61" s="6">
        <v>187</v>
      </c>
      <c r="GU61" s="6">
        <v>188</v>
      </c>
      <c r="GV61" s="6">
        <v>189</v>
      </c>
      <c r="GW61" s="6">
        <v>190</v>
      </c>
      <c r="GX61" s="6">
        <v>191</v>
      </c>
      <c r="GY61" s="6">
        <v>192</v>
      </c>
      <c r="GZ61" s="6">
        <v>193</v>
      </c>
      <c r="HA61" s="6">
        <v>194</v>
      </c>
      <c r="HB61" s="6">
        <v>195</v>
      </c>
      <c r="HC61" s="6">
        <v>196</v>
      </c>
      <c r="HD61" s="6">
        <v>197</v>
      </c>
      <c r="HE61" s="6">
        <v>198</v>
      </c>
      <c r="HF61" s="6">
        <v>199</v>
      </c>
      <c r="HG61" s="6">
        <v>200</v>
      </c>
      <c r="HH61" s="6">
        <v>201</v>
      </c>
      <c r="HI61" s="6">
        <v>202</v>
      </c>
      <c r="HJ61" s="6">
        <v>203</v>
      </c>
      <c r="HK61" s="6">
        <v>204</v>
      </c>
      <c r="HL61" s="6">
        <v>205</v>
      </c>
      <c r="HM61" s="6">
        <v>206</v>
      </c>
      <c r="HN61" s="6">
        <v>207</v>
      </c>
      <c r="HO61" s="6">
        <v>208</v>
      </c>
      <c r="HP61" s="6">
        <v>209</v>
      </c>
      <c r="HQ61" s="6">
        <v>210</v>
      </c>
      <c r="HR61" s="6">
        <v>211</v>
      </c>
      <c r="HS61" s="6">
        <v>212</v>
      </c>
      <c r="HT61" s="6">
        <v>213</v>
      </c>
      <c r="HU61" s="6">
        <v>214</v>
      </c>
      <c r="HV61" s="6">
        <v>215</v>
      </c>
      <c r="HW61" s="6">
        <v>216</v>
      </c>
      <c r="HX61" s="6">
        <v>217</v>
      </c>
      <c r="HY61" s="6">
        <v>218</v>
      </c>
      <c r="HZ61" s="6">
        <v>219</v>
      </c>
      <c r="IA61" s="6">
        <v>220</v>
      </c>
      <c r="IB61" s="6">
        <v>221</v>
      </c>
      <c r="IC61" s="6">
        <v>222</v>
      </c>
    </row>
    <row r="62" spans="1:257">
      <c r="A62" s="78"/>
      <c r="B62" s="78"/>
      <c r="C62" s="78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5"/>
      <c r="P62" s="51" t="s">
        <v>20</v>
      </c>
      <c r="Q62" s="51" t="s">
        <v>20</v>
      </c>
      <c r="R62" s="51" t="s">
        <v>20</v>
      </c>
      <c r="S62" s="51" t="s">
        <v>20</v>
      </c>
      <c r="T62" s="51" t="s">
        <v>20</v>
      </c>
      <c r="U62" s="51" t="s">
        <v>20</v>
      </c>
      <c r="V62" s="51" t="s">
        <v>20</v>
      </c>
      <c r="W62" s="51" t="s">
        <v>20</v>
      </c>
      <c r="X62" s="51" t="s">
        <v>20</v>
      </c>
      <c r="Y62" s="51" t="s">
        <v>20</v>
      </c>
      <c r="Z62" s="51" t="s">
        <v>20</v>
      </c>
      <c r="AA62" s="51" t="s">
        <v>20</v>
      </c>
      <c r="AB62" s="51" t="s">
        <v>20</v>
      </c>
      <c r="AC62" s="51" t="s">
        <v>20</v>
      </c>
      <c r="AD62" s="51" t="s">
        <v>20</v>
      </c>
      <c r="AE62" s="51" t="s">
        <v>20</v>
      </c>
      <c r="AF62" s="51" t="s">
        <v>20</v>
      </c>
      <c r="AG62" s="51" t="s">
        <v>20</v>
      </c>
      <c r="AH62" s="51" t="s">
        <v>20</v>
      </c>
      <c r="AI62" s="51" t="s">
        <v>20</v>
      </c>
      <c r="AJ62" s="51" t="s">
        <v>20</v>
      </c>
      <c r="AK62" s="51" t="s">
        <v>20</v>
      </c>
      <c r="AL62" s="51" t="s">
        <v>20</v>
      </c>
      <c r="AM62" s="51" t="s">
        <v>20</v>
      </c>
      <c r="AN62" s="51" t="s">
        <v>20</v>
      </c>
      <c r="AO62" s="51" t="s">
        <v>20</v>
      </c>
      <c r="AP62" s="51" t="s">
        <v>20</v>
      </c>
      <c r="AQ62" s="51" t="s">
        <v>20</v>
      </c>
      <c r="AR62" s="51" t="s">
        <v>20</v>
      </c>
      <c r="AS62" s="51" t="s">
        <v>20</v>
      </c>
      <c r="AT62" s="51" t="s">
        <v>20</v>
      </c>
      <c r="AU62" s="51" t="s">
        <v>20</v>
      </c>
      <c r="AV62" s="51" t="s">
        <v>20</v>
      </c>
      <c r="AW62" s="51" t="s">
        <v>20</v>
      </c>
      <c r="AX62" s="51" t="s">
        <v>20</v>
      </c>
      <c r="AY62" s="51" t="s">
        <v>20</v>
      </c>
      <c r="AZ62" s="51" t="s">
        <v>20</v>
      </c>
      <c r="BA62" s="51" t="s">
        <v>20</v>
      </c>
      <c r="BB62" s="51" t="s">
        <v>20</v>
      </c>
      <c r="BC62" s="51" t="s">
        <v>20</v>
      </c>
      <c r="BD62" s="51" t="s">
        <v>20</v>
      </c>
      <c r="BE62" s="51" t="s">
        <v>20</v>
      </c>
      <c r="BF62" s="51" t="s">
        <v>20</v>
      </c>
      <c r="BG62" s="51" t="s">
        <v>20</v>
      </c>
      <c r="BH62" s="51" t="s">
        <v>20</v>
      </c>
      <c r="BI62" s="51" t="s">
        <v>20</v>
      </c>
      <c r="BJ62" s="51" t="s">
        <v>20</v>
      </c>
      <c r="BK62" s="51" t="s">
        <v>20</v>
      </c>
      <c r="BL62" s="51" t="s">
        <v>20</v>
      </c>
      <c r="BM62" s="51" t="s">
        <v>20</v>
      </c>
      <c r="BN62" s="51" t="s">
        <v>20</v>
      </c>
      <c r="BO62" s="51" t="s">
        <v>20</v>
      </c>
      <c r="BP62" s="51" t="s">
        <v>20</v>
      </c>
      <c r="BQ62" s="51" t="s">
        <v>20</v>
      </c>
      <c r="BR62" s="51" t="s">
        <v>20</v>
      </c>
      <c r="BS62" s="51" t="s">
        <v>20</v>
      </c>
      <c r="BT62" s="51" t="s">
        <v>20</v>
      </c>
      <c r="BU62" s="51" t="s">
        <v>20</v>
      </c>
      <c r="BV62" s="51" t="s">
        <v>20</v>
      </c>
      <c r="BW62" s="51" t="s">
        <v>20</v>
      </c>
      <c r="BX62" s="51" t="s">
        <v>20</v>
      </c>
      <c r="BY62" s="51" t="s">
        <v>20</v>
      </c>
      <c r="BZ62" s="51" t="s">
        <v>20</v>
      </c>
      <c r="CA62" s="51" t="s">
        <v>20</v>
      </c>
      <c r="CB62" s="51" t="s">
        <v>20</v>
      </c>
      <c r="CC62" s="51" t="s">
        <v>20</v>
      </c>
      <c r="CD62" s="51" t="s">
        <v>20</v>
      </c>
      <c r="CE62" s="51" t="s">
        <v>20</v>
      </c>
      <c r="CF62" s="51" t="s">
        <v>20</v>
      </c>
      <c r="CG62" s="51" t="s">
        <v>20</v>
      </c>
      <c r="CH62" s="51" t="s">
        <v>20</v>
      </c>
      <c r="CI62" s="51" t="s">
        <v>20</v>
      </c>
      <c r="CJ62" s="51" t="s">
        <v>20</v>
      </c>
      <c r="CK62" s="51" t="s">
        <v>20</v>
      </c>
      <c r="CL62" s="51" t="s">
        <v>20</v>
      </c>
      <c r="CM62" s="51" t="s">
        <v>20</v>
      </c>
      <c r="CN62" s="51" t="s">
        <v>20</v>
      </c>
      <c r="CO62" s="51" t="s">
        <v>20</v>
      </c>
      <c r="CP62" s="51" t="s">
        <v>20</v>
      </c>
      <c r="CQ62" s="51" t="s">
        <v>20</v>
      </c>
      <c r="CR62" s="51" t="s">
        <v>20</v>
      </c>
      <c r="CS62" s="51" t="s">
        <v>20</v>
      </c>
      <c r="CT62" s="51" t="s">
        <v>20</v>
      </c>
      <c r="CU62" s="51" t="s">
        <v>20</v>
      </c>
      <c r="CV62" s="51" t="s">
        <v>20</v>
      </c>
      <c r="CW62" s="51" t="s">
        <v>20</v>
      </c>
      <c r="CX62" s="51" t="s">
        <v>20</v>
      </c>
      <c r="CY62" s="51" t="s">
        <v>20</v>
      </c>
      <c r="CZ62" s="51" t="s">
        <v>20</v>
      </c>
      <c r="DA62" s="51" t="s">
        <v>20</v>
      </c>
      <c r="DB62" s="51" t="s">
        <v>20</v>
      </c>
      <c r="DC62" s="51" t="s">
        <v>20</v>
      </c>
      <c r="DD62" s="51" t="s">
        <v>20</v>
      </c>
      <c r="DE62" s="51" t="s">
        <v>20</v>
      </c>
      <c r="DF62" s="51" t="s">
        <v>20</v>
      </c>
      <c r="DG62" s="51" t="s">
        <v>20</v>
      </c>
      <c r="DH62" s="51" t="s">
        <v>20</v>
      </c>
      <c r="DI62" s="51" t="s">
        <v>20</v>
      </c>
      <c r="DJ62" s="51" t="s">
        <v>20</v>
      </c>
      <c r="DK62" s="51" t="s">
        <v>20</v>
      </c>
      <c r="DL62" s="51" t="s">
        <v>20</v>
      </c>
      <c r="DM62" s="51" t="s">
        <v>20</v>
      </c>
      <c r="DN62" s="51" t="s">
        <v>20</v>
      </c>
      <c r="DO62" s="51" t="s">
        <v>20</v>
      </c>
      <c r="DP62" s="51" t="s">
        <v>20</v>
      </c>
      <c r="DQ62" s="51" t="s">
        <v>20</v>
      </c>
      <c r="DR62" s="51" t="s">
        <v>20</v>
      </c>
      <c r="DS62" s="51" t="s">
        <v>20</v>
      </c>
      <c r="DT62" s="51" t="s">
        <v>20</v>
      </c>
      <c r="DU62" s="51" t="s">
        <v>20</v>
      </c>
      <c r="DV62" s="51" t="s">
        <v>20</v>
      </c>
      <c r="DW62" s="51" t="s">
        <v>20</v>
      </c>
      <c r="DX62" s="51" t="s">
        <v>20</v>
      </c>
      <c r="DY62" s="51" t="s">
        <v>20</v>
      </c>
      <c r="DZ62" s="51" t="s">
        <v>20</v>
      </c>
      <c r="EA62" s="51" t="s">
        <v>20</v>
      </c>
      <c r="EB62" s="51" t="s">
        <v>20</v>
      </c>
      <c r="EC62" s="51" t="s">
        <v>20</v>
      </c>
      <c r="ED62" s="51" t="s">
        <v>20</v>
      </c>
      <c r="EE62" s="51" t="s">
        <v>20</v>
      </c>
      <c r="EF62" s="51" t="s">
        <v>20</v>
      </c>
      <c r="EG62" s="51" t="s">
        <v>20</v>
      </c>
      <c r="EH62" s="51" t="s">
        <v>20</v>
      </c>
      <c r="EI62" s="51" t="s">
        <v>20</v>
      </c>
      <c r="EJ62" s="51" t="s">
        <v>20</v>
      </c>
      <c r="EK62" s="51" t="s">
        <v>20</v>
      </c>
      <c r="EL62" s="51" t="s">
        <v>20</v>
      </c>
      <c r="EM62" s="51" t="s">
        <v>20</v>
      </c>
      <c r="EN62" s="51" t="s">
        <v>20</v>
      </c>
      <c r="EO62" s="51" t="s">
        <v>20</v>
      </c>
      <c r="EP62" s="51" t="s">
        <v>20</v>
      </c>
      <c r="EQ62" s="51" t="s">
        <v>20</v>
      </c>
      <c r="ER62" s="51" t="s">
        <v>20</v>
      </c>
      <c r="ES62" s="51" t="s">
        <v>20</v>
      </c>
      <c r="ET62" s="51" t="s">
        <v>20</v>
      </c>
      <c r="EU62" s="51" t="s">
        <v>20</v>
      </c>
      <c r="EV62" s="51" t="s">
        <v>20</v>
      </c>
      <c r="EW62" s="51" t="s">
        <v>20</v>
      </c>
      <c r="EX62" s="51" t="s">
        <v>20</v>
      </c>
      <c r="EY62" s="51" t="s">
        <v>20</v>
      </c>
      <c r="EZ62" s="51" t="s">
        <v>20</v>
      </c>
      <c r="FA62" s="51" t="s">
        <v>20</v>
      </c>
      <c r="FB62" s="51" t="s">
        <v>20</v>
      </c>
      <c r="FC62" s="51" t="s">
        <v>20</v>
      </c>
      <c r="FD62" s="51" t="s">
        <v>20</v>
      </c>
      <c r="FE62" s="51" t="s">
        <v>20</v>
      </c>
      <c r="FF62" s="51" t="s">
        <v>20</v>
      </c>
      <c r="FG62" s="51" t="s">
        <v>20</v>
      </c>
      <c r="FH62" s="51" t="s">
        <v>20</v>
      </c>
      <c r="FI62" s="51" t="s">
        <v>20</v>
      </c>
      <c r="FJ62" s="51" t="s">
        <v>20</v>
      </c>
      <c r="FK62" s="51" t="s">
        <v>20</v>
      </c>
      <c r="FL62" s="51" t="s">
        <v>20</v>
      </c>
      <c r="FM62" s="51" t="s">
        <v>20</v>
      </c>
      <c r="FN62" s="51" t="s">
        <v>20</v>
      </c>
      <c r="FO62" s="51" t="s">
        <v>20</v>
      </c>
      <c r="FP62" s="51" t="s">
        <v>20</v>
      </c>
      <c r="FQ62" s="51" t="s">
        <v>20</v>
      </c>
      <c r="FR62" s="51" t="s">
        <v>20</v>
      </c>
      <c r="FS62" s="51" t="s">
        <v>20</v>
      </c>
      <c r="FT62" s="51" t="s">
        <v>20</v>
      </c>
      <c r="FU62" s="51" t="s">
        <v>20</v>
      </c>
      <c r="FV62" s="51" t="s">
        <v>20</v>
      </c>
      <c r="FW62" s="51" t="s">
        <v>20</v>
      </c>
      <c r="FX62" s="51" t="s">
        <v>20</v>
      </c>
      <c r="FY62" s="51" t="s">
        <v>20</v>
      </c>
      <c r="FZ62" s="51" t="s">
        <v>20</v>
      </c>
      <c r="GA62" s="51" t="s">
        <v>20</v>
      </c>
      <c r="GB62" s="51" t="s">
        <v>20</v>
      </c>
      <c r="GC62" s="51" t="s">
        <v>20</v>
      </c>
      <c r="GD62" s="51" t="s">
        <v>20</v>
      </c>
      <c r="GE62" s="51" t="s">
        <v>20</v>
      </c>
      <c r="GF62" s="51" t="s">
        <v>20</v>
      </c>
      <c r="GG62" s="51" t="s">
        <v>20</v>
      </c>
      <c r="GH62" s="51" t="s">
        <v>20</v>
      </c>
      <c r="GI62" s="51" t="s">
        <v>20</v>
      </c>
      <c r="GJ62" s="51" t="s">
        <v>20</v>
      </c>
      <c r="GK62" s="51" t="s">
        <v>20</v>
      </c>
      <c r="GL62" s="51" t="s">
        <v>20</v>
      </c>
      <c r="GM62" s="51" t="s">
        <v>20</v>
      </c>
      <c r="GN62" s="51" t="s">
        <v>20</v>
      </c>
      <c r="GO62" s="51" t="s">
        <v>20</v>
      </c>
      <c r="GP62" s="51" t="s">
        <v>20</v>
      </c>
      <c r="GQ62" s="51" t="s">
        <v>20</v>
      </c>
      <c r="GR62" s="51" t="s">
        <v>20</v>
      </c>
      <c r="GS62" s="51" t="s">
        <v>20</v>
      </c>
      <c r="GT62" s="51" t="s">
        <v>20</v>
      </c>
      <c r="GU62" s="51" t="s">
        <v>20</v>
      </c>
      <c r="GV62" s="51" t="s">
        <v>20</v>
      </c>
      <c r="GW62" s="51" t="s">
        <v>20</v>
      </c>
      <c r="GX62" s="51" t="s">
        <v>20</v>
      </c>
      <c r="GY62" s="51" t="s">
        <v>20</v>
      </c>
      <c r="GZ62" s="51" t="s">
        <v>20</v>
      </c>
      <c r="HA62" s="51" t="s">
        <v>20</v>
      </c>
      <c r="HB62" s="51" t="s">
        <v>20</v>
      </c>
      <c r="HC62" s="51" t="s">
        <v>20</v>
      </c>
      <c r="HD62" s="51" t="s">
        <v>20</v>
      </c>
      <c r="HE62" s="51" t="s">
        <v>20</v>
      </c>
      <c r="HF62" s="51" t="s">
        <v>20</v>
      </c>
      <c r="HG62" s="51" t="s">
        <v>20</v>
      </c>
      <c r="HH62" s="51" t="s">
        <v>20</v>
      </c>
      <c r="HI62" s="51" t="s">
        <v>20</v>
      </c>
      <c r="HJ62" s="51" t="s">
        <v>20</v>
      </c>
      <c r="HK62" s="51" t="s">
        <v>20</v>
      </c>
      <c r="HL62" s="51" t="s">
        <v>20</v>
      </c>
      <c r="HM62" s="51" t="s">
        <v>20</v>
      </c>
      <c r="HN62" s="51" t="s">
        <v>20</v>
      </c>
      <c r="HO62" s="51" t="s">
        <v>20</v>
      </c>
      <c r="HP62" s="51" t="s">
        <v>20</v>
      </c>
      <c r="HQ62" s="51" t="s">
        <v>20</v>
      </c>
      <c r="HR62" s="51" t="s">
        <v>20</v>
      </c>
      <c r="HS62" s="51" t="s">
        <v>20</v>
      </c>
      <c r="HT62" s="51" t="s">
        <v>20</v>
      </c>
      <c r="HU62" s="51" t="s">
        <v>20</v>
      </c>
      <c r="HV62" s="51" t="s">
        <v>20</v>
      </c>
      <c r="HW62" s="51" t="s">
        <v>20</v>
      </c>
      <c r="HX62" s="51" t="s">
        <v>20</v>
      </c>
      <c r="HY62" s="51" t="s">
        <v>20</v>
      </c>
      <c r="HZ62" s="51" t="s">
        <v>20</v>
      </c>
      <c r="IA62" s="51" t="s">
        <v>20</v>
      </c>
      <c r="IB62" s="51" t="s">
        <v>20</v>
      </c>
      <c r="IC62" s="51" t="s">
        <v>20</v>
      </c>
    </row>
    <row r="63" spans="1:257">
      <c r="A63" s="4" t="s">
        <v>522</v>
      </c>
      <c r="B63" s="82" t="str">
        <f t="array" ref="B63">_xlfn.LET(
  _xlpm.dates, _xlfn._xlws.FILTER(P63:HO63, (P65:HO65&lt;&gt;"")+(P67:HO67&lt;&gt;"")),
  _xlpm.numDates, IFERROR(VALUE(_xlpm.dates), _xlpm.dates),
  _xlpm.first, TEXT(MIN(_xlpm.numDates), "m/dd"),
  _xlpm.last, TEXT(MAX(_xlpm.numDates), "m/dd"),
  _xlpm.first &amp; "~" &amp; _xlpm.last
)</f>
        <v>3/27~4/27</v>
      </c>
      <c r="C63" s="78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522</v>
      </c>
      <c r="P63" s="3">
        <v>46107</v>
      </c>
      <c r="Q63" s="3">
        <v>46108</v>
      </c>
      <c r="R63" s="3">
        <v>46109</v>
      </c>
      <c r="S63" s="3">
        <v>46110</v>
      </c>
      <c r="T63" s="3">
        <v>46111</v>
      </c>
      <c r="U63" s="3">
        <v>46112</v>
      </c>
      <c r="V63" s="3">
        <v>46113</v>
      </c>
      <c r="W63" s="3">
        <v>46114</v>
      </c>
      <c r="X63" s="3">
        <v>46115</v>
      </c>
      <c r="Y63" s="3">
        <v>46116</v>
      </c>
      <c r="Z63" s="3">
        <v>46117</v>
      </c>
      <c r="AA63" s="3">
        <v>46118</v>
      </c>
      <c r="AB63" s="3">
        <v>46119</v>
      </c>
      <c r="AC63" s="3">
        <v>46120</v>
      </c>
      <c r="AD63" s="3">
        <v>46121</v>
      </c>
      <c r="AE63" s="3">
        <v>46122</v>
      </c>
      <c r="AF63" s="3">
        <v>46123</v>
      </c>
      <c r="AG63" s="3">
        <v>46124</v>
      </c>
      <c r="AH63" s="3">
        <v>46125</v>
      </c>
      <c r="AI63" s="3">
        <v>46126</v>
      </c>
      <c r="AJ63" s="3">
        <v>46127</v>
      </c>
      <c r="AK63" s="3">
        <v>46128</v>
      </c>
      <c r="AL63" s="3">
        <v>46129</v>
      </c>
      <c r="AM63" s="3">
        <v>46130</v>
      </c>
      <c r="AN63" s="3">
        <v>46131</v>
      </c>
      <c r="AO63" s="3">
        <v>46132</v>
      </c>
      <c r="AP63" s="3">
        <v>46133</v>
      </c>
      <c r="AQ63" s="3">
        <v>46134</v>
      </c>
      <c r="AR63" s="3">
        <v>46135</v>
      </c>
      <c r="AS63" s="3">
        <v>46136</v>
      </c>
      <c r="AT63" s="3">
        <v>46137</v>
      </c>
      <c r="AU63" s="3">
        <v>46138</v>
      </c>
      <c r="AV63" s="3">
        <v>46139</v>
      </c>
      <c r="AW63" s="3">
        <v>46140</v>
      </c>
      <c r="AX63" s="3">
        <v>46141</v>
      </c>
      <c r="AY63" s="3">
        <v>46142</v>
      </c>
      <c r="AZ63" s="3">
        <v>46143</v>
      </c>
      <c r="BA63" s="3">
        <v>46144</v>
      </c>
      <c r="BB63" s="3">
        <v>46145</v>
      </c>
      <c r="BC63" s="3">
        <v>46146</v>
      </c>
      <c r="BD63" s="3">
        <v>46147</v>
      </c>
      <c r="BE63" s="3">
        <v>46148</v>
      </c>
      <c r="BF63" s="3">
        <v>46149</v>
      </c>
      <c r="BG63" s="3">
        <v>46150</v>
      </c>
      <c r="BH63" s="3">
        <v>46151</v>
      </c>
      <c r="BI63" s="3">
        <v>46152</v>
      </c>
      <c r="BJ63" s="3">
        <v>46153</v>
      </c>
      <c r="BK63" s="3">
        <v>46154</v>
      </c>
      <c r="BL63" s="3">
        <v>46155</v>
      </c>
      <c r="BM63" s="3">
        <v>46156</v>
      </c>
      <c r="BN63" s="3">
        <v>46157</v>
      </c>
      <c r="BO63" s="3">
        <v>46158</v>
      </c>
      <c r="BP63" s="3">
        <v>46159</v>
      </c>
      <c r="BQ63" s="3">
        <v>46160</v>
      </c>
      <c r="BR63" s="3">
        <v>46161</v>
      </c>
      <c r="BS63" s="3">
        <v>46162</v>
      </c>
      <c r="BT63" s="3">
        <v>46163</v>
      </c>
      <c r="BU63" s="3">
        <v>46164</v>
      </c>
      <c r="BV63" s="3">
        <v>46165</v>
      </c>
      <c r="BW63" s="3">
        <v>46166</v>
      </c>
      <c r="BX63" s="3">
        <v>46167</v>
      </c>
      <c r="BY63" s="3">
        <v>46168</v>
      </c>
      <c r="BZ63" s="3">
        <v>46169</v>
      </c>
      <c r="CA63" s="3">
        <v>46170</v>
      </c>
      <c r="CB63" s="3">
        <v>46171</v>
      </c>
      <c r="CC63" s="3">
        <v>46172</v>
      </c>
      <c r="CD63" s="3">
        <v>46173</v>
      </c>
      <c r="CE63" s="3">
        <v>46174</v>
      </c>
      <c r="CF63" s="3">
        <v>46175</v>
      </c>
      <c r="CG63" s="3">
        <v>46176</v>
      </c>
      <c r="CH63" s="3">
        <v>46177</v>
      </c>
      <c r="CI63" s="3">
        <v>46178</v>
      </c>
      <c r="CJ63" s="3">
        <v>46179</v>
      </c>
      <c r="CK63" s="3">
        <v>46180</v>
      </c>
      <c r="CL63" s="3">
        <v>46181</v>
      </c>
      <c r="CM63" s="3">
        <v>46182</v>
      </c>
      <c r="CN63" s="3">
        <v>46183</v>
      </c>
      <c r="CO63" s="3">
        <v>46184</v>
      </c>
      <c r="CP63" s="3">
        <v>46185</v>
      </c>
      <c r="CQ63" s="3">
        <v>46186</v>
      </c>
      <c r="CR63" s="3">
        <v>46187</v>
      </c>
      <c r="CS63" s="3">
        <v>46188</v>
      </c>
      <c r="CT63" s="3">
        <v>46189</v>
      </c>
      <c r="CU63" s="3">
        <v>46190</v>
      </c>
      <c r="CV63" s="3">
        <v>46191</v>
      </c>
      <c r="CW63" s="3">
        <v>46192</v>
      </c>
      <c r="CX63" s="3">
        <v>46193</v>
      </c>
      <c r="CY63" s="3">
        <v>46194</v>
      </c>
      <c r="CZ63" s="3">
        <v>46195</v>
      </c>
      <c r="DA63" s="3">
        <v>46196</v>
      </c>
      <c r="DB63" s="3">
        <v>46197</v>
      </c>
      <c r="DC63" s="3">
        <v>46198</v>
      </c>
      <c r="DD63" s="3">
        <v>46199</v>
      </c>
      <c r="DE63" s="3">
        <v>46200</v>
      </c>
      <c r="DF63" s="3">
        <v>46201</v>
      </c>
      <c r="DG63" s="3">
        <v>46202</v>
      </c>
      <c r="DH63" s="3">
        <v>46203</v>
      </c>
      <c r="DI63" s="3">
        <v>46204</v>
      </c>
      <c r="DJ63" s="3">
        <v>46205</v>
      </c>
      <c r="DK63" s="3">
        <v>46206</v>
      </c>
      <c r="DL63" s="3">
        <v>46207</v>
      </c>
      <c r="DM63" s="3">
        <v>46208</v>
      </c>
      <c r="DN63" s="3">
        <v>46209</v>
      </c>
      <c r="DO63" s="3">
        <v>46210</v>
      </c>
      <c r="DP63" s="3">
        <v>46211</v>
      </c>
      <c r="DQ63" s="3">
        <v>46212</v>
      </c>
      <c r="DR63" s="3">
        <v>46213</v>
      </c>
      <c r="DS63" s="3">
        <v>46214</v>
      </c>
      <c r="DT63" s="3">
        <v>46215</v>
      </c>
      <c r="DU63" s="3">
        <v>46216</v>
      </c>
      <c r="DV63" s="3">
        <v>46217</v>
      </c>
      <c r="DW63" s="3">
        <v>46218</v>
      </c>
      <c r="DX63" s="3">
        <v>46219</v>
      </c>
      <c r="DY63" s="3">
        <v>46220</v>
      </c>
      <c r="DZ63" s="3">
        <v>46221</v>
      </c>
      <c r="EA63" s="3">
        <v>46222</v>
      </c>
      <c r="EB63" s="3">
        <v>46223</v>
      </c>
      <c r="EC63" s="3">
        <v>46224</v>
      </c>
      <c r="ED63" s="3">
        <v>46225</v>
      </c>
      <c r="EE63" s="3">
        <v>46226</v>
      </c>
      <c r="EF63" s="3">
        <v>46227</v>
      </c>
      <c r="EG63" s="3">
        <v>46228</v>
      </c>
      <c r="EH63" s="3">
        <v>46229</v>
      </c>
      <c r="EI63" s="3">
        <v>46230</v>
      </c>
      <c r="EJ63" s="3">
        <v>46231</v>
      </c>
      <c r="EK63" s="3">
        <v>46232</v>
      </c>
      <c r="EL63" s="3">
        <v>46233</v>
      </c>
      <c r="EM63" s="3">
        <v>46234</v>
      </c>
      <c r="EN63" s="3">
        <v>46235</v>
      </c>
      <c r="EO63" s="3">
        <v>46236</v>
      </c>
      <c r="EP63" s="3">
        <v>46237</v>
      </c>
      <c r="EQ63" s="3">
        <v>46238</v>
      </c>
      <c r="ER63" s="3">
        <v>46239</v>
      </c>
      <c r="ES63" s="3">
        <v>46240</v>
      </c>
      <c r="ET63" s="3">
        <v>46241</v>
      </c>
      <c r="EU63" s="3">
        <v>46242</v>
      </c>
      <c r="EV63" s="3">
        <v>46243</v>
      </c>
      <c r="EW63" s="3">
        <v>46244</v>
      </c>
      <c r="EX63" s="3">
        <v>46245</v>
      </c>
      <c r="EY63" s="3">
        <v>46246</v>
      </c>
      <c r="EZ63" s="3">
        <v>46247</v>
      </c>
      <c r="FA63" s="3">
        <v>46248</v>
      </c>
      <c r="FB63" s="3">
        <v>46249</v>
      </c>
      <c r="FC63" s="3">
        <v>46250</v>
      </c>
      <c r="FD63" s="3">
        <v>46251</v>
      </c>
      <c r="FE63" s="3">
        <v>46252</v>
      </c>
      <c r="FF63" s="3">
        <v>46253</v>
      </c>
      <c r="FG63" s="3">
        <v>46254</v>
      </c>
      <c r="FH63" s="3">
        <v>46255</v>
      </c>
      <c r="FI63" s="3">
        <v>46256</v>
      </c>
      <c r="FJ63" s="3">
        <v>46257</v>
      </c>
      <c r="FK63" s="3">
        <v>46258</v>
      </c>
      <c r="FL63" s="3">
        <v>46259</v>
      </c>
      <c r="FM63" s="3">
        <v>46260</v>
      </c>
      <c r="FN63" s="3">
        <v>46261</v>
      </c>
      <c r="FO63" s="3">
        <v>46262</v>
      </c>
      <c r="FP63" s="3">
        <v>46263</v>
      </c>
      <c r="FQ63" s="3">
        <v>46264</v>
      </c>
      <c r="FR63" s="3">
        <v>46265</v>
      </c>
      <c r="FS63" s="3">
        <v>46266</v>
      </c>
      <c r="FT63" s="3">
        <v>46267</v>
      </c>
      <c r="FU63" s="3">
        <v>46268</v>
      </c>
      <c r="FV63" s="3">
        <v>46269</v>
      </c>
      <c r="FW63" s="3">
        <v>46270</v>
      </c>
      <c r="FX63" s="3">
        <v>46271</v>
      </c>
      <c r="FY63" s="3">
        <v>46272</v>
      </c>
      <c r="FZ63" s="3">
        <v>46273</v>
      </c>
      <c r="GA63" s="3">
        <v>46274</v>
      </c>
      <c r="GB63" s="3">
        <v>46275</v>
      </c>
      <c r="GC63" s="3">
        <v>46276</v>
      </c>
      <c r="GD63" s="3">
        <v>46277</v>
      </c>
      <c r="GE63" s="3">
        <v>46278</v>
      </c>
      <c r="GF63" s="3">
        <v>46279</v>
      </c>
      <c r="GG63" s="3">
        <v>46280</v>
      </c>
      <c r="GH63" s="3">
        <v>46281</v>
      </c>
      <c r="GI63" s="3">
        <v>46282</v>
      </c>
      <c r="GJ63" s="3">
        <v>46283</v>
      </c>
      <c r="GK63" s="3">
        <v>46284</v>
      </c>
      <c r="GL63" s="3">
        <v>46285</v>
      </c>
      <c r="GM63" s="3">
        <v>46286</v>
      </c>
      <c r="GN63" s="3">
        <v>46287</v>
      </c>
      <c r="GO63" s="3">
        <v>46288</v>
      </c>
      <c r="GP63" s="3">
        <v>46289</v>
      </c>
      <c r="GQ63" s="3">
        <v>46290</v>
      </c>
      <c r="GR63" s="3">
        <v>46291</v>
      </c>
      <c r="GS63" s="3">
        <v>46292</v>
      </c>
      <c r="GT63" s="3">
        <v>46293</v>
      </c>
      <c r="GU63" s="3">
        <v>46294</v>
      </c>
      <c r="GV63" s="3">
        <v>46295</v>
      </c>
      <c r="GW63" s="3">
        <v>46296</v>
      </c>
      <c r="GX63" s="3">
        <v>46297</v>
      </c>
      <c r="GY63" s="3">
        <v>46298</v>
      </c>
      <c r="GZ63" s="3">
        <v>46299</v>
      </c>
      <c r="HA63" s="3">
        <v>46300</v>
      </c>
      <c r="HB63" s="3">
        <v>46301</v>
      </c>
      <c r="HC63" s="3">
        <v>46302</v>
      </c>
      <c r="HD63" s="3">
        <v>46303</v>
      </c>
      <c r="HE63" s="3">
        <v>46304</v>
      </c>
      <c r="HF63" s="3">
        <v>46305</v>
      </c>
      <c r="HG63" s="3">
        <v>46306</v>
      </c>
      <c r="HH63" s="3">
        <v>46307</v>
      </c>
      <c r="HI63" s="3">
        <v>46308</v>
      </c>
      <c r="HJ63" s="3">
        <v>46309</v>
      </c>
      <c r="HK63" s="3">
        <v>46310</v>
      </c>
      <c r="HL63" s="3">
        <v>46311</v>
      </c>
      <c r="HM63" s="3">
        <v>46312</v>
      </c>
      <c r="HN63" s="3">
        <v>46313</v>
      </c>
      <c r="HO63" s="3">
        <v>46314</v>
      </c>
      <c r="HP63" s="3">
        <v>46315</v>
      </c>
      <c r="HQ63" s="3">
        <v>46316</v>
      </c>
      <c r="HR63" s="3">
        <v>46317</v>
      </c>
      <c r="HS63" s="3">
        <v>46318</v>
      </c>
      <c r="HT63" s="3">
        <v>46319</v>
      </c>
      <c r="HU63" s="3">
        <v>46320</v>
      </c>
      <c r="HV63" s="3">
        <v>46321</v>
      </c>
      <c r="HW63" s="3">
        <v>46322</v>
      </c>
      <c r="HX63" s="3">
        <v>46323</v>
      </c>
      <c r="HY63" s="3">
        <v>46324</v>
      </c>
      <c r="HZ63" s="3">
        <v>46325</v>
      </c>
      <c r="IA63" s="3">
        <v>46326</v>
      </c>
      <c r="IB63" s="3">
        <v>46327</v>
      </c>
      <c r="IC63" s="3">
        <v>46328</v>
      </c>
    </row>
    <row r="64" spans="1:257">
      <c r="A64" s="4" t="s">
        <v>694</v>
      </c>
      <c r="B64" s="82" t="str">
        <f t="array" ref="B64">COLUMNS(_xlfn._xlws.FILTER(P63:HO63, (P65:HO65&lt;&gt;"")+(P67:HO67&lt;&gt;""))) &amp; "場"</f>
        <v>27場</v>
      </c>
      <c r="C64" s="78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 t="s">
        <v>675</v>
      </c>
      <c r="P64" s="3" t="s">
        <v>676</v>
      </c>
      <c r="Q64" s="3" t="s">
        <v>677</v>
      </c>
      <c r="R64" s="3" t="s">
        <v>678</v>
      </c>
      <c r="S64" s="3" t="s">
        <v>679</v>
      </c>
      <c r="T64" s="3" t="s">
        <v>680</v>
      </c>
      <c r="U64" s="3" t="s">
        <v>681</v>
      </c>
      <c r="V64" s="3" t="s">
        <v>682</v>
      </c>
      <c r="W64" s="3" t="s">
        <v>676</v>
      </c>
      <c r="X64" s="3" t="s">
        <v>677</v>
      </c>
      <c r="Y64" s="3" t="s">
        <v>678</v>
      </c>
      <c r="Z64" s="3" t="s">
        <v>679</v>
      </c>
      <c r="AA64" s="3" t="s">
        <v>680</v>
      </c>
      <c r="AB64" s="3" t="s">
        <v>681</v>
      </c>
      <c r="AC64" s="3" t="s">
        <v>682</v>
      </c>
      <c r="AD64" s="3" t="s">
        <v>676</v>
      </c>
      <c r="AE64" s="3" t="s">
        <v>677</v>
      </c>
      <c r="AF64" s="3" t="s">
        <v>678</v>
      </c>
      <c r="AG64" s="3" t="s">
        <v>679</v>
      </c>
      <c r="AH64" s="3" t="s">
        <v>680</v>
      </c>
      <c r="AI64" s="3" t="s">
        <v>681</v>
      </c>
      <c r="AJ64" s="3" t="s">
        <v>682</v>
      </c>
      <c r="AK64" s="3" t="s">
        <v>676</v>
      </c>
      <c r="AL64" s="3" t="s">
        <v>677</v>
      </c>
      <c r="AM64" s="3" t="s">
        <v>678</v>
      </c>
      <c r="AN64" s="3" t="s">
        <v>679</v>
      </c>
      <c r="AO64" s="3" t="s">
        <v>680</v>
      </c>
      <c r="AP64" s="3" t="s">
        <v>681</v>
      </c>
      <c r="AQ64" s="3" t="s">
        <v>682</v>
      </c>
      <c r="AR64" s="3" t="s">
        <v>676</v>
      </c>
      <c r="AS64" s="3" t="s">
        <v>677</v>
      </c>
      <c r="AT64" s="3" t="s">
        <v>678</v>
      </c>
      <c r="AU64" s="3" t="s">
        <v>679</v>
      </c>
      <c r="AV64" s="3" t="s">
        <v>680</v>
      </c>
      <c r="AW64" s="3" t="s">
        <v>681</v>
      </c>
      <c r="AX64" s="3" t="s">
        <v>682</v>
      </c>
      <c r="AY64" s="3" t="s">
        <v>676</v>
      </c>
      <c r="AZ64" s="3" t="s">
        <v>677</v>
      </c>
      <c r="BA64" s="3" t="s">
        <v>678</v>
      </c>
      <c r="BB64" s="3" t="s">
        <v>679</v>
      </c>
      <c r="BC64" s="3" t="s">
        <v>680</v>
      </c>
      <c r="BD64" s="3" t="s">
        <v>681</v>
      </c>
      <c r="BE64" s="3" t="s">
        <v>682</v>
      </c>
      <c r="BF64" s="3" t="s">
        <v>676</v>
      </c>
      <c r="BG64" s="3" t="s">
        <v>677</v>
      </c>
      <c r="BH64" s="3" t="s">
        <v>678</v>
      </c>
      <c r="BI64" s="3" t="s">
        <v>679</v>
      </c>
      <c r="BJ64" s="3" t="s">
        <v>680</v>
      </c>
      <c r="BK64" s="3" t="s">
        <v>681</v>
      </c>
      <c r="BL64" s="3" t="s">
        <v>682</v>
      </c>
      <c r="BM64" s="3" t="s">
        <v>676</v>
      </c>
      <c r="BN64" s="3" t="s">
        <v>677</v>
      </c>
      <c r="BO64" s="3" t="s">
        <v>678</v>
      </c>
      <c r="BP64" s="3" t="s">
        <v>679</v>
      </c>
      <c r="BQ64" s="3" t="s">
        <v>680</v>
      </c>
      <c r="BR64" s="3" t="s">
        <v>681</v>
      </c>
      <c r="BS64" s="3" t="s">
        <v>682</v>
      </c>
      <c r="BT64" s="3" t="s">
        <v>676</v>
      </c>
      <c r="BU64" s="3" t="s">
        <v>677</v>
      </c>
      <c r="BV64" s="3" t="s">
        <v>678</v>
      </c>
      <c r="BW64" s="3" t="s">
        <v>679</v>
      </c>
      <c r="BX64" s="3" t="s">
        <v>680</v>
      </c>
      <c r="BY64" s="3" t="s">
        <v>681</v>
      </c>
      <c r="BZ64" s="3" t="s">
        <v>682</v>
      </c>
      <c r="CA64" s="3" t="s">
        <v>676</v>
      </c>
      <c r="CB64" s="3" t="s">
        <v>677</v>
      </c>
      <c r="CC64" s="3" t="s">
        <v>678</v>
      </c>
      <c r="CD64" s="3" t="s">
        <v>679</v>
      </c>
      <c r="CE64" s="3" t="s">
        <v>680</v>
      </c>
      <c r="CF64" s="3" t="s">
        <v>681</v>
      </c>
      <c r="CG64" s="3" t="s">
        <v>682</v>
      </c>
      <c r="CH64" s="3" t="s">
        <v>676</v>
      </c>
      <c r="CI64" s="3" t="s">
        <v>677</v>
      </c>
      <c r="CJ64" s="3" t="s">
        <v>678</v>
      </c>
      <c r="CK64" s="3" t="s">
        <v>679</v>
      </c>
      <c r="CL64" s="3" t="s">
        <v>680</v>
      </c>
      <c r="CM64" s="3" t="s">
        <v>681</v>
      </c>
      <c r="CN64" s="3" t="s">
        <v>682</v>
      </c>
      <c r="CO64" s="3" t="s">
        <v>676</v>
      </c>
      <c r="CP64" s="3" t="s">
        <v>677</v>
      </c>
      <c r="CQ64" s="3" t="s">
        <v>678</v>
      </c>
      <c r="CR64" s="3" t="s">
        <v>679</v>
      </c>
      <c r="CS64" s="3" t="s">
        <v>680</v>
      </c>
      <c r="CT64" s="3" t="s">
        <v>681</v>
      </c>
      <c r="CU64" s="3" t="s">
        <v>682</v>
      </c>
      <c r="CV64" s="3" t="s">
        <v>676</v>
      </c>
      <c r="CW64" s="3" t="s">
        <v>677</v>
      </c>
      <c r="CX64" s="3" t="s">
        <v>678</v>
      </c>
      <c r="CY64" s="3" t="s">
        <v>679</v>
      </c>
      <c r="CZ64" s="3" t="s">
        <v>680</v>
      </c>
      <c r="DA64" s="3" t="s">
        <v>681</v>
      </c>
      <c r="DB64" s="3" t="s">
        <v>682</v>
      </c>
      <c r="DC64" s="3" t="s">
        <v>676</v>
      </c>
      <c r="DD64" s="3" t="s">
        <v>677</v>
      </c>
      <c r="DE64" s="3" t="s">
        <v>678</v>
      </c>
      <c r="DF64" s="3" t="s">
        <v>679</v>
      </c>
      <c r="DG64" s="3" t="s">
        <v>680</v>
      </c>
      <c r="DH64" s="3" t="s">
        <v>681</v>
      </c>
      <c r="DI64" s="3" t="s">
        <v>682</v>
      </c>
      <c r="DJ64" s="3" t="s">
        <v>676</v>
      </c>
      <c r="DK64" s="3" t="s">
        <v>677</v>
      </c>
      <c r="DL64" s="3" t="s">
        <v>678</v>
      </c>
      <c r="DM64" s="3" t="s">
        <v>679</v>
      </c>
      <c r="DN64" s="3" t="s">
        <v>680</v>
      </c>
      <c r="DO64" s="3" t="s">
        <v>681</v>
      </c>
      <c r="DP64" s="3" t="s">
        <v>682</v>
      </c>
      <c r="DQ64" s="3" t="s">
        <v>676</v>
      </c>
      <c r="DR64" s="3" t="s">
        <v>677</v>
      </c>
      <c r="DS64" s="3" t="s">
        <v>678</v>
      </c>
      <c r="DT64" s="3" t="s">
        <v>679</v>
      </c>
      <c r="DU64" s="3" t="s">
        <v>680</v>
      </c>
      <c r="DV64" s="3" t="s">
        <v>681</v>
      </c>
      <c r="DW64" s="3" t="s">
        <v>682</v>
      </c>
      <c r="DX64" s="3" t="s">
        <v>676</v>
      </c>
      <c r="DY64" s="3" t="s">
        <v>677</v>
      </c>
      <c r="DZ64" s="3" t="s">
        <v>678</v>
      </c>
      <c r="EA64" s="3" t="s">
        <v>679</v>
      </c>
      <c r="EB64" s="3" t="s">
        <v>680</v>
      </c>
      <c r="EC64" s="3" t="s">
        <v>681</v>
      </c>
      <c r="ED64" s="3" t="s">
        <v>682</v>
      </c>
      <c r="EE64" s="3" t="s">
        <v>676</v>
      </c>
      <c r="EF64" s="3" t="s">
        <v>677</v>
      </c>
      <c r="EG64" s="3" t="s">
        <v>678</v>
      </c>
      <c r="EH64" s="3" t="s">
        <v>679</v>
      </c>
      <c r="EI64" s="3" t="s">
        <v>680</v>
      </c>
      <c r="EJ64" s="3" t="s">
        <v>681</v>
      </c>
      <c r="EK64" s="3" t="s">
        <v>682</v>
      </c>
      <c r="EL64" s="3" t="s">
        <v>676</v>
      </c>
      <c r="EM64" s="3" t="s">
        <v>677</v>
      </c>
      <c r="EN64" s="3" t="s">
        <v>678</v>
      </c>
      <c r="EO64" s="3" t="s">
        <v>679</v>
      </c>
      <c r="EP64" s="3" t="s">
        <v>680</v>
      </c>
      <c r="EQ64" s="3" t="s">
        <v>681</v>
      </c>
      <c r="ER64" s="3" t="s">
        <v>682</v>
      </c>
      <c r="ES64" s="3" t="s">
        <v>676</v>
      </c>
      <c r="ET64" s="3" t="s">
        <v>677</v>
      </c>
      <c r="EU64" s="3" t="s">
        <v>678</v>
      </c>
      <c r="EV64" s="3" t="s">
        <v>679</v>
      </c>
      <c r="EW64" s="3" t="s">
        <v>680</v>
      </c>
      <c r="EX64" s="3" t="s">
        <v>681</v>
      </c>
      <c r="EY64" s="3" t="s">
        <v>682</v>
      </c>
      <c r="EZ64" s="3" t="s">
        <v>676</v>
      </c>
      <c r="FA64" s="3" t="s">
        <v>677</v>
      </c>
      <c r="FB64" s="3" t="s">
        <v>678</v>
      </c>
      <c r="FC64" s="3" t="s">
        <v>679</v>
      </c>
      <c r="FD64" s="3" t="s">
        <v>680</v>
      </c>
      <c r="FE64" s="3" t="s">
        <v>681</v>
      </c>
      <c r="FF64" s="3" t="s">
        <v>682</v>
      </c>
      <c r="FG64" s="3" t="s">
        <v>676</v>
      </c>
      <c r="FH64" s="3" t="s">
        <v>677</v>
      </c>
      <c r="FI64" s="3" t="s">
        <v>678</v>
      </c>
      <c r="FJ64" s="3" t="s">
        <v>679</v>
      </c>
      <c r="FK64" s="3" t="s">
        <v>680</v>
      </c>
      <c r="FL64" s="3" t="s">
        <v>681</v>
      </c>
      <c r="FM64" s="3" t="s">
        <v>682</v>
      </c>
      <c r="FN64" s="3" t="s">
        <v>676</v>
      </c>
      <c r="FO64" s="3" t="s">
        <v>677</v>
      </c>
      <c r="FP64" s="3" t="s">
        <v>678</v>
      </c>
      <c r="FQ64" s="3" t="s">
        <v>679</v>
      </c>
      <c r="FR64" s="3" t="s">
        <v>680</v>
      </c>
      <c r="FS64" s="3" t="s">
        <v>681</v>
      </c>
      <c r="FT64" s="3" t="s">
        <v>682</v>
      </c>
      <c r="FU64" s="3" t="s">
        <v>676</v>
      </c>
      <c r="FV64" s="3" t="s">
        <v>677</v>
      </c>
      <c r="FW64" s="3" t="s">
        <v>678</v>
      </c>
      <c r="FX64" s="3" t="s">
        <v>679</v>
      </c>
      <c r="FY64" s="3" t="s">
        <v>680</v>
      </c>
      <c r="FZ64" s="3" t="s">
        <v>681</v>
      </c>
      <c r="GA64" s="3" t="s">
        <v>682</v>
      </c>
      <c r="GB64" s="3" t="s">
        <v>676</v>
      </c>
      <c r="GC64" s="3" t="s">
        <v>677</v>
      </c>
      <c r="GD64" s="3" t="s">
        <v>678</v>
      </c>
      <c r="GE64" s="3" t="s">
        <v>679</v>
      </c>
      <c r="GF64" s="3" t="s">
        <v>680</v>
      </c>
      <c r="GG64" s="3" t="s">
        <v>681</v>
      </c>
      <c r="GH64" s="3" t="s">
        <v>682</v>
      </c>
      <c r="GI64" s="3" t="s">
        <v>676</v>
      </c>
      <c r="GJ64" s="3" t="s">
        <v>677</v>
      </c>
      <c r="GK64" s="3" t="s">
        <v>678</v>
      </c>
      <c r="GL64" s="3" t="s">
        <v>679</v>
      </c>
      <c r="GM64" s="3" t="s">
        <v>680</v>
      </c>
      <c r="GN64" s="3" t="s">
        <v>681</v>
      </c>
      <c r="GO64" s="3" t="s">
        <v>682</v>
      </c>
      <c r="GP64" s="3" t="s">
        <v>676</v>
      </c>
      <c r="GQ64" s="3" t="s">
        <v>677</v>
      </c>
      <c r="GR64" s="3" t="s">
        <v>678</v>
      </c>
      <c r="GS64" s="3" t="s">
        <v>679</v>
      </c>
      <c r="GT64" s="3" t="s">
        <v>680</v>
      </c>
      <c r="GU64" s="3" t="s">
        <v>681</v>
      </c>
      <c r="GV64" s="3" t="s">
        <v>682</v>
      </c>
      <c r="GW64" s="3" t="s">
        <v>676</v>
      </c>
      <c r="GX64" s="3" t="s">
        <v>677</v>
      </c>
      <c r="GY64" s="3" t="s">
        <v>678</v>
      </c>
      <c r="GZ64" s="3" t="s">
        <v>679</v>
      </c>
      <c r="HA64" s="3" t="s">
        <v>680</v>
      </c>
      <c r="HB64" s="3" t="s">
        <v>681</v>
      </c>
      <c r="HC64" s="3" t="s">
        <v>682</v>
      </c>
      <c r="HD64" s="3" t="s">
        <v>676</v>
      </c>
      <c r="HE64" s="3" t="s">
        <v>677</v>
      </c>
      <c r="HF64" s="3" t="s">
        <v>678</v>
      </c>
      <c r="HG64" s="3" t="s">
        <v>679</v>
      </c>
      <c r="HH64" s="3" t="s">
        <v>680</v>
      </c>
      <c r="HI64" s="3" t="s">
        <v>681</v>
      </c>
      <c r="HJ64" s="3" t="s">
        <v>682</v>
      </c>
      <c r="HK64" s="3" t="s">
        <v>676</v>
      </c>
      <c r="HL64" s="3" t="s">
        <v>677</v>
      </c>
      <c r="HM64" s="3" t="s">
        <v>678</v>
      </c>
      <c r="HN64" s="3" t="s">
        <v>679</v>
      </c>
      <c r="HO64" s="3" t="s">
        <v>680</v>
      </c>
      <c r="HP64" s="3" t="s">
        <v>681</v>
      </c>
      <c r="HQ64" s="3" t="s">
        <v>682</v>
      </c>
      <c r="HR64" s="3" t="s">
        <v>676</v>
      </c>
      <c r="HS64" s="3" t="s">
        <v>677</v>
      </c>
      <c r="HT64" s="3" t="s">
        <v>678</v>
      </c>
      <c r="HU64" s="3" t="s">
        <v>679</v>
      </c>
      <c r="HV64" s="3" t="s">
        <v>680</v>
      </c>
      <c r="HW64" s="3" t="s">
        <v>681</v>
      </c>
      <c r="HX64" s="3" t="s">
        <v>682</v>
      </c>
      <c r="HY64" s="3" t="s">
        <v>676</v>
      </c>
      <c r="HZ64" s="3" t="s">
        <v>677</v>
      </c>
      <c r="IA64" s="3" t="s">
        <v>678</v>
      </c>
      <c r="IB64" s="3" t="s">
        <v>679</v>
      </c>
      <c r="IC64" s="3" t="s">
        <v>680</v>
      </c>
    </row>
    <row r="65" spans="1:257">
      <c r="A65" s="82" t="s">
        <v>695</v>
      </c>
      <c r="B65" s="82" t="str">
        <f>COUNTIF(P65:IC65, "W")&amp;"勝"</f>
        <v>15勝</v>
      </c>
      <c r="C65" s="82" t="str">
        <f>COUNTIF(P65:IC65, "L")&amp;"敗"</f>
        <v>12敗</v>
      </c>
      <c r="D65" s="82" t="s">
        <v>696</v>
      </c>
      <c r="E65" s="78"/>
      <c r="F65" s="82" t="s">
        <v>721</v>
      </c>
      <c r="G65" s="78"/>
      <c r="H65" s="78"/>
      <c r="I65" s="78"/>
      <c r="J65" s="78"/>
      <c r="K65" s="78"/>
      <c r="L65" s="78"/>
      <c r="M65" s="82"/>
      <c r="N65" s="78"/>
      <c r="O65" s="1" t="s">
        <v>698</v>
      </c>
      <c r="Q65" t="s">
        <v>699</v>
      </c>
      <c r="R65" t="s">
        <v>700</v>
      </c>
      <c r="S65" t="s">
        <v>699</v>
      </c>
      <c r="T65" t="s">
        <v>700</v>
      </c>
      <c r="U65" t="s">
        <v>699</v>
      </c>
      <c r="V65" t="s">
        <v>700</v>
      </c>
      <c r="W65" t="s">
        <v>699</v>
      </c>
      <c r="Y65" t="s">
        <v>699</v>
      </c>
      <c r="AA65" t="s">
        <v>699</v>
      </c>
      <c r="AB65" t="s">
        <v>700</v>
      </c>
      <c r="AC65" t="s">
        <v>699</v>
      </c>
      <c r="AD65" t="s">
        <v>699</v>
      </c>
      <c r="AF65" t="s">
        <v>700</v>
      </c>
      <c r="AG65" t="s">
        <v>699</v>
      </c>
      <c r="AH65" t="s">
        <v>700</v>
      </c>
      <c r="AI65" t="s">
        <v>699</v>
      </c>
      <c r="AJ65" t="s">
        <v>700</v>
      </c>
      <c r="AK65" t="s">
        <v>700</v>
      </c>
      <c r="AL65" t="s">
        <v>699</v>
      </c>
      <c r="AM65" t="s">
        <v>700</v>
      </c>
      <c r="AN65" t="s">
        <v>699</v>
      </c>
      <c r="AO65" t="s">
        <v>699</v>
      </c>
      <c r="AP65" t="s">
        <v>700</v>
      </c>
      <c r="AQ65" t="s">
        <v>699</v>
      </c>
      <c r="AT65" t="s">
        <v>699</v>
      </c>
      <c r="AU65" t="s">
        <v>700</v>
      </c>
      <c r="AV65" t="s">
        <v>700</v>
      </c>
    </row>
    <row r="66" spans="1:257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1" t="s">
        <v>701</v>
      </c>
    </row>
    <row r="67" spans="1:257">
      <c r="A67" s="82" t="s">
        <v>702</v>
      </c>
      <c r="B67" s="82" t="str">
        <f>COUNTIF(P67:IC67, "O")&amp;"正"</f>
        <v>15正</v>
      </c>
      <c r="C67" s="82" t="str">
        <f>COUNTIF(P67:IC67, "X")&amp;"負"</f>
        <v>12負</v>
      </c>
      <c r="D67" s="82" t="s">
        <v>703</v>
      </c>
      <c r="E67" s="78"/>
      <c r="F67" s="82" t="s">
        <v>722</v>
      </c>
      <c r="G67" s="78"/>
      <c r="H67" s="78"/>
      <c r="I67" s="78"/>
      <c r="J67" s="78"/>
      <c r="K67" s="78"/>
      <c r="L67" s="78"/>
      <c r="M67" s="82"/>
      <c r="N67" s="78"/>
      <c r="O67" s="1" t="s">
        <v>705</v>
      </c>
      <c r="Q67" t="s">
        <v>683</v>
      </c>
      <c r="R67" t="s">
        <v>684</v>
      </c>
      <c r="S67" t="s">
        <v>683</v>
      </c>
      <c r="T67" t="s">
        <v>684</v>
      </c>
      <c r="U67" t="s">
        <v>683</v>
      </c>
      <c r="V67" t="s">
        <v>684</v>
      </c>
      <c r="W67" t="s">
        <v>683</v>
      </c>
      <c r="Y67" t="s">
        <v>683</v>
      </c>
      <c r="AA67" t="s">
        <v>683</v>
      </c>
      <c r="AB67" t="s">
        <v>684</v>
      </c>
      <c r="AC67" t="s">
        <v>683</v>
      </c>
      <c r="AD67" t="s">
        <v>683</v>
      </c>
      <c r="AF67" t="s">
        <v>684</v>
      </c>
      <c r="AG67" t="s">
        <v>683</v>
      </c>
      <c r="AH67" t="s">
        <v>684</v>
      </c>
      <c r="AI67" t="s">
        <v>683</v>
      </c>
      <c r="AJ67" t="s">
        <v>684</v>
      </c>
      <c r="AK67" t="s">
        <v>684</v>
      </c>
      <c r="AL67" t="s">
        <v>683</v>
      </c>
      <c r="AM67" t="s">
        <v>684</v>
      </c>
      <c r="AN67" t="s">
        <v>683</v>
      </c>
      <c r="AO67" t="s">
        <v>683</v>
      </c>
      <c r="AP67" t="s">
        <v>684</v>
      </c>
      <c r="AQ67" t="s">
        <v>683</v>
      </c>
      <c r="AT67" t="s">
        <v>683</v>
      </c>
      <c r="AU67" t="s">
        <v>684</v>
      </c>
      <c r="AV67" t="s">
        <v>684</v>
      </c>
      <c r="IN67" t="str">
        <f ca="1">IFERROR(INDEX($P67:$IC67,1,_xludf.AGGREGATE(14,6,(COLUMN($P67:$IC67)-COLUMN($P67)+1)/($P67:$IC67&lt;&gt;""),1)),"")</f>
        <v/>
      </c>
      <c r="IO67" t="str">
        <f ca="1">IFERROR(INDEX($P67:$IC67,1,_xludf.AGGREGATE(14,6,(COLUMN($P67:$IC67)-COLUMN($P67)+1)/($P67:$IC67&lt;&gt;""),2)),"")</f>
        <v/>
      </c>
      <c r="IP67" t="str">
        <f ca="1">IFERROR(INDEX($P67:$IC67,1,_xludf.AGGREGATE(14,6,(COLUMN($P67:$IC67)-COLUMN($P67)+1)/($P67:$IC67&lt;&gt;""),3)),"")</f>
        <v/>
      </c>
      <c r="IQ67" t="str">
        <f ca="1">IFERROR(INDEX($P67:$IC67,1,_xludf.AGGREGATE(14,6,(COLUMN($P67:$IC67)-COLUMN($P67)+1)/($P67:$IC67&lt;&gt;""),4)),"")</f>
        <v/>
      </c>
      <c r="IR67" t="str">
        <f ca="1">IFERROR(INDEX($P67:$IC67,1,_xludf.AGGREGATE(14,6,(COLUMN($P67:$IC67)-COLUMN($P67)+1)/($P67:$IC67&lt;&gt;""),5)),"")</f>
        <v/>
      </c>
      <c r="IS67" t="str">
        <f ca="1">IFERROR(INDEX($P67:$IC67,1,_xludf.AGGREGATE(14,6,(COLUMN($P67:$IC67)-COLUMN($P67)+1)/($P67:$IC67&lt;&gt;""),6)),"")</f>
        <v/>
      </c>
      <c r="IT67" t="str">
        <f ca="1">IFERROR(INDEX($P67:$IC67,1,_xludf.AGGREGATE(14,6,(COLUMN($P67:$IC67)-COLUMN($P67)+1)/($P67:$IC67&lt;&gt;""),7)),"")</f>
        <v/>
      </c>
      <c r="IU67" t="str">
        <f ca="1">IFERROR(INDEX($P67:$IC67,1,_xludf.AGGREGATE(14,6,(COLUMN($P67:$IC67)-COLUMN($P67)+1)/($P67:$IC67&lt;&gt;""),8)),"")</f>
        <v/>
      </c>
      <c r="IV67" t="str">
        <f ca="1">IFERROR(INDEX($P67:$IC67,1,_xludf.AGGREGATE(14,6,(COLUMN($P67:$IC67)-COLUMN($P67)+1)/($P67:$IC67&lt;&gt;""),9)),"")</f>
        <v/>
      </c>
      <c r="IW67" t="str">
        <f ca="1">IFERROR(INDEX($P67:$IC67,1,_xludf.AGGREGATE(14,6,(COLUMN($P67:$IC67)-COLUMN($P67)+1)/($P67:$IC67&lt;&gt;""),10)),"")</f>
        <v/>
      </c>
    </row>
    <row r="68" spans="1:257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1" t="s">
        <v>706</v>
      </c>
    </row>
    <row r="69" spans="1:257">
      <c r="A69" s="82" t="s">
        <v>707</v>
      </c>
      <c r="B69" s="77"/>
      <c r="C69" s="77"/>
      <c r="D69" s="82" t="s">
        <v>708</v>
      </c>
      <c r="E69" s="78"/>
      <c r="F69" s="82"/>
      <c r="G69" s="78"/>
      <c r="H69" s="78"/>
      <c r="I69" s="78"/>
      <c r="J69" s="78"/>
      <c r="K69" s="78"/>
      <c r="L69" s="78"/>
      <c r="M69" s="82"/>
      <c r="N69" s="78"/>
      <c r="O69" s="1" t="s">
        <v>709</v>
      </c>
    </row>
    <row r="70" spans="1:257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1" t="s">
        <v>710</v>
      </c>
    </row>
    <row r="71" spans="1:257">
      <c r="A71" s="109" t="s">
        <v>126</v>
      </c>
      <c r="B71" s="78"/>
      <c r="C71" s="7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 t="s">
        <v>674</v>
      </c>
      <c r="P71" s="8">
        <v>1</v>
      </c>
      <c r="Q71" s="8">
        <v>2</v>
      </c>
      <c r="R71" s="8">
        <v>3</v>
      </c>
      <c r="S71" s="8">
        <v>4</v>
      </c>
      <c r="T71" s="8">
        <v>5</v>
      </c>
      <c r="U71" s="8">
        <v>6</v>
      </c>
      <c r="V71" s="8">
        <v>7</v>
      </c>
      <c r="W71" s="8">
        <v>8</v>
      </c>
      <c r="X71" s="8">
        <v>9</v>
      </c>
      <c r="Y71" s="8">
        <v>10</v>
      </c>
      <c r="Z71" s="8">
        <v>11</v>
      </c>
      <c r="AA71" s="8">
        <v>12</v>
      </c>
      <c r="AB71" s="8">
        <v>13</v>
      </c>
      <c r="AC71" s="8">
        <v>14</v>
      </c>
      <c r="AD71" s="8">
        <v>15</v>
      </c>
      <c r="AE71" s="8">
        <v>16</v>
      </c>
      <c r="AF71" s="8">
        <v>17</v>
      </c>
      <c r="AG71" s="8">
        <v>18</v>
      </c>
      <c r="AH71" s="8">
        <v>19</v>
      </c>
      <c r="AI71" s="8">
        <v>20</v>
      </c>
      <c r="AJ71" s="8">
        <v>21</v>
      </c>
      <c r="AK71" s="8">
        <v>22</v>
      </c>
      <c r="AL71" s="8">
        <v>23</v>
      </c>
      <c r="AM71" s="8">
        <v>24</v>
      </c>
      <c r="AN71" s="8">
        <v>25</v>
      </c>
      <c r="AO71" s="8">
        <v>26</v>
      </c>
      <c r="AP71" s="8">
        <v>27</v>
      </c>
      <c r="AQ71" s="8">
        <v>28</v>
      </c>
      <c r="AR71" s="8">
        <v>29</v>
      </c>
      <c r="AS71" s="8">
        <v>30</v>
      </c>
      <c r="AT71" s="8">
        <v>31</v>
      </c>
      <c r="AU71" s="8">
        <v>32</v>
      </c>
      <c r="AV71" s="8">
        <v>33</v>
      </c>
      <c r="AW71" s="8">
        <v>34</v>
      </c>
      <c r="AX71" s="8">
        <v>35</v>
      </c>
      <c r="AY71" s="8">
        <v>36</v>
      </c>
      <c r="AZ71" s="8">
        <v>37</v>
      </c>
      <c r="BA71" s="8">
        <v>38</v>
      </c>
      <c r="BB71" s="8">
        <v>39</v>
      </c>
      <c r="BC71" s="8">
        <v>40</v>
      </c>
      <c r="BD71" s="8">
        <v>41</v>
      </c>
      <c r="BE71" s="8">
        <v>42</v>
      </c>
      <c r="BF71" s="8">
        <v>43</v>
      </c>
      <c r="BG71" s="8">
        <v>44</v>
      </c>
      <c r="BH71" s="8">
        <v>45</v>
      </c>
      <c r="BI71" s="8">
        <v>46</v>
      </c>
      <c r="BJ71" s="8">
        <v>47</v>
      </c>
      <c r="BK71" s="8">
        <v>48</v>
      </c>
      <c r="BL71" s="8">
        <v>49</v>
      </c>
      <c r="BM71" s="8">
        <v>50</v>
      </c>
      <c r="BN71" s="8">
        <v>51</v>
      </c>
      <c r="BO71" s="8">
        <v>52</v>
      </c>
      <c r="BP71" s="8">
        <v>53</v>
      </c>
      <c r="BQ71" s="8">
        <v>54</v>
      </c>
      <c r="BR71" s="8">
        <v>55</v>
      </c>
      <c r="BS71" s="8">
        <v>56</v>
      </c>
      <c r="BT71" s="8">
        <v>57</v>
      </c>
      <c r="BU71" s="8">
        <v>58</v>
      </c>
      <c r="BV71" s="8">
        <v>59</v>
      </c>
      <c r="BW71" s="8">
        <v>60</v>
      </c>
      <c r="BX71" s="8">
        <v>61</v>
      </c>
      <c r="BY71" s="8">
        <v>62</v>
      </c>
      <c r="BZ71" s="8">
        <v>63</v>
      </c>
      <c r="CA71" s="8">
        <v>64</v>
      </c>
      <c r="CB71" s="8">
        <v>65</v>
      </c>
      <c r="CC71" s="8">
        <v>66</v>
      </c>
      <c r="CD71" s="8">
        <v>67</v>
      </c>
      <c r="CE71" s="8">
        <v>68</v>
      </c>
      <c r="CF71" s="8">
        <v>69</v>
      </c>
      <c r="CG71" s="8">
        <v>70</v>
      </c>
      <c r="CH71" s="8">
        <v>71</v>
      </c>
      <c r="CI71" s="8">
        <v>72</v>
      </c>
      <c r="CJ71" s="8">
        <v>73</v>
      </c>
      <c r="CK71" s="8">
        <v>74</v>
      </c>
      <c r="CL71" s="8">
        <v>75</v>
      </c>
      <c r="CM71" s="8">
        <v>76</v>
      </c>
      <c r="CN71" s="8">
        <v>77</v>
      </c>
      <c r="CO71" s="8">
        <v>78</v>
      </c>
      <c r="CP71" s="8">
        <v>79</v>
      </c>
      <c r="CQ71" s="8">
        <v>80</v>
      </c>
      <c r="CR71" s="8">
        <v>81</v>
      </c>
      <c r="CS71" s="8">
        <v>82</v>
      </c>
      <c r="CT71" s="8">
        <v>83</v>
      </c>
      <c r="CU71" s="8">
        <v>84</v>
      </c>
      <c r="CV71" s="8">
        <v>85</v>
      </c>
      <c r="CW71" s="8">
        <v>86</v>
      </c>
      <c r="CX71" s="8">
        <v>87</v>
      </c>
      <c r="CY71" s="8">
        <v>88</v>
      </c>
      <c r="CZ71" s="8">
        <v>89</v>
      </c>
      <c r="DA71" s="8">
        <v>90</v>
      </c>
      <c r="DB71" s="8">
        <v>91</v>
      </c>
      <c r="DC71" s="8">
        <v>92</v>
      </c>
      <c r="DD71" s="8">
        <v>93</v>
      </c>
      <c r="DE71" s="8">
        <v>94</v>
      </c>
      <c r="DF71" s="8">
        <v>95</v>
      </c>
      <c r="DG71" s="8">
        <v>96</v>
      </c>
      <c r="DH71" s="8">
        <v>97</v>
      </c>
      <c r="DI71" s="8">
        <v>98</v>
      </c>
      <c r="DJ71" s="8">
        <v>99</v>
      </c>
      <c r="DK71" s="8">
        <v>100</v>
      </c>
      <c r="DL71" s="8">
        <v>101</v>
      </c>
      <c r="DM71" s="8">
        <v>102</v>
      </c>
      <c r="DN71" s="8">
        <v>103</v>
      </c>
      <c r="DO71" s="8">
        <v>104</v>
      </c>
      <c r="DP71" s="8">
        <v>105</v>
      </c>
      <c r="DQ71" s="8">
        <v>106</v>
      </c>
      <c r="DR71" s="8">
        <v>107</v>
      </c>
      <c r="DS71" s="8">
        <v>108</v>
      </c>
      <c r="DT71" s="8">
        <v>109</v>
      </c>
      <c r="DU71" s="8">
        <v>110</v>
      </c>
      <c r="DV71" s="8">
        <v>111</v>
      </c>
      <c r="DW71" s="8">
        <v>112</v>
      </c>
      <c r="DX71" s="8">
        <v>113</v>
      </c>
      <c r="DY71" s="8">
        <v>114</v>
      </c>
      <c r="DZ71" s="8">
        <v>115</v>
      </c>
      <c r="EA71" s="8">
        <v>116</v>
      </c>
      <c r="EB71" s="8">
        <v>117</v>
      </c>
      <c r="EC71" s="8">
        <v>118</v>
      </c>
      <c r="ED71" s="8">
        <v>119</v>
      </c>
      <c r="EE71" s="8">
        <v>120</v>
      </c>
      <c r="EF71" s="8">
        <v>121</v>
      </c>
      <c r="EG71" s="8">
        <v>122</v>
      </c>
      <c r="EH71" s="8">
        <v>123</v>
      </c>
      <c r="EI71" s="8">
        <v>124</v>
      </c>
      <c r="EJ71" s="8">
        <v>125</v>
      </c>
      <c r="EK71" s="8">
        <v>126</v>
      </c>
      <c r="EL71" s="8">
        <v>127</v>
      </c>
      <c r="EM71" s="8">
        <v>128</v>
      </c>
      <c r="EN71" s="8">
        <v>129</v>
      </c>
      <c r="EO71" s="8">
        <v>130</v>
      </c>
      <c r="EP71" s="8">
        <v>131</v>
      </c>
      <c r="EQ71" s="8">
        <v>132</v>
      </c>
      <c r="ER71" s="8">
        <v>133</v>
      </c>
      <c r="ES71" s="8">
        <v>134</v>
      </c>
      <c r="ET71" s="8">
        <v>135</v>
      </c>
      <c r="EU71" s="8">
        <v>136</v>
      </c>
      <c r="EV71" s="8">
        <v>137</v>
      </c>
      <c r="EW71" s="8">
        <v>138</v>
      </c>
      <c r="EX71" s="8">
        <v>139</v>
      </c>
      <c r="EY71" s="8">
        <v>140</v>
      </c>
      <c r="EZ71" s="8">
        <v>141</v>
      </c>
      <c r="FA71" s="8">
        <v>142</v>
      </c>
      <c r="FB71" s="8">
        <v>143</v>
      </c>
      <c r="FC71" s="8">
        <v>144</v>
      </c>
      <c r="FD71" s="8">
        <v>145</v>
      </c>
      <c r="FE71" s="8">
        <v>146</v>
      </c>
      <c r="FF71" s="8">
        <v>147</v>
      </c>
      <c r="FG71" s="8">
        <v>148</v>
      </c>
      <c r="FH71" s="8">
        <v>149</v>
      </c>
      <c r="FI71" s="8">
        <v>150</v>
      </c>
      <c r="FJ71" s="8">
        <v>151</v>
      </c>
      <c r="FK71" s="8">
        <v>152</v>
      </c>
      <c r="FL71" s="8">
        <v>153</v>
      </c>
      <c r="FM71" s="8">
        <v>154</v>
      </c>
      <c r="FN71" s="8">
        <v>155</v>
      </c>
      <c r="FO71" s="8">
        <v>156</v>
      </c>
      <c r="FP71" s="8">
        <v>157</v>
      </c>
      <c r="FQ71" s="8">
        <v>158</v>
      </c>
      <c r="FR71" s="8">
        <v>159</v>
      </c>
      <c r="FS71" s="8">
        <v>160</v>
      </c>
      <c r="FT71" s="8">
        <v>161</v>
      </c>
      <c r="FU71" s="8">
        <v>162</v>
      </c>
      <c r="FV71" s="8">
        <v>163</v>
      </c>
      <c r="FW71" s="8">
        <v>164</v>
      </c>
      <c r="FX71" s="8">
        <v>165</v>
      </c>
      <c r="FY71" s="8">
        <v>166</v>
      </c>
      <c r="FZ71" s="8">
        <v>167</v>
      </c>
      <c r="GA71" s="8">
        <v>168</v>
      </c>
      <c r="GB71" s="8">
        <v>169</v>
      </c>
      <c r="GC71" s="8">
        <v>170</v>
      </c>
      <c r="GD71" s="8">
        <v>171</v>
      </c>
      <c r="GE71" s="8">
        <v>172</v>
      </c>
      <c r="GF71" s="8">
        <v>173</v>
      </c>
      <c r="GG71" s="8">
        <v>174</v>
      </c>
      <c r="GH71" s="8">
        <v>175</v>
      </c>
      <c r="GI71" s="8">
        <v>176</v>
      </c>
      <c r="GJ71" s="8">
        <v>177</v>
      </c>
      <c r="GK71" s="8">
        <v>178</v>
      </c>
      <c r="GL71" s="8">
        <v>179</v>
      </c>
      <c r="GM71" s="8">
        <v>180</v>
      </c>
      <c r="GN71" s="8">
        <v>181</v>
      </c>
      <c r="GO71" s="8">
        <v>182</v>
      </c>
      <c r="GP71" s="8">
        <v>183</v>
      </c>
      <c r="GQ71" s="8">
        <v>184</v>
      </c>
      <c r="GR71" s="8">
        <v>185</v>
      </c>
      <c r="GS71" s="8">
        <v>186</v>
      </c>
      <c r="GT71" s="8">
        <v>187</v>
      </c>
      <c r="GU71" s="8">
        <v>188</v>
      </c>
      <c r="GV71" s="8">
        <v>189</v>
      </c>
      <c r="GW71" s="8">
        <v>190</v>
      </c>
      <c r="GX71" s="8">
        <v>191</v>
      </c>
      <c r="GY71" s="8">
        <v>192</v>
      </c>
      <c r="GZ71" s="8">
        <v>193</v>
      </c>
      <c r="HA71" s="8">
        <v>194</v>
      </c>
      <c r="HB71" s="8">
        <v>195</v>
      </c>
      <c r="HC71" s="8">
        <v>196</v>
      </c>
      <c r="HD71" s="8">
        <v>197</v>
      </c>
      <c r="HE71" s="8">
        <v>198</v>
      </c>
      <c r="HF71" s="8">
        <v>199</v>
      </c>
      <c r="HG71" s="8">
        <v>200</v>
      </c>
      <c r="HH71" s="8">
        <v>201</v>
      </c>
      <c r="HI71" s="8">
        <v>202</v>
      </c>
      <c r="HJ71" s="8">
        <v>203</v>
      </c>
      <c r="HK71" s="8">
        <v>204</v>
      </c>
      <c r="HL71" s="8">
        <v>205</v>
      </c>
      <c r="HM71" s="8">
        <v>206</v>
      </c>
      <c r="HN71" s="8">
        <v>207</v>
      </c>
      <c r="HO71" s="8">
        <v>208</v>
      </c>
      <c r="HP71" s="8">
        <v>209</v>
      </c>
      <c r="HQ71" s="8">
        <v>210</v>
      </c>
      <c r="HR71" s="8">
        <v>211</v>
      </c>
      <c r="HS71" s="8">
        <v>212</v>
      </c>
      <c r="HT71" s="8">
        <v>213</v>
      </c>
      <c r="HU71" s="8">
        <v>214</v>
      </c>
      <c r="HV71" s="8">
        <v>215</v>
      </c>
      <c r="HW71" s="8">
        <v>216</v>
      </c>
      <c r="HX71" s="8">
        <v>217</v>
      </c>
      <c r="HY71" s="8">
        <v>218</v>
      </c>
      <c r="HZ71" s="8">
        <v>219</v>
      </c>
      <c r="IA71" s="8">
        <v>220</v>
      </c>
      <c r="IB71" s="8">
        <v>221</v>
      </c>
      <c r="IC71" s="8">
        <v>222</v>
      </c>
    </row>
    <row r="72" spans="1:257">
      <c r="A72" s="78"/>
      <c r="B72" s="78"/>
      <c r="C72" s="7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7"/>
      <c r="P72" s="50" t="s">
        <v>126</v>
      </c>
      <c r="Q72" s="50" t="s">
        <v>126</v>
      </c>
      <c r="R72" s="50" t="s">
        <v>126</v>
      </c>
      <c r="S72" s="50" t="s">
        <v>126</v>
      </c>
      <c r="T72" s="50" t="s">
        <v>126</v>
      </c>
      <c r="U72" s="50" t="s">
        <v>126</v>
      </c>
      <c r="V72" s="50" t="s">
        <v>126</v>
      </c>
      <c r="W72" s="50" t="s">
        <v>126</v>
      </c>
      <c r="X72" s="50" t="s">
        <v>126</v>
      </c>
      <c r="Y72" s="50" t="s">
        <v>126</v>
      </c>
      <c r="Z72" s="50" t="s">
        <v>126</v>
      </c>
      <c r="AA72" s="50" t="s">
        <v>126</v>
      </c>
      <c r="AB72" s="50" t="s">
        <v>126</v>
      </c>
      <c r="AC72" s="50" t="s">
        <v>126</v>
      </c>
      <c r="AD72" s="50" t="s">
        <v>126</v>
      </c>
      <c r="AE72" s="50" t="s">
        <v>126</v>
      </c>
      <c r="AF72" s="50" t="s">
        <v>126</v>
      </c>
      <c r="AG72" s="50" t="s">
        <v>126</v>
      </c>
      <c r="AH72" s="50" t="s">
        <v>126</v>
      </c>
      <c r="AI72" s="50" t="s">
        <v>126</v>
      </c>
      <c r="AJ72" s="50" t="s">
        <v>126</v>
      </c>
      <c r="AK72" s="50" t="s">
        <v>126</v>
      </c>
      <c r="AL72" s="50" t="s">
        <v>126</v>
      </c>
      <c r="AM72" s="50" t="s">
        <v>126</v>
      </c>
      <c r="AN72" s="50" t="s">
        <v>126</v>
      </c>
      <c r="AO72" s="50" t="s">
        <v>126</v>
      </c>
      <c r="AP72" s="50" t="s">
        <v>126</v>
      </c>
      <c r="AQ72" s="50" t="s">
        <v>126</v>
      </c>
      <c r="AR72" s="50" t="s">
        <v>126</v>
      </c>
      <c r="AS72" s="50" t="s">
        <v>126</v>
      </c>
      <c r="AT72" s="50" t="s">
        <v>126</v>
      </c>
      <c r="AU72" s="50" t="s">
        <v>126</v>
      </c>
      <c r="AV72" s="50" t="s">
        <v>126</v>
      </c>
      <c r="AW72" s="50" t="s">
        <v>126</v>
      </c>
      <c r="AX72" s="50" t="s">
        <v>126</v>
      </c>
      <c r="AY72" s="50" t="s">
        <v>126</v>
      </c>
      <c r="AZ72" s="50" t="s">
        <v>126</v>
      </c>
      <c r="BA72" s="50" t="s">
        <v>126</v>
      </c>
      <c r="BB72" s="50" t="s">
        <v>126</v>
      </c>
      <c r="BC72" s="50" t="s">
        <v>126</v>
      </c>
      <c r="BD72" s="50" t="s">
        <v>126</v>
      </c>
      <c r="BE72" s="50" t="s">
        <v>126</v>
      </c>
      <c r="BF72" s="50" t="s">
        <v>126</v>
      </c>
      <c r="BG72" s="50" t="s">
        <v>126</v>
      </c>
      <c r="BH72" s="50" t="s">
        <v>126</v>
      </c>
      <c r="BI72" s="50" t="s">
        <v>126</v>
      </c>
      <c r="BJ72" s="50" t="s">
        <v>126</v>
      </c>
      <c r="BK72" s="50" t="s">
        <v>126</v>
      </c>
      <c r="BL72" s="50" t="s">
        <v>126</v>
      </c>
      <c r="BM72" s="50" t="s">
        <v>126</v>
      </c>
      <c r="BN72" s="50" t="s">
        <v>126</v>
      </c>
      <c r="BO72" s="50" t="s">
        <v>126</v>
      </c>
      <c r="BP72" s="50" t="s">
        <v>126</v>
      </c>
      <c r="BQ72" s="50" t="s">
        <v>126</v>
      </c>
      <c r="BR72" s="50" t="s">
        <v>126</v>
      </c>
      <c r="BS72" s="50" t="s">
        <v>126</v>
      </c>
      <c r="BT72" s="50" t="s">
        <v>126</v>
      </c>
      <c r="BU72" s="50" t="s">
        <v>126</v>
      </c>
      <c r="BV72" s="50" t="s">
        <v>126</v>
      </c>
      <c r="BW72" s="50" t="s">
        <v>126</v>
      </c>
      <c r="BX72" s="50" t="s">
        <v>126</v>
      </c>
      <c r="BY72" s="50" t="s">
        <v>126</v>
      </c>
      <c r="BZ72" s="50" t="s">
        <v>126</v>
      </c>
      <c r="CA72" s="50" t="s">
        <v>126</v>
      </c>
      <c r="CB72" s="50" t="s">
        <v>126</v>
      </c>
      <c r="CC72" s="50" t="s">
        <v>126</v>
      </c>
      <c r="CD72" s="50" t="s">
        <v>126</v>
      </c>
      <c r="CE72" s="50" t="s">
        <v>126</v>
      </c>
      <c r="CF72" s="50" t="s">
        <v>126</v>
      </c>
      <c r="CG72" s="50" t="s">
        <v>126</v>
      </c>
      <c r="CH72" s="50" t="s">
        <v>126</v>
      </c>
      <c r="CI72" s="50" t="s">
        <v>126</v>
      </c>
      <c r="CJ72" s="50" t="s">
        <v>126</v>
      </c>
      <c r="CK72" s="50" t="s">
        <v>126</v>
      </c>
      <c r="CL72" s="50" t="s">
        <v>126</v>
      </c>
      <c r="CM72" s="50" t="s">
        <v>126</v>
      </c>
      <c r="CN72" s="50" t="s">
        <v>126</v>
      </c>
      <c r="CO72" s="50" t="s">
        <v>126</v>
      </c>
      <c r="CP72" s="50" t="s">
        <v>126</v>
      </c>
      <c r="CQ72" s="50" t="s">
        <v>126</v>
      </c>
      <c r="CR72" s="50" t="s">
        <v>126</v>
      </c>
      <c r="CS72" s="50" t="s">
        <v>126</v>
      </c>
      <c r="CT72" s="50" t="s">
        <v>126</v>
      </c>
      <c r="CU72" s="50" t="s">
        <v>126</v>
      </c>
      <c r="CV72" s="50" t="s">
        <v>126</v>
      </c>
      <c r="CW72" s="50" t="s">
        <v>126</v>
      </c>
      <c r="CX72" s="50" t="s">
        <v>126</v>
      </c>
      <c r="CY72" s="50" t="s">
        <v>126</v>
      </c>
      <c r="CZ72" s="50" t="s">
        <v>126</v>
      </c>
      <c r="DA72" s="50" t="s">
        <v>126</v>
      </c>
      <c r="DB72" s="50" t="s">
        <v>126</v>
      </c>
      <c r="DC72" s="50" t="s">
        <v>126</v>
      </c>
      <c r="DD72" s="50" t="s">
        <v>126</v>
      </c>
      <c r="DE72" s="50" t="s">
        <v>126</v>
      </c>
      <c r="DF72" s="50" t="s">
        <v>126</v>
      </c>
      <c r="DG72" s="50" t="s">
        <v>126</v>
      </c>
      <c r="DH72" s="50" t="s">
        <v>126</v>
      </c>
      <c r="DI72" s="50" t="s">
        <v>126</v>
      </c>
      <c r="DJ72" s="50" t="s">
        <v>126</v>
      </c>
      <c r="DK72" s="50" t="s">
        <v>126</v>
      </c>
      <c r="DL72" s="50" t="s">
        <v>126</v>
      </c>
      <c r="DM72" s="50" t="s">
        <v>126</v>
      </c>
      <c r="DN72" s="50" t="s">
        <v>126</v>
      </c>
      <c r="DO72" s="50" t="s">
        <v>126</v>
      </c>
      <c r="DP72" s="50" t="s">
        <v>126</v>
      </c>
      <c r="DQ72" s="50" t="s">
        <v>126</v>
      </c>
      <c r="DR72" s="50" t="s">
        <v>126</v>
      </c>
      <c r="DS72" s="50" t="s">
        <v>126</v>
      </c>
      <c r="DT72" s="50" t="s">
        <v>126</v>
      </c>
      <c r="DU72" s="50" t="s">
        <v>126</v>
      </c>
      <c r="DV72" s="50" t="s">
        <v>126</v>
      </c>
      <c r="DW72" s="50" t="s">
        <v>126</v>
      </c>
      <c r="DX72" s="50" t="s">
        <v>126</v>
      </c>
      <c r="DY72" s="50" t="s">
        <v>126</v>
      </c>
      <c r="DZ72" s="50" t="s">
        <v>126</v>
      </c>
      <c r="EA72" s="50" t="s">
        <v>126</v>
      </c>
      <c r="EB72" s="50" t="s">
        <v>126</v>
      </c>
      <c r="EC72" s="50" t="s">
        <v>126</v>
      </c>
      <c r="ED72" s="50" t="s">
        <v>126</v>
      </c>
      <c r="EE72" s="50" t="s">
        <v>126</v>
      </c>
      <c r="EF72" s="50" t="s">
        <v>126</v>
      </c>
      <c r="EG72" s="50" t="s">
        <v>126</v>
      </c>
      <c r="EH72" s="50" t="s">
        <v>126</v>
      </c>
      <c r="EI72" s="50" t="s">
        <v>126</v>
      </c>
      <c r="EJ72" s="50" t="s">
        <v>126</v>
      </c>
      <c r="EK72" s="50" t="s">
        <v>126</v>
      </c>
      <c r="EL72" s="50" t="s">
        <v>126</v>
      </c>
      <c r="EM72" s="50" t="s">
        <v>126</v>
      </c>
      <c r="EN72" s="50" t="s">
        <v>126</v>
      </c>
      <c r="EO72" s="50" t="s">
        <v>126</v>
      </c>
      <c r="EP72" s="50" t="s">
        <v>126</v>
      </c>
      <c r="EQ72" s="50" t="s">
        <v>126</v>
      </c>
      <c r="ER72" s="50" t="s">
        <v>126</v>
      </c>
      <c r="ES72" s="50" t="s">
        <v>126</v>
      </c>
      <c r="ET72" s="50" t="s">
        <v>126</v>
      </c>
      <c r="EU72" s="50" t="s">
        <v>126</v>
      </c>
      <c r="EV72" s="50" t="s">
        <v>126</v>
      </c>
      <c r="EW72" s="50" t="s">
        <v>126</v>
      </c>
      <c r="EX72" s="50" t="s">
        <v>126</v>
      </c>
      <c r="EY72" s="50" t="s">
        <v>126</v>
      </c>
      <c r="EZ72" s="50" t="s">
        <v>126</v>
      </c>
      <c r="FA72" s="50" t="s">
        <v>126</v>
      </c>
      <c r="FB72" s="50" t="s">
        <v>126</v>
      </c>
      <c r="FC72" s="50" t="s">
        <v>126</v>
      </c>
      <c r="FD72" s="50" t="s">
        <v>126</v>
      </c>
      <c r="FE72" s="50" t="s">
        <v>126</v>
      </c>
      <c r="FF72" s="50" t="s">
        <v>126</v>
      </c>
      <c r="FG72" s="50" t="s">
        <v>126</v>
      </c>
      <c r="FH72" s="50" t="s">
        <v>126</v>
      </c>
      <c r="FI72" s="50" t="s">
        <v>126</v>
      </c>
      <c r="FJ72" s="50" t="s">
        <v>126</v>
      </c>
      <c r="FK72" s="50" t="s">
        <v>126</v>
      </c>
      <c r="FL72" s="50" t="s">
        <v>126</v>
      </c>
      <c r="FM72" s="50" t="s">
        <v>126</v>
      </c>
      <c r="FN72" s="50" t="s">
        <v>126</v>
      </c>
      <c r="FO72" s="50" t="s">
        <v>126</v>
      </c>
      <c r="FP72" s="50" t="s">
        <v>126</v>
      </c>
      <c r="FQ72" s="50" t="s">
        <v>126</v>
      </c>
      <c r="FR72" s="50" t="s">
        <v>126</v>
      </c>
      <c r="FS72" s="50" t="s">
        <v>126</v>
      </c>
      <c r="FT72" s="50" t="s">
        <v>126</v>
      </c>
      <c r="FU72" s="50" t="s">
        <v>126</v>
      </c>
      <c r="FV72" s="50" t="s">
        <v>126</v>
      </c>
      <c r="FW72" s="50" t="s">
        <v>126</v>
      </c>
      <c r="FX72" s="50" t="s">
        <v>126</v>
      </c>
      <c r="FY72" s="50" t="s">
        <v>126</v>
      </c>
      <c r="FZ72" s="50" t="s">
        <v>126</v>
      </c>
      <c r="GA72" s="50" t="s">
        <v>126</v>
      </c>
      <c r="GB72" s="50" t="s">
        <v>126</v>
      </c>
      <c r="GC72" s="50" t="s">
        <v>126</v>
      </c>
      <c r="GD72" s="50" t="s">
        <v>126</v>
      </c>
      <c r="GE72" s="50" t="s">
        <v>126</v>
      </c>
      <c r="GF72" s="50" t="s">
        <v>126</v>
      </c>
      <c r="GG72" s="50" t="s">
        <v>126</v>
      </c>
      <c r="GH72" s="50" t="s">
        <v>126</v>
      </c>
      <c r="GI72" s="50" t="s">
        <v>126</v>
      </c>
      <c r="GJ72" s="50" t="s">
        <v>126</v>
      </c>
      <c r="GK72" s="50" t="s">
        <v>126</v>
      </c>
      <c r="GL72" s="50" t="s">
        <v>126</v>
      </c>
      <c r="GM72" s="50" t="s">
        <v>126</v>
      </c>
      <c r="GN72" s="50" t="s">
        <v>126</v>
      </c>
      <c r="GO72" s="50" t="s">
        <v>126</v>
      </c>
      <c r="GP72" s="50" t="s">
        <v>126</v>
      </c>
      <c r="GQ72" s="50" t="s">
        <v>126</v>
      </c>
      <c r="GR72" s="50" t="s">
        <v>126</v>
      </c>
      <c r="GS72" s="50" t="s">
        <v>126</v>
      </c>
      <c r="GT72" s="50" t="s">
        <v>126</v>
      </c>
      <c r="GU72" s="50" t="s">
        <v>126</v>
      </c>
      <c r="GV72" s="50" t="s">
        <v>126</v>
      </c>
      <c r="GW72" s="50" t="s">
        <v>126</v>
      </c>
      <c r="GX72" s="50" t="s">
        <v>126</v>
      </c>
      <c r="GY72" s="50" t="s">
        <v>126</v>
      </c>
      <c r="GZ72" s="50" t="s">
        <v>126</v>
      </c>
      <c r="HA72" s="50" t="s">
        <v>126</v>
      </c>
      <c r="HB72" s="50" t="s">
        <v>126</v>
      </c>
      <c r="HC72" s="50" t="s">
        <v>126</v>
      </c>
      <c r="HD72" s="50" t="s">
        <v>126</v>
      </c>
      <c r="HE72" s="50" t="s">
        <v>126</v>
      </c>
      <c r="HF72" s="50" t="s">
        <v>126</v>
      </c>
      <c r="HG72" s="50" t="s">
        <v>126</v>
      </c>
      <c r="HH72" s="50" t="s">
        <v>126</v>
      </c>
      <c r="HI72" s="50" t="s">
        <v>126</v>
      </c>
      <c r="HJ72" s="50" t="s">
        <v>126</v>
      </c>
      <c r="HK72" s="50" t="s">
        <v>126</v>
      </c>
      <c r="HL72" s="50" t="s">
        <v>126</v>
      </c>
      <c r="HM72" s="50" t="s">
        <v>126</v>
      </c>
      <c r="HN72" s="50" t="s">
        <v>126</v>
      </c>
      <c r="HO72" s="50" t="s">
        <v>126</v>
      </c>
      <c r="HP72" s="50" t="s">
        <v>126</v>
      </c>
      <c r="HQ72" s="50" t="s">
        <v>126</v>
      </c>
      <c r="HR72" s="50" t="s">
        <v>126</v>
      </c>
      <c r="HS72" s="50" t="s">
        <v>126</v>
      </c>
      <c r="HT72" s="50" t="s">
        <v>126</v>
      </c>
      <c r="HU72" s="50" t="s">
        <v>126</v>
      </c>
      <c r="HV72" s="50" t="s">
        <v>126</v>
      </c>
      <c r="HW72" s="50" t="s">
        <v>126</v>
      </c>
      <c r="HX72" s="50" t="s">
        <v>126</v>
      </c>
      <c r="HY72" s="50" t="s">
        <v>126</v>
      </c>
      <c r="HZ72" s="50" t="s">
        <v>126</v>
      </c>
      <c r="IA72" s="50" t="s">
        <v>126</v>
      </c>
      <c r="IB72" s="50" t="s">
        <v>126</v>
      </c>
      <c r="IC72" s="50" t="s">
        <v>126</v>
      </c>
    </row>
    <row r="73" spans="1:257">
      <c r="A73" s="4" t="s">
        <v>522</v>
      </c>
      <c r="B73" s="82" t="s">
        <v>723</v>
      </c>
      <c r="C73" s="78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 t="s">
        <v>522</v>
      </c>
      <c r="P73" s="3">
        <v>46107</v>
      </c>
      <c r="Q73" s="3">
        <v>46108</v>
      </c>
      <c r="R73" s="3">
        <v>46109</v>
      </c>
      <c r="S73" s="3">
        <v>46110</v>
      </c>
      <c r="T73" s="3">
        <v>46111</v>
      </c>
      <c r="U73" s="3">
        <v>46112</v>
      </c>
      <c r="V73" s="3">
        <v>46113</v>
      </c>
      <c r="W73" s="3">
        <v>46114</v>
      </c>
      <c r="X73" s="3">
        <v>46115</v>
      </c>
      <c r="Y73" s="3">
        <v>46116</v>
      </c>
      <c r="Z73" s="3">
        <v>46117</v>
      </c>
      <c r="AA73" s="3">
        <v>46118</v>
      </c>
      <c r="AB73" s="3">
        <v>46119</v>
      </c>
      <c r="AC73" s="3">
        <v>46120</v>
      </c>
      <c r="AD73" s="3">
        <v>46121</v>
      </c>
      <c r="AE73" s="3">
        <v>46122</v>
      </c>
      <c r="AF73" s="3">
        <v>46123</v>
      </c>
      <c r="AG73" s="3">
        <v>46124</v>
      </c>
      <c r="AH73" s="3">
        <v>46125</v>
      </c>
      <c r="AI73" s="3">
        <v>46126</v>
      </c>
      <c r="AJ73" s="3">
        <v>46127</v>
      </c>
      <c r="AK73" s="3">
        <v>46128</v>
      </c>
      <c r="AL73" s="3">
        <v>46129</v>
      </c>
      <c r="AM73" s="3">
        <v>46130</v>
      </c>
      <c r="AN73" s="3">
        <v>46131</v>
      </c>
      <c r="AO73" s="3">
        <v>46132</v>
      </c>
      <c r="AP73" s="3">
        <v>46133</v>
      </c>
      <c r="AQ73" s="3">
        <v>46134</v>
      </c>
      <c r="AR73" s="3">
        <v>46135</v>
      </c>
      <c r="AS73" s="3">
        <v>46136</v>
      </c>
      <c r="AT73" s="3">
        <v>46137</v>
      </c>
      <c r="AU73" s="3">
        <v>46138</v>
      </c>
      <c r="AV73" s="3">
        <v>46139</v>
      </c>
      <c r="AW73" s="3">
        <v>46140</v>
      </c>
      <c r="AX73" s="3">
        <v>46141</v>
      </c>
      <c r="AY73" s="3">
        <v>46142</v>
      </c>
      <c r="AZ73" s="3">
        <v>46143</v>
      </c>
      <c r="BA73" s="3">
        <v>46144</v>
      </c>
      <c r="BB73" s="3">
        <v>46145</v>
      </c>
      <c r="BC73" s="3">
        <v>46146</v>
      </c>
      <c r="BD73" s="3">
        <v>46147</v>
      </c>
      <c r="BE73" s="3">
        <v>46148</v>
      </c>
      <c r="BF73" s="3">
        <v>46149</v>
      </c>
      <c r="BG73" s="3">
        <v>46150</v>
      </c>
      <c r="BH73" s="3">
        <v>46151</v>
      </c>
      <c r="BI73" s="3">
        <v>46152</v>
      </c>
      <c r="BJ73" s="3">
        <v>46153</v>
      </c>
      <c r="BK73" s="3">
        <v>46154</v>
      </c>
      <c r="BL73" s="3">
        <v>46155</v>
      </c>
      <c r="BM73" s="3">
        <v>46156</v>
      </c>
      <c r="BN73" s="3">
        <v>46157</v>
      </c>
      <c r="BO73" s="3">
        <v>46158</v>
      </c>
      <c r="BP73" s="3">
        <v>46159</v>
      </c>
      <c r="BQ73" s="3">
        <v>46160</v>
      </c>
      <c r="BR73" s="3">
        <v>46161</v>
      </c>
      <c r="BS73" s="3">
        <v>46162</v>
      </c>
      <c r="BT73" s="3">
        <v>46163</v>
      </c>
      <c r="BU73" s="3">
        <v>46164</v>
      </c>
      <c r="BV73" s="3">
        <v>46165</v>
      </c>
      <c r="BW73" s="3">
        <v>46166</v>
      </c>
      <c r="BX73" s="3">
        <v>46167</v>
      </c>
      <c r="BY73" s="3">
        <v>46168</v>
      </c>
      <c r="BZ73" s="3">
        <v>46169</v>
      </c>
      <c r="CA73" s="3">
        <v>46170</v>
      </c>
      <c r="CB73" s="3">
        <v>46171</v>
      </c>
      <c r="CC73" s="3">
        <v>46172</v>
      </c>
      <c r="CD73" s="3">
        <v>46173</v>
      </c>
      <c r="CE73" s="3">
        <v>46174</v>
      </c>
      <c r="CF73" s="3">
        <v>46175</v>
      </c>
      <c r="CG73" s="3">
        <v>46176</v>
      </c>
      <c r="CH73" s="3">
        <v>46177</v>
      </c>
      <c r="CI73" s="3">
        <v>46178</v>
      </c>
      <c r="CJ73" s="3">
        <v>46179</v>
      </c>
      <c r="CK73" s="3">
        <v>46180</v>
      </c>
      <c r="CL73" s="3">
        <v>46181</v>
      </c>
      <c r="CM73" s="3">
        <v>46182</v>
      </c>
      <c r="CN73" s="3">
        <v>46183</v>
      </c>
      <c r="CO73" s="3">
        <v>46184</v>
      </c>
      <c r="CP73" s="3">
        <v>46185</v>
      </c>
      <c r="CQ73" s="3">
        <v>46186</v>
      </c>
      <c r="CR73" s="3">
        <v>46187</v>
      </c>
      <c r="CS73" s="3">
        <v>46188</v>
      </c>
      <c r="CT73" s="3">
        <v>46189</v>
      </c>
      <c r="CU73" s="3">
        <v>46190</v>
      </c>
      <c r="CV73" s="3">
        <v>46191</v>
      </c>
      <c r="CW73" s="3">
        <v>46192</v>
      </c>
      <c r="CX73" s="3">
        <v>46193</v>
      </c>
      <c r="CY73" s="3">
        <v>46194</v>
      </c>
      <c r="CZ73" s="3">
        <v>46195</v>
      </c>
      <c r="DA73" s="3">
        <v>46196</v>
      </c>
      <c r="DB73" s="3">
        <v>46197</v>
      </c>
      <c r="DC73" s="3">
        <v>46198</v>
      </c>
      <c r="DD73" s="3">
        <v>46199</v>
      </c>
      <c r="DE73" s="3">
        <v>46200</v>
      </c>
      <c r="DF73" s="3">
        <v>46201</v>
      </c>
      <c r="DG73" s="3">
        <v>46202</v>
      </c>
      <c r="DH73" s="3">
        <v>46203</v>
      </c>
      <c r="DI73" s="3">
        <v>46204</v>
      </c>
      <c r="DJ73" s="3">
        <v>46205</v>
      </c>
      <c r="DK73" s="3">
        <v>46206</v>
      </c>
      <c r="DL73" s="3">
        <v>46207</v>
      </c>
      <c r="DM73" s="3">
        <v>46208</v>
      </c>
      <c r="DN73" s="3">
        <v>46209</v>
      </c>
      <c r="DO73" s="3">
        <v>46210</v>
      </c>
      <c r="DP73" s="3">
        <v>46211</v>
      </c>
      <c r="DQ73" s="3">
        <v>46212</v>
      </c>
      <c r="DR73" s="3">
        <v>46213</v>
      </c>
      <c r="DS73" s="3">
        <v>46214</v>
      </c>
      <c r="DT73" s="3">
        <v>46215</v>
      </c>
      <c r="DU73" s="3">
        <v>46216</v>
      </c>
      <c r="DV73" s="3">
        <v>46217</v>
      </c>
      <c r="DW73" s="3">
        <v>46218</v>
      </c>
      <c r="DX73" s="3">
        <v>46219</v>
      </c>
      <c r="DY73" s="3">
        <v>46220</v>
      </c>
      <c r="DZ73" s="3">
        <v>46221</v>
      </c>
      <c r="EA73" s="3">
        <v>46222</v>
      </c>
      <c r="EB73" s="3">
        <v>46223</v>
      </c>
      <c r="EC73" s="3">
        <v>46224</v>
      </c>
      <c r="ED73" s="3">
        <v>46225</v>
      </c>
      <c r="EE73" s="3">
        <v>46226</v>
      </c>
      <c r="EF73" s="3">
        <v>46227</v>
      </c>
      <c r="EG73" s="3">
        <v>46228</v>
      </c>
      <c r="EH73" s="3">
        <v>46229</v>
      </c>
      <c r="EI73" s="3">
        <v>46230</v>
      </c>
      <c r="EJ73" s="3">
        <v>46231</v>
      </c>
      <c r="EK73" s="3">
        <v>46232</v>
      </c>
      <c r="EL73" s="3">
        <v>46233</v>
      </c>
      <c r="EM73" s="3">
        <v>46234</v>
      </c>
      <c r="EN73" s="3">
        <v>46235</v>
      </c>
      <c r="EO73" s="3">
        <v>46236</v>
      </c>
      <c r="EP73" s="3">
        <v>46237</v>
      </c>
      <c r="EQ73" s="3">
        <v>46238</v>
      </c>
      <c r="ER73" s="3">
        <v>46239</v>
      </c>
      <c r="ES73" s="3">
        <v>46240</v>
      </c>
      <c r="ET73" s="3">
        <v>46241</v>
      </c>
      <c r="EU73" s="3">
        <v>46242</v>
      </c>
      <c r="EV73" s="3">
        <v>46243</v>
      </c>
      <c r="EW73" s="3">
        <v>46244</v>
      </c>
      <c r="EX73" s="3">
        <v>46245</v>
      </c>
      <c r="EY73" s="3">
        <v>46246</v>
      </c>
      <c r="EZ73" s="3">
        <v>46247</v>
      </c>
      <c r="FA73" s="3">
        <v>46248</v>
      </c>
      <c r="FB73" s="3">
        <v>46249</v>
      </c>
      <c r="FC73" s="3">
        <v>46250</v>
      </c>
      <c r="FD73" s="3">
        <v>46251</v>
      </c>
      <c r="FE73" s="3">
        <v>46252</v>
      </c>
      <c r="FF73" s="3">
        <v>46253</v>
      </c>
      <c r="FG73" s="3">
        <v>46254</v>
      </c>
      <c r="FH73" s="3">
        <v>46255</v>
      </c>
      <c r="FI73" s="3">
        <v>46256</v>
      </c>
      <c r="FJ73" s="3">
        <v>46257</v>
      </c>
      <c r="FK73" s="3">
        <v>46258</v>
      </c>
      <c r="FL73" s="3">
        <v>46259</v>
      </c>
      <c r="FM73" s="3">
        <v>46260</v>
      </c>
      <c r="FN73" s="3">
        <v>46261</v>
      </c>
      <c r="FO73" s="3">
        <v>46262</v>
      </c>
      <c r="FP73" s="3">
        <v>46263</v>
      </c>
      <c r="FQ73" s="3">
        <v>46264</v>
      </c>
      <c r="FR73" s="3">
        <v>46265</v>
      </c>
      <c r="FS73" s="3">
        <v>46266</v>
      </c>
      <c r="FT73" s="3">
        <v>46267</v>
      </c>
      <c r="FU73" s="3">
        <v>46268</v>
      </c>
      <c r="FV73" s="3">
        <v>46269</v>
      </c>
      <c r="FW73" s="3">
        <v>46270</v>
      </c>
      <c r="FX73" s="3">
        <v>46271</v>
      </c>
      <c r="FY73" s="3">
        <v>46272</v>
      </c>
      <c r="FZ73" s="3">
        <v>46273</v>
      </c>
      <c r="GA73" s="3">
        <v>46274</v>
      </c>
      <c r="GB73" s="3">
        <v>46275</v>
      </c>
      <c r="GC73" s="3">
        <v>46276</v>
      </c>
      <c r="GD73" s="3">
        <v>46277</v>
      </c>
      <c r="GE73" s="3">
        <v>46278</v>
      </c>
      <c r="GF73" s="3">
        <v>46279</v>
      </c>
      <c r="GG73" s="3">
        <v>46280</v>
      </c>
      <c r="GH73" s="3">
        <v>46281</v>
      </c>
      <c r="GI73" s="3">
        <v>46282</v>
      </c>
      <c r="GJ73" s="3">
        <v>46283</v>
      </c>
      <c r="GK73" s="3">
        <v>46284</v>
      </c>
      <c r="GL73" s="3">
        <v>46285</v>
      </c>
      <c r="GM73" s="3">
        <v>46286</v>
      </c>
      <c r="GN73" s="3">
        <v>46287</v>
      </c>
      <c r="GO73" s="3">
        <v>46288</v>
      </c>
      <c r="GP73" s="3">
        <v>46289</v>
      </c>
      <c r="GQ73" s="3">
        <v>46290</v>
      </c>
      <c r="GR73" s="3">
        <v>46291</v>
      </c>
      <c r="GS73" s="3">
        <v>46292</v>
      </c>
      <c r="GT73" s="3">
        <v>46293</v>
      </c>
      <c r="GU73" s="3">
        <v>46294</v>
      </c>
      <c r="GV73" s="3">
        <v>46295</v>
      </c>
      <c r="GW73" s="3">
        <v>46296</v>
      </c>
      <c r="GX73" s="3">
        <v>46297</v>
      </c>
      <c r="GY73" s="3">
        <v>46298</v>
      </c>
      <c r="GZ73" s="3">
        <v>46299</v>
      </c>
      <c r="HA73" s="3">
        <v>46300</v>
      </c>
      <c r="HB73" s="3">
        <v>46301</v>
      </c>
      <c r="HC73" s="3">
        <v>46302</v>
      </c>
      <c r="HD73" s="3">
        <v>46303</v>
      </c>
      <c r="HE73" s="3">
        <v>46304</v>
      </c>
      <c r="HF73" s="3">
        <v>46305</v>
      </c>
      <c r="HG73" s="3">
        <v>46306</v>
      </c>
      <c r="HH73" s="3">
        <v>46307</v>
      </c>
      <c r="HI73" s="3">
        <v>46308</v>
      </c>
      <c r="HJ73" s="3">
        <v>46309</v>
      </c>
      <c r="HK73" s="3">
        <v>46310</v>
      </c>
      <c r="HL73" s="3">
        <v>46311</v>
      </c>
      <c r="HM73" s="3">
        <v>46312</v>
      </c>
      <c r="HN73" s="3">
        <v>46313</v>
      </c>
      <c r="HO73" s="3">
        <v>46314</v>
      </c>
      <c r="HP73" s="3">
        <v>46315</v>
      </c>
      <c r="HQ73" s="3">
        <v>46316</v>
      </c>
      <c r="HR73" s="3">
        <v>46317</v>
      </c>
      <c r="HS73" s="3">
        <v>46318</v>
      </c>
      <c r="HT73" s="3">
        <v>46319</v>
      </c>
      <c r="HU73" s="3">
        <v>46320</v>
      </c>
      <c r="HV73" s="3">
        <v>46321</v>
      </c>
      <c r="HW73" s="3">
        <v>46322</v>
      </c>
      <c r="HX73" s="3">
        <v>46323</v>
      </c>
      <c r="HY73" s="3">
        <v>46324</v>
      </c>
      <c r="HZ73" s="3">
        <v>46325</v>
      </c>
      <c r="IA73" s="3">
        <v>46326</v>
      </c>
      <c r="IB73" s="3">
        <v>46327</v>
      </c>
      <c r="IC73" s="3">
        <v>46328</v>
      </c>
    </row>
    <row r="74" spans="1:257">
      <c r="A74" s="4" t="s">
        <v>694</v>
      </c>
      <c r="B74" s="82" t="str">
        <f t="array" ref="B74">COLUMNS(_xlfn._xlws.FILTER(P73:HO73, (P75:HO75&lt;&gt;"")+(P77:HO77&lt;&gt;""))) &amp; "場"</f>
        <v>28場</v>
      </c>
      <c r="C74" s="78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 t="s">
        <v>675</v>
      </c>
      <c r="P74" s="3" t="s">
        <v>676</v>
      </c>
      <c r="Q74" s="3" t="s">
        <v>677</v>
      </c>
      <c r="R74" s="3" t="s">
        <v>678</v>
      </c>
      <c r="S74" s="3" t="s">
        <v>679</v>
      </c>
      <c r="T74" s="3" t="s">
        <v>680</v>
      </c>
      <c r="U74" s="3" t="s">
        <v>681</v>
      </c>
      <c r="V74" s="3" t="s">
        <v>682</v>
      </c>
      <c r="W74" s="3" t="s">
        <v>676</v>
      </c>
      <c r="X74" s="3" t="s">
        <v>677</v>
      </c>
      <c r="Y74" s="3" t="s">
        <v>678</v>
      </c>
      <c r="Z74" s="3" t="s">
        <v>679</v>
      </c>
      <c r="AA74" s="3" t="s">
        <v>680</v>
      </c>
      <c r="AB74" s="3" t="s">
        <v>681</v>
      </c>
      <c r="AC74" s="3" t="s">
        <v>682</v>
      </c>
      <c r="AD74" s="3" t="s">
        <v>676</v>
      </c>
      <c r="AE74" s="3" t="s">
        <v>677</v>
      </c>
      <c r="AF74" s="3" t="s">
        <v>678</v>
      </c>
      <c r="AG74" s="3" t="s">
        <v>679</v>
      </c>
      <c r="AH74" s="3" t="s">
        <v>680</v>
      </c>
      <c r="AI74" s="3" t="s">
        <v>681</v>
      </c>
      <c r="AJ74" s="3" t="s">
        <v>682</v>
      </c>
      <c r="AK74" s="3" t="s">
        <v>676</v>
      </c>
      <c r="AL74" s="3" t="s">
        <v>677</v>
      </c>
      <c r="AM74" s="3" t="s">
        <v>678</v>
      </c>
      <c r="AN74" s="3" t="s">
        <v>679</v>
      </c>
      <c r="AO74" s="3" t="s">
        <v>680</v>
      </c>
      <c r="AP74" s="3" t="s">
        <v>681</v>
      </c>
      <c r="AQ74" s="3" t="s">
        <v>682</v>
      </c>
      <c r="AR74" s="3" t="s">
        <v>676</v>
      </c>
      <c r="AS74" s="3" t="s">
        <v>677</v>
      </c>
      <c r="AT74" s="3" t="s">
        <v>678</v>
      </c>
      <c r="AU74" s="3" t="s">
        <v>679</v>
      </c>
      <c r="AV74" s="3" t="s">
        <v>680</v>
      </c>
      <c r="AW74" s="3" t="s">
        <v>681</v>
      </c>
      <c r="AX74" s="3" t="s">
        <v>682</v>
      </c>
      <c r="AY74" s="3" t="s">
        <v>676</v>
      </c>
      <c r="AZ74" s="3" t="s">
        <v>677</v>
      </c>
      <c r="BA74" s="3" t="s">
        <v>678</v>
      </c>
      <c r="BB74" s="3" t="s">
        <v>679</v>
      </c>
      <c r="BC74" s="3" t="s">
        <v>680</v>
      </c>
      <c r="BD74" s="3" t="s">
        <v>681</v>
      </c>
      <c r="BE74" s="3" t="s">
        <v>682</v>
      </c>
      <c r="BF74" s="3" t="s">
        <v>676</v>
      </c>
      <c r="BG74" s="3" t="s">
        <v>677</v>
      </c>
      <c r="BH74" s="3" t="s">
        <v>678</v>
      </c>
      <c r="BI74" s="3" t="s">
        <v>679</v>
      </c>
      <c r="BJ74" s="3" t="s">
        <v>680</v>
      </c>
      <c r="BK74" s="3" t="s">
        <v>681</v>
      </c>
      <c r="BL74" s="3" t="s">
        <v>682</v>
      </c>
      <c r="BM74" s="3" t="s">
        <v>676</v>
      </c>
      <c r="BN74" s="3" t="s">
        <v>677</v>
      </c>
      <c r="BO74" s="3" t="s">
        <v>678</v>
      </c>
      <c r="BP74" s="3" t="s">
        <v>679</v>
      </c>
      <c r="BQ74" s="3" t="s">
        <v>680</v>
      </c>
      <c r="BR74" s="3" t="s">
        <v>681</v>
      </c>
      <c r="BS74" s="3" t="s">
        <v>682</v>
      </c>
      <c r="BT74" s="3" t="s">
        <v>676</v>
      </c>
      <c r="BU74" s="3" t="s">
        <v>677</v>
      </c>
      <c r="BV74" s="3" t="s">
        <v>678</v>
      </c>
      <c r="BW74" s="3" t="s">
        <v>679</v>
      </c>
      <c r="BX74" s="3" t="s">
        <v>680</v>
      </c>
      <c r="BY74" s="3" t="s">
        <v>681</v>
      </c>
      <c r="BZ74" s="3" t="s">
        <v>682</v>
      </c>
      <c r="CA74" s="3" t="s">
        <v>676</v>
      </c>
      <c r="CB74" s="3" t="s">
        <v>677</v>
      </c>
      <c r="CC74" s="3" t="s">
        <v>678</v>
      </c>
      <c r="CD74" s="3" t="s">
        <v>679</v>
      </c>
      <c r="CE74" s="3" t="s">
        <v>680</v>
      </c>
      <c r="CF74" s="3" t="s">
        <v>681</v>
      </c>
      <c r="CG74" s="3" t="s">
        <v>682</v>
      </c>
      <c r="CH74" s="3" t="s">
        <v>676</v>
      </c>
      <c r="CI74" s="3" t="s">
        <v>677</v>
      </c>
      <c r="CJ74" s="3" t="s">
        <v>678</v>
      </c>
      <c r="CK74" s="3" t="s">
        <v>679</v>
      </c>
      <c r="CL74" s="3" t="s">
        <v>680</v>
      </c>
      <c r="CM74" s="3" t="s">
        <v>681</v>
      </c>
      <c r="CN74" s="3" t="s">
        <v>682</v>
      </c>
      <c r="CO74" s="3" t="s">
        <v>676</v>
      </c>
      <c r="CP74" s="3" t="s">
        <v>677</v>
      </c>
      <c r="CQ74" s="3" t="s">
        <v>678</v>
      </c>
      <c r="CR74" s="3" t="s">
        <v>679</v>
      </c>
      <c r="CS74" s="3" t="s">
        <v>680</v>
      </c>
      <c r="CT74" s="3" t="s">
        <v>681</v>
      </c>
      <c r="CU74" s="3" t="s">
        <v>682</v>
      </c>
      <c r="CV74" s="3" t="s">
        <v>676</v>
      </c>
      <c r="CW74" s="3" t="s">
        <v>677</v>
      </c>
      <c r="CX74" s="3" t="s">
        <v>678</v>
      </c>
      <c r="CY74" s="3" t="s">
        <v>679</v>
      </c>
      <c r="CZ74" s="3" t="s">
        <v>680</v>
      </c>
      <c r="DA74" s="3" t="s">
        <v>681</v>
      </c>
      <c r="DB74" s="3" t="s">
        <v>682</v>
      </c>
      <c r="DC74" s="3" t="s">
        <v>676</v>
      </c>
      <c r="DD74" s="3" t="s">
        <v>677</v>
      </c>
      <c r="DE74" s="3" t="s">
        <v>678</v>
      </c>
      <c r="DF74" s="3" t="s">
        <v>679</v>
      </c>
      <c r="DG74" s="3" t="s">
        <v>680</v>
      </c>
      <c r="DH74" s="3" t="s">
        <v>681</v>
      </c>
      <c r="DI74" s="3" t="s">
        <v>682</v>
      </c>
      <c r="DJ74" s="3" t="s">
        <v>676</v>
      </c>
      <c r="DK74" s="3" t="s">
        <v>677</v>
      </c>
      <c r="DL74" s="3" t="s">
        <v>678</v>
      </c>
      <c r="DM74" s="3" t="s">
        <v>679</v>
      </c>
      <c r="DN74" s="3" t="s">
        <v>680</v>
      </c>
      <c r="DO74" s="3" t="s">
        <v>681</v>
      </c>
      <c r="DP74" s="3" t="s">
        <v>682</v>
      </c>
      <c r="DQ74" s="3" t="s">
        <v>676</v>
      </c>
      <c r="DR74" s="3" t="s">
        <v>677</v>
      </c>
      <c r="DS74" s="3" t="s">
        <v>678</v>
      </c>
      <c r="DT74" s="3" t="s">
        <v>679</v>
      </c>
      <c r="DU74" s="3" t="s">
        <v>680</v>
      </c>
      <c r="DV74" s="3" t="s">
        <v>681</v>
      </c>
      <c r="DW74" s="3" t="s">
        <v>682</v>
      </c>
      <c r="DX74" s="3" t="s">
        <v>676</v>
      </c>
      <c r="DY74" s="3" t="s">
        <v>677</v>
      </c>
      <c r="DZ74" s="3" t="s">
        <v>678</v>
      </c>
      <c r="EA74" s="3" t="s">
        <v>679</v>
      </c>
      <c r="EB74" s="3" t="s">
        <v>680</v>
      </c>
      <c r="EC74" s="3" t="s">
        <v>681</v>
      </c>
      <c r="ED74" s="3" t="s">
        <v>682</v>
      </c>
      <c r="EE74" s="3" t="s">
        <v>676</v>
      </c>
      <c r="EF74" s="3" t="s">
        <v>677</v>
      </c>
      <c r="EG74" s="3" t="s">
        <v>678</v>
      </c>
      <c r="EH74" s="3" t="s">
        <v>679</v>
      </c>
      <c r="EI74" s="3" t="s">
        <v>680</v>
      </c>
      <c r="EJ74" s="3" t="s">
        <v>681</v>
      </c>
      <c r="EK74" s="3" t="s">
        <v>682</v>
      </c>
      <c r="EL74" s="3" t="s">
        <v>676</v>
      </c>
      <c r="EM74" s="3" t="s">
        <v>677</v>
      </c>
      <c r="EN74" s="3" t="s">
        <v>678</v>
      </c>
      <c r="EO74" s="3" t="s">
        <v>679</v>
      </c>
      <c r="EP74" s="3" t="s">
        <v>680</v>
      </c>
      <c r="EQ74" s="3" t="s">
        <v>681</v>
      </c>
      <c r="ER74" s="3" t="s">
        <v>682</v>
      </c>
      <c r="ES74" s="3" t="s">
        <v>676</v>
      </c>
      <c r="ET74" s="3" t="s">
        <v>677</v>
      </c>
      <c r="EU74" s="3" t="s">
        <v>678</v>
      </c>
      <c r="EV74" s="3" t="s">
        <v>679</v>
      </c>
      <c r="EW74" s="3" t="s">
        <v>680</v>
      </c>
      <c r="EX74" s="3" t="s">
        <v>681</v>
      </c>
      <c r="EY74" s="3" t="s">
        <v>682</v>
      </c>
      <c r="EZ74" s="3" t="s">
        <v>676</v>
      </c>
      <c r="FA74" s="3" t="s">
        <v>677</v>
      </c>
      <c r="FB74" s="3" t="s">
        <v>678</v>
      </c>
      <c r="FC74" s="3" t="s">
        <v>679</v>
      </c>
      <c r="FD74" s="3" t="s">
        <v>680</v>
      </c>
      <c r="FE74" s="3" t="s">
        <v>681</v>
      </c>
      <c r="FF74" s="3" t="s">
        <v>682</v>
      </c>
      <c r="FG74" s="3" t="s">
        <v>676</v>
      </c>
      <c r="FH74" s="3" t="s">
        <v>677</v>
      </c>
      <c r="FI74" s="3" t="s">
        <v>678</v>
      </c>
      <c r="FJ74" s="3" t="s">
        <v>679</v>
      </c>
      <c r="FK74" s="3" t="s">
        <v>680</v>
      </c>
      <c r="FL74" s="3" t="s">
        <v>681</v>
      </c>
      <c r="FM74" s="3" t="s">
        <v>682</v>
      </c>
      <c r="FN74" s="3" t="s">
        <v>676</v>
      </c>
      <c r="FO74" s="3" t="s">
        <v>677</v>
      </c>
      <c r="FP74" s="3" t="s">
        <v>678</v>
      </c>
      <c r="FQ74" s="3" t="s">
        <v>679</v>
      </c>
      <c r="FR74" s="3" t="s">
        <v>680</v>
      </c>
      <c r="FS74" s="3" t="s">
        <v>681</v>
      </c>
      <c r="FT74" s="3" t="s">
        <v>682</v>
      </c>
      <c r="FU74" s="3" t="s">
        <v>676</v>
      </c>
      <c r="FV74" s="3" t="s">
        <v>677</v>
      </c>
      <c r="FW74" s="3" t="s">
        <v>678</v>
      </c>
      <c r="FX74" s="3" t="s">
        <v>679</v>
      </c>
      <c r="FY74" s="3" t="s">
        <v>680</v>
      </c>
      <c r="FZ74" s="3" t="s">
        <v>681</v>
      </c>
      <c r="GA74" s="3" t="s">
        <v>682</v>
      </c>
      <c r="GB74" s="3" t="s">
        <v>676</v>
      </c>
      <c r="GC74" s="3" t="s">
        <v>677</v>
      </c>
      <c r="GD74" s="3" t="s">
        <v>678</v>
      </c>
      <c r="GE74" s="3" t="s">
        <v>679</v>
      </c>
      <c r="GF74" s="3" t="s">
        <v>680</v>
      </c>
      <c r="GG74" s="3" t="s">
        <v>681</v>
      </c>
      <c r="GH74" s="3" t="s">
        <v>682</v>
      </c>
      <c r="GI74" s="3" t="s">
        <v>676</v>
      </c>
      <c r="GJ74" s="3" t="s">
        <v>677</v>
      </c>
      <c r="GK74" s="3" t="s">
        <v>678</v>
      </c>
      <c r="GL74" s="3" t="s">
        <v>679</v>
      </c>
      <c r="GM74" s="3" t="s">
        <v>680</v>
      </c>
      <c r="GN74" s="3" t="s">
        <v>681</v>
      </c>
      <c r="GO74" s="3" t="s">
        <v>682</v>
      </c>
      <c r="GP74" s="3" t="s">
        <v>676</v>
      </c>
      <c r="GQ74" s="3" t="s">
        <v>677</v>
      </c>
      <c r="GR74" s="3" t="s">
        <v>678</v>
      </c>
      <c r="GS74" s="3" t="s">
        <v>679</v>
      </c>
      <c r="GT74" s="3" t="s">
        <v>680</v>
      </c>
      <c r="GU74" s="3" t="s">
        <v>681</v>
      </c>
      <c r="GV74" s="3" t="s">
        <v>682</v>
      </c>
      <c r="GW74" s="3" t="s">
        <v>676</v>
      </c>
      <c r="GX74" s="3" t="s">
        <v>677</v>
      </c>
      <c r="GY74" s="3" t="s">
        <v>678</v>
      </c>
      <c r="GZ74" s="3" t="s">
        <v>679</v>
      </c>
      <c r="HA74" s="3" t="s">
        <v>680</v>
      </c>
      <c r="HB74" s="3" t="s">
        <v>681</v>
      </c>
      <c r="HC74" s="3" t="s">
        <v>682</v>
      </c>
      <c r="HD74" s="3" t="s">
        <v>676</v>
      </c>
      <c r="HE74" s="3" t="s">
        <v>677</v>
      </c>
      <c r="HF74" s="3" t="s">
        <v>678</v>
      </c>
      <c r="HG74" s="3" t="s">
        <v>679</v>
      </c>
      <c r="HH74" s="3" t="s">
        <v>680</v>
      </c>
      <c r="HI74" s="3" t="s">
        <v>681</v>
      </c>
      <c r="HJ74" s="3" t="s">
        <v>682</v>
      </c>
      <c r="HK74" s="3" t="s">
        <v>676</v>
      </c>
      <c r="HL74" s="3" t="s">
        <v>677</v>
      </c>
      <c r="HM74" s="3" t="s">
        <v>678</v>
      </c>
      <c r="HN74" s="3" t="s">
        <v>679</v>
      </c>
      <c r="HO74" s="3" t="s">
        <v>680</v>
      </c>
      <c r="HP74" s="3" t="s">
        <v>681</v>
      </c>
      <c r="HQ74" s="3" t="s">
        <v>682</v>
      </c>
      <c r="HR74" s="3" t="s">
        <v>676</v>
      </c>
      <c r="HS74" s="3" t="s">
        <v>677</v>
      </c>
      <c r="HT74" s="3" t="s">
        <v>678</v>
      </c>
      <c r="HU74" s="3" t="s">
        <v>679</v>
      </c>
      <c r="HV74" s="3" t="s">
        <v>680</v>
      </c>
      <c r="HW74" s="3" t="s">
        <v>681</v>
      </c>
      <c r="HX74" s="3" t="s">
        <v>682</v>
      </c>
      <c r="HY74" s="3" t="s">
        <v>676</v>
      </c>
      <c r="HZ74" s="3" t="s">
        <v>677</v>
      </c>
      <c r="IA74" s="3" t="s">
        <v>678</v>
      </c>
      <c r="IB74" s="3" t="s">
        <v>679</v>
      </c>
      <c r="IC74" s="3" t="s">
        <v>680</v>
      </c>
    </row>
    <row r="75" spans="1:257">
      <c r="A75" s="82" t="s">
        <v>695</v>
      </c>
      <c r="B75" s="82" t="str">
        <f>COUNTIF(P75:IC75, "W")&amp;"勝"</f>
        <v>14勝</v>
      </c>
      <c r="C75" s="82" t="str">
        <f>COUNTIF(P75:IC75, "L")&amp;"敗"</f>
        <v>14敗</v>
      </c>
      <c r="D75" s="82" t="s">
        <v>696</v>
      </c>
      <c r="E75" s="78"/>
      <c r="F75" s="82" t="s">
        <v>724</v>
      </c>
      <c r="G75" s="78"/>
      <c r="H75" s="78"/>
      <c r="I75" s="78"/>
      <c r="J75" s="78"/>
      <c r="K75" s="78"/>
      <c r="L75" s="78"/>
      <c r="M75" s="82"/>
      <c r="N75" s="78"/>
      <c r="O75" s="1" t="s">
        <v>698</v>
      </c>
      <c r="Q75" t="s">
        <v>699</v>
      </c>
      <c r="R75" t="s">
        <v>699</v>
      </c>
      <c r="S75" t="s">
        <v>700</v>
      </c>
      <c r="U75" t="s">
        <v>700</v>
      </c>
      <c r="V75" t="s">
        <v>700</v>
      </c>
      <c r="W75" t="s">
        <v>700</v>
      </c>
      <c r="Y75" t="s">
        <v>699</v>
      </c>
      <c r="Z75" t="s">
        <v>699</v>
      </c>
      <c r="AA75" t="s">
        <v>700</v>
      </c>
      <c r="AB75" t="s">
        <v>700</v>
      </c>
      <c r="AC75" t="s">
        <v>700</v>
      </c>
      <c r="AD75" t="s">
        <v>700</v>
      </c>
      <c r="AE75" t="s">
        <v>700</v>
      </c>
      <c r="AF75" t="s">
        <v>699</v>
      </c>
      <c r="AG75" t="s">
        <v>699</v>
      </c>
      <c r="AH75" t="s">
        <v>699</v>
      </c>
      <c r="AJ75" t="s">
        <v>699</v>
      </c>
      <c r="AK75" t="s">
        <v>699</v>
      </c>
      <c r="AL75" t="s">
        <v>699</v>
      </c>
      <c r="AM75" t="s">
        <v>700</v>
      </c>
      <c r="AN75" t="s">
        <v>699</v>
      </c>
      <c r="AO75" t="s">
        <v>699</v>
      </c>
      <c r="AP75" t="s">
        <v>700</v>
      </c>
      <c r="AQ75" t="s">
        <v>700</v>
      </c>
      <c r="AS75" t="s">
        <v>699</v>
      </c>
      <c r="AT75" t="s">
        <v>700</v>
      </c>
      <c r="AU75" t="s">
        <v>700</v>
      </c>
      <c r="AV75" t="s">
        <v>699</v>
      </c>
    </row>
    <row r="76" spans="1:257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1" t="s">
        <v>701</v>
      </c>
    </row>
    <row r="77" spans="1:257">
      <c r="A77" s="82" t="s">
        <v>702</v>
      </c>
      <c r="B77" s="82" t="str">
        <f>COUNTIF(P77:IC77, "O")&amp;"正"</f>
        <v>13正</v>
      </c>
      <c r="C77" s="82" t="str">
        <f>COUNTIF(P77:IC77, "X")&amp;"負"</f>
        <v>15負</v>
      </c>
      <c r="D77" s="82" t="s">
        <v>703</v>
      </c>
      <c r="E77" s="78"/>
      <c r="F77" s="82" t="s">
        <v>725</v>
      </c>
      <c r="G77" s="78"/>
      <c r="H77" s="78"/>
      <c r="I77" s="78"/>
      <c r="J77" s="78"/>
      <c r="K77" s="78"/>
      <c r="L77" s="78"/>
      <c r="M77" s="82"/>
      <c r="N77" s="78"/>
      <c r="O77" s="1" t="s">
        <v>705</v>
      </c>
      <c r="Q77" t="s">
        <v>683</v>
      </c>
      <c r="R77" t="s">
        <v>683</v>
      </c>
      <c r="S77" t="s">
        <v>684</v>
      </c>
      <c r="U77" t="s">
        <v>684</v>
      </c>
      <c r="V77" t="s">
        <v>684</v>
      </c>
      <c r="W77" t="s">
        <v>684</v>
      </c>
      <c r="Y77" t="s">
        <v>683</v>
      </c>
      <c r="Z77" t="s">
        <v>683</v>
      </c>
      <c r="AA77" t="s">
        <v>684</v>
      </c>
      <c r="AB77" t="s">
        <v>684</v>
      </c>
      <c r="AC77" t="s">
        <v>684</v>
      </c>
      <c r="AD77" t="s">
        <v>684</v>
      </c>
      <c r="AE77" t="s">
        <v>684</v>
      </c>
      <c r="AF77" t="s">
        <v>683</v>
      </c>
      <c r="AG77" t="s">
        <v>683</v>
      </c>
      <c r="AH77" t="s">
        <v>683</v>
      </c>
      <c r="AJ77" t="s">
        <v>683</v>
      </c>
      <c r="AK77" t="s">
        <v>683</v>
      </c>
      <c r="AL77" t="s">
        <v>683</v>
      </c>
      <c r="AM77" t="s">
        <v>684</v>
      </c>
      <c r="AN77" t="s">
        <v>683</v>
      </c>
      <c r="AO77" t="s">
        <v>683</v>
      </c>
      <c r="AP77" t="s">
        <v>684</v>
      </c>
      <c r="AQ77" t="s">
        <v>684</v>
      </c>
      <c r="AS77" t="s">
        <v>684</v>
      </c>
      <c r="AT77" t="s">
        <v>684</v>
      </c>
      <c r="AU77" t="s">
        <v>684</v>
      </c>
      <c r="AV77" t="s">
        <v>683</v>
      </c>
      <c r="IN77" t="str">
        <f ca="1">IFERROR(INDEX($P77:$IC77,1,_xludf.AGGREGATE(14,6,(COLUMN($P77:$IC77)-COLUMN($P77)+1)/($P77:$IC77&lt;&gt;""),1)),"")</f>
        <v/>
      </c>
      <c r="IO77" t="str">
        <f ca="1">IFERROR(INDEX($P77:$IC77,1,_xludf.AGGREGATE(14,6,(COLUMN($P77:$IC77)-COLUMN($P77)+1)/($P77:$IC77&lt;&gt;""),2)),"")</f>
        <v/>
      </c>
      <c r="IP77" t="str">
        <f ca="1">IFERROR(INDEX($P77:$IC77,1,_xludf.AGGREGATE(14,6,(COLUMN($P77:$IC77)-COLUMN($P77)+1)/($P77:$IC77&lt;&gt;""),3)),"")</f>
        <v/>
      </c>
      <c r="IQ77" t="str">
        <f ca="1">IFERROR(INDEX($P77:$IC77,1,_xludf.AGGREGATE(14,6,(COLUMN($P77:$IC77)-COLUMN($P77)+1)/($P77:$IC77&lt;&gt;""),4)),"")</f>
        <v/>
      </c>
      <c r="IR77" t="str">
        <f ca="1">IFERROR(INDEX($P77:$IC77,1,_xludf.AGGREGATE(14,6,(COLUMN($P77:$IC77)-COLUMN($P77)+1)/($P77:$IC77&lt;&gt;""),5)),"")</f>
        <v/>
      </c>
      <c r="IS77" t="str">
        <f ca="1">IFERROR(INDEX($P77:$IC77,1,_xludf.AGGREGATE(14,6,(COLUMN($P77:$IC77)-COLUMN($P77)+1)/($P77:$IC77&lt;&gt;""),6)),"")</f>
        <v/>
      </c>
      <c r="IT77" t="str">
        <f ca="1">IFERROR(INDEX($P77:$IC77,1,_xludf.AGGREGATE(14,6,(COLUMN($P77:$IC77)-COLUMN($P77)+1)/($P77:$IC77&lt;&gt;""),7)),"")</f>
        <v/>
      </c>
      <c r="IU77" t="str">
        <f ca="1">IFERROR(INDEX($P77:$IC77,1,_xludf.AGGREGATE(14,6,(COLUMN($P77:$IC77)-COLUMN($P77)+1)/($P77:$IC77&lt;&gt;""),8)),"")</f>
        <v/>
      </c>
      <c r="IV77" t="str">
        <f ca="1">IFERROR(INDEX($P77:$IC77,1,_xludf.AGGREGATE(14,6,(COLUMN($P77:$IC77)-COLUMN($P77)+1)/($P77:$IC77&lt;&gt;""),9)),"")</f>
        <v/>
      </c>
      <c r="IW77" t="str">
        <f ca="1">IFERROR(INDEX($P77:$IC77,1,_xludf.AGGREGATE(14,6,(COLUMN($P77:$IC77)-COLUMN($P77)+1)/($P77:$IC77&lt;&gt;""),10)),"")</f>
        <v/>
      </c>
    </row>
    <row r="78" spans="1:257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1" t="s">
        <v>706</v>
      </c>
    </row>
    <row r="79" spans="1:257">
      <c r="A79" s="82" t="s">
        <v>707</v>
      </c>
      <c r="B79" s="77"/>
      <c r="C79" s="77"/>
      <c r="D79" s="82" t="s">
        <v>708</v>
      </c>
      <c r="E79" s="78"/>
      <c r="F79" s="82"/>
      <c r="G79" s="78"/>
      <c r="H79" s="78"/>
      <c r="I79" s="78"/>
      <c r="J79" s="78"/>
      <c r="K79" s="78"/>
      <c r="L79" s="78"/>
      <c r="M79" s="82"/>
      <c r="N79" s="78"/>
      <c r="O79" s="1" t="s">
        <v>709</v>
      </c>
    </row>
    <row r="80" spans="1:257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1" t="s">
        <v>710</v>
      </c>
    </row>
    <row r="81" spans="1:257">
      <c r="A81" s="108" t="s">
        <v>74</v>
      </c>
      <c r="B81" s="78"/>
      <c r="C81" s="78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 t="s">
        <v>674</v>
      </c>
      <c r="P81" s="6">
        <v>1</v>
      </c>
      <c r="Q81" s="6">
        <v>2</v>
      </c>
      <c r="R81" s="6">
        <v>3</v>
      </c>
      <c r="S81" s="6">
        <v>4</v>
      </c>
      <c r="T81" s="6">
        <v>5</v>
      </c>
      <c r="U81" s="6">
        <v>6</v>
      </c>
      <c r="V81" s="6">
        <v>7</v>
      </c>
      <c r="W81" s="6">
        <v>8</v>
      </c>
      <c r="X81" s="6">
        <v>9</v>
      </c>
      <c r="Y81" s="6">
        <v>10</v>
      </c>
      <c r="Z81" s="6">
        <v>11</v>
      </c>
      <c r="AA81" s="6">
        <v>12</v>
      </c>
      <c r="AB81" s="6">
        <v>13</v>
      </c>
      <c r="AC81" s="6">
        <v>14</v>
      </c>
      <c r="AD81" s="6">
        <v>15</v>
      </c>
      <c r="AE81" s="6">
        <v>16</v>
      </c>
      <c r="AF81" s="6">
        <v>17</v>
      </c>
      <c r="AG81" s="6">
        <v>18</v>
      </c>
      <c r="AH81" s="6">
        <v>19</v>
      </c>
      <c r="AI81" s="6">
        <v>20</v>
      </c>
      <c r="AJ81" s="6">
        <v>21</v>
      </c>
      <c r="AK81" s="6">
        <v>22</v>
      </c>
      <c r="AL81" s="6">
        <v>23</v>
      </c>
      <c r="AM81" s="6">
        <v>24</v>
      </c>
      <c r="AN81" s="6">
        <v>25</v>
      </c>
      <c r="AO81" s="6">
        <v>26</v>
      </c>
      <c r="AP81" s="6">
        <v>27</v>
      </c>
      <c r="AQ81" s="6">
        <v>28</v>
      </c>
      <c r="AR81" s="6">
        <v>29</v>
      </c>
      <c r="AS81" s="6">
        <v>30</v>
      </c>
      <c r="AT81" s="6">
        <v>31</v>
      </c>
      <c r="AU81" s="6">
        <v>32</v>
      </c>
      <c r="AV81" s="6">
        <v>33</v>
      </c>
      <c r="AW81" s="6">
        <v>34</v>
      </c>
      <c r="AX81" s="6">
        <v>35</v>
      </c>
      <c r="AY81" s="6">
        <v>36</v>
      </c>
      <c r="AZ81" s="6">
        <v>37</v>
      </c>
      <c r="BA81" s="6">
        <v>38</v>
      </c>
      <c r="BB81" s="6">
        <v>39</v>
      </c>
      <c r="BC81" s="6">
        <v>40</v>
      </c>
      <c r="BD81" s="6">
        <v>41</v>
      </c>
      <c r="BE81" s="6">
        <v>42</v>
      </c>
      <c r="BF81" s="6">
        <v>43</v>
      </c>
      <c r="BG81" s="6">
        <v>44</v>
      </c>
      <c r="BH81" s="6">
        <v>45</v>
      </c>
      <c r="BI81" s="6">
        <v>46</v>
      </c>
      <c r="BJ81" s="6">
        <v>47</v>
      </c>
      <c r="BK81" s="6">
        <v>48</v>
      </c>
      <c r="BL81" s="6">
        <v>49</v>
      </c>
      <c r="BM81" s="6">
        <v>50</v>
      </c>
      <c r="BN81" s="6">
        <v>51</v>
      </c>
      <c r="BO81" s="6">
        <v>52</v>
      </c>
      <c r="BP81" s="6">
        <v>53</v>
      </c>
      <c r="BQ81" s="6">
        <v>54</v>
      </c>
      <c r="BR81" s="6">
        <v>55</v>
      </c>
      <c r="BS81" s="6">
        <v>56</v>
      </c>
      <c r="BT81" s="6">
        <v>57</v>
      </c>
      <c r="BU81" s="6">
        <v>58</v>
      </c>
      <c r="BV81" s="6">
        <v>59</v>
      </c>
      <c r="BW81" s="6">
        <v>60</v>
      </c>
      <c r="BX81" s="6">
        <v>61</v>
      </c>
      <c r="BY81" s="6">
        <v>62</v>
      </c>
      <c r="BZ81" s="6">
        <v>63</v>
      </c>
      <c r="CA81" s="6">
        <v>64</v>
      </c>
      <c r="CB81" s="6">
        <v>65</v>
      </c>
      <c r="CC81" s="6">
        <v>66</v>
      </c>
      <c r="CD81" s="6">
        <v>67</v>
      </c>
      <c r="CE81" s="6">
        <v>68</v>
      </c>
      <c r="CF81" s="6">
        <v>69</v>
      </c>
      <c r="CG81" s="6">
        <v>70</v>
      </c>
      <c r="CH81" s="6">
        <v>71</v>
      </c>
      <c r="CI81" s="6">
        <v>72</v>
      </c>
      <c r="CJ81" s="6">
        <v>73</v>
      </c>
      <c r="CK81" s="6">
        <v>74</v>
      </c>
      <c r="CL81" s="6">
        <v>75</v>
      </c>
      <c r="CM81" s="6">
        <v>76</v>
      </c>
      <c r="CN81" s="6">
        <v>77</v>
      </c>
      <c r="CO81" s="6">
        <v>78</v>
      </c>
      <c r="CP81" s="6">
        <v>79</v>
      </c>
      <c r="CQ81" s="6">
        <v>80</v>
      </c>
      <c r="CR81" s="6">
        <v>81</v>
      </c>
      <c r="CS81" s="6">
        <v>82</v>
      </c>
      <c r="CT81" s="6">
        <v>83</v>
      </c>
      <c r="CU81" s="6">
        <v>84</v>
      </c>
      <c r="CV81" s="6">
        <v>85</v>
      </c>
      <c r="CW81" s="6">
        <v>86</v>
      </c>
      <c r="CX81" s="6">
        <v>87</v>
      </c>
      <c r="CY81" s="6">
        <v>88</v>
      </c>
      <c r="CZ81" s="6">
        <v>89</v>
      </c>
      <c r="DA81" s="6">
        <v>90</v>
      </c>
      <c r="DB81" s="6">
        <v>91</v>
      </c>
      <c r="DC81" s="6">
        <v>92</v>
      </c>
      <c r="DD81" s="6">
        <v>93</v>
      </c>
      <c r="DE81" s="6">
        <v>94</v>
      </c>
      <c r="DF81" s="6">
        <v>95</v>
      </c>
      <c r="DG81" s="6">
        <v>96</v>
      </c>
      <c r="DH81" s="6">
        <v>97</v>
      </c>
      <c r="DI81" s="6">
        <v>98</v>
      </c>
      <c r="DJ81" s="6">
        <v>99</v>
      </c>
      <c r="DK81" s="6">
        <v>100</v>
      </c>
      <c r="DL81" s="6">
        <v>101</v>
      </c>
      <c r="DM81" s="6">
        <v>102</v>
      </c>
      <c r="DN81" s="6">
        <v>103</v>
      </c>
      <c r="DO81" s="6">
        <v>104</v>
      </c>
      <c r="DP81" s="6">
        <v>105</v>
      </c>
      <c r="DQ81" s="6">
        <v>106</v>
      </c>
      <c r="DR81" s="6">
        <v>107</v>
      </c>
      <c r="DS81" s="6">
        <v>108</v>
      </c>
      <c r="DT81" s="6">
        <v>109</v>
      </c>
      <c r="DU81" s="6">
        <v>110</v>
      </c>
      <c r="DV81" s="6">
        <v>111</v>
      </c>
      <c r="DW81" s="6">
        <v>112</v>
      </c>
      <c r="DX81" s="6">
        <v>113</v>
      </c>
      <c r="DY81" s="6">
        <v>114</v>
      </c>
      <c r="DZ81" s="6">
        <v>115</v>
      </c>
      <c r="EA81" s="6">
        <v>116</v>
      </c>
      <c r="EB81" s="6">
        <v>117</v>
      </c>
      <c r="EC81" s="6">
        <v>118</v>
      </c>
      <c r="ED81" s="6">
        <v>119</v>
      </c>
      <c r="EE81" s="6">
        <v>120</v>
      </c>
      <c r="EF81" s="6">
        <v>121</v>
      </c>
      <c r="EG81" s="6">
        <v>122</v>
      </c>
      <c r="EH81" s="6">
        <v>123</v>
      </c>
      <c r="EI81" s="6">
        <v>124</v>
      </c>
      <c r="EJ81" s="6">
        <v>125</v>
      </c>
      <c r="EK81" s="6">
        <v>126</v>
      </c>
      <c r="EL81" s="6">
        <v>127</v>
      </c>
      <c r="EM81" s="6">
        <v>128</v>
      </c>
      <c r="EN81" s="6">
        <v>129</v>
      </c>
      <c r="EO81" s="6">
        <v>130</v>
      </c>
      <c r="EP81" s="6">
        <v>131</v>
      </c>
      <c r="EQ81" s="6">
        <v>132</v>
      </c>
      <c r="ER81" s="6">
        <v>133</v>
      </c>
      <c r="ES81" s="6">
        <v>134</v>
      </c>
      <c r="ET81" s="6">
        <v>135</v>
      </c>
      <c r="EU81" s="6">
        <v>136</v>
      </c>
      <c r="EV81" s="6">
        <v>137</v>
      </c>
      <c r="EW81" s="6">
        <v>138</v>
      </c>
      <c r="EX81" s="6">
        <v>139</v>
      </c>
      <c r="EY81" s="6">
        <v>140</v>
      </c>
      <c r="EZ81" s="6">
        <v>141</v>
      </c>
      <c r="FA81" s="6">
        <v>142</v>
      </c>
      <c r="FB81" s="6">
        <v>143</v>
      </c>
      <c r="FC81" s="6">
        <v>144</v>
      </c>
      <c r="FD81" s="6">
        <v>145</v>
      </c>
      <c r="FE81" s="6">
        <v>146</v>
      </c>
      <c r="FF81" s="6">
        <v>147</v>
      </c>
      <c r="FG81" s="6">
        <v>148</v>
      </c>
      <c r="FH81" s="6">
        <v>149</v>
      </c>
      <c r="FI81" s="6">
        <v>150</v>
      </c>
      <c r="FJ81" s="6">
        <v>151</v>
      </c>
      <c r="FK81" s="6">
        <v>152</v>
      </c>
      <c r="FL81" s="6">
        <v>153</v>
      </c>
      <c r="FM81" s="6">
        <v>154</v>
      </c>
      <c r="FN81" s="6">
        <v>155</v>
      </c>
      <c r="FO81" s="6">
        <v>156</v>
      </c>
      <c r="FP81" s="6">
        <v>157</v>
      </c>
      <c r="FQ81" s="6">
        <v>158</v>
      </c>
      <c r="FR81" s="6">
        <v>159</v>
      </c>
      <c r="FS81" s="6">
        <v>160</v>
      </c>
      <c r="FT81" s="6">
        <v>161</v>
      </c>
      <c r="FU81" s="6">
        <v>162</v>
      </c>
      <c r="FV81" s="6">
        <v>163</v>
      </c>
      <c r="FW81" s="6">
        <v>164</v>
      </c>
      <c r="FX81" s="6">
        <v>165</v>
      </c>
      <c r="FY81" s="6">
        <v>166</v>
      </c>
      <c r="FZ81" s="6">
        <v>167</v>
      </c>
      <c r="GA81" s="6">
        <v>168</v>
      </c>
      <c r="GB81" s="6">
        <v>169</v>
      </c>
      <c r="GC81" s="6">
        <v>170</v>
      </c>
      <c r="GD81" s="6">
        <v>171</v>
      </c>
      <c r="GE81" s="6">
        <v>172</v>
      </c>
      <c r="GF81" s="6">
        <v>173</v>
      </c>
      <c r="GG81" s="6">
        <v>174</v>
      </c>
      <c r="GH81" s="6">
        <v>175</v>
      </c>
      <c r="GI81" s="6">
        <v>176</v>
      </c>
      <c r="GJ81" s="6">
        <v>177</v>
      </c>
      <c r="GK81" s="6">
        <v>178</v>
      </c>
      <c r="GL81" s="6">
        <v>179</v>
      </c>
      <c r="GM81" s="6">
        <v>180</v>
      </c>
      <c r="GN81" s="6">
        <v>181</v>
      </c>
      <c r="GO81" s="6">
        <v>182</v>
      </c>
      <c r="GP81" s="6">
        <v>183</v>
      </c>
      <c r="GQ81" s="6">
        <v>184</v>
      </c>
      <c r="GR81" s="6">
        <v>185</v>
      </c>
      <c r="GS81" s="6">
        <v>186</v>
      </c>
      <c r="GT81" s="6">
        <v>187</v>
      </c>
      <c r="GU81" s="6">
        <v>188</v>
      </c>
      <c r="GV81" s="6">
        <v>189</v>
      </c>
      <c r="GW81" s="6">
        <v>190</v>
      </c>
      <c r="GX81" s="6">
        <v>191</v>
      </c>
      <c r="GY81" s="6">
        <v>192</v>
      </c>
      <c r="GZ81" s="6">
        <v>193</v>
      </c>
      <c r="HA81" s="6">
        <v>194</v>
      </c>
      <c r="HB81" s="6">
        <v>195</v>
      </c>
      <c r="HC81" s="6">
        <v>196</v>
      </c>
      <c r="HD81" s="6">
        <v>197</v>
      </c>
      <c r="HE81" s="6">
        <v>198</v>
      </c>
      <c r="HF81" s="6">
        <v>199</v>
      </c>
      <c r="HG81" s="6">
        <v>200</v>
      </c>
      <c r="HH81" s="6">
        <v>201</v>
      </c>
      <c r="HI81" s="6">
        <v>202</v>
      </c>
      <c r="HJ81" s="6">
        <v>203</v>
      </c>
      <c r="HK81" s="6">
        <v>204</v>
      </c>
      <c r="HL81" s="6">
        <v>205</v>
      </c>
      <c r="HM81" s="6">
        <v>206</v>
      </c>
      <c r="HN81" s="6">
        <v>207</v>
      </c>
      <c r="HO81" s="6">
        <v>208</v>
      </c>
      <c r="HP81" s="6">
        <v>209</v>
      </c>
      <c r="HQ81" s="6">
        <v>210</v>
      </c>
      <c r="HR81" s="6">
        <v>211</v>
      </c>
      <c r="HS81" s="6">
        <v>212</v>
      </c>
      <c r="HT81" s="6">
        <v>213</v>
      </c>
      <c r="HU81" s="6">
        <v>214</v>
      </c>
      <c r="HV81" s="6">
        <v>215</v>
      </c>
      <c r="HW81" s="6">
        <v>216</v>
      </c>
      <c r="HX81" s="6">
        <v>217</v>
      </c>
      <c r="HY81" s="6">
        <v>218</v>
      </c>
      <c r="HZ81" s="6">
        <v>219</v>
      </c>
      <c r="IA81" s="6">
        <v>220</v>
      </c>
      <c r="IB81" s="6">
        <v>221</v>
      </c>
      <c r="IC81" s="6">
        <v>222</v>
      </c>
    </row>
    <row r="82" spans="1:257">
      <c r="A82" s="78"/>
      <c r="B82" s="78"/>
      <c r="C82" s="78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5"/>
      <c r="P82" s="51" t="s">
        <v>74</v>
      </c>
      <c r="Q82" s="51" t="s">
        <v>74</v>
      </c>
      <c r="R82" s="51" t="s">
        <v>74</v>
      </c>
      <c r="S82" s="51" t="s">
        <v>74</v>
      </c>
      <c r="T82" s="51" t="s">
        <v>74</v>
      </c>
      <c r="U82" s="51" t="s">
        <v>74</v>
      </c>
      <c r="V82" s="51" t="s">
        <v>74</v>
      </c>
      <c r="W82" s="51" t="s">
        <v>74</v>
      </c>
      <c r="X82" s="51" t="s">
        <v>74</v>
      </c>
      <c r="Y82" s="51" t="s">
        <v>74</v>
      </c>
      <c r="Z82" s="51" t="s">
        <v>74</v>
      </c>
      <c r="AA82" s="51" t="s">
        <v>74</v>
      </c>
      <c r="AB82" s="51" t="s">
        <v>74</v>
      </c>
      <c r="AC82" s="51" t="s">
        <v>74</v>
      </c>
      <c r="AD82" s="51" t="s">
        <v>74</v>
      </c>
      <c r="AE82" s="51" t="s">
        <v>74</v>
      </c>
      <c r="AF82" s="51" t="s">
        <v>74</v>
      </c>
      <c r="AG82" s="51" t="s">
        <v>74</v>
      </c>
      <c r="AH82" s="51" t="s">
        <v>74</v>
      </c>
      <c r="AI82" s="51" t="s">
        <v>74</v>
      </c>
      <c r="AJ82" s="51" t="s">
        <v>74</v>
      </c>
      <c r="AK82" s="51" t="s">
        <v>74</v>
      </c>
      <c r="AL82" s="51" t="s">
        <v>74</v>
      </c>
      <c r="AM82" s="51" t="s">
        <v>74</v>
      </c>
      <c r="AN82" s="51" t="s">
        <v>74</v>
      </c>
      <c r="AO82" s="51" t="s">
        <v>74</v>
      </c>
      <c r="AP82" s="51" t="s">
        <v>74</v>
      </c>
      <c r="AQ82" s="51" t="s">
        <v>74</v>
      </c>
      <c r="AR82" s="51" t="s">
        <v>74</v>
      </c>
      <c r="AS82" s="51" t="s">
        <v>74</v>
      </c>
      <c r="AT82" s="51" t="s">
        <v>74</v>
      </c>
      <c r="AU82" s="51" t="s">
        <v>74</v>
      </c>
      <c r="AV82" s="51" t="s">
        <v>74</v>
      </c>
      <c r="AW82" s="51" t="s">
        <v>74</v>
      </c>
      <c r="AX82" s="51" t="s">
        <v>74</v>
      </c>
      <c r="AY82" s="51" t="s">
        <v>74</v>
      </c>
      <c r="AZ82" s="51" t="s">
        <v>74</v>
      </c>
      <c r="BA82" s="51" t="s">
        <v>74</v>
      </c>
      <c r="BB82" s="51" t="s">
        <v>74</v>
      </c>
      <c r="BC82" s="51" t="s">
        <v>74</v>
      </c>
      <c r="BD82" s="51" t="s">
        <v>74</v>
      </c>
      <c r="BE82" s="51" t="s">
        <v>74</v>
      </c>
      <c r="BF82" s="51" t="s">
        <v>74</v>
      </c>
      <c r="BG82" s="51" t="s">
        <v>74</v>
      </c>
      <c r="BH82" s="51" t="s">
        <v>74</v>
      </c>
      <c r="BI82" s="51" t="s">
        <v>74</v>
      </c>
      <c r="BJ82" s="51" t="s">
        <v>74</v>
      </c>
      <c r="BK82" s="51" t="s">
        <v>74</v>
      </c>
      <c r="BL82" s="51" t="s">
        <v>74</v>
      </c>
      <c r="BM82" s="51" t="s">
        <v>74</v>
      </c>
      <c r="BN82" s="51" t="s">
        <v>74</v>
      </c>
      <c r="BO82" s="51" t="s">
        <v>74</v>
      </c>
      <c r="BP82" s="51" t="s">
        <v>74</v>
      </c>
      <c r="BQ82" s="51" t="s">
        <v>74</v>
      </c>
      <c r="BR82" s="51" t="s">
        <v>74</v>
      </c>
      <c r="BS82" s="51" t="s">
        <v>74</v>
      </c>
      <c r="BT82" s="51" t="s">
        <v>74</v>
      </c>
      <c r="BU82" s="51" t="s">
        <v>74</v>
      </c>
      <c r="BV82" s="51" t="s">
        <v>74</v>
      </c>
      <c r="BW82" s="51" t="s">
        <v>74</v>
      </c>
      <c r="BX82" s="51" t="s">
        <v>74</v>
      </c>
      <c r="BY82" s="51" t="s">
        <v>74</v>
      </c>
      <c r="BZ82" s="51" t="s">
        <v>74</v>
      </c>
      <c r="CA82" s="51" t="s">
        <v>74</v>
      </c>
      <c r="CB82" s="51" t="s">
        <v>74</v>
      </c>
      <c r="CC82" s="51" t="s">
        <v>74</v>
      </c>
      <c r="CD82" s="51" t="s">
        <v>74</v>
      </c>
      <c r="CE82" s="51" t="s">
        <v>74</v>
      </c>
      <c r="CF82" s="51" t="s">
        <v>74</v>
      </c>
      <c r="CG82" s="51" t="s">
        <v>74</v>
      </c>
      <c r="CH82" s="51" t="s">
        <v>74</v>
      </c>
      <c r="CI82" s="51" t="s">
        <v>74</v>
      </c>
      <c r="CJ82" s="51" t="s">
        <v>74</v>
      </c>
      <c r="CK82" s="51" t="s">
        <v>74</v>
      </c>
      <c r="CL82" s="51" t="s">
        <v>74</v>
      </c>
      <c r="CM82" s="51" t="s">
        <v>74</v>
      </c>
      <c r="CN82" s="51" t="s">
        <v>74</v>
      </c>
      <c r="CO82" s="51" t="s">
        <v>74</v>
      </c>
      <c r="CP82" s="51" t="s">
        <v>74</v>
      </c>
      <c r="CQ82" s="51" t="s">
        <v>74</v>
      </c>
      <c r="CR82" s="51" t="s">
        <v>74</v>
      </c>
      <c r="CS82" s="51" t="s">
        <v>74</v>
      </c>
      <c r="CT82" s="51" t="s">
        <v>74</v>
      </c>
      <c r="CU82" s="51" t="s">
        <v>74</v>
      </c>
      <c r="CV82" s="51" t="s">
        <v>74</v>
      </c>
      <c r="CW82" s="51" t="s">
        <v>74</v>
      </c>
      <c r="CX82" s="51" t="s">
        <v>74</v>
      </c>
      <c r="CY82" s="51" t="s">
        <v>74</v>
      </c>
      <c r="CZ82" s="51" t="s">
        <v>74</v>
      </c>
      <c r="DA82" s="51" t="s">
        <v>74</v>
      </c>
      <c r="DB82" s="51" t="s">
        <v>74</v>
      </c>
      <c r="DC82" s="51" t="s">
        <v>74</v>
      </c>
      <c r="DD82" s="51" t="s">
        <v>74</v>
      </c>
      <c r="DE82" s="51" t="s">
        <v>74</v>
      </c>
      <c r="DF82" s="51" t="s">
        <v>74</v>
      </c>
      <c r="DG82" s="51" t="s">
        <v>74</v>
      </c>
      <c r="DH82" s="51" t="s">
        <v>74</v>
      </c>
      <c r="DI82" s="51" t="s">
        <v>74</v>
      </c>
      <c r="DJ82" s="51" t="s">
        <v>74</v>
      </c>
      <c r="DK82" s="51" t="s">
        <v>74</v>
      </c>
      <c r="DL82" s="51" t="s">
        <v>74</v>
      </c>
      <c r="DM82" s="51" t="s">
        <v>74</v>
      </c>
      <c r="DN82" s="51" t="s">
        <v>74</v>
      </c>
      <c r="DO82" s="51" t="s">
        <v>74</v>
      </c>
      <c r="DP82" s="51" t="s">
        <v>74</v>
      </c>
      <c r="DQ82" s="51" t="s">
        <v>74</v>
      </c>
      <c r="DR82" s="51" t="s">
        <v>74</v>
      </c>
      <c r="DS82" s="51" t="s">
        <v>74</v>
      </c>
      <c r="DT82" s="51" t="s">
        <v>74</v>
      </c>
      <c r="DU82" s="51" t="s">
        <v>74</v>
      </c>
      <c r="DV82" s="51" t="s">
        <v>74</v>
      </c>
      <c r="DW82" s="51" t="s">
        <v>74</v>
      </c>
      <c r="DX82" s="51" t="s">
        <v>74</v>
      </c>
      <c r="DY82" s="51" t="s">
        <v>74</v>
      </c>
      <c r="DZ82" s="51" t="s">
        <v>74</v>
      </c>
      <c r="EA82" s="51" t="s">
        <v>74</v>
      </c>
      <c r="EB82" s="51" t="s">
        <v>74</v>
      </c>
      <c r="EC82" s="51" t="s">
        <v>74</v>
      </c>
      <c r="ED82" s="51" t="s">
        <v>74</v>
      </c>
      <c r="EE82" s="51" t="s">
        <v>74</v>
      </c>
      <c r="EF82" s="51" t="s">
        <v>74</v>
      </c>
      <c r="EG82" s="51" t="s">
        <v>74</v>
      </c>
      <c r="EH82" s="51" t="s">
        <v>74</v>
      </c>
      <c r="EI82" s="51" t="s">
        <v>74</v>
      </c>
      <c r="EJ82" s="51" t="s">
        <v>74</v>
      </c>
      <c r="EK82" s="51" t="s">
        <v>74</v>
      </c>
      <c r="EL82" s="51" t="s">
        <v>74</v>
      </c>
      <c r="EM82" s="51" t="s">
        <v>74</v>
      </c>
      <c r="EN82" s="51" t="s">
        <v>74</v>
      </c>
      <c r="EO82" s="51" t="s">
        <v>74</v>
      </c>
      <c r="EP82" s="51" t="s">
        <v>74</v>
      </c>
      <c r="EQ82" s="51" t="s">
        <v>74</v>
      </c>
      <c r="ER82" s="51" t="s">
        <v>74</v>
      </c>
      <c r="ES82" s="51" t="s">
        <v>74</v>
      </c>
      <c r="ET82" s="51" t="s">
        <v>74</v>
      </c>
      <c r="EU82" s="51" t="s">
        <v>74</v>
      </c>
      <c r="EV82" s="51" t="s">
        <v>74</v>
      </c>
      <c r="EW82" s="51" t="s">
        <v>74</v>
      </c>
      <c r="EX82" s="51" t="s">
        <v>74</v>
      </c>
      <c r="EY82" s="51" t="s">
        <v>74</v>
      </c>
      <c r="EZ82" s="51" t="s">
        <v>74</v>
      </c>
      <c r="FA82" s="51" t="s">
        <v>74</v>
      </c>
      <c r="FB82" s="51" t="s">
        <v>74</v>
      </c>
      <c r="FC82" s="51" t="s">
        <v>74</v>
      </c>
      <c r="FD82" s="51" t="s">
        <v>74</v>
      </c>
      <c r="FE82" s="51" t="s">
        <v>74</v>
      </c>
      <c r="FF82" s="51" t="s">
        <v>74</v>
      </c>
      <c r="FG82" s="51" t="s">
        <v>74</v>
      </c>
      <c r="FH82" s="51" t="s">
        <v>74</v>
      </c>
      <c r="FI82" s="51" t="s">
        <v>74</v>
      </c>
      <c r="FJ82" s="51" t="s">
        <v>74</v>
      </c>
      <c r="FK82" s="51" t="s">
        <v>74</v>
      </c>
      <c r="FL82" s="51" t="s">
        <v>74</v>
      </c>
      <c r="FM82" s="51" t="s">
        <v>74</v>
      </c>
      <c r="FN82" s="51" t="s">
        <v>74</v>
      </c>
      <c r="FO82" s="51" t="s">
        <v>74</v>
      </c>
      <c r="FP82" s="51" t="s">
        <v>74</v>
      </c>
      <c r="FQ82" s="51" t="s">
        <v>74</v>
      </c>
      <c r="FR82" s="51" t="s">
        <v>74</v>
      </c>
      <c r="FS82" s="51" t="s">
        <v>74</v>
      </c>
      <c r="FT82" s="51" t="s">
        <v>74</v>
      </c>
      <c r="FU82" s="51" t="s">
        <v>74</v>
      </c>
      <c r="FV82" s="51" t="s">
        <v>74</v>
      </c>
      <c r="FW82" s="51" t="s">
        <v>74</v>
      </c>
      <c r="FX82" s="51" t="s">
        <v>74</v>
      </c>
      <c r="FY82" s="51" t="s">
        <v>74</v>
      </c>
      <c r="FZ82" s="51" t="s">
        <v>74</v>
      </c>
      <c r="GA82" s="51" t="s">
        <v>74</v>
      </c>
      <c r="GB82" s="51" t="s">
        <v>74</v>
      </c>
      <c r="GC82" s="51" t="s">
        <v>74</v>
      </c>
      <c r="GD82" s="51" t="s">
        <v>74</v>
      </c>
      <c r="GE82" s="51" t="s">
        <v>74</v>
      </c>
      <c r="GF82" s="51" t="s">
        <v>74</v>
      </c>
      <c r="GG82" s="51" t="s">
        <v>74</v>
      </c>
      <c r="GH82" s="51" t="s">
        <v>74</v>
      </c>
      <c r="GI82" s="51" t="s">
        <v>74</v>
      </c>
      <c r="GJ82" s="51" t="s">
        <v>74</v>
      </c>
      <c r="GK82" s="51" t="s">
        <v>74</v>
      </c>
      <c r="GL82" s="51" t="s">
        <v>74</v>
      </c>
      <c r="GM82" s="51" t="s">
        <v>74</v>
      </c>
      <c r="GN82" s="51" t="s">
        <v>74</v>
      </c>
      <c r="GO82" s="51" t="s">
        <v>74</v>
      </c>
      <c r="GP82" s="51" t="s">
        <v>74</v>
      </c>
      <c r="GQ82" s="51" t="s">
        <v>74</v>
      </c>
      <c r="GR82" s="51" t="s">
        <v>74</v>
      </c>
      <c r="GS82" s="51" t="s">
        <v>74</v>
      </c>
      <c r="GT82" s="51" t="s">
        <v>74</v>
      </c>
      <c r="GU82" s="51" t="s">
        <v>74</v>
      </c>
      <c r="GV82" s="51" t="s">
        <v>74</v>
      </c>
      <c r="GW82" s="51" t="s">
        <v>74</v>
      </c>
      <c r="GX82" s="51" t="s">
        <v>74</v>
      </c>
      <c r="GY82" s="51" t="s">
        <v>74</v>
      </c>
      <c r="GZ82" s="51" t="s">
        <v>74</v>
      </c>
      <c r="HA82" s="51" t="s">
        <v>74</v>
      </c>
      <c r="HB82" s="51" t="s">
        <v>74</v>
      </c>
      <c r="HC82" s="51" t="s">
        <v>74</v>
      </c>
      <c r="HD82" s="51" t="s">
        <v>74</v>
      </c>
      <c r="HE82" s="51" t="s">
        <v>74</v>
      </c>
      <c r="HF82" s="51" t="s">
        <v>74</v>
      </c>
      <c r="HG82" s="51" t="s">
        <v>74</v>
      </c>
      <c r="HH82" s="51" t="s">
        <v>74</v>
      </c>
      <c r="HI82" s="51" t="s">
        <v>74</v>
      </c>
      <c r="HJ82" s="51" t="s">
        <v>74</v>
      </c>
      <c r="HK82" s="51" t="s">
        <v>74</v>
      </c>
      <c r="HL82" s="51" t="s">
        <v>74</v>
      </c>
      <c r="HM82" s="51" t="s">
        <v>74</v>
      </c>
      <c r="HN82" s="51" t="s">
        <v>74</v>
      </c>
      <c r="HO82" s="51" t="s">
        <v>74</v>
      </c>
      <c r="HP82" s="51" t="s">
        <v>74</v>
      </c>
      <c r="HQ82" s="51" t="s">
        <v>74</v>
      </c>
      <c r="HR82" s="51" t="s">
        <v>74</v>
      </c>
      <c r="HS82" s="51" t="s">
        <v>74</v>
      </c>
      <c r="HT82" s="51" t="s">
        <v>74</v>
      </c>
      <c r="HU82" s="51" t="s">
        <v>74</v>
      </c>
      <c r="HV82" s="51" t="s">
        <v>74</v>
      </c>
      <c r="HW82" s="51" t="s">
        <v>74</v>
      </c>
      <c r="HX82" s="51" t="s">
        <v>74</v>
      </c>
      <c r="HY82" s="51" t="s">
        <v>74</v>
      </c>
      <c r="HZ82" s="51" t="s">
        <v>74</v>
      </c>
      <c r="IA82" s="51" t="s">
        <v>74</v>
      </c>
      <c r="IB82" s="51" t="s">
        <v>74</v>
      </c>
      <c r="IC82" s="51" t="s">
        <v>74</v>
      </c>
    </row>
    <row r="83" spans="1:257">
      <c r="A83" s="4" t="s">
        <v>522</v>
      </c>
      <c r="B83" s="82" t="str">
        <f t="array" ref="B83">_xlfn.LET(
  _xlpm.dates, _xlfn._xlws.FILTER(P83:HO83, (P85:HO85&lt;&gt;"")+(P87:HO87&lt;&gt;"")),
  _xlpm.numDates, IFERROR(VALUE(_xlpm.dates), _xlpm.dates),
  _xlpm.first, TEXT(MIN(_xlpm.numDates), "m/dd"),
  _xlpm.last, TEXT(MAX(_xlpm.numDates), "m/dd"),
  _xlpm.first &amp; "~" &amp; _xlpm.last
)</f>
        <v>3/28~4/27</v>
      </c>
      <c r="C83" s="78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 t="s">
        <v>522</v>
      </c>
      <c r="P83" s="3">
        <v>46107</v>
      </c>
      <c r="Q83" s="3">
        <v>46108</v>
      </c>
      <c r="R83" s="3">
        <v>46109</v>
      </c>
      <c r="S83" s="3">
        <v>46110</v>
      </c>
      <c r="T83" s="3">
        <v>46111</v>
      </c>
      <c r="U83" s="3">
        <v>46112</v>
      </c>
      <c r="V83" s="3">
        <v>46113</v>
      </c>
      <c r="W83" s="3">
        <v>46114</v>
      </c>
      <c r="X83" s="3">
        <v>46115</v>
      </c>
      <c r="Y83" s="3">
        <v>46116</v>
      </c>
      <c r="Z83" s="3">
        <v>46117</v>
      </c>
      <c r="AA83" s="3">
        <v>46118</v>
      </c>
      <c r="AB83" s="3">
        <v>46119</v>
      </c>
      <c r="AC83" s="3">
        <v>46120</v>
      </c>
      <c r="AD83" s="3">
        <v>46121</v>
      </c>
      <c r="AE83" s="3">
        <v>46122</v>
      </c>
      <c r="AF83" s="3">
        <v>46123</v>
      </c>
      <c r="AG83" s="3">
        <v>46124</v>
      </c>
      <c r="AH83" s="3">
        <v>46125</v>
      </c>
      <c r="AI83" s="3">
        <v>46126</v>
      </c>
      <c r="AJ83" s="3">
        <v>46127</v>
      </c>
      <c r="AK83" s="3">
        <v>46128</v>
      </c>
      <c r="AL83" s="3">
        <v>46129</v>
      </c>
      <c r="AM83" s="3">
        <v>46130</v>
      </c>
      <c r="AN83" s="3">
        <v>46131</v>
      </c>
      <c r="AO83" s="3">
        <v>46132</v>
      </c>
      <c r="AP83" s="3">
        <v>46133</v>
      </c>
      <c r="AQ83" s="3">
        <v>46134</v>
      </c>
      <c r="AR83" s="3">
        <v>46135</v>
      </c>
      <c r="AS83" s="3">
        <v>46136</v>
      </c>
      <c r="AT83" s="3">
        <v>46137</v>
      </c>
      <c r="AU83" s="3">
        <v>46138</v>
      </c>
      <c r="AV83" s="3">
        <v>46139</v>
      </c>
      <c r="AW83" s="3">
        <v>46140</v>
      </c>
      <c r="AX83" s="3">
        <v>46141</v>
      </c>
      <c r="AY83" s="3">
        <v>46142</v>
      </c>
      <c r="AZ83" s="3">
        <v>46143</v>
      </c>
      <c r="BA83" s="3">
        <v>46144</v>
      </c>
      <c r="BB83" s="3">
        <v>46145</v>
      </c>
      <c r="BC83" s="3">
        <v>46146</v>
      </c>
      <c r="BD83" s="3">
        <v>46147</v>
      </c>
      <c r="BE83" s="3">
        <v>46148</v>
      </c>
      <c r="BF83" s="3">
        <v>46149</v>
      </c>
      <c r="BG83" s="3">
        <v>46150</v>
      </c>
      <c r="BH83" s="3">
        <v>46151</v>
      </c>
      <c r="BI83" s="3">
        <v>46152</v>
      </c>
      <c r="BJ83" s="3">
        <v>46153</v>
      </c>
      <c r="BK83" s="3">
        <v>46154</v>
      </c>
      <c r="BL83" s="3">
        <v>46155</v>
      </c>
      <c r="BM83" s="3">
        <v>46156</v>
      </c>
      <c r="BN83" s="3">
        <v>46157</v>
      </c>
      <c r="BO83" s="3">
        <v>46158</v>
      </c>
      <c r="BP83" s="3">
        <v>46159</v>
      </c>
      <c r="BQ83" s="3">
        <v>46160</v>
      </c>
      <c r="BR83" s="3">
        <v>46161</v>
      </c>
      <c r="BS83" s="3">
        <v>46162</v>
      </c>
      <c r="BT83" s="3">
        <v>46163</v>
      </c>
      <c r="BU83" s="3">
        <v>46164</v>
      </c>
      <c r="BV83" s="3">
        <v>46165</v>
      </c>
      <c r="BW83" s="3">
        <v>46166</v>
      </c>
      <c r="BX83" s="3">
        <v>46167</v>
      </c>
      <c r="BY83" s="3">
        <v>46168</v>
      </c>
      <c r="BZ83" s="3">
        <v>46169</v>
      </c>
      <c r="CA83" s="3">
        <v>46170</v>
      </c>
      <c r="CB83" s="3">
        <v>46171</v>
      </c>
      <c r="CC83" s="3">
        <v>46172</v>
      </c>
      <c r="CD83" s="3">
        <v>46173</v>
      </c>
      <c r="CE83" s="3">
        <v>46174</v>
      </c>
      <c r="CF83" s="3">
        <v>46175</v>
      </c>
      <c r="CG83" s="3">
        <v>46176</v>
      </c>
      <c r="CH83" s="3">
        <v>46177</v>
      </c>
      <c r="CI83" s="3">
        <v>46178</v>
      </c>
      <c r="CJ83" s="3">
        <v>46179</v>
      </c>
      <c r="CK83" s="3">
        <v>46180</v>
      </c>
      <c r="CL83" s="3">
        <v>46181</v>
      </c>
      <c r="CM83" s="3">
        <v>46182</v>
      </c>
      <c r="CN83" s="3">
        <v>46183</v>
      </c>
      <c r="CO83" s="3">
        <v>46184</v>
      </c>
      <c r="CP83" s="3">
        <v>46185</v>
      </c>
      <c r="CQ83" s="3">
        <v>46186</v>
      </c>
      <c r="CR83" s="3">
        <v>46187</v>
      </c>
      <c r="CS83" s="3">
        <v>46188</v>
      </c>
      <c r="CT83" s="3">
        <v>46189</v>
      </c>
      <c r="CU83" s="3">
        <v>46190</v>
      </c>
      <c r="CV83" s="3">
        <v>46191</v>
      </c>
      <c r="CW83" s="3">
        <v>46192</v>
      </c>
      <c r="CX83" s="3">
        <v>46193</v>
      </c>
      <c r="CY83" s="3">
        <v>46194</v>
      </c>
      <c r="CZ83" s="3">
        <v>46195</v>
      </c>
      <c r="DA83" s="3">
        <v>46196</v>
      </c>
      <c r="DB83" s="3">
        <v>46197</v>
      </c>
      <c r="DC83" s="3">
        <v>46198</v>
      </c>
      <c r="DD83" s="3">
        <v>46199</v>
      </c>
      <c r="DE83" s="3">
        <v>46200</v>
      </c>
      <c r="DF83" s="3">
        <v>46201</v>
      </c>
      <c r="DG83" s="3">
        <v>46202</v>
      </c>
      <c r="DH83" s="3">
        <v>46203</v>
      </c>
      <c r="DI83" s="3">
        <v>46204</v>
      </c>
      <c r="DJ83" s="3">
        <v>46205</v>
      </c>
      <c r="DK83" s="3">
        <v>46206</v>
      </c>
      <c r="DL83" s="3">
        <v>46207</v>
      </c>
      <c r="DM83" s="3">
        <v>46208</v>
      </c>
      <c r="DN83" s="3">
        <v>46209</v>
      </c>
      <c r="DO83" s="3">
        <v>46210</v>
      </c>
      <c r="DP83" s="3">
        <v>46211</v>
      </c>
      <c r="DQ83" s="3">
        <v>46212</v>
      </c>
      <c r="DR83" s="3">
        <v>46213</v>
      </c>
      <c r="DS83" s="3">
        <v>46214</v>
      </c>
      <c r="DT83" s="3">
        <v>46215</v>
      </c>
      <c r="DU83" s="3">
        <v>46216</v>
      </c>
      <c r="DV83" s="3">
        <v>46217</v>
      </c>
      <c r="DW83" s="3">
        <v>46218</v>
      </c>
      <c r="DX83" s="3">
        <v>46219</v>
      </c>
      <c r="DY83" s="3">
        <v>46220</v>
      </c>
      <c r="DZ83" s="3">
        <v>46221</v>
      </c>
      <c r="EA83" s="3">
        <v>46222</v>
      </c>
      <c r="EB83" s="3">
        <v>46223</v>
      </c>
      <c r="EC83" s="3">
        <v>46224</v>
      </c>
      <c r="ED83" s="3">
        <v>46225</v>
      </c>
      <c r="EE83" s="3">
        <v>46226</v>
      </c>
      <c r="EF83" s="3">
        <v>46227</v>
      </c>
      <c r="EG83" s="3">
        <v>46228</v>
      </c>
      <c r="EH83" s="3">
        <v>46229</v>
      </c>
      <c r="EI83" s="3">
        <v>46230</v>
      </c>
      <c r="EJ83" s="3">
        <v>46231</v>
      </c>
      <c r="EK83" s="3">
        <v>46232</v>
      </c>
      <c r="EL83" s="3">
        <v>46233</v>
      </c>
      <c r="EM83" s="3">
        <v>46234</v>
      </c>
      <c r="EN83" s="3">
        <v>46235</v>
      </c>
      <c r="EO83" s="3">
        <v>46236</v>
      </c>
      <c r="EP83" s="3">
        <v>46237</v>
      </c>
      <c r="EQ83" s="3">
        <v>46238</v>
      </c>
      <c r="ER83" s="3">
        <v>46239</v>
      </c>
      <c r="ES83" s="3">
        <v>46240</v>
      </c>
      <c r="ET83" s="3">
        <v>46241</v>
      </c>
      <c r="EU83" s="3">
        <v>46242</v>
      </c>
      <c r="EV83" s="3">
        <v>46243</v>
      </c>
      <c r="EW83" s="3">
        <v>46244</v>
      </c>
      <c r="EX83" s="3">
        <v>46245</v>
      </c>
      <c r="EY83" s="3">
        <v>46246</v>
      </c>
      <c r="EZ83" s="3">
        <v>46247</v>
      </c>
      <c r="FA83" s="3">
        <v>46248</v>
      </c>
      <c r="FB83" s="3">
        <v>46249</v>
      </c>
      <c r="FC83" s="3">
        <v>46250</v>
      </c>
      <c r="FD83" s="3">
        <v>46251</v>
      </c>
      <c r="FE83" s="3">
        <v>46252</v>
      </c>
      <c r="FF83" s="3">
        <v>46253</v>
      </c>
      <c r="FG83" s="3">
        <v>46254</v>
      </c>
      <c r="FH83" s="3">
        <v>46255</v>
      </c>
      <c r="FI83" s="3">
        <v>46256</v>
      </c>
      <c r="FJ83" s="3">
        <v>46257</v>
      </c>
      <c r="FK83" s="3">
        <v>46258</v>
      </c>
      <c r="FL83" s="3">
        <v>46259</v>
      </c>
      <c r="FM83" s="3">
        <v>46260</v>
      </c>
      <c r="FN83" s="3">
        <v>46261</v>
      </c>
      <c r="FO83" s="3">
        <v>46262</v>
      </c>
      <c r="FP83" s="3">
        <v>46263</v>
      </c>
      <c r="FQ83" s="3">
        <v>46264</v>
      </c>
      <c r="FR83" s="3">
        <v>46265</v>
      </c>
      <c r="FS83" s="3">
        <v>46266</v>
      </c>
      <c r="FT83" s="3">
        <v>46267</v>
      </c>
      <c r="FU83" s="3">
        <v>46268</v>
      </c>
      <c r="FV83" s="3">
        <v>46269</v>
      </c>
      <c r="FW83" s="3">
        <v>46270</v>
      </c>
      <c r="FX83" s="3">
        <v>46271</v>
      </c>
      <c r="FY83" s="3">
        <v>46272</v>
      </c>
      <c r="FZ83" s="3">
        <v>46273</v>
      </c>
      <c r="GA83" s="3">
        <v>46274</v>
      </c>
      <c r="GB83" s="3">
        <v>46275</v>
      </c>
      <c r="GC83" s="3">
        <v>46276</v>
      </c>
      <c r="GD83" s="3">
        <v>46277</v>
      </c>
      <c r="GE83" s="3">
        <v>46278</v>
      </c>
      <c r="GF83" s="3">
        <v>46279</v>
      </c>
      <c r="GG83" s="3">
        <v>46280</v>
      </c>
      <c r="GH83" s="3">
        <v>46281</v>
      </c>
      <c r="GI83" s="3">
        <v>46282</v>
      </c>
      <c r="GJ83" s="3">
        <v>46283</v>
      </c>
      <c r="GK83" s="3">
        <v>46284</v>
      </c>
      <c r="GL83" s="3">
        <v>46285</v>
      </c>
      <c r="GM83" s="3">
        <v>46286</v>
      </c>
      <c r="GN83" s="3">
        <v>46287</v>
      </c>
      <c r="GO83" s="3">
        <v>46288</v>
      </c>
      <c r="GP83" s="3">
        <v>46289</v>
      </c>
      <c r="GQ83" s="3">
        <v>46290</v>
      </c>
      <c r="GR83" s="3">
        <v>46291</v>
      </c>
      <c r="GS83" s="3">
        <v>46292</v>
      </c>
      <c r="GT83" s="3">
        <v>46293</v>
      </c>
      <c r="GU83" s="3">
        <v>46294</v>
      </c>
      <c r="GV83" s="3">
        <v>46295</v>
      </c>
      <c r="GW83" s="3">
        <v>46296</v>
      </c>
      <c r="GX83" s="3">
        <v>46297</v>
      </c>
      <c r="GY83" s="3">
        <v>46298</v>
      </c>
      <c r="GZ83" s="3">
        <v>46299</v>
      </c>
      <c r="HA83" s="3">
        <v>46300</v>
      </c>
      <c r="HB83" s="3">
        <v>46301</v>
      </c>
      <c r="HC83" s="3">
        <v>46302</v>
      </c>
      <c r="HD83" s="3">
        <v>46303</v>
      </c>
      <c r="HE83" s="3">
        <v>46304</v>
      </c>
      <c r="HF83" s="3">
        <v>46305</v>
      </c>
      <c r="HG83" s="3">
        <v>46306</v>
      </c>
      <c r="HH83" s="3">
        <v>46307</v>
      </c>
      <c r="HI83" s="3">
        <v>46308</v>
      </c>
      <c r="HJ83" s="3">
        <v>46309</v>
      </c>
      <c r="HK83" s="3">
        <v>46310</v>
      </c>
      <c r="HL83" s="3">
        <v>46311</v>
      </c>
      <c r="HM83" s="3">
        <v>46312</v>
      </c>
      <c r="HN83" s="3">
        <v>46313</v>
      </c>
      <c r="HO83" s="3">
        <v>46314</v>
      </c>
      <c r="HP83" s="3">
        <v>46315</v>
      </c>
      <c r="HQ83" s="3">
        <v>46316</v>
      </c>
      <c r="HR83" s="3">
        <v>46317</v>
      </c>
      <c r="HS83" s="3">
        <v>46318</v>
      </c>
      <c r="HT83" s="3">
        <v>46319</v>
      </c>
      <c r="HU83" s="3">
        <v>46320</v>
      </c>
      <c r="HV83" s="3">
        <v>46321</v>
      </c>
      <c r="HW83" s="3">
        <v>46322</v>
      </c>
      <c r="HX83" s="3">
        <v>46323</v>
      </c>
      <c r="HY83" s="3">
        <v>46324</v>
      </c>
      <c r="HZ83" s="3">
        <v>46325</v>
      </c>
      <c r="IA83" s="3">
        <v>46326</v>
      </c>
      <c r="IB83" s="3">
        <v>46327</v>
      </c>
      <c r="IC83" s="3">
        <v>46328</v>
      </c>
    </row>
    <row r="84" spans="1:257">
      <c r="A84" s="4" t="s">
        <v>694</v>
      </c>
      <c r="B84" s="82" t="str">
        <f t="array" ref="B84">COLUMNS(_xlfn._xlws.FILTER(P83:HO83, (P85:HO85&lt;&gt;"")+(P87:HO87&lt;&gt;""))) &amp; "場"</f>
        <v>26場</v>
      </c>
      <c r="C84" s="78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 t="s">
        <v>675</v>
      </c>
      <c r="P84" s="3" t="s">
        <v>676</v>
      </c>
      <c r="Q84" s="3" t="s">
        <v>677</v>
      </c>
      <c r="R84" s="3" t="s">
        <v>678</v>
      </c>
      <c r="S84" s="3" t="s">
        <v>679</v>
      </c>
      <c r="T84" s="3" t="s">
        <v>680</v>
      </c>
      <c r="U84" s="3" t="s">
        <v>681</v>
      </c>
      <c r="V84" s="3" t="s">
        <v>682</v>
      </c>
      <c r="W84" s="3" t="s">
        <v>676</v>
      </c>
      <c r="X84" s="3" t="s">
        <v>677</v>
      </c>
      <c r="Y84" s="3" t="s">
        <v>678</v>
      </c>
      <c r="Z84" s="3" t="s">
        <v>679</v>
      </c>
      <c r="AA84" s="3" t="s">
        <v>680</v>
      </c>
      <c r="AB84" s="3" t="s">
        <v>681</v>
      </c>
      <c r="AC84" s="3" t="s">
        <v>682</v>
      </c>
      <c r="AD84" s="3" t="s">
        <v>676</v>
      </c>
      <c r="AE84" s="3" t="s">
        <v>677</v>
      </c>
      <c r="AF84" s="3" t="s">
        <v>678</v>
      </c>
      <c r="AG84" s="3" t="s">
        <v>679</v>
      </c>
      <c r="AH84" s="3" t="s">
        <v>680</v>
      </c>
      <c r="AI84" s="3" t="s">
        <v>681</v>
      </c>
      <c r="AJ84" s="3" t="s">
        <v>682</v>
      </c>
      <c r="AK84" s="3" t="s">
        <v>676</v>
      </c>
      <c r="AL84" s="3" t="s">
        <v>677</v>
      </c>
      <c r="AM84" s="3" t="s">
        <v>678</v>
      </c>
      <c r="AN84" s="3" t="s">
        <v>679</v>
      </c>
      <c r="AO84" s="3" t="s">
        <v>680</v>
      </c>
      <c r="AP84" s="3" t="s">
        <v>681</v>
      </c>
      <c r="AQ84" s="3" t="s">
        <v>682</v>
      </c>
      <c r="AR84" s="3" t="s">
        <v>676</v>
      </c>
      <c r="AS84" s="3" t="s">
        <v>677</v>
      </c>
      <c r="AT84" s="3" t="s">
        <v>678</v>
      </c>
      <c r="AU84" s="3" t="s">
        <v>679</v>
      </c>
      <c r="AV84" s="3" t="s">
        <v>680</v>
      </c>
      <c r="AW84" s="3" t="s">
        <v>681</v>
      </c>
      <c r="AX84" s="3" t="s">
        <v>682</v>
      </c>
      <c r="AY84" s="3" t="s">
        <v>676</v>
      </c>
      <c r="AZ84" s="3" t="s">
        <v>677</v>
      </c>
      <c r="BA84" s="3" t="s">
        <v>678</v>
      </c>
      <c r="BB84" s="3" t="s">
        <v>679</v>
      </c>
      <c r="BC84" s="3" t="s">
        <v>680</v>
      </c>
      <c r="BD84" s="3" t="s">
        <v>681</v>
      </c>
      <c r="BE84" s="3" t="s">
        <v>682</v>
      </c>
      <c r="BF84" s="3" t="s">
        <v>676</v>
      </c>
      <c r="BG84" s="3" t="s">
        <v>677</v>
      </c>
      <c r="BH84" s="3" t="s">
        <v>678</v>
      </c>
      <c r="BI84" s="3" t="s">
        <v>679</v>
      </c>
      <c r="BJ84" s="3" t="s">
        <v>680</v>
      </c>
      <c r="BK84" s="3" t="s">
        <v>681</v>
      </c>
      <c r="BL84" s="3" t="s">
        <v>682</v>
      </c>
      <c r="BM84" s="3" t="s">
        <v>676</v>
      </c>
      <c r="BN84" s="3" t="s">
        <v>677</v>
      </c>
      <c r="BO84" s="3" t="s">
        <v>678</v>
      </c>
      <c r="BP84" s="3" t="s">
        <v>679</v>
      </c>
      <c r="BQ84" s="3" t="s">
        <v>680</v>
      </c>
      <c r="BR84" s="3" t="s">
        <v>681</v>
      </c>
      <c r="BS84" s="3" t="s">
        <v>682</v>
      </c>
      <c r="BT84" s="3" t="s">
        <v>676</v>
      </c>
      <c r="BU84" s="3" t="s">
        <v>677</v>
      </c>
      <c r="BV84" s="3" t="s">
        <v>678</v>
      </c>
      <c r="BW84" s="3" t="s">
        <v>679</v>
      </c>
      <c r="BX84" s="3" t="s">
        <v>680</v>
      </c>
      <c r="BY84" s="3" t="s">
        <v>681</v>
      </c>
      <c r="BZ84" s="3" t="s">
        <v>682</v>
      </c>
      <c r="CA84" s="3" t="s">
        <v>676</v>
      </c>
      <c r="CB84" s="3" t="s">
        <v>677</v>
      </c>
      <c r="CC84" s="3" t="s">
        <v>678</v>
      </c>
      <c r="CD84" s="3" t="s">
        <v>679</v>
      </c>
      <c r="CE84" s="3" t="s">
        <v>680</v>
      </c>
      <c r="CF84" s="3" t="s">
        <v>681</v>
      </c>
      <c r="CG84" s="3" t="s">
        <v>682</v>
      </c>
      <c r="CH84" s="3" t="s">
        <v>676</v>
      </c>
      <c r="CI84" s="3" t="s">
        <v>677</v>
      </c>
      <c r="CJ84" s="3" t="s">
        <v>678</v>
      </c>
      <c r="CK84" s="3" t="s">
        <v>679</v>
      </c>
      <c r="CL84" s="3" t="s">
        <v>680</v>
      </c>
      <c r="CM84" s="3" t="s">
        <v>681</v>
      </c>
      <c r="CN84" s="3" t="s">
        <v>682</v>
      </c>
      <c r="CO84" s="3" t="s">
        <v>676</v>
      </c>
      <c r="CP84" s="3" t="s">
        <v>677</v>
      </c>
      <c r="CQ84" s="3" t="s">
        <v>678</v>
      </c>
      <c r="CR84" s="3" t="s">
        <v>679</v>
      </c>
      <c r="CS84" s="3" t="s">
        <v>680</v>
      </c>
      <c r="CT84" s="3" t="s">
        <v>681</v>
      </c>
      <c r="CU84" s="3" t="s">
        <v>682</v>
      </c>
      <c r="CV84" s="3" t="s">
        <v>676</v>
      </c>
      <c r="CW84" s="3" t="s">
        <v>677</v>
      </c>
      <c r="CX84" s="3" t="s">
        <v>678</v>
      </c>
      <c r="CY84" s="3" t="s">
        <v>679</v>
      </c>
      <c r="CZ84" s="3" t="s">
        <v>680</v>
      </c>
      <c r="DA84" s="3" t="s">
        <v>681</v>
      </c>
      <c r="DB84" s="3" t="s">
        <v>682</v>
      </c>
      <c r="DC84" s="3" t="s">
        <v>676</v>
      </c>
      <c r="DD84" s="3" t="s">
        <v>677</v>
      </c>
      <c r="DE84" s="3" t="s">
        <v>678</v>
      </c>
      <c r="DF84" s="3" t="s">
        <v>679</v>
      </c>
      <c r="DG84" s="3" t="s">
        <v>680</v>
      </c>
      <c r="DH84" s="3" t="s">
        <v>681</v>
      </c>
      <c r="DI84" s="3" t="s">
        <v>682</v>
      </c>
      <c r="DJ84" s="3" t="s">
        <v>676</v>
      </c>
      <c r="DK84" s="3" t="s">
        <v>677</v>
      </c>
      <c r="DL84" s="3" t="s">
        <v>678</v>
      </c>
      <c r="DM84" s="3" t="s">
        <v>679</v>
      </c>
      <c r="DN84" s="3" t="s">
        <v>680</v>
      </c>
      <c r="DO84" s="3" t="s">
        <v>681</v>
      </c>
      <c r="DP84" s="3" t="s">
        <v>682</v>
      </c>
      <c r="DQ84" s="3" t="s">
        <v>676</v>
      </c>
      <c r="DR84" s="3" t="s">
        <v>677</v>
      </c>
      <c r="DS84" s="3" t="s">
        <v>678</v>
      </c>
      <c r="DT84" s="3" t="s">
        <v>679</v>
      </c>
      <c r="DU84" s="3" t="s">
        <v>680</v>
      </c>
      <c r="DV84" s="3" t="s">
        <v>681</v>
      </c>
      <c r="DW84" s="3" t="s">
        <v>682</v>
      </c>
      <c r="DX84" s="3" t="s">
        <v>676</v>
      </c>
      <c r="DY84" s="3" t="s">
        <v>677</v>
      </c>
      <c r="DZ84" s="3" t="s">
        <v>678</v>
      </c>
      <c r="EA84" s="3" t="s">
        <v>679</v>
      </c>
      <c r="EB84" s="3" t="s">
        <v>680</v>
      </c>
      <c r="EC84" s="3" t="s">
        <v>681</v>
      </c>
      <c r="ED84" s="3" t="s">
        <v>682</v>
      </c>
      <c r="EE84" s="3" t="s">
        <v>676</v>
      </c>
      <c r="EF84" s="3" t="s">
        <v>677</v>
      </c>
      <c r="EG84" s="3" t="s">
        <v>678</v>
      </c>
      <c r="EH84" s="3" t="s">
        <v>679</v>
      </c>
      <c r="EI84" s="3" t="s">
        <v>680</v>
      </c>
      <c r="EJ84" s="3" t="s">
        <v>681</v>
      </c>
      <c r="EK84" s="3" t="s">
        <v>682</v>
      </c>
      <c r="EL84" s="3" t="s">
        <v>676</v>
      </c>
      <c r="EM84" s="3" t="s">
        <v>677</v>
      </c>
      <c r="EN84" s="3" t="s">
        <v>678</v>
      </c>
      <c r="EO84" s="3" t="s">
        <v>679</v>
      </c>
      <c r="EP84" s="3" t="s">
        <v>680</v>
      </c>
      <c r="EQ84" s="3" t="s">
        <v>681</v>
      </c>
      <c r="ER84" s="3" t="s">
        <v>682</v>
      </c>
      <c r="ES84" s="3" t="s">
        <v>676</v>
      </c>
      <c r="ET84" s="3" t="s">
        <v>677</v>
      </c>
      <c r="EU84" s="3" t="s">
        <v>678</v>
      </c>
      <c r="EV84" s="3" t="s">
        <v>679</v>
      </c>
      <c r="EW84" s="3" t="s">
        <v>680</v>
      </c>
      <c r="EX84" s="3" t="s">
        <v>681</v>
      </c>
      <c r="EY84" s="3" t="s">
        <v>682</v>
      </c>
      <c r="EZ84" s="3" t="s">
        <v>676</v>
      </c>
      <c r="FA84" s="3" t="s">
        <v>677</v>
      </c>
      <c r="FB84" s="3" t="s">
        <v>678</v>
      </c>
      <c r="FC84" s="3" t="s">
        <v>679</v>
      </c>
      <c r="FD84" s="3" t="s">
        <v>680</v>
      </c>
      <c r="FE84" s="3" t="s">
        <v>681</v>
      </c>
      <c r="FF84" s="3" t="s">
        <v>682</v>
      </c>
      <c r="FG84" s="3" t="s">
        <v>676</v>
      </c>
      <c r="FH84" s="3" t="s">
        <v>677</v>
      </c>
      <c r="FI84" s="3" t="s">
        <v>678</v>
      </c>
      <c r="FJ84" s="3" t="s">
        <v>679</v>
      </c>
      <c r="FK84" s="3" t="s">
        <v>680</v>
      </c>
      <c r="FL84" s="3" t="s">
        <v>681</v>
      </c>
      <c r="FM84" s="3" t="s">
        <v>682</v>
      </c>
      <c r="FN84" s="3" t="s">
        <v>676</v>
      </c>
      <c r="FO84" s="3" t="s">
        <v>677</v>
      </c>
      <c r="FP84" s="3" t="s">
        <v>678</v>
      </c>
      <c r="FQ84" s="3" t="s">
        <v>679</v>
      </c>
      <c r="FR84" s="3" t="s">
        <v>680</v>
      </c>
      <c r="FS84" s="3" t="s">
        <v>681</v>
      </c>
      <c r="FT84" s="3" t="s">
        <v>682</v>
      </c>
      <c r="FU84" s="3" t="s">
        <v>676</v>
      </c>
      <c r="FV84" s="3" t="s">
        <v>677</v>
      </c>
      <c r="FW84" s="3" t="s">
        <v>678</v>
      </c>
      <c r="FX84" s="3" t="s">
        <v>679</v>
      </c>
      <c r="FY84" s="3" t="s">
        <v>680</v>
      </c>
      <c r="FZ84" s="3" t="s">
        <v>681</v>
      </c>
      <c r="GA84" s="3" t="s">
        <v>682</v>
      </c>
      <c r="GB84" s="3" t="s">
        <v>676</v>
      </c>
      <c r="GC84" s="3" t="s">
        <v>677</v>
      </c>
      <c r="GD84" s="3" t="s">
        <v>678</v>
      </c>
      <c r="GE84" s="3" t="s">
        <v>679</v>
      </c>
      <c r="GF84" s="3" t="s">
        <v>680</v>
      </c>
      <c r="GG84" s="3" t="s">
        <v>681</v>
      </c>
      <c r="GH84" s="3" t="s">
        <v>682</v>
      </c>
      <c r="GI84" s="3" t="s">
        <v>676</v>
      </c>
      <c r="GJ84" s="3" t="s">
        <v>677</v>
      </c>
      <c r="GK84" s="3" t="s">
        <v>678</v>
      </c>
      <c r="GL84" s="3" t="s">
        <v>679</v>
      </c>
      <c r="GM84" s="3" t="s">
        <v>680</v>
      </c>
      <c r="GN84" s="3" t="s">
        <v>681</v>
      </c>
      <c r="GO84" s="3" t="s">
        <v>682</v>
      </c>
      <c r="GP84" s="3" t="s">
        <v>676</v>
      </c>
      <c r="GQ84" s="3" t="s">
        <v>677</v>
      </c>
      <c r="GR84" s="3" t="s">
        <v>678</v>
      </c>
      <c r="GS84" s="3" t="s">
        <v>679</v>
      </c>
      <c r="GT84" s="3" t="s">
        <v>680</v>
      </c>
      <c r="GU84" s="3" t="s">
        <v>681</v>
      </c>
      <c r="GV84" s="3" t="s">
        <v>682</v>
      </c>
      <c r="GW84" s="3" t="s">
        <v>676</v>
      </c>
      <c r="GX84" s="3" t="s">
        <v>677</v>
      </c>
      <c r="GY84" s="3" t="s">
        <v>678</v>
      </c>
      <c r="GZ84" s="3" t="s">
        <v>679</v>
      </c>
      <c r="HA84" s="3" t="s">
        <v>680</v>
      </c>
      <c r="HB84" s="3" t="s">
        <v>681</v>
      </c>
      <c r="HC84" s="3" t="s">
        <v>682</v>
      </c>
      <c r="HD84" s="3" t="s">
        <v>676</v>
      </c>
      <c r="HE84" s="3" t="s">
        <v>677</v>
      </c>
      <c r="HF84" s="3" t="s">
        <v>678</v>
      </c>
      <c r="HG84" s="3" t="s">
        <v>679</v>
      </c>
      <c r="HH84" s="3" t="s">
        <v>680</v>
      </c>
      <c r="HI84" s="3" t="s">
        <v>681</v>
      </c>
      <c r="HJ84" s="3" t="s">
        <v>682</v>
      </c>
      <c r="HK84" s="3" t="s">
        <v>676</v>
      </c>
      <c r="HL84" s="3" t="s">
        <v>677</v>
      </c>
      <c r="HM84" s="3" t="s">
        <v>678</v>
      </c>
      <c r="HN84" s="3" t="s">
        <v>679</v>
      </c>
      <c r="HO84" s="3" t="s">
        <v>680</v>
      </c>
      <c r="HP84" s="3" t="s">
        <v>681</v>
      </c>
      <c r="HQ84" s="3" t="s">
        <v>682</v>
      </c>
      <c r="HR84" s="3" t="s">
        <v>676</v>
      </c>
      <c r="HS84" s="3" t="s">
        <v>677</v>
      </c>
      <c r="HT84" s="3" t="s">
        <v>678</v>
      </c>
      <c r="HU84" s="3" t="s">
        <v>679</v>
      </c>
      <c r="HV84" s="3" t="s">
        <v>680</v>
      </c>
      <c r="HW84" s="3" t="s">
        <v>681</v>
      </c>
      <c r="HX84" s="3" t="s">
        <v>682</v>
      </c>
      <c r="HY84" s="3" t="s">
        <v>676</v>
      </c>
      <c r="HZ84" s="3" t="s">
        <v>677</v>
      </c>
      <c r="IA84" s="3" t="s">
        <v>678</v>
      </c>
      <c r="IB84" s="3" t="s">
        <v>679</v>
      </c>
      <c r="IC84" s="3" t="s">
        <v>680</v>
      </c>
    </row>
    <row r="85" spans="1:257">
      <c r="A85" s="82" t="s">
        <v>695</v>
      </c>
      <c r="B85" s="82" t="str">
        <f>COUNTIF(P85:IC85, "W")&amp;"勝"</f>
        <v>11勝</v>
      </c>
      <c r="C85" s="82" t="str">
        <f>COUNTIF(P85:IC85, "L")&amp;"敗"</f>
        <v>15敗</v>
      </c>
      <c r="D85" s="82" t="s">
        <v>696</v>
      </c>
      <c r="E85" s="78"/>
      <c r="F85" s="82" t="s">
        <v>726</v>
      </c>
      <c r="G85" s="78"/>
      <c r="H85" s="78"/>
      <c r="I85" s="78"/>
      <c r="J85" s="78"/>
      <c r="K85" s="78"/>
      <c r="L85" s="78"/>
      <c r="M85" s="82"/>
      <c r="N85" s="78"/>
      <c r="O85" s="1" t="s">
        <v>698</v>
      </c>
      <c r="R85" t="s">
        <v>700</v>
      </c>
      <c r="S85" t="s">
        <v>700</v>
      </c>
      <c r="T85" t="s">
        <v>699</v>
      </c>
      <c r="U85" t="s">
        <v>699</v>
      </c>
      <c r="W85" t="s">
        <v>699</v>
      </c>
      <c r="X85" t="s">
        <v>700</v>
      </c>
      <c r="Z85" t="s">
        <v>699</v>
      </c>
      <c r="AA85" t="s">
        <v>700</v>
      </c>
      <c r="AB85" t="s">
        <v>699</v>
      </c>
      <c r="AC85" t="s">
        <v>700</v>
      </c>
      <c r="AD85" t="s">
        <v>700</v>
      </c>
      <c r="AE85" t="s">
        <v>700</v>
      </c>
      <c r="AF85" t="s">
        <v>699</v>
      </c>
      <c r="AG85" t="s">
        <v>699</v>
      </c>
      <c r="AH85" t="s">
        <v>700</v>
      </c>
      <c r="AJ85" t="s">
        <v>700</v>
      </c>
      <c r="AK85" t="s">
        <v>700</v>
      </c>
      <c r="AL85" t="s">
        <v>700</v>
      </c>
      <c r="AM85" t="s">
        <v>700</v>
      </c>
      <c r="AN85" t="s">
        <v>700</v>
      </c>
      <c r="AO85" t="s">
        <v>700</v>
      </c>
      <c r="AP85" t="s">
        <v>700</v>
      </c>
      <c r="AQ85" t="s">
        <v>699</v>
      </c>
      <c r="AT85" t="s">
        <v>699</v>
      </c>
      <c r="AU85" t="s">
        <v>699</v>
      </c>
      <c r="AV85" t="s">
        <v>699</v>
      </c>
    </row>
    <row r="86" spans="1:257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1" t="s">
        <v>701</v>
      </c>
    </row>
    <row r="87" spans="1:257">
      <c r="A87" s="82" t="s">
        <v>702</v>
      </c>
      <c r="B87" s="82" t="str">
        <f>COUNTIF(P87:IC87, "O")&amp;"正"</f>
        <v>11正</v>
      </c>
      <c r="C87" s="82" t="str">
        <f>COUNTIF(P87:IC87, "X")&amp;"負"</f>
        <v>15負</v>
      </c>
      <c r="D87" s="82" t="s">
        <v>703</v>
      </c>
      <c r="E87" s="78"/>
      <c r="F87" s="82" t="s">
        <v>727</v>
      </c>
      <c r="G87" s="78"/>
      <c r="H87" s="78"/>
      <c r="I87" s="78"/>
      <c r="J87" s="78"/>
      <c r="K87" s="78"/>
      <c r="L87" s="78"/>
      <c r="M87" s="82"/>
      <c r="N87" s="78"/>
      <c r="O87" s="1" t="s">
        <v>705</v>
      </c>
      <c r="R87" t="s">
        <v>684</v>
      </c>
      <c r="S87" t="s">
        <v>684</v>
      </c>
      <c r="T87" t="s">
        <v>683</v>
      </c>
      <c r="U87" t="s">
        <v>683</v>
      </c>
      <c r="W87" t="s">
        <v>683</v>
      </c>
      <c r="X87" t="s">
        <v>684</v>
      </c>
      <c r="Z87" t="s">
        <v>683</v>
      </c>
      <c r="AA87" t="s">
        <v>684</v>
      </c>
      <c r="AB87" t="s">
        <v>683</v>
      </c>
      <c r="AC87" t="s">
        <v>684</v>
      </c>
      <c r="AD87" t="s">
        <v>684</v>
      </c>
      <c r="AE87" t="s">
        <v>684</v>
      </c>
      <c r="AF87" t="s">
        <v>683</v>
      </c>
      <c r="AG87" t="s">
        <v>683</v>
      </c>
      <c r="AH87" t="s">
        <v>684</v>
      </c>
      <c r="AJ87" t="s">
        <v>684</v>
      </c>
      <c r="AK87" t="s">
        <v>684</v>
      </c>
      <c r="AL87" t="s">
        <v>684</v>
      </c>
      <c r="AM87" t="s">
        <v>684</v>
      </c>
      <c r="AN87" t="s">
        <v>684</v>
      </c>
      <c r="AO87" t="s">
        <v>684</v>
      </c>
      <c r="AP87" t="s">
        <v>684</v>
      </c>
      <c r="AQ87" t="s">
        <v>683</v>
      </c>
      <c r="AT87" t="s">
        <v>683</v>
      </c>
      <c r="AU87" t="s">
        <v>683</v>
      </c>
      <c r="AV87" t="s">
        <v>683</v>
      </c>
      <c r="IN87" t="str">
        <f ca="1">IFERROR(INDEX($P87:$IC87,1,_xludf.AGGREGATE(14,6,(COLUMN($P87:$IC87)-COLUMN($P87)+1)/($P87:$IC87&lt;&gt;""),1)),"")</f>
        <v/>
      </c>
      <c r="IO87" t="str">
        <f ca="1">IFERROR(INDEX($P87:$IC87,1,_xludf.AGGREGATE(14,6,(COLUMN($P87:$IC87)-COLUMN($P87)+1)/($P87:$IC87&lt;&gt;""),2)),"")</f>
        <v/>
      </c>
      <c r="IP87" t="str">
        <f ca="1">IFERROR(INDEX($P87:$IC87,1,_xludf.AGGREGATE(14,6,(COLUMN($P87:$IC87)-COLUMN($P87)+1)/($P87:$IC87&lt;&gt;""),3)),"")</f>
        <v/>
      </c>
      <c r="IQ87" t="str">
        <f ca="1">IFERROR(INDEX($P87:$IC87,1,_xludf.AGGREGATE(14,6,(COLUMN($P87:$IC87)-COLUMN($P87)+1)/($P87:$IC87&lt;&gt;""),4)),"")</f>
        <v/>
      </c>
      <c r="IR87" t="str">
        <f ca="1">IFERROR(INDEX($P87:$IC87,1,_xludf.AGGREGATE(14,6,(COLUMN($P87:$IC87)-COLUMN($P87)+1)/($P87:$IC87&lt;&gt;""),5)),"")</f>
        <v/>
      </c>
      <c r="IS87" t="str">
        <f ca="1">IFERROR(INDEX($P87:$IC87,1,_xludf.AGGREGATE(14,6,(COLUMN($P87:$IC87)-COLUMN($P87)+1)/($P87:$IC87&lt;&gt;""),6)),"")</f>
        <v/>
      </c>
      <c r="IT87" t="str">
        <f ca="1">IFERROR(INDEX($P87:$IC87,1,_xludf.AGGREGATE(14,6,(COLUMN($P87:$IC87)-COLUMN($P87)+1)/($P87:$IC87&lt;&gt;""),7)),"")</f>
        <v/>
      </c>
      <c r="IU87" t="str">
        <f ca="1">IFERROR(INDEX($P87:$IC87,1,_xludf.AGGREGATE(14,6,(COLUMN($P87:$IC87)-COLUMN($P87)+1)/($P87:$IC87&lt;&gt;""),8)),"")</f>
        <v/>
      </c>
      <c r="IV87" t="str">
        <f ca="1">IFERROR(INDEX($P87:$IC87,1,_xludf.AGGREGATE(14,6,(COLUMN($P87:$IC87)-COLUMN($P87)+1)/($P87:$IC87&lt;&gt;""),9)),"")</f>
        <v/>
      </c>
      <c r="IW87" t="str">
        <f ca="1">IFERROR(INDEX($P87:$IC87,1,_xludf.AGGREGATE(14,6,(COLUMN($P87:$IC87)-COLUMN($P87)+1)/($P87:$IC87&lt;&gt;""),10)),"")</f>
        <v/>
      </c>
    </row>
    <row r="88" spans="1:257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1" t="s">
        <v>706</v>
      </c>
    </row>
    <row r="89" spans="1:257">
      <c r="A89" s="82" t="s">
        <v>707</v>
      </c>
      <c r="B89" s="77"/>
      <c r="C89" s="77"/>
      <c r="D89" s="82" t="s">
        <v>708</v>
      </c>
      <c r="E89" s="78"/>
      <c r="F89" s="82"/>
      <c r="G89" s="78"/>
      <c r="H89" s="78"/>
      <c r="I89" s="78"/>
      <c r="J89" s="78"/>
      <c r="K89" s="78"/>
      <c r="L89" s="78"/>
      <c r="M89" s="82"/>
      <c r="N89" s="78"/>
      <c r="O89" s="1" t="s">
        <v>709</v>
      </c>
    </row>
    <row r="90" spans="1:257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1" t="s">
        <v>710</v>
      </c>
    </row>
    <row r="91" spans="1:257">
      <c r="A91" s="109" t="s">
        <v>83</v>
      </c>
      <c r="B91" s="78"/>
      <c r="C91" s="7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 t="s">
        <v>674</v>
      </c>
      <c r="P91" s="8">
        <v>1</v>
      </c>
      <c r="Q91" s="8">
        <v>2</v>
      </c>
      <c r="R91" s="8">
        <v>3</v>
      </c>
      <c r="S91" s="8">
        <v>4</v>
      </c>
      <c r="T91" s="8">
        <v>5</v>
      </c>
      <c r="U91" s="8">
        <v>6</v>
      </c>
      <c r="V91" s="8">
        <v>7</v>
      </c>
      <c r="W91" s="8">
        <v>8</v>
      </c>
      <c r="X91" s="8">
        <v>9</v>
      </c>
      <c r="Y91" s="8">
        <v>10</v>
      </c>
      <c r="Z91" s="8">
        <v>11</v>
      </c>
      <c r="AA91" s="8">
        <v>12</v>
      </c>
      <c r="AB91" s="8">
        <v>13</v>
      </c>
      <c r="AC91" s="8">
        <v>14</v>
      </c>
      <c r="AD91" s="8">
        <v>15</v>
      </c>
      <c r="AE91" s="8">
        <v>16</v>
      </c>
      <c r="AF91" s="8">
        <v>17</v>
      </c>
      <c r="AG91" s="8">
        <v>18</v>
      </c>
      <c r="AH91" s="8">
        <v>19</v>
      </c>
      <c r="AI91" s="8">
        <v>20</v>
      </c>
      <c r="AJ91" s="8">
        <v>21</v>
      </c>
      <c r="AK91" s="8">
        <v>22</v>
      </c>
      <c r="AL91" s="8">
        <v>23</v>
      </c>
      <c r="AM91" s="8">
        <v>24</v>
      </c>
      <c r="AN91" s="8">
        <v>25</v>
      </c>
      <c r="AO91" s="8">
        <v>26</v>
      </c>
      <c r="AP91" s="8">
        <v>27</v>
      </c>
      <c r="AQ91" s="8">
        <v>28</v>
      </c>
      <c r="AR91" s="8">
        <v>29</v>
      </c>
      <c r="AS91" s="8">
        <v>30</v>
      </c>
      <c r="AT91" s="8">
        <v>31</v>
      </c>
      <c r="AU91" s="8">
        <v>32</v>
      </c>
      <c r="AV91" s="8">
        <v>33</v>
      </c>
      <c r="AW91" s="8">
        <v>34</v>
      </c>
      <c r="AX91" s="8">
        <v>35</v>
      </c>
      <c r="AY91" s="8">
        <v>36</v>
      </c>
      <c r="AZ91" s="8">
        <v>37</v>
      </c>
      <c r="BA91" s="8">
        <v>38</v>
      </c>
      <c r="BB91" s="8">
        <v>39</v>
      </c>
      <c r="BC91" s="8">
        <v>40</v>
      </c>
      <c r="BD91" s="8">
        <v>41</v>
      </c>
      <c r="BE91" s="8">
        <v>42</v>
      </c>
      <c r="BF91" s="8">
        <v>43</v>
      </c>
      <c r="BG91" s="8">
        <v>44</v>
      </c>
      <c r="BH91" s="8">
        <v>45</v>
      </c>
      <c r="BI91" s="8">
        <v>46</v>
      </c>
      <c r="BJ91" s="8">
        <v>47</v>
      </c>
      <c r="BK91" s="8">
        <v>48</v>
      </c>
      <c r="BL91" s="8">
        <v>49</v>
      </c>
      <c r="BM91" s="8">
        <v>50</v>
      </c>
      <c r="BN91" s="8">
        <v>51</v>
      </c>
      <c r="BO91" s="8">
        <v>52</v>
      </c>
      <c r="BP91" s="8">
        <v>53</v>
      </c>
      <c r="BQ91" s="8">
        <v>54</v>
      </c>
      <c r="BR91" s="8">
        <v>55</v>
      </c>
      <c r="BS91" s="8">
        <v>56</v>
      </c>
      <c r="BT91" s="8">
        <v>57</v>
      </c>
      <c r="BU91" s="8">
        <v>58</v>
      </c>
      <c r="BV91" s="8">
        <v>59</v>
      </c>
      <c r="BW91" s="8">
        <v>60</v>
      </c>
      <c r="BX91" s="8">
        <v>61</v>
      </c>
      <c r="BY91" s="8">
        <v>62</v>
      </c>
      <c r="BZ91" s="8">
        <v>63</v>
      </c>
      <c r="CA91" s="8">
        <v>64</v>
      </c>
      <c r="CB91" s="8">
        <v>65</v>
      </c>
      <c r="CC91" s="8">
        <v>66</v>
      </c>
      <c r="CD91" s="8">
        <v>67</v>
      </c>
      <c r="CE91" s="8">
        <v>68</v>
      </c>
      <c r="CF91" s="8">
        <v>69</v>
      </c>
      <c r="CG91" s="8">
        <v>70</v>
      </c>
      <c r="CH91" s="8">
        <v>71</v>
      </c>
      <c r="CI91" s="8">
        <v>72</v>
      </c>
      <c r="CJ91" s="8">
        <v>73</v>
      </c>
      <c r="CK91" s="8">
        <v>74</v>
      </c>
      <c r="CL91" s="8">
        <v>75</v>
      </c>
      <c r="CM91" s="8">
        <v>76</v>
      </c>
      <c r="CN91" s="8">
        <v>77</v>
      </c>
      <c r="CO91" s="8">
        <v>78</v>
      </c>
      <c r="CP91" s="8">
        <v>79</v>
      </c>
      <c r="CQ91" s="8">
        <v>80</v>
      </c>
      <c r="CR91" s="8">
        <v>81</v>
      </c>
      <c r="CS91" s="8">
        <v>82</v>
      </c>
      <c r="CT91" s="8">
        <v>83</v>
      </c>
      <c r="CU91" s="8">
        <v>84</v>
      </c>
      <c r="CV91" s="8">
        <v>85</v>
      </c>
      <c r="CW91" s="8">
        <v>86</v>
      </c>
      <c r="CX91" s="8">
        <v>87</v>
      </c>
      <c r="CY91" s="8">
        <v>88</v>
      </c>
      <c r="CZ91" s="8">
        <v>89</v>
      </c>
      <c r="DA91" s="8">
        <v>90</v>
      </c>
      <c r="DB91" s="8">
        <v>91</v>
      </c>
      <c r="DC91" s="8">
        <v>92</v>
      </c>
      <c r="DD91" s="8">
        <v>93</v>
      </c>
      <c r="DE91" s="8">
        <v>94</v>
      </c>
      <c r="DF91" s="8">
        <v>95</v>
      </c>
      <c r="DG91" s="8">
        <v>96</v>
      </c>
      <c r="DH91" s="8">
        <v>97</v>
      </c>
      <c r="DI91" s="8">
        <v>98</v>
      </c>
      <c r="DJ91" s="8">
        <v>99</v>
      </c>
      <c r="DK91" s="8">
        <v>100</v>
      </c>
      <c r="DL91" s="8">
        <v>101</v>
      </c>
      <c r="DM91" s="8">
        <v>102</v>
      </c>
      <c r="DN91" s="8">
        <v>103</v>
      </c>
      <c r="DO91" s="8">
        <v>104</v>
      </c>
      <c r="DP91" s="8">
        <v>105</v>
      </c>
      <c r="DQ91" s="8">
        <v>106</v>
      </c>
      <c r="DR91" s="8">
        <v>107</v>
      </c>
      <c r="DS91" s="8">
        <v>108</v>
      </c>
      <c r="DT91" s="8">
        <v>109</v>
      </c>
      <c r="DU91" s="8">
        <v>110</v>
      </c>
      <c r="DV91" s="8">
        <v>111</v>
      </c>
      <c r="DW91" s="8">
        <v>112</v>
      </c>
      <c r="DX91" s="8">
        <v>113</v>
      </c>
      <c r="DY91" s="8">
        <v>114</v>
      </c>
      <c r="DZ91" s="8">
        <v>115</v>
      </c>
      <c r="EA91" s="8">
        <v>116</v>
      </c>
      <c r="EB91" s="8">
        <v>117</v>
      </c>
      <c r="EC91" s="8">
        <v>118</v>
      </c>
      <c r="ED91" s="8">
        <v>119</v>
      </c>
      <c r="EE91" s="8">
        <v>120</v>
      </c>
      <c r="EF91" s="8">
        <v>121</v>
      </c>
      <c r="EG91" s="8">
        <v>122</v>
      </c>
      <c r="EH91" s="8">
        <v>123</v>
      </c>
      <c r="EI91" s="8">
        <v>124</v>
      </c>
      <c r="EJ91" s="8">
        <v>125</v>
      </c>
      <c r="EK91" s="8">
        <v>126</v>
      </c>
      <c r="EL91" s="8">
        <v>127</v>
      </c>
      <c r="EM91" s="8">
        <v>128</v>
      </c>
      <c r="EN91" s="8">
        <v>129</v>
      </c>
      <c r="EO91" s="8">
        <v>130</v>
      </c>
      <c r="EP91" s="8">
        <v>131</v>
      </c>
      <c r="EQ91" s="8">
        <v>132</v>
      </c>
      <c r="ER91" s="8">
        <v>133</v>
      </c>
      <c r="ES91" s="8">
        <v>134</v>
      </c>
      <c r="ET91" s="8">
        <v>135</v>
      </c>
      <c r="EU91" s="8">
        <v>136</v>
      </c>
      <c r="EV91" s="8">
        <v>137</v>
      </c>
      <c r="EW91" s="8">
        <v>138</v>
      </c>
      <c r="EX91" s="8">
        <v>139</v>
      </c>
      <c r="EY91" s="8">
        <v>140</v>
      </c>
      <c r="EZ91" s="8">
        <v>141</v>
      </c>
      <c r="FA91" s="8">
        <v>142</v>
      </c>
      <c r="FB91" s="8">
        <v>143</v>
      </c>
      <c r="FC91" s="8">
        <v>144</v>
      </c>
      <c r="FD91" s="8">
        <v>145</v>
      </c>
      <c r="FE91" s="8">
        <v>146</v>
      </c>
      <c r="FF91" s="8">
        <v>147</v>
      </c>
      <c r="FG91" s="8">
        <v>148</v>
      </c>
      <c r="FH91" s="8">
        <v>149</v>
      </c>
      <c r="FI91" s="8">
        <v>150</v>
      </c>
      <c r="FJ91" s="8">
        <v>151</v>
      </c>
      <c r="FK91" s="8">
        <v>152</v>
      </c>
      <c r="FL91" s="8">
        <v>153</v>
      </c>
      <c r="FM91" s="8">
        <v>154</v>
      </c>
      <c r="FN91" s="8">
        <v>155</v>
      </c>
      <c r="FO91" s="8">
        <v>156</v>
      </c>
      <c r="FP91" s="8">
        <v>157</v>
      </c>
      <c r="FQ91" s="8">
        <v>158</v>
      </c>
      <c r="FR91" s="8">
        <v>159</v>
      </c>
      <c r="FS91" s="8">
        <v>160</v>
      </c>
      <c r="FT91" s="8">
        <v>161</v>
      </c>
      <c r="FU91" s="8">
        <v>162</v>
      </c>
      <c r="FV91" s="8">
        <v>163</v>
      </c>
      <c r="FW91" s="8">
        <v>164</v>
      </c>
      <c r="FX91" s="8">
        <v>165</v>
      </c>
      <c r="FY91" s="8">
        <v>166</v>
      </c>
      <c r="FZ91" s="8">
        <v>167</v>
      </c>
      <c r="GA91" s="8">
        <v>168</v>
      </c>
      <c r="GB91" s="8">
        <v>169</v>
      </c>
      <c r="GC91" s="8">
        <v>170</v>
      </c>
      <c r="GD91" s="8">
        <v>171</v>
      </c>
      <c r="GE91" s="8">
        <v>172</v>
      </c>
      <c r="GF91" s="8">
        <v>173</v>
      </c>
      <c r="GG91" s="8">
        <v>174</v>
      </c>
      <c r="GH91" s="8">
        <v>175</v>
      </c>
      <c r="GI91" s="8">
        <v>176</v>
      </c>
      <c r="GJ91" s="8">
        <v>177</v>
      </c>
      <c r="GK91" s="8">
        <v>178</v>
      </c>
      <c r="GL91" s="8">
        <v>179</v>
      </c>
      <c r="GM91" s="8">
        <v>180</v>
      </c>
      <c r="GN91" s="8">
        <v>181</v>
      </c>
      <c r="GO91" s="8">
        <v>182</v>
      </c>
      <c r="GP91" s="8">
        <v>183</v>
      </c>
      <c r="GQ91" s="8">
        <v>184</v>
      </c>
      <c r="GR91" s="8">
        <v>185</v>
      </c>
      <c r="GS91" s="8">
        <v>186</v>
      </c>
      <c r="GT91" s="8">
        <v>187</v>
      </c>
      <c r="GU91" s="8">
        <v>188</v>
      </c>
      <c r="GV91" s="8">
        <v>189</v>
      </c>
      <c r="GW91" s="8">
        <v>190</v>
      </c>
      <c r="GX91" s="8">
        <v>191</v>
      </c>
      <c r="GY91" s="8">
        <v>192</v>
      </c>
      <c r="GZ91" s="8">
        <v>193</v>
      </c>
      <c r="HA91" s="8">
        <v>194</v>
      </c>
      <c r="HB91" s="8">
        <v>195</v>
      </c>
      <c r="HC91" s="8">
        <v>196</v>
      </c>
      <c r="HD91" s="8">
        <v>197</v>
      </c>
      <c r="HE91" s="8">
        <v>198</v>
      </c>
      <c r="HF91" s="8">
        <v>199</v>
      </c>
      <c r="HG91" s="8">
        <v>200</v>
      </c>
      <c r="HH91" s="8">
        <v>201</v>
      </c>
      <c r="HI91" s="8">
        <v>202</v>
      </c>
      <c r="HJ91" s="8">
        <v>203</v>
      </c>
      <c r="HK91" s="8">
        <v>204</v>
      </c>
      <c r="HL91" s="8">
        <v>205</v>
      </c>
      <c r="HM91" s="8">
        <v>206</v>
      </c>
      <c r="HN91" s="8">
        <v>207</v>
      </c>
      <c r="HO91" s="8">
        <v>208</v>
      </c>
      <c r="HP91" s="8">
        <v>209</v>
      </c>
      <c r="HQ91" s="8">
        <v>210</v>
      </c>
      <c r="HR91" s="8">
        <v>211</v>
      </c>
      <c r="HS91" s="8">
        <v>212</v>
      </c>
      <c r="HT91" s="8">
        <v>213</v>
      </c>
      <c r="HU91" s="8">
        <v>214</v>
      </c>
      <c r="HV91" s="8">
        <v>215</v>
      </c>
      <c r="HW91" s="8">
        <v>216</v>
      </c>
      <c r="HX91" s="8">
        <v>217</v>
      </c>
      <c r="HY91" s="8">
        <v>218</v>
      </c>
      <c r="HZ91" s="8">
        <v>219</v>
      </c>
      <c r="IA91" s="8">
        <v>220</v>
      </c>
      <c r="IB91" s="8">
        <v>221</v>
      </c>
      <c r="IC91" s="8">
        <v>222</v>
      </c>
    </row>
    <row r="92" spans="1:257">
      <c r="A92" s="78"/>
      <c r="B92" s="78"/>
      <c r="C92" s="7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7"/>
      <c r="P92" s="50" t="s">
        <v>83</v>
      </c>
      <c r="Q92" s="50" t="s">
        <v>83</v>
      </c>
      <c r="R92" s="50" t="s">
        <v>83</v>
      </c>
      <c r="S92" s="50" t="s">
        <v>83</v>
      </c>
      <c r="T92" s="50" t="s">
        <v>83</v>
      </c>
      <c r="U92" s="50" t="s">
        <v>83</v>
      </c>
      <c r="V92" s="50" t="s">
        <v>83</v>
      </c>
      <c r="W92" s="50" t="s">
        <v>83</v>
      </c>
      <c r="X92" s="50" t="s">
        <v>83</v>
      </c>
      <c r="Y92" s="50" t="s">
        <v>83</v>
      </c>
      <c r="Z92" s="50" t="s">
        <v>83</v>
      </c>
      <c r="AA92" s="50" t="s">
        <v>83</v>
      </c>
      <c r="AB92" s="50" t="s">
        <v>83</v>
      </c>
      <c r="AC92" s="50" t="s">
        <v>83</v>
      </c>
      <c r="AD92" s="50" t="s">
        <v>83</v>
      </c>
      <c r="AE92" s="50" t="s">
        <v>83</v>
      </c>
      <c r="AF92" s="50" t="s">
        <v>83</v>
      </c>
      <c r="AG92" s="50" t="s">
        <v>83</v>
      </c>
      <c r="AH92" s="50" t="s">
        <v>83</v>
      </c>
      <c r="AI92" s="50" t="s">
        <v>83</v>
      </c>
      <c r="AJ92" s="50" t="s">
        <v>83</v>
      </c>
      <c r="AK92" s="50" t="s">
        <v>83</v>
      </c>
      <c r="AL92" s="50" t="s">
        <v>83</v>
      </c>
      <c r="AM92" s="50" t="s">
        <v>83</v>
      </c>
      <c r="AN92" s="50" t="s">
        <v>83</v>
      </c>
      <c r="AO92" s="50" t="s">
        <v>83</v>
      </c>
      <c r="AP92" s="50" t="s">
        <v>83</v>
      </c>
      <c r="AQ92" s="50" t="s">
        <v>83</v>
      </c>
      <c r="AR92" s="50" t="s">
        <v>83</v>
      </c>
      <c r="AS92" s="50" t="s">
        <v>83</v>
      </c>
      <c r="AT92" s="50" t="s">
        <v>83</v>
      </c>
      <c r="AU92" s="50" t="s">
        <v>83</v>
      </c>
      <c r="AV92" s="50" t="s">
        <v>83</v>
      </c>
      <c r="AW92" s="50" t="s">
        <v>83</v>
      </c>
      <c r="AX92" s="50" t="s">
        <v>83</v>
      </c>
      <c r="AY92" s="50" t="s">
        <v>83</v>
      </c>
      <c r="AZ92" s="50" t="s">
        <v>83</v>
      </c>
      <c r="BA92" s="50" t="s">
        <v>83</v>
      </c>
      <c r="BB92" s="50" t="s">
        <v>83</v>
      </c>
      <c r="BC92" s="50" t="s">
        <v>83</v>
      </c>
      <c r="BD92" s="50" t="s">
        <v>83</v>
      </c>
      <c r="BE92" s="50" t="s">
        <v>83</v>
      </c>
      <c r="BF92" s="50" t="s">
        <v>83</v>
      </c>
      <c r="BG92" s="50" t="s">
        <v>83</v>
      </c>
      <c r="BH92" s="50" t="s">
        <v>83</v>
      </c>
      <c r="BI92" s="50" t="s">
        <v>83</v>
      </c>
      <c r="BJ92" s="50" t="s">
        <v>83</v>
      </c>
      <c r="BK92" s="50" t="s">
        <v>83</v>
      </c>
      <c r="BL92" s="50" t="s">
        <v>83</v>
      </c>
      <c r="BM92" s="50" t="s">
        <v>83</v>
      </c>
      <c r="BN92" s="50" t="s">
        <v>83</v>
      </c>
      <c r="BO92" s="50" t="s">
        <v>83</v>
      </c>
      <c r="BP92" s="50" t="s">
        <v>83</v>
      </c>
      <c r="BQ92" s="50" t="s">
        <v>83</v>
      </c>
      <c r="BR92" s="50" t="s">
        <v>83</v>
      </c>
      <c r="BS92" s="50" t="s">
        <v>83</v>
      </c>
      <c r="BT92" s="50" t="s">
        <v>83</v>
      </c>
      <c r="BU92" s="50" t="s">
        <v>83</v>
      </c>
      <c r="BV92" s="50" t="s">
        <v>83</v>
      </c>
      <c r="BW92" s="50" t="s">
        <v>83</v>
      </c>
      <c r="BX92" s="50" t="s">
        <v>83</v>
      </c>
      <c r="BY92" s="50" t="s">
        <v>83</v>
      </c>
      <c r="BZ92" s="50" t="s">
        <v>83</v>
      </c>
      <c r="CA92" s="50" t="s">
        <v>83</v>
      </c>
      <c r="CB92" s="50" t="s">
        <v>83</v>
      </c>
      <c r="CC92" s="50" t="s">
        <v>83</v>
      </c>
      <c r="CD92" s="50" t="s">
        <v>83</v>
      </c>
      <c r="CE92" s="50" t="s">
        <v>83</v>
      </c>
      <c r="CF92" s="50" t="s">
        <v>83</v>
      </c>
      <c r="CG92" s="50" t="s">
        <v>83</v>
      </c>
      <c r="CH92" s="50" t="s">
        <v>83</v>
      </c>
      <c r="CI92" s="50" t="s">
        <v>83</v>
      </c>
      <c r="CJ92" s="50" t="s">
        <v>83</v>
      </c>
      <c r="CK92" s="50" t="s">
        <v>83</v>
      </c>
      <c r="CL92" s="50" t="s">
        <v>83</v>
      </c>
      <c r="CM92" s="50" t="s">
        <v>83</v>
      </c>
      <c r="CN92" s="50" t="s">
        <v>83</v>
      </c>
      <c r="CO92" s="50" t="s">
        <v>83</v>
      </c>
      <c r="CP92" s="50" t="s">
        <v>83</v>
      </c>
      <c r="CQ92" s="50" t="s">
        <v>83</v>
      </c>
      <c r="CR92" s="50" t="s">
        <v>83</v>
      </c>
      <c r="CS92" s="50" t="s">
        <v>83</v>
      </c>
      <c r="CT92" s="50" t="s">
        <v>83</v>
      </c>
      <c r="CU92" s="50" t="s">
        <v>83</v>
      </c>
      <c r="CV92" s="50" t="s">
        <v>83</v>
      </c>
      <c r="CW92" s="50" t="s">
        <v>83</v>
      </c>
      <c r="CX92" s="50" t="s">
        <v>83</v>
      </c>
      <c r="CY92" s="50" t="s">
        <v>83</v>
      </c>
      <c r="CZ92" s="50" t="s">
        <v>83</v>
      </c>
      <c r="DA92" s="50" t="s">
        <v>83</v>
      </c>
      <c r="DB92" s="50" t="s">
        <v>83</v>
      </c>
      <c r="DC92" s="50" t="s">
        <v>83</v>
      </c>
      <c r="DD92" s="50" t="s">
        <v>83</v>
      </c>
      <c r="DE92" s="50" t="s">
        <v>83</v>
      </c>
      <c r="DF92" s="50" t="s">
        <v>83</v>
      </c>
      <c r="DG92" s="50" t="s">
        <v>83</v>
      </c>
      <c r="DH92" s="50" t="s">
        <v>83</v>
      </c>
      <c r="DI92" s="50" t="s">
        <v>83</v>
      </c>
      <c r="DJ92" s="50" t="s">
        <v>83</v>
      </c>
      <c r="DK92" s="50" t="s">
        <v>83</v>
      </c>
      <c r="DL92" s="50" t="s">
        <v>83</v>
      </c>
      <c r="DM92" s="50" t="s">
        <v>83</v>
      </c>
      <c r="DN92" s="50" t="s">
        <v>83</v>
      </c>
      <c r="DO92" s="50" t="s">
        <v>83</v>
      </c>
      <c r="DP92" s="50" t="s">
        <v>83</v>
      </c>
      <c r="DQ92" s="50" t="s">
        <v>83</v>
      </c>
      <c r="DR92" s="50" t="s">
        <v>83</v>
      </c>
      <c r="DS92" s="50" t="s">
        <v>83</v>
      </c>
      <c r="DT92" s="50" t="s">
        <v>83</v>
      </c>
      <c r="DU92" s="50" t="s">
        <v>83</v>
      </c>
      <c r="DV92" s="50" t="s">
        <v>83</v>
      </c>
      <c r="DW92" s="50" t="s">
        <v>83</v>
      </c>
      <c r="DX92" s="50" t="s">
        <v>83</v>
      </c>
      <c r="DY92" s="50" t="s">
        <v>83</v>
      </c>
      <c r="DZ92" s="50" t="s">
        <v>83</v>
      </c>
      <c r="EA92" s="50" t="s">
        <v>83</v>
      </c>
      <c r="EB92" s="50" t="s">
        <v>83</v>
      </c>
      <c r="EC92" s="50" t="s">
        <v>83</v>
      </c>
      <c r="ED92" s="50" t="s">
        <v>83</v>
      </c>
      <c r="EE92" s="50" t="s">
        <v>83</v>
      </c>
      <c r="EF92" s="50" t="s">
        <v>83</v>
      </c>
      <c r="EG92" s="50" t="s">
        <v>83</v>
      </c>
      <c r="EH92" s="50" t="s">
        <v>83</v>
      </c>
      <c r="EI92" s="50" t="s">
        <v>83</v>
      </c>
      <c r="EJ92" s="50" t="s">
        <v>83</v>
      </c>
      <c r="EK92" s="50" t="s">
        <v>83</v>
      </c>
      <c r="EL92" s="50" t="s">
        <v>83</v>
      </c>
      <c r="EM92" s="50" t="s">
        <v>83</v>
      </c>
      <c r="EN92" s="50" t="s">
        <v>83</v>
      </c>
      <c r="EO92" s="50" t="s">
        <v>83</v>
      </c>
      <c r="EP92" s="50" t="s">
        <v>83</v>
      </c>
      <c r="EQ92" s="50" t="s">
        <v>83</v>
      </c>
      <c r="ER92" s="50" t="s">
        <v>83</v>
      </c>
      <c r="ES92" s="50" t="s">
        <v>83</v>
      </c>
      <c r="ET92" s="50" t="s">
        <v>83</v>
      </c>
      <c r="EU92" s="50" t="s">
        <v>83</v>
      </c>
      <c r="EV92" s="50" t="s">
        <v>83</v>
      </c>
      <c r="EW92" s="50" t="s">
        <v>83</v>
      </c>
      <c r="EX92" s="50" t="s">
        <v>83</v>
      </c>
      <c r="EY92" s="50" t="s">
        <v>83</v>
      </c>
      <c r="EZ92" s="50" t="s">
        <v>83</v>
      </c>
      <c r="FA92" s="50" t="s">
        <v>83</v>
      </c>
      <c r="FB92" s="50" t="s">
        <v>83</v>
      </c>
      <c r="FC92" s="50" t="s">
        <v>83</v>
      </c>
      <c r="FD92" s="50" t="s">
        <v>83</v>
      </c>
      <c r="FE92" s="50" t="s">
        <v>83</v>
      </c>
      <c r="FF92" s="50" t="s">
        <v>83</v>
      </c>
      <c r="FG92" s="50" t="s">
        <v>83</v>
      </c>
      <c r="FH92" s="50" t="s">
        <v>83</v>
      </c>
      <c r="FI92" s="50" t="s">
        <v>83</v>
      </c>
      <c r="FJ92" s="50" t="s">
        <v>83</v>
      </c>
      <c r="FK92" s="50" t="s">
        <v>83</v>
      </c>
      <c r="FL92" s="50" t="s">
        <v>83</v>
      </c>
      <c r="FM92" s="50" t="s">
        <v>83</v>
      </c>
      <c r="FN92" s="50" t="s">
        <v>83</v>
      </c>
      <c r="FO92" s="50" t="s">
        <v>83</v>
      </c>
      <c r="FP92" s="50" t="s">
        <v>83</v>
      </c>
      <c r="FQ92" s="50" t="s">
        <v>83</v>
      </c>
      <c r="FR92" s="50" t="s">
        <v>83</v>
      </c>
      <c r="FS92" s="50" t="s">
        <v>83</v>
      </c>
      <c r="FT92" s="50" t="s">
        <v>83</v>
      </c>
      <c r="FU92" s="50" t="s">
        <v>83</v>
      </c>
      <c r="FV92" s="50" t="s">
        <v>83</v>
      </c>
      <c r="FW92" s="50" t="s">
        <v>83</v>
      </c>
      <c r="FX92" s="50" t="s">
        <v>83</v>
      </c>
      <c r="FY92" s="50" t="s">
        <v>83</v>
      </c>
      <c r="FZ92" s="50" t="s">
        <v>83</v>
      </c>
      <c r="GA92" s="50" t="s">
        <v>83</v>
      </c>
      <c r="GB92" s="50" t="s">
        <v>83</v>
      </c>
      <c r="GC92" s="50" t="s">
        <v>83</v>
      </c>
      <c r="GD92" s="50" t="s">
        <v>83</v>
      </c>
      <c r="GE92" s="50" t="s">
        <v>83</v>
      </c>
      <c r="GF92" s="50" t="s">
        <v>83</v>
      </c>
      <c r="GG92" s="50" t="s">
        <v>83</v>
      </c>
      <c r="GH92" s="50" t="s">
        <v>83</v>
      </c>
      <c r="GI92" s="50" t="s">
        <v>83</v>
      </c>
      <c r="GJ92" s="50" t="s">
        <v>83</v>
      </c>
      <c r="GK92" s="50" t="s">
        <v>83</v>
      </c>
      <c r="GL92" s="50" t="s">
        <v>83</v>
      </c>
      <c r="GM92" s="50" t="s">
        <v>83</v>
      </c>
      <c r="GN92" s="50" t="s">
        <v>83</v>
      </c>
      <c r="GO92" s="50" t="s">
        <v>83</v>
      </c>
      <c r="GP92" s="50" t="s">
        <v>83</v>
      </c>
      <c r="GQ92" s="50" t="s">
        <v>83</v>
      </c>
      <c r="GR92" s="50" t="s">
        <v>83</v>
      </c>
      <c r="GS92" s="50" t="s">
        <v>83</v>
      </c>
      <c r="GT92" s="50" t="s">
        <v>83</v>
      </c>
      <c r="GU92" s="50" t="s">
        <v>83</v>
      </c>
      <c r="GV92" s="50" t="s">
        <v>83</v>
      </c>
      <c r="GW92" s="50" t="s">
        <v>83</v>
      </c>
      <c r="GX92" s="50" t="s">
        <v>83</v>
      </c>
      <c r="GY92" s="50" t="s">
        <v>83</v>
      </c>
      <c r="GZ92" s="50" t="s">
        <v>83</v>
      </c>
      <c r="HA92" s="50" t="s">
        <v>83</v>
      </c>
      <c r="HB92" s="50" t="s">
        <v>83</v>
      </c>
      <c r="HC92" s="50" t="s">
        <v>83</v>
      </c>
      <c r="HD92" s="50" t="s">
        <v>83</v>
      </c>
      <c r="HE92" s="50" t="s">
        <v>83</v>
      </c>
      <c r="HF92" s="50" t="s">
        <v>83</v>
      </c>
      <c r="HG92" s="50" t="s">
        <v>83</v>
      </c>
      <c r="HH92" s="50" t="s">
        <v>83</v>
      </c>
      <c r="HI92" s="50" t="s">
        <v>83</v>
      </c>
      <c r="HJ92" s="50" t="s">
        <v>83</v>
      </c>
      <c r="HK92" s="50" t="s">
        <v>83</v>
      </c>
      <c r="HL92" s="50" t="s">
        <v>83</v>
      </c>
      <c r="HM92" s="50" t="s">
        <v>83</v>
      </c>
      <c r="HN92" s="50" t="s">
        <v>83</v>
      </c>
      <c r="HO92" s="50" t="s">
        <v>83</v>
      </c>
      <c r="HP92" s="50" t="s">
        <v>83</v>
      </c>
      <c r="HQ92" s="50" t="s">
        <v>83</v>
      </c>
      <c r="HR92" s="50" t="s">
        <v>83</v>
      </c>
      <c r="HS92" s="50" t="s">
        <v>83</v>
      </c>
      <c r="HT92" s="50" t="s">
        <v>83</v>
      </c>
      <c r="HU92" s="50" t="s">
        <v>83</v>
      </c>
      <c r="HV92" s="50" t="s">
        <v>83</v>
      </c>
      <c r="HW92" s="50" t="s">
        <v>83</v>
      </c>
      <c r="HX92" s="50" t="s">
        <v>83</v>
      </c>
      <c r="HY92" s="50" t="s">
        <v>83</v>
      </c>
      <c r="HZ92" s="50" t="s">
        <v>83</v>
      </c>
      <c r="IA92" s="50" t="s">
        <v>83</v>
      </c>
      <c r="IB92" s="50" t="s">
        <v>83</v>
      </c>
      <c r="IC92" s="50" t="s">
        <v>83</v>
      </c>
    </row>
    <row r="93" spans="1:257">
      <c r="A93" s="4" t="s">
        <v>522</v>
      </c>
      <c r="B93" s="82" t="str">
        <f t="array" ref="B93">_xlfn.LET(
  _xlpm.dates, _xlfn._xlws.FILTER(P93:HO93, (P95:HO95&lt;&gt;"")+(P97:HO97&lt;&gt;"")),
  _xlpm.numDates, IFERROR(VALUE(_xlpm.dates), _xlpm.dates),
  _xlpm.first, TEXT(MIN(_xlpm.numDates), "m/dd"),
  _xlpm.last, TEXT(MAX(_xlpm.numDates), "m/dd"),
  _xlpm.first &amp; "~" &amp; _xlpm.last
)</f>
        <v>3/27~4/27</v>
      </c>
      <c r="C93" s="78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 t="s">
        <v>522</v>
      </c>
      <c r="P93" s="3">
        <v>46107</v>
      </c>
      <c r="Q93" s="3">
        <v>46108</v>
      </c>
      <c r="R93" s="3">
        <v>46109</v>
      </c>
      <c r="S93" s="3">
        <v>46110</v>
      </c>
      <c r="T93" s="3">
        <v>46111</v>
      </c>
      <c r="U93" s="3">
        <v>46112</v>
      </c>
      <c r="V93" s="3">
        <v>46113</v>
      </c>
      <c r="W93" s="3">
        <v>46114</v>
      </c>
      <c r="X93" s="3">
        <v>46115</v>
      </c>
      <c r="Y93" s="3">
        <v>46116</v>
      </c>
      <c r="Z93" s="3">
        <v>46117</v>
      </c>
      <c r="AA93" s="3">
        <v>46118</v>
      </c>
      <c r="AB93" s="3">
        <v>46119</v>
      </c>
      <c r="AC93" s="3">
        <v>46120</v>
      </c>
      <c r="AD93" s="3">
        <v>46121</v>
      </c>
      <c r="AE93" s="3">
        <v>46122</v>
      </c>
      <c r="AF93" s="3">
        <v>46123</v>
      </c>
      <c r="AG93" s="3">
        <v>46124</v>
      </c>
      <c r="AH93" s="3">
        <v>46125</v>
      </c>
      <c r="AI93" s="3">
        <v>46126</v>
      </c>
      <c r="AJ93" s="3">
        <v>46127</v>
      </c>
      <c r="AK93" s="3">
        <v>46128</v>
      </c>
      <c r="AL93" s="3">
        <v>46129</v>
      </c>
      <c r="AM93" s="3">
        <v>46130</v>
      </c>
      <c r="AN93" s="3">
        <v>46131</v>
      </c>
      <c r="AO93" s="3">
        <v>46132</v>
      </c>
      <c r="AP93" s="3">
        <v>46133</v>
      </c>
      <c r="AQ93" s="3">
        <v>46134</v>
      </c>
      <c r="AR93" s="3">
        <v>46135</v>
      </c>
      <c r="AS93" s="3">
        <v>46136</v>
      </c>
      <c r="AT93" s="3">
        <v>46137</v>
      </c>
      <c r="AU93" s="3">
        <v>46138</v>
      </c>
      <c r="AV93" s="3">
        <v>46139</v>
      </c>
      <c r="AW93" s="3">
        <v>46140</v>
      </c>
      <c r="AX93" s="3">
        <v>46141</v>
      </c>
      <c r="AY93" s="3">
        <v>46142</v>
      </c>
      <c r="AZ93" s="3">
        <v>46143</v>
      </c>
      <c r="BA93" s="3">
        <v>46144</v>
      </c>
      <c r="BB93" s="3">
        <v>46145</v>
      </c>
      <c r="BC93" s="3">
        <v>46146</v>
      </c>
      <c r="BD93" s="3">
        <v>46147</v>
      </c>
      <c r="BE93" s="3">
        <v>46148</v>
      </c>
      <c r="BF93" s="3">
        <v>46149</v>
      </c>
      <c r="BG93" s="3">
        <v>46150</v>
      </c>
      <c r="BH93" s="3">
        <v>46151</v>
      </c>
      <c r="BI93" s="3">
        <v>46152</v>
      </c>
      <c r="BJ93" s="3">
        <v>46153</v>
      </c>
      <c r="BK93" s="3">
        <v>46154</v>
      </c>
      <c r="BL93" s="3">
        <v>46155</v>
      </c>
      <c r="BM93" s="3">
        <v>46156</v>
      </c>
      <c r="BN93" s="3">
        <v>46157</v>
      </c>
      <c r="BO93" s="3">
        <v>46158</v>
      </c>
      <c r="BP93" s="3">
        <v>46159</v>
      </c>
      <c r="BQ93" s="3">
        <v>46160</v>
      </c>
      <c r="BR93" s="3">
        <v>46161</v>
      </c>
      <c r="BS93" s="3">
        <v>46162</v>
      </c>
      <c r="BT93" s="3">
        <v>46163</v>
      </c>
      <c r="BU93" s="3">
        <v>46164</v>
      </c>
      <c r="BV93" s="3">
        <v>46165</v>
      </c>
      <c r="BW93" s="3">
        <v>46166</v>
      </c>
      <c r="BX93" s="3">
        <v>46167</v>
      </c>
      <c r="BY93" s="3">
        <v>46168</v>
      </c>
      <c r="BZ93" s="3">
        <v>46169</v>
      </c>
      <c r="CA93" s="3">
        <v>46170</v>
      </c>
      <c r="CB93" s="3">
        <v>46171</v>
      </c>
      <c r="CC93" s="3">
        <v>46172</v>
      </c>
      <c r="CD93" s="3">
        <v>46173</v>
      </c>
      <c r="CE93" s="3">
        <v>46174</v>
      </c>
      <c r="CF93" s="3">
        <v>46175</v>
      </c>
      <c r="CG93" s="3">
        <v>46176</v>
      </c>
      <c r="CH93" s="3">
        <v>46177</v>
      </c>
      <c r="CI93" s="3">
        <v>46178</v>
      </c>
      <c r="CJ93" s="3">
        <v>46179</v>
      </c>
      <c r="CK93" s="3">
        <v>46180</v>
      </c>
      <c r="CL93" s="3">
        <v>46181</v>
      </c>
      <c r="CM93" s="3">
        <v>46182</v>
      </c>
      <c r="CN93" s="3">
        <v>46183</v>
      </c>
      <c r="CO93" s="3">
        <v>46184</v>
      </c>
      <c r="CP93" s="3">
        <v>46185</v>
      </c>
      <c r="CQ93" s="3">
        <v>46186</v>
      </c>
      <c r="CR93" s="3">
        <v>46187</v>
      </c>
      <c r="CS93" s="3">
        <v>46188</v>
      </c>
      <c r="CT93" s="3">
        <v>46189</v>
      </c>
      <c r="CU93" s="3">
        <v>46190</v>
      </c>
      <c r="CV93" s="3">
        <v>46191</v>
      </c>
      <c r="CW93" s="3">
        <v>46192</v>
      </c>
      <c r="CX93" s="3">
        <v>46193</v>
      </c>
      <c r="CY93" s="3">
        <v>46194</v>
      </c>
      <c r="CZ93" s="3">
        <v>46195</v>
      </c>
      <c r="DA93" s="3">
        <v>46196</v>
      </c>
      <c r="DB93" s="3">
        <v>46197</v>
      </c>
      <c r="DC93" s="3">
        <v>46198</v>
      </c>
      <c r="DD93" s="3">
        <v>46199</v>
      </c>
      <c r="DE93" s="3">
        <v>46200</v>
      </c>
      <c r="DF93" s="3">
        <v>46201</v>
      </c>
      <c r="DG93" s="3">
        <v>46202</v>
      </c>
      <c r="DH93" s="3">
        <v>46203</v>
      </c>
      <c r="DI93" s="3">
        <v>46204</v>
      </c>
      <c r="DJ93" s="3">
        <v>46205</v>
      </c>
      <c r="DK93" s="3">
        <v>46206</v>
      </c>
      <c r="DL93" s="3">
        <v>46207</v>
      </c>
      <c r="DM93" s="3">
        <v>46208</v>
      </c>
      <c r="DN93" s="3">
        <v>46209</v>
      </c>
      <c r="DO93" s="3">
        <v>46210</v>
      </c>
      <c r="DP93" s="3">
        <v>46211</v>
      </c>
      <c r="DQ93" s="3">
        <v>46212</v>
      </c>
      <c r="DR93" s="3">
        <v>46213</v>
      </c>
      <c r="DS93" s="3">
        <v>46214</v>
      </c>
      <c r="DT93" s="3">
        <v>46215</v>
      </c>
      <c r="DU93" s="3">
        <v>46216</v>
      </c>
      <c r="DV93" s="3">
        <v>46217</v>
      </c>
      <c r="DW93" s="3">
        <v>46218</v>
      </c>
      <c r="DX93" s="3">
        <v>46219</v>
      </c>
      <c r="DY93" s="3">
        <v>46220</v>
      </c>
      <c r="DZ93" s="3">
        <v>46221</v>
      </c>
      <c r="EA93" s="3">
        <v>46222</v>
      </c>
      <c r="EB93" s="3">
        <v>46223</v>
      </c>
      <c r="EC93" s="3">
        <v>46224</v>
      </c>
      <c r="ED93" s="3">
        <v>46225</v>
      </c>
      <c r="EE93" s="3">
        <v>46226</v>
      </c>
      <c r="EF93" s="3">
        <v>46227</v>
      </c>
      <c r="EG93" s="3">
        <v>46228</v>
      </c>
      <c r="EH93" s="3">
        <v>46229</v>
      </c>
      <c r="EI93" s="3">
        <v>46230</v>
      </c>
      <c r="EJ93" s="3">
        <v>46231</v>
      </c>
      <c r="EK93" s="3">
        <v>46232</v>
      </c>
      <c r="EL93" s="3">
        <v>46233</v>
      </c>
      <c r="EM93" s="3">
        <v>46234</v>
      </c>
      <c r="EN93" s="3">
        <v>46235</v>
      </c>
      <c r="EO93" s="3">
        <v>46236</v>
      </c>
      <c r="EP93" s="3">
        <v>46237</v>
      </c>
      <c r="EQ93" s="3">
        <v>46238</v>
      </c>
      <c r="ER93" s="3">
        <v>46239</v>
      </c>
      <c r="ES93" s="3">
        <v>46240</v>
      </c>
      <c r="ET93" s="3">
        <v>46241</v>
      </c>
      <c r="EU93" s="3">
        <v>46242</v>
      </c>
      <c r="EV93" s="3">
        <v>46243</v>
      </c>
      <c r="EW93" s="3">
        <v>46244</v>
      </c>
      <c r="EX93" s="3">
        <v>46245</v>
      </c>
      <c r="EY93" s="3">
        <v>46246</v>
      </c>
      <c r="EZ93" s="3">
        <v>46247</v>
      </c>
      <c r="FA93" s="3">
        <v>46248</v>
      </c>
      <c r="FB93" s="3">
        <v>46249</v>
      </c>
      <c r="FC93" s="3">
        <v>46250</v>
      </c>
      <c r="FD93" s="3">
        <v>46251</v>
      </c>
      <c r="FE93" s="3">
        <v>46252</v>
      </c>
      <c r="FF93" s="3">
        <v>46253</v>
      </c>
      <c r="FG93" s="3">
        <v>46254</v>
      </c>
      <c r="FH93" s="3">
        <v>46255</v>
      </c>
      <c r="FI93" s="3">
        <v>46256</v>
      </c>
      <c r="FJ93" s="3">
        <v>46257</v>
      </c>
      <c r="FK93" s="3">
        <v>46258</v>
      </c>
      <c r="FL93" s="3">
        <v>46259</v>
      </c>
      <c r="FM93" s="3">
        <v>46260</v>
      </c>
      <c r="FN93" s="3">
        <v>46261</v>
      </c>
      <c r="FO93" s="3">
        <v>46262</v>
      </c>
      <c r="FP93" s="3">
        <v>46263</v>
      </c>
      <c r="FQ93" s="3">
        <v>46264</v>
      </c>
      <c r="FR93" s="3">
        <v>46265</v>
      </c>
      <c r="FS93" s="3">
        <v>46266</v>
      </c>
      <c r="FT93" s="3">
        <v>46267</v>
      </c>
      <c r="FU93" s="3">
        <v>46268</v>
      </c>
      <c r="FV93" s="3">
        <v>46269</v>
      </c>
      <c r="FW93" s="3">
        <v>46270</v>
      </c>
      <c r="FX93" s="3">
        <v>46271</v>
      </c>
      <c r="FY93" s="3">
        <v>46272</v>
      </c>
      <c r="FZ93" s="3">
        <v>46273</v>
      </c>
      <c r="GA93" s="3">
        <v>46274</v>
      </c>
      <c r="GB93" s="3">
        <v>46275</v>
      </c>
      <c r="GC93" s="3">
        <v>46276</v>
      </c>
      <c r="GD93" s="3">
        <v>46277</v>
      </c>
      <c r="GE93" s="3">
        <v>46278</v>
      </c>
      <c r="GF93" s="3">
        <v>46279</v>
      </c>
      <c r="GG93" s="3">
        <v>46280</v>
      </c>
      <c r="GH93" s="3">
        <v>46281</v>
      </c>
      <c r="GI93" s="3">
        <v>46282</v>
      </c>
      <c r="GJ93" s="3">
        <v>46283</v>
      </c>
      <c r="GK93" s="3">
        <v>46284</v>
      </c>
      <c r="GL93" s="3">
        <v>46285</v>
      </c>
      <c r="GM93" s="3">
        <v>46286</v>
      </c>
      <c r="GN93" s="3">
        <v>46287</v>
      </c>
      <c r="GO93" s="3">
        <v>46288</v>
      </c>
      <c r="GP93" s="3">
        <v>46289</v>
      </c>
      <c r="GQ93" s="3">
        <v>46290</v>
      </c>
      <c r="GR93" s="3">
        <v>46291</v>
      </c>
      <c r="GS93" s="3">
        <v>46292</v>
      </c>
      <c r="GT93" s="3">
        <v>46293</v>
      </c>
      <c r="GU93" s="3">
        <v>46294</v>
      </c>
      <c r="GV93" s="3">
        <v>46295</v>
      </c>
      <c r="GW93" s="3">
        <v>46296</v>
      </c>
      <c r="GX93" s="3">
        <v>46297</v>
      </c>
      <c r="GY93" s="3">
        <v>46298</v>
      </c>
      <c r="GZ93" s="3">
        <v>46299</v>
      </c>
      <c r="HA93" s="3">
        <v>46300</v>
      </c>
      <c r="HB93" s="3">
        <v>46301</v>
      </c>
      <c r="HC93" s="3">
        <v>46302</v>
      </c>
      <c r="HD93" s="3">
        <v>46303</v>
      </c>
      <c r="HE93" s="3">
        <v>46304</v>
      </c>
      <c r="HF93" s="3">
        <v>46305</v>
      </c>
      <c r="HG93" s="3">
        <v>46306</v>
      </c>
      <c r="HH93" s="3">
        <v>46307</v>
      </c>
      <c r="HI93" s="3">
        <v>46308</v>
      </c>
      <c r="HJ93" s="3">
        <v>46309</v>
      </c>
      <c r="HK93" s="3">
        <v>46310</v>
      </c>
      <c r="HL93" s="3">
        <v>46311</v>
      </c>
      <c r="HM93" s="3">
        <v>46312</v>
      </c>
      <c r="HN93" s="3">
        <v>46313</v>
      </c>
      <c r="HO93" s="3">
        <v>46314</v>
      </c>
      <c r="HP93" s="3">
        <v>46315</v>
      </c>
      <c r="HQ93" s="3">
        <v>46316</v>
      </c>
      <c r="HR93" s="3">
        <v>46317</v>
      </c>
      <c r="HS93" s="3">
        <v>46318</v>
      </c>
      <c r="HT93" s="3">
        <v>46319</v>
      </c>
      <c r="HU93" s="3">
        <v>46320</v>
      </c>
      <c r="HV93" s="3">
        <v>46321</v>
      </c>
      <c r="HW93" s="3">
        <v>46322</v>
      </c>
      <c r="HX93" s="3">
        <v>46323</v>
      </c>
      <c r="HY93" s="3">
        <v>46324</v>
      </c>
      <c r="HZ93" s="3">
        <v>46325</v>
      </c>
      <c r="IA93" s="3">
        <v>46326</v>
      </c>
      <c r="IB93" s="3">
        <v>46327</v>
      </c>
      <c r="IC93" s="3">
        <v>46328</v>
      </c>
    </row>
    <row r="94" spans="1:257">
      <c r="A94" s="4" t="s">
        <v>694</v>
      </c>
      <c r="B94" s="82" t="str">
        <f t="array" ref="B94">COLUMNS(_xlfn._xlws.FILTER(P93:HO93, (P95:HO95&lt;&gt;"")+(P97:HO97&lt;&gt;""))) &amp; "場"</f>
        <v>27場</v>
      </c>
      <c r="C94" s="78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 t="s">
        <v>675</v>
      </c>
      <c r="P94" s="3" t="s">
        <v>676</v>
      </c>
      <c r="Q94" s="3" t="s">
        <v>677</v>
      </c>
      <c r="R94" s="3" t="s">
        <v>678</v>
      </c>
      <c r="S94" s="3" t="s">
        <v>679</v>
      </c>
      <c r="T94" s="3" t="s">
        <v>680</v>
      </c>
      <c r="U94" s="3" t="s">
        <v>681</v>
      </c>
      <c r="V94" s="3" t="s">
        <v>682</v>
      </c>
      <c r="W94" s="3" t="s">
        <v>676</v>
      </c>
      <c r="X94" s="3" t="s">
        <v>677</v>
      </c>
      <c r="Y94" s="3" t="s">
        <v>678</v>
      </c>
      <c r="Z94" s="3" t="s">
        <v>679</v>
      </c>
      <c r="AA94" s="3" t="s">
        <v>680</v>
      </c>
      <c r="AB94" s="3" t="s">
        <v>681</v>
      </c>
      <c r="AC94" s="3" t="s">
        <v>682</v>
      </c>
      <c r="AD94" s="3" t="s">
        <v>676</v>
      </c>
      <c r="AE94" s="3" t="s">
        <v>677</v>
      </c>
      <c r="AF94" s="3" t="s">
        <v>678</v>
      </c>
      <c r="AG94" s="3" t="s">
        <v>679</v>
      </c>
      <c r="AH94" s="3" t="s">
        <v>680</v>
      </c>
      <c r="AI94" s="3" t="s">
        <v>681</v>
      </c>
      <c r="AJ94" s="3" t="s">
        <v>682</v>
      </c>
      <c r="AK94" s="3" t="s">
        <v>676</v>
      </c>
      <c r="AL94" s="3" t="s">
        <v>677</v>
      </c>
      <c r="AM94" s="3" t="s">
        <v>678</v>
      </c>
      <c r="AN94" s="3" t="s">
        <v>679</v>
      </c>
      <c r="AO94" s="3" t="s">
        <v>680</v>
      </c>
      <c r="AP94" s="3" t="s">
        <v>681</v>
      </c>
      <c r="AQ94" s="3" t="s">
        <v>682</v>
      </c>
      <c r="AR94" s="3" t="s">
        <v>676</v>
      </c>
      <c r="AS94" s="3" t="s">
        <v>677</v>
      </c>
      <c r="AT94" s="3" t="s">
        <v>678</v>
      </c>
      <c r="AU94" s="3" t="s">
        <v>679</v>
      </c>
      <c r="AV94" s="3" t="s">
        <v>680</v>
      </c>
      <c r="AW94" s="3" t="s">
        <v>681</v>
      </c>
      <c r="AX94" s="3" t="s">
        <v>682</v>
      </c>
      <c r="AY94" s="3" t="s">
        <v>676</v>
      </c>
      <c r="AZ94" s="3" t="s">
        <v>677</v>
      </c>
      <c r="BA94" s="3" t="s">
        <v>678</v>
      </c>
      <c r="BB94" s="3" t="s">
        <v>679</v>
      </c>
      <c r="BC94" s="3" t="s">
        <v>680</v>
      </c>
      <c r="BD94" s="3" t="s">
        <v>681</v>
      </c>
      <c r="BE94" s="3" t="s">
        <v>682</v>
      </c>
      <c r="BF94" s="3" t="s">
        <v>676</v>
      </c>
      <c r="BG94" s="3" t="s">
        <v>677</v>
      </c>
      <c r="BH94" s="3" t="s">
        <v>678</v>
      </c>
      <c r="BI94" s="3" t="s">
        <v>679</v>
      </c>
      <c r="BJ94" s="3" t="s">
        <v>680</v>
      </c>
      <c r="BK94" s="3" t="s">
        <v>681</v>
      </c>
      <c r="BL94" s="3" t="s">
        <v>682</v>
      </c>
      <c r="BM94" s="3" t="s">
        <v>676</v>
      </c>
      <c r="BN94" s="3" t="s">
        <v>677</v>
      </c>
      <c r="BO94" s="3" t="s">
        <v>678</v>
      </c>
      <c r="BP94" s="3" t="s">
        <v>679</v>
      </c>
      <c r="BQ94" s="3" t="s">
        <v>680</v>
      </c>
      <c r="BR94" s="3" t="s">
        <v>681</v>
      </c>
      <c r="BS94" s="3" t="s">
        <v>682</v>
      </c>
      <c r="BT94" s="3" t="s">
        <v>676</v>
      </c>
      <c r="BU94" s="3" t="s">
        <v>677</v>
      </c>
      <c r="BV94" s="3" t="s">
        <v>678</v>
      </c>
      <c r="BW94" s="3" t="s">
        <v>679</v>
      </c>
      <c r="BX94" s="3" t="s">
        <v>680</v>
      </c>
      <c r="BY94" s="3" t="s">
        <v>681</v>
      </c>
      <c r="BZ94" s="3" t="s">
        <v>682</v>
      </c>
      <c r="CA94" s="3" t="s">
        <v>676</v>
      </c>
      <c r="CB94" s="3" t="s">
        <v>677</v>
      </c>
      <c r="CC94" s="3" t="s">
        <v>678</v>
      </c>
      <c r="CD94" s="3" t="s">
        <v>679</v>
      </c>
      <c r="CE94" s="3" t="s">
        <v>680</v>
      </c>
      <c r="CF94" s="3" t="s">
        <v>681</v>
      </c>
      <c r="CG94" s="3" t="s">
        <v>682</v>
      </c>
      <c r="CH94" s="3" t="s">
        <v>676</v>
      </c>
      <c r="CI94" s="3" t="s">
        <v>677</v>
      </c>
      <c r="CJ94" s="3" t="s">
        <v>678</v>
      </c>
      <c r="CK94" s="3" t="s">
        <v>679</v>
      </c>
      <c r="CL94" s="3" t="s">
        <v>680</v>
      </c>
      <c r="CM94" s="3" t="s">
        <v>681</v>
      </c>
      <c r="CN94" s="3" t="s">
        <v>682</v>
      </c>
      <c r="CO94" s="3" t="s">
        <v>676</v>
      </c>
      <c r="CP94" s="3" t="s">
        <v>677</v>
      </c>
      <c r="CQ94" s="3" t="s">
        <v>678</v>
      </c>
      <c r="CR94" s="3" t="s">
        <v>679</v>
      </c>
      <c r="CS94" s="3" t="s">
        <v>680</v>
      </c>
      <c r="CT94" s="3" t="s">
        <v>681</v>
      </c>
      <c r="CU94" s="3" t="s">
        <v>682</v>
      </c>
      <c r="CV94" s="3" t="s">
        <v>676</v>
      </c>
      <c r="CW94" s="3" t="s">
        <v>677</v>
      </c>
      <c r="CX94" s="3" t="s">
        <v>678</v>
      </c>
      <c r="CY94" s="3" t="s">
        <v>679</v>
      </c>
      <c r="CZ94" s="3" t="s">
        <v>680</v>
      </c>
      <c r="DA94" s="3" t="s">
        <v>681</v>
      </c>
      <c r="DB94" s="3" t="s">
        <v>682</v>
      </c>
      <c r="DC94" s="3" t="s">
        <v>676</v>
      </c>
      <c r="DD94" s="3" t="s">
        <v>677</v>
      </c>
      <c r="DE94" s="3" t="s">
        <v>678</v>
      </c>
      <c r="DF94" s="3" t="s">
        <v>679</v>
      </c>
      <c r="DG94" s="3" t="s">
        <v>680</v>
      </c>
      <c r="DH94" s="3" t="s">
        <v>681</v>
      </c>
      <c r="DI94" s="3" t="s">
        <v>682</v>
      </c>
      <c r="DJ94" s="3" t="s">
        <v>676</v>
      </c>
      <c r="DK94" s="3" t="s">
        <v>677</v>
      </c>
      <c r="DL94" s="3" t="s">
        <v>678</v>
      </c>
      <c r="DM94" s="3" t="s">
        <v>679</v>
      </c>
      <c r="DN94" s="3" t="s">
        <v>680</v>
      </c>
      <c r="DO94" s="3" t="s">
        <v>681</v>
      </c>
      <c r="DP94" s="3" t="s">
        <v>682</v>
      </c>
      <c r="DQ94" s="3" t="s">
        <v>676</v>
      </c>
      <c r="DR94" s="3" t="s">
        <v>677</v>
      </c>
      <c r="DS94" s="3" t="s">
        <v>678</v>
      </c>
      <c r="DT94" s="3" t="s">
        <v>679</v>
      </c>
      <c r="DU94" s="3" t="s">
        <v>680</v>
      </c>
      <c r="DV94" s="3" t="s">
        <v>681</v>
      </c>
      <c r="DW94" s="3" t="s">
        <v>682</v>
      </c>
      <c r="DX94" s="3" t="s">
        <v>676</v>
      </c>
      <c r="DY94" s="3" t="s">
        <v>677</v>
      </c>
      <c r="DZ94" s="3" t="s">
        <v>678</v>
      </c>
      <c r="EA94" s="3" t="s">
        <v>679</v>
      </c>
      <c r="EB94" s="3" t="s">
        <v>680</v>
      </c>
      <c r="EC94" s="3" t="s">
        <v>681</v>
      </c>
      <c r="ED94" s="3" t="s">
        <v>682</v>
      </c>
      <c r="EE94" s="3" t="s">
        <v>676</v>
      </c>
      <c r="EF94" s="3" t="s">
        <v>677</v>
      </c>
      <c r="EG94" s="3" t="s">
        <v>678</v>
      </c>
      <c r="EH94" s="3" t="s">
        <v>679</v>
      </c>
      <c r="EI94" s="3" t="s">
        <v>680</v>
      </c>
      <c r="EJ94" s="3" t="s">
        <v>681</v>
      </c>
      <c r="EK94" s="3" t="s">
        <v>682</v>
      </c>
      <c r="EL94" s="3" t="s">
        <v>676</v>
      </c>
      <c r="EM94" s="3" t="s">
        <v>677</v>
      </c>
      <c r="EN94" s="3" t="s">
        <v>678</v>
      </c>
      <c r="EO94" s="3" t="s">
        <v>679</v>
      </c>
      <c r="EP94" s="3" t="s">
        <v>680</v>
      </c>
      <c r="EQ94" s="3" t="s">
        <v>681</v>
      </c>
      <c r="ER94" s="3" t="s">
        <v>682</v>
      </c>
      <c r="ES94" s="3" t="s">
        <v>676</v>
      </c>
      <c r="ET94" s="3" t="s">
        <v>677</v>
      </c>
      <c r="EU94" s="3" t="s">
        <v>678</v>
      </c>
      <c r="EV94" s="3" t="s">
        <v>679</v>
      </c>
      <c r="EW94" s="3" t="s">
        <v>680</v>
      </c>
      <c r="EX94" s="3" t="s">
        <v>681</v>
      </c>
      <c r="EY94" s="3" t="s">
        <v>682</v>
      </c>
      <c r="EZ94" s="3" t="s">
        <v>676</v>
      </c>
      <c r="FA94" s="3" t="s">
        <v>677</v>
      </c>
      <c r="FB94" s="3" t="s">
        <v>678</v>
      </c>
      <c r="FC94" s="3" t="s">
        <v>679</v>
      </c>
      <c r="FD94" s="3" t="s">
        <v>680</v>
      </c>
      <c r="FE94" s="3" t="s">
        <v>681</v>
      </c>
      <c r="FF94" s="3" t="s">
        <v>682</v>
      </c>
      <c r="FG94" s="3" t="s">
        <v>676</v>
      </c>
      <c r="FH94" s="3" t="s">
        <v>677</v>
      </c>
      <c r="FI94" s="3" t="s">
        <v>678</v>
      </c>
      <c r="FJ94" s="3" t="s">
        <v>679</v>
      </c>
      <c r="FK94" s="3" t="s">
        <v>680</v>
      </c>
      <c r="FL94" s="3" t="s">
        <v>681</v>
      </c>
      <c r="FM94" s="3" t="s">
        <v>682</v>
      </c>
      <c r="FN94" s="3" t="s">
        <v>676</v>
      </c>
      <c r="FO94" s="3" t="s">
        <v>677</v>
      </c>
      <c r="FP94" s="3" t="s">
        <v>678</v>
      </c>
      <c r="FQ94" s="3" t="s">
        <v>679</v>
      </c>
      <c r="FR94" s="3" t="s">
        <v>680</v>
      </c>
      <c r="FS94" s="3" t="s">
        <v>681</v>
      </c>
      <c r="FT94" s="3" t="s">
        <v>682</v>
      </c>
      <c r="FU94" s="3" t="s">
        <v>676</v>
      </c>
      <c r="FV94" s="3" t="s">
        <v>677</v>
      </c>
      <c r="FW94" s="3" t="s">
        <v>678</v>
      </c>
      <c r="FX94" s="3" t="s">
        <v>679</v>
      </c>
      <c r="FY94" s="3" t="s">
        <v>680</v>
      </c>
      <c r="FZ94" s="3" t="s">
        <v>681</v>
      </c>
      <c r="GA94" s="3" t="s">
        <v>682</v>
      </c>
      <c r="GB94" s="3" t="s">
        <v>676</v>
      </c>
      <c r="GC94" s="3" t="s">
        <v>677</v>
      </c>
      <c r="GD94" s="3" t="s">
        <v>678</v>
      </c>
      <c r="GE94" s="3" t="s">
        <v>679</v>
      </c>
      <c r="GF94" s="3" t="s">
        <v>680</v>
      </c>
      <c r="GG94" s="3" t="s">
        <v>681</v>
      </c>
      <c r="GH94" s="3" t="s">
        <v>682</v>
      </c>
      <c r="GI94" s="3" t="s">
        <v>676</v>
      </c>
      <c r="GJ94" s="3" t="s">
        <v>677</v>
      </c>
      <c r="GK94" s="3" t="s">
        <v>678</v>
      </c>
      <c r="GL94" s="3" t="s">
        <v>679</v>
      </c>
      <c r="GM94" s="3" t="s">
        <v>680</v>
      </c>
      <c r="GN94" s="3" t="s">
        <v>681</v>
      </c>
      <c r="GO94" s="3" t="s">
        <v>682</v>
      </c>
      <c r="GP94" s="3" t="s">
        <v>676</v>
      </c>
      <c r="GQ94" s="3" t="s">
        <v>677</v>
      </c>
      <c r="GR94" s="3" t="s">
        <v>678</v>
      </c>
      <c r="GS94" s="3" t="s">
        <v>679</v>
      </c>
      <c r="GT94" s="3" t="s">
        <v>680</v>
      </c>
      <c r="GU94" s="3" t="s">
        <v>681</v>
      </c>
      <c r="GV94" s="3" t="s">
        <v>682</v>
      </c>
      <c r="GW94" s="3" t="s">
        <v>676</v>
      </c>
      <c r="GX94" s="3" t="s">
        <v>677</v>
      </c>
      <c r="GY94" s="3" t="s">
        <v>678</v>
      </c>
      <c r="GZ94" s="3" t="s">
        <v>679</v>
      </c>
      <c r="HA94" s="3" t="s">
        <v>680</v>
      </c>
      <c r="HB94" s="3" t="s">
        <v>681</v>
      </c>
      <c r="HC94" s="3" t="s">
        <v>682</v>
      </c>
      <c r="HD94" s="3" t="s">
        <v>676</v>
      </c>
      <c r="HE94" s="3" t="s">
        <v>677</v>
      </c>
      <c r="HF94" s="3" t="s">
        <v>678</v>
      </c>
      <c r="HG94" s="3" t="s">
        <v>679</v>
      </c>
      <c r="HH94" s="3" t="s">
        <v>680</v>
      </c>
      <c r="HI94" s="3" t="s">
        <v>681</v>
      </c>
      <c r="HJ94" s="3" t="s">
        <v>682</v>
      </c>
      <c r="HK94" s="3" t="s">
        <v>676</v>
      </c>
      <c r="HL94" s="3" t="s">
        <v>677</v>
      </c>
      <c r="HM94" s="3" t="s">
        <v>678</v>
      </c>
      <c r="HN94" s="3" t="s">
        <v>679</v>
      </c>
      <c r="HO94" s="3" t="s">
        <v>680</v>
      </c>
      <c r="HP94" s="3" t="s">
        <v>681</v>
      </c>
      <c r="HQ94" s="3" t="s">
        <v>682</v>
      </c>
      <c r="HR94" s="3" t="s">
        <v>676</v>
      </c>
      <c r="HS94" s="3" t="s">
        <v>677</v>
      </c>
      <c r="HT94" s="3" t="s">
        <v>678</v>
      </c>
      <c r="HU94" s="3" t="s">
        <v>679</v>
      </c>
      <c r="HV94" s="3" t="s">
        <v>680</v>
      </c>
      <c r="HW94" s="3" t="s">
        <v>681</v>
      </c>
      <c r="HX94" s="3" t="s">
        <v>682</v>
      </c>
      <c r="HY94" s="3" t="s">
        <v>676</v>
      </c>
      <c r="HZ94" s="3" t="s">
        <v>677</v>
      </c>
      <c r="IA94" s="3" t="s">
        <v>678</v>
      </c>
      <c r="IB94" s="3" t="s">
        <v>679</v>
      </c>
      <c r="IC94" s="3" t="s">
        <v>680</v>
      </c>
    </row>
    <row r="95" spans="1:257">
      <c r="A95" s="82" t="s">
        <v>695</v>
      </c>
      <c r="B95" s="82" t="str">
        <f>COUNTIF(P95:IC95, "W")&amp;"勝"</f>
        <v>12勝</v>
      </c>
      <c r="C95" s="82" t="str">
        <f>COUNTIF(P95:IC95, "L")&amp;"敗"</f>
        <v>15敗</v>
      </c>
      <c r="D95" s="82" t="s">
        <v>696</v>
      </c>
      <c r="E95" s="78"/>
      <c r="F95" s="82" t="s">
        <v>728</v>
      </c>
      <c r="G95" s="78"/>
      <c r="H95" s="78"/>
      <c r="I95" s="78"/>
      <c r="J95" s="78"/>
      <c r="K95" s="78"/>
      <c r="L95" s="78"/>
      <c r="M95" s="82"/>
      <c r="N95" s="78"/>
      <c r="O95" s="1" t="s">
        <v>698</v>
      </c>
      <c r="Q95" t="s">
        <v>700</v>
      </c>
      <c r="S95" t="s">
        <v>699</v>
      </c>
      <c r="T95" t="s">
        <v>700</v>
      </c>
      <c r="U95" t="s">
        <v>700</v>
      </c>
      <c r="W95" t="s">
        <v>700</v>
      </c>
      <c r="X95" t="s">
        <v>699</v>
      </c>
      <c r="Y95" t="s">
        <v>699</v>
      </c>
      <c r="Z95" t="s">
        <v>700</v>
      </c>
      <c r="AA95" t="s">
        <v>700</v>
      </c>
      <c r="AB95" t="s">
        <v>699</v>
      </c>
      <c r="AC95" t="s">
        <v>699</v>
      </c>
      <c r="AD95" t="s">
        <v>699</v>
      </c>
      <c r="AE95" t="s">
        <v>699</v>
      </c>
      <c r="AF95" t="s">
        <v>700</v>
      </c>
      <c r="AG95" t="s">
        <v>699</v>
      </c>
      <c r="AH95" t="s">
        <v>699</v>
      </c>
      <c r="AI95" t="s">
        <v>699</v>
      </c>
      <c r="AJ95" t="s">
        <v>699</v>
      </c>
      <c r="AK95" t="s">
        <v>700</v>
      </c>
      <c r="AM95" t="s">
        <v>700</v>
      </c>
      <c r="AN95" t="s">
        <v>700</v>
      </c>
      <c r="AO95" t="s">
        <v>700</v>
      </c>
      <c r="AQ95" t="s">
        <v>699</v>
      </c>
      <c r="AS95" t="s">
        <v>700</v>
      </c>
      <c r="AT95" t="s">
        <v>700</v>
      </c>
      <c r="AU95" t="s">
        <v>700</v>
      </c>
      <c r="AV95" t="s">
        <v>700</v>
      </c>
    </row>
    <row r="96" spans="1:257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1" t="s">
        <v>701</v>
      </c>
    </row>
    <row r="97" spans="1:257">
      <c r="A97" s="82" t="s">
        <v>702</v>
      </c>
      <c r="B97" s="82" t="str">
        <f>COUNTIF(P97:IC97, "O")&amp;"正"</f>
        <v>13正</v>
      </c>
      <c r="C97" s="82" t="str">
        <f>COUNTIF(P97:IC97, "X")&amp;"負"</f>
        <v>14負</v>
      </c>
      <c r="D97" s="82" t="s">
        <v>703</v>
      </c>
      <c r="E97" s="78"/>
      <c r="F97" s="82" t="s">
        <v>729</v>
      </c>
      <c r="G97" s="78"/>
      <c r="H97" s="78"/>
      <c r="I97" s="78"/>
      <c r="J97" s="78"/>
      <c r="K97" s="78"/>
      <c r="L97" s="78"/>
      <c r="M97" s="82"/>
      <c r="N97" s="78"/>
      <c r="O97" s="1" t="s">
        <v>705</v>
      </c>
      <c r="Q97" t="s">
        <v>683</v>
      </c>
      <c r="S97" t="s">
        <v>683</v>
      </c>
      <c r="T97" t="s">
        <v>684</v>
      </c>
      <c r="U97" t="s">
        <v>684</v>
      </c>
      <c r="W97" t="s">
        <v>684</v>
      </c>
      <c r="X97" t="s">
        <v>683</v>
      </c>
      <c r="Y97" t="s">
        <v>683</v>
      </c>
      <c r="Z97" t="s">
        <v>684</v>
      </c>
      <c r="AA97" t="s">
        <v>684</v>
      </c>
      <c r="AB97" t="s">
        <v>683</v>
      </c>
      <c r="AC97" t="s">
        <v>683</v>
      </c>
      <c r="AD97" t="s">
        <v>683</v>
      </c>
      <c r="AE97" t="s">
        <v>683</v>
      </c>
      <c r="AF97" t="s">
        <v>684</v>
      </c>
      <c r="AG97" t="s">
        <v>683</v>
      </c>
      <c r="AH97" t="s">
        <v>683</v>
      </c>
      <c r="AI97" t="s">
        <v>683</v>
      </c>
      <c r="AJ97" t="s">
        <v>683</v>
      </c>
      <c r="AK97" t="s">
        <v>684</v>
      </c>
      <c r="AM97" t="s">
        <v>684</v>
      </c>
      <c r="AN97" t="s">
        <v>684</v>
      </c>
      <c r="AO97" t="s">
        <v>684</v>
      </c>
      <c r="AQ97" t="s">
        <v>683</v>
      </c>
      <c r="AS97" t="s">
        <v>684</v>
      </c>
      <c r="AT97" t="s">
        <v>684</v>
      </c>
      <c r="AU97" t="s">
        <v>684</v>
      </c>
      <c r="AV97" t="s">
        <v>684</v>
      </c>
      <c r="IN97" t="str">
        <f ca="1">IFERROR(INDEX($P97:$IC97,1,_xludf.AGGREGATE(14,6,(COLUMN($P97:$IC97)-COLUMN($P97)+1)/($P97:$IC97&lt;&gt;""),1)),"")</f>
        <v/>
      </c>
      <c r="IO97" t="str">
        <f ca="1">IFERROR(INDEX($P97:$IC97,1,_xludf.AGGREGATE(14,6,(COLUMN($P97:$IC97)-COLUMN($P97)+1)/($P97:$IC97&lt;&gt;""),2)),"")</f>
        <v/>
      </c>
      <c r="IP97" t="str">
        <f ca="1">IFERROR(INDEX($P97:$IC97,1,_xludf.AGGREGATE(14,6,(COLUMN($P97:$IC97)-COLUMN($P97)+1)/($P97:$IC97&lt;&gt;""),3)),"")</f>
        <v/>
      </c>
      <c r="IQ97" t="str">
        <f ca="1">IFERROR(INDEX($P97:$IC97,1,_xludf.AGGREGATE(14,6,(COLUMN($P97:$IC97)-COLUMN($P97)+1)/($P97:$IC97&lt;&gt;""),4)),"")</f>
        <v/>
      </c>
      <c r="IR97" t="str">
        <f ca="1">IFERROR(INDEX($P97:$IC97,1,_xludf.AGGREGATE(14,6,(COLUMN($P97:$IC97)-COLUMN($P97)+1)/($P97:$IC97&lt;&gt;""),5)),"")</f>
        <v/>
      </c>
      <c r="IS97" t="str">
        <f ca="1">IFERROR(INDEX($P97:$IC97,1,_xludf.AGGREGATE(14,6,(COLUMN($P97:$IC97)-COLUMN($P97)+1)/($P97:$IC97&lt;&gt;""),6)),"")</f>
        <v/>
      </c>
      <c r="IT97" t="str">
        <f ca="1">IFERROR(INDEX($P97:$IC97,1,_xludf.AGGREGATE(14,6,(COLUMN($P97:$IC97)-COLUMN($P97)+1)/($P97:$IC97&lt;&gt;""),7)),"")</f>
        <v/>
      </c>
      <c r="IU97" t="str">
        <f ca="1">IFERROR(INDEX($P97:$IC97,1,_xludf.AGGREGATE(14,6,(COLUMN($P97:$IC97)-COLUMN($P97)+1)/($P97:$IC97&lt;&gt;""),8)),"")</f>
        <v/>
      </c>
      <c r="IV97" t="str">
        <f ca="1">IFERROR(INDEX($P97:$IC97,1,_xludf.AGGREGATE(14,6,(COLUMN($P97:$IC97)-COLUMN($P97)+1)/($P97:$IC97&lt;&gt;""),9)),"")</f>
        <v/>
      </c>
      <c r="IW97" t="str">
        <f ca="1">IFERROR(INDEX($P97:$IC97,1,_xludf.AGGREGATE(14,6,(COLUMN($P97:$IC97)-COLUMN($P97)+1)/($P97:$IC97&lt;&gt;""),10)),"")</f>
        <v/>
      </c>
    </row>
    <row r="98" spans="1:257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1" t="s">
        <v>706</v>
      </c>
    </row>
    <row r="99" spans="1:257">
      <c r="A99" s="82" t="s">
        <v>707</v>
      </c>
      <c r="B99" s="77"/>
      <c r="C99" s="77"/>
      <c r="D99" s="82" t="s">
        <v>708</v>
      </c>
      <c r="E99" s="78"/>
      <c r="F99" s="82"/>
      <c r="G99" s="78"/>
      <c r="H99" s="78"/>
      <c r="I99" s="78"/>
      <c r="J99" s="78"/>
      <c r="K99" s="78"/>
      <c r="L99" s="78"/>
      <c r="M99" s="82"/>
      <c r="N99" s="78"/>
      <c r="O99" s="1" t="s">
        <v>709</v>
      </c>
    </row>
    <row r="100" spans="1:257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1" t="s">
        <v>710</v>
      </c>
    </row>
    <row r="101" spans="1:257">
      <c r="A101" s="108" t="s">
        <v>56</v>
      </c>
      <c r="B101" s="78"/>
      <c r="C101" s="78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 t="s">
        <v>674</v>
      </c>
      <c r="P101" s="6">
        <v>1</v>
      </c>
      <c r="Q101" s="6">
        <v>2</v>
      </c>
      <c r="R101" s="6">
        <v>3</v>
      </c>
      <c r="S101" s="6">
        <v>4</v>
      </c>
      <c r="T101" s="6">
        <v>5</v>
      </c>
      <c r="U101" s="6">
        <v>6</v>
      </c>
      <c r="V101" s="6">
        <v>7</v>
      </c>
      <c r="W101" s="6">
        <v>8</v>
      </c>
      <c r="X101" s="6">
        <v>9</v>
      </c>
      <c r="Y101" s="6">
        <v>10</v>
      </c>
      <c r="Z101" s="6">
        <v>11</v>
      </c>
      <c r="AA101" s="6">
        <v>12</v>
      </c>
      <c r="AB101" s="6">
        <v>13</v>
      </c>
      <c r="AC101" s="6">
        <v>14</v>
      </c>
      <c r="AD101" s="6">
        <v>15</v>
      </c>
      <c r="AE101" s="6">
        <v>16</v>
      </c>
      <c r="AF101" s="6">
        <v>17</v>
      </c>
      <c r="AG101" s="6">
        <v>18</v>
      </c>
      <c r="AH101" s="6">
        <v>19</v>
      </c>
      <c r="AI101" s="6">
        <v>20</v>
      </c>
      <c r="AJ101" s="6">
        <v>21</v>
      </c>
      <c r="AK101" s="6">
        <v>22</v>
      </c>
      <c r="AL101" s="6">
        <v>23</v>
      </c>
      <c r="AM101" s="6">
        <v>24</v>
      </c>
      <c r="AN101" s="6">
        <v>25</v>
      </c>
      <c r="AO101" s="6">
        <v>26</v>
      </c>
      <c r="AP101" s="6">
        <v>27</v>
      </c>
      <c r="AQ101" s="6">
        <v>28</v>
      </c>
      <c r="AR101" s="6">
        <v>29</v>
      </c>
      <c r="AS101" s="6">
        <v>30</v>
      </c>
      <c r="AT101" s="6">
        <v>31</v>
      </c>
      <c r="AU101" s="6">
        <v>32</v>
      </c>
      <c r="AV101" s="6">
        <v>33</v>
      </c>
      <c r="AW101" s="6">
        <v>34</v>
      </c>
      <c r="AX101" s="6">
        <v>35</v>
      </c>
      <c r="AY101" s="6">
        <v>36</v>
      </c>
      <c r="AZ101" s="6">
        <v>37</v>
      </c>
      <c r="BA101" s="6">
        <v>38</v>
      </c>
      <c r="BB101" s="6">
        <v>39</v>
      </c>
      <c r="BC101" s="6">
        <v>40</v>
      </c>
      <c r="BD101" s="6">
        <v>41</v>
      </c>
      <c r="BE101" s="6">
        <v>42</v>
      </c>
      <c r="BF101" s="6">
        <v>43</v>
      </c>
      <c r="BG101" s="6">
        <v>44</v>
      </c>
      <c r="BH101" s="6">
        <v>45</v>
      </c>
      <c r="BI101" s="6">
        <v>46</v>
      </c>
      <c r="BJ101" s="6">
        <v>47</v>
      </c>
      <c r="BK101" s="6">
        <v>48</v>
      </c>
      <c r="BL101" s="6">
        <v>49</v>
      </c>
      <c r="BM101" s="6">
        <v>50</v>
      </c>
      <c r="BN101" s="6">
        <v>51</v>
      </c>
      <c r="BO101" s="6">
        <v>52</v>
      </c>
      <c r="BP101" s="6">
        <v>53</v>
      </c>
      <c r="BQ101" s="6">
        <v>54</v>
      </c>
      <c r="BR101" s="6">
        <v>55</v>
      </c>
      <c r="BS101" s="6">
        <v>56</v>
      </c>
      <c r="BT101" s="6">
        <v>57</v>
      </c>
      <c r="BU101" s="6">
        <v>58</v>
      </c>
      <c r="BV101" s="6">
        <v>59</v>
      </c>
      <c r="BW101" s="6">
        <v>60</v>
      </c>
      <c r="BX101" s="6">
        <v>61</v>
      </c>
      <c r="BY101" s="6">
        <v>62</v>
      </c>
      <c r="BZ101" s="6">
        <v>63</v>
      </c>
      <c r="CA101" s="6">
        <v>64</v>
      </c>
      <c r="CB101" s="6">
        <v>65</v>
      </c>
      <c r="CC101" s="6">
        <v>66</v>
      </c>
      <c r="CD101" s="6">
        <v>67</v>
      </c>
      <c r="CE101" s="6">
        <v>68</v>
      </c>
      <c r="CF101" s="6">
        <v>69</v>
      </c>
      <c r="CG101" s="6">
        <v>70</v>
      </c>
      <c r="CH101" s="6">
        <v>71</v>
      </c>
      <c r="CI101" s="6">
        <v>72</v>
      </c>
      <c r="CJ101" s="6">
        <v>73</v>
      </c>
      <c r="CK101" s="6">
        <v>74</v>
      </c>
      <c r="CL101" s="6">
        <v>75</v>
      </c>
      <c r="CM101" s="6">
        <v>76</v>
      </c>
      <c r="CN101" s="6">
        <v>77</v>
      </c>
      <c r="CO101" s="6">
        <v>78</v>
      </c>
      <c r="CP101" s="6">
        <v>79</v>
      </c>
      <c r="CQ101" s="6">
        <v>80</v>
      </c>
      <c r="CR101" s="6">
        <v>81</v>
      </c>
      <c r="CS101" s="6">
        <v>82</v>
      </c>
      <c r="CT101" s="6">
        <v>83</v>
      </c>
      <c r="CU101" s="6">
        <v>84</v>
      </c>
      <c r="CV101" s="6">
        <v>85</v>
      </c>
      <c r="CW101" s="6">
        <v>86</v>
      </c>
      <c r="CX101" s="6">
        <v>87</v>
      </c>
      <c r="CY101" s="6">
        <v>88</v>
      </c>
      <c r="CZ101" s="6">
        <v>89</v>
      </c>
      <c r="DA101" s="6">
        <v>90</v>
      </c>
      <c r="DB101" s="6">
        <v>91</v>
      </c>
      <c r="DC101" s="6">
        <v>92</v>
      </c>
      <c r="DD101" s="6">
        <v>93</v>
      </c>
      <c r="DE101" s="6">
        <v>94</v>
      </c>
      <c r="DF101" s="6">
        <v>95</v>
      </c>
      <c r="DG101" s="6">
        <v>96</v>
      </c>
      <c r="DH101" s="6">
        <v>97</v>
      </c>
      <c r="DI101" s="6">
        <v>98</v>
      </c>
      <c r="DJ101" s="6">
        <v>99</v>
      </c>
      <c r="DK101" s="6">
        <v>100</v>
      </c>
      <c r="DL101" s="6">
        <v>101</v>
      </c>
      <c r="DM101" s="6">
        <v>102</v>
      </c>
      <c r="DN101" s="6">
        <v>103</v>
      </c>
      <c r="DO101" s="6">
        <v>104</v>
      </c>
      <c r="DP101" s="6">
        <v>105</v>
      </c>
      <c r="DQ101" s="6">
        <v>106</v>
      </c>
      <c r="DR101" s="6">
        <v>107</v>
      </c>
      <c r="DS101" s="6">
        <v>108</v>
      </c>
      <c r="DT101" s="6">
        <v>109</v>
      </c>
      <c r="DU101" s="6">
        <v>110</v>
      </c>
      <c r="DV101" s="6">
        <v>111</v>
      </c>
      <c r="DW101" s="6">
        <v>112</v>
      </c>
      <c r="DX101" s="6">
        <v>113</v>
      </c>
      <c r="DY101" s="6">
        <v>114</v>
      </c>
      <c r="DZ101" s="6">
        <v>115</v>
      </c>
      <c r="EA101" s="6">
        <v>116</v>
      </c>
      <c r="EB101" s="6">
        <v>117</v>
      </c>
      <c r="EC101" s="6">
        <v>118</v>
      </c>
      <c r="ED101" s="6">
        <v>119</v>
      </c>
      <c r="EE101" s="6">
        <v>120</v>
      </c>
      <c r="EF101" s="6">
        <v>121</v>
      </c>
      <c r="EG101" s="6">
        <v>122</v>
      </c>
      <c r="EH101" s="6">
        <v>123</v>
      </c>
      <c r="EI101" s="6">
        <v>124</v>
      </c>
      <c r="EJ101" s="6">
        <v>125</v>
      </c>
      <c r="EK101" s="6">
        <v>126</v>
      </c>
      <c r="EL101" s="6">
        <v>127</v>
      </c>
      <c r="EM101" s="6">
        <v>128</v>
      </c>
      <c r="EN101" s="6">
        <v>129</v>
      </c>
      <c r="EO101" s="6">
        <v>130</v>
      </c>
      <c r="EP101" s="6">
        <v>131</v>
      </c>
      <c r="EQ101" s="6">
        <v>132</v>
      </c>
      <c r="ER101" s="6">
        <v>133</v>
      </c>
      <c r="ES101" s="6">
        <v>134</v>
      </c>
      <c r="ET101" s="6">
        <v>135</v>
      </c>
      <c r="EU101" s="6">
        <v>136</v>
      </c>
      <c r="EV101" s="6">
        <v>137</v>
      </c>
      <c r="EW101" s="6">
        <v>138</v>
      </c>
      <c r="EX101" s="6">
        <v>139</v>
      </c>
      <c r="EY101" s="6">
        <v>140</v>
      </c>
      <c r="EZ101" s="6">
        <v>141</v>
      </c>
      <c r="FA101" s="6">
        <v>142</v>
      </c>
      <c r="FB101" s="6">
        <v>143</v>
      </c>
      <c r="FC101" s="6">
        <v>144</v>
      </c>
      <c r="FD101" s="6">
        <v>145</v>
      </c>
      <c r="FE101" s="6">
        <v>146</v>
      </c>
      <c r="FF101" s="6">
        <v>147</v>
      </c>
      <c r="FG101" s="6">
        <v>148</v>
      </c>
      <c r="FH101" s="6">
        <v>149</v>
      </c>
      <c r="FI101" s="6">
        <v>150</v>
      </c>
      <c r="FJ101" s="6">
        <v>151</v>
      </c>
      <c r="FK101" s="6">
        <v>152</v>
      </c>
      <c r="FL101" s="6">
        <v>153</v>
      </c>
      <c r="FM101" s="6">
        <v>154</v>
      </c>
      <c r="FN101" s="6">
        <v>155</v>
      </c>
      <c r="FO101" s="6">
        <v>156</v>
      </c>
      <c r="FP101" s="6">
        <v>157</v>
      </c>
      <c r="FQ101" s="6">
        <v>158</v>
      </c>
      <c r="FR101" s="6">
        <v>159</v>
      </c>
      <c r="FS101" s="6">
        <v>160</v>
      </c>
      <c r="FT101" s="6">
        <v>161</v>
      </c>
      <c r="FU101" s="6">
        <v>162</v>
      </c>
      <c r="FV101" s="6">
        <v>163</v>
      </c>
      <c r="FW101" s="6">
        <v>164</v>
      </c>
      <c r="FX101" s="6">
        <v>165</v>
      </c>
      <c r="FY101" s="6">
        <v>166</v>
      </c>
      <c r="FZ101" s="6">
        <v>167</v>
      </c>
      <c r="GA101" s="6">
        <v>168</v>
      </c>
      <c r="GB101" s="6">
        <v>169</v>
      </c>
      <c r="GC101" s="6">
        <v>170</v>
      </c>
      <c r="GD101" s="6">
        <v>171</v>
      </c>
      <c r="GE101" s="6">
        <v>172</v>
      </c>
      <c r="GF101" s="6">
        <v>173</v>
      </c>
      <c r="GG101" s="6">
        <v>174</v>
      </c>
      <c r="GH101" s="6">
        <v>175</v>
      </c>
      <c r="GI101" s="6">
        <v>176</v>
      </c>
      <c r="GJ101" s="6">
        <v>177</v>
      </c>
      <c r="GK101" s="6">
        <v>178</v>
      </c>
      <c r="GL101" s="6">
        <v>179</v>
      </c>
      <c r="GM101" s="6">
        <v>180</v>
      </c>
      <c r="GN101" s="6">
        <v>181</v>
      </c>
      <c r="GO101" s="6">
        <v>182</v>
      </c>
      <c r="GP101" s="6">
        <v>183</v>
      </c>
      <c r="GQ101" s="6">
        <v>184</v>
      </c>
      <c r="GR101" s="6">
        <v>185</v>
      </c>
      <c r="GS101" s="6">
        <v>186</v>
      </c>
      <c r="GT101" s="6">
        <v>187</v>
      </c>
      <c r="GU101" s="6">
        <v>188</v>
      </c>
      <c r="GV101" s="6">
        <v>189</v>
      </c>
      <c r="GW101" s="6">
        <v>190</v>
      </c>
      <c r="GX101" s="6">
        <v>191</v>
      </c>
      <c r="GY101" s="6">
        <v>192</v>
      </c>
      <c r="GZ101" s="6">
        <v>193</v>
      </c>
      <c r="HA101" s="6">
        <v>194</v>
      </c>
      <c r="HB101" s="6">
        <v>195</v>
      </c>
      <c r="HC101" s="6">
        <v>196</v>
      </c>
      <c r="HD101" s="6">
        <v>197</v>
      </c>
      <c r="HE101" s="6">
        <v>198</v>
      </c>
      <c r="HF101" s="6">
        <v>199</v>
      </c>
      <c r="HG101" s="6">
        <v>200</v>
      </c>
      <c r="HH101" s="6">
        <v>201</v>
      </c>
      <c r="HI101" s="6">
        <v>202</v>
      </c>
      <c r="HJ101" s="6">
        <v>203</v>
      </c>
      <c r="HK101" s="6">
        <v>204</v>
      </c>
      <c r="HL101" s="6">
        <v>205</v>
      </c>
      <c r="HM101" s="6">
        <v>206</v>
      </c>
      <c r="HN101" s="6">
        <v>207</v>
      </c>
      <c r="HO101" s="6">
        <v>208</v>
      </c>
      <c r="HP101" s="6">
        <v>209</v>
      </c>
      <c r="HQ101" s="6">
        <v>210</v>
      </c>
      <c r="HR101" s="6">
        <v>211</v>
      </c>
      <c r="HS101" s="6">
        <v>212</v>
      </c>
      <c r="HT101" s="6">
        <v>213</v>
      </c>
      <c r="HU101" s="6">
        <v>214</v>
      </c>
      <c r="HV101" s="6">
        <v>215</v>
      </c>
      <c r="HW101" s="6">
        <v>216</v>
      </c>
      <c r="HX101" s="6">
        <v>217</v>
      </c>
      <c r="HY101" s="6">
        <v>218</v>
      </c>
      <c r="HZ101" s="6">
        <v>219</v>
      </c>
      <c r="IA101" s="6">
        <v>220</v>
      </c>
      <c r="IB101" s="6">
        <v>221</v>
      </c>
      <c r="IC101" s="6">
        <v>222</v>
      </c>
    </row>
    <row r="102" spans="1:257">
      <c r="A102" s="78"/>
      <c r="B102" s="78"/>
      <c r="C102" s="78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5"/>
      <c r="P102" s="5" t="s">
        <v>56</v>
      </c>
      <c r="Q102" s="5" t="s">
        <v>56</v>
      </c>
      <c r="R102" s="5" t="s">
        <v>56</v>
      </c>
      <c r="S102" s="5" t="s">
        <v>56</v>
      </c>
      <c r="T102" s="5" t="s">
        <v>56</v>
      </c>
      <c r="U102" s="5" t="s">
        <v>56</v>
      </c>
      <c r="V102" s="5" t="s">
        <v>56</v>
      </c>
      <c r="W102" s="5" t="s">
        <v>56</v>
      </c>
      <c r="X102" s="5" t="s">
        <v>56</v>
      </c>
      <c r="Y102" s="5" t="s">
        <v>56</v>
      </c>
      <c r="Z102" s="5" t="s">
        <v>56</v>
      </c>
      <c r="AA102" s="5" t="s">
        <v>56</v>
      </c>
      <c r="AB102" s="5" t="s">
        <v>56</v>
      </c>
      <c r="AC102" s="5" t="s">
        <v>56</v>
      </c>
      <c r="AD102" s="5" t="s">
        <v>56</v>
      </c>
      <c r="AE102" s="5" t="s">
        <v>56</v>
      </c>
      <c r="AF102" s="5" t="s">
        <v>56</v>
      </c>
      <c r="AG102" s="5" t="s">
        <v>56</v>
      </c>
      <c r="AH102" s="5" t="s">
        <v>56</v>
      </c>
      <c r="AI102" s="5" t="s">
        <v>56</v>
      </c>
      <c r="AJ102" s="5" t="s">
        <v>56</v>
      </c>
      <c r="AK102" s="5" t="s">
        <v>56</v>
      </c>
      <c r="AL102" s="5" t="s">
        <v>56</v>
      </c>
      <c r="AM102" s="5" t="s">
        <v>56</v>
      </c>
      <c r="AN102" s="5" t="s">
        <v>56</v>
      </c>
      <c r="AO102" s="5" t="s">
        <v>56</v>
      </c>
      <c r="AP102" s="5" t="s">
        <v>56</v>
      </c>
      <c r="AQ102" s="5" t="s">
        <v>56</v>
      </c>
      <c r="AR102" s="5" t="s">
        <v>56</v>
      </c>
      <c r="AS102" s="5" t="s">
        <v>56</v>
      </c>
      <c r="AT102" s="5" t="s">
        <v>56</v>
      </c>
      <c r="AU102" s="5" t="s">
        <v>56</v>
      </c>
      <c r="AV102" s="5" t="s">
        <v>56</v>
      </c>
      <c r="AW102" s="5" t="s">
        <v>56</v>
      </c>
      <c r="AX102" s="5" t="s">
        <v>56</v>
      </c>
      <c r="AY102" s="5" t="s">
        <v>56</v>
      </c>
      <c r="AZ102" s="5" t="s">
        <v>56</v>
      </c>
      <c r="BA102" s="5" t="s">
        <v>56</v>
      </c>
      <c r="BB102" s="5" t="s">
        <v>56</v>
      </c>
      <c r="BC102" s="5" t="s">
        <v>56</v>
      </c>
      <c r="BD102" s="5" t="s">
        <v>56</v>
      </c>
      <c r="BE102" s="5" t="s">
        <v>56</v>
      </c>
      <c r="BF102" s="5" t="s">
        <v>56</v>
      </c>
      <c r="BG102" s="5" t="s">
        <v>56</v>
      </c>
      <c r="BH102" s="5" t="s">
        <v>56</v>
      </c>
      <c r="BI102" s="5" t="s">
        <v>56</v>
      </c>
      <c r="BJ102" s="5" t="s">
        <v>56</v>
      </c>
      <c r="BK102" s="5" t="s">
        <v>56</v>
      </c>
      <c r="BL102" s="5" t="s">
        <v>56</v>
      </c>
      <c r="BM102" s="5" t="s">
        <v>56</v>
      </c>
      <c r="BN102" s="5" t="s">
        <v>56</v>
      </c>
      <c r="BO102" s="5" t="s">
        <v>56</v>
      </c>
      <c r="BP102" s="5" t="s">
        <v>56</v>
      </c>
      <c r="BQ102" s="5" t="s">
        <v>56</v>
      </c>
      <c r="BR102" s="5" t="s">
        <v>56</v>
      </c>
      <c r="BS102" s="5" t="s">
        <v>56</v>
      </c>
      <c r="BT102" s="5" t="s">
        <v>56</v>
      </c>
      <c r="BU102" s="5" t="s">
        <v>56</v>
      </c>
      <c r="BV102" s="5" t="s">
        <v>56</v>
      </c>
      <c r="BW102" s="5" t="s">
        <v>56</v>
      </c>
      <c r="BX102" s="5" t="s">
        <v>56</v>
      </c>
      <c r="BY102" s="5" t="s">
        <v>56</v>
      </c>
      <c r="BZ102" s="5" t="s">
        <v>56</v>
      </c>
      <c r="CA102" s="5" t="s">
        <v>56</v>
      </c>
      <c r="CB102" s="5" t="s">
        <v>56</v>
      </c>
      <c r="CC102" s="5" t="s">
        <v>56</v>
      </c>
      <c r="CD102" s="5" t="s">
        <v>56</v>
      </c>
      <c r="CE102" s="5" t="s">
        <v>56</v>
      </c>
      <c r="CF102" s="5" t="s">
        <v>56</v>
      </c>
      <c r="CG102" s="5" t="s">
        <v>56</v>
      </c>
      <c r="CH102" s="5" t="s">
        <v>56</v>
      </c>
      <c r="CI102" s="5" t="s">
        <v>56</v>
      </c>
      <c r="CJ102" s="5" t="s">
        <v>56</v>
      </c>
      <c r="CK102" s="5" t="s">
        <v>56</v>
      </c>
      <c r="CL102" s="5" t="s">
        <v>56</v>
      </c>
      <c r="CM102" s="5" t="s">
        <v>56</v>
      </c>
      <c r="CN102" s="5" t="s">
        <v>56</v>
      </c>
      <c r="CO102" s="5" t="s">
        <v>56</v>
      </c>
      <c r="CP102" s="5" t="s">
        <v>56</v>
      </c>
      <c r="CQ102" s="5" t="s">
        <v>56</v>
      </c>
      <c r="CR102" s="5" t="s">
        <v>56</v>
      </c>
      <c r="CS102" s="5" t="s">
        <v>56</v>
      </c>
      <c r="CT102" s="5" t="s">
        <v>56</v>
      </c>
      <c r="CU102" s="5" t="s">
        <v>56</v>
      </c>
      <c r="CV102" s="5" t="s">
        <v>56</v>
      </c>
      <c r="CW102" s="5" t="s">
        <v>56</v>
      </c>
      <c r="CX102" s="5" t="s">
        <v>56</v>
      </c>
      <c r="CY102" s="5" t="s">
        <v>56</v>
      </c>
      <c r="CZ102" s="5" t="s">
        <v>56</v>
      </c>
      <c r="DA102" s="5" t="s">
        <v>56</v>
      </c>
      <c r="DB102" s="5" t="s">
        <v>56</v>
      </c>
      <c r="DC102" s="5" t="s">
        <v>56</v>
      </c>
      <c r="DD102" s="5" t="s">
        <v>56</v>
      </c>
      <c r="DE102" s="5" t="s">
        <v>56</v>
      </c>
      <c r="DF102" s="5" t="s">
        <v>56</v>
      </c>
      <c r="DG102" s="5" t="s">
        <v>56</v>
      </c>
      <c r="DH102" s="5" t="s">
        <v>56</v>
      </c>
      <c r="DI102" s="5" t="s">
        <v>56</v>
      </c>
      <c r="DJ102" s="5" t="s">
        <v>56</v>
      </c>
      <c r="DK102" s="5" t="s">
        <v>56</v>
      </c>
      <c r="DL102" s="5" t="s">
        <v>56</v>
      </c>
      <c r="DM102" s="5" t="s">
        <v>56</v>
      </c>
      <c r="DN102" s="5" t="s">
        <v>56</v>
      </c>
      <c r="DO102" s="5" t="s">
        <v>56</v>
      </c>
      <c r="DP102" s="5" t="s">
        <v>56</v>
      </c>
      <c r="DQ102" s="5" t="s">
        <v>56</v>
      </c>
      <c r="DR102" s="5" t="s">
        <v>56</v>
      </c>
      <c r="DS102" s="5" t="s">
        <v>56</v>
      </c>
      <c r="DT102" s="5" t="s">
        <v>56</v>
      </c>
      <c r="DU102" s="5" t="s">
        <v>56</v>
      </c>
      <c r="DV102" s="5" t="s">
        <v>56</v>
      </c>
      <c r="DW102" s="5" t="s">
        <v>56</v>
      </c>
      <c r="DX102" s="5" t="s">
        <v>56</v>
      </c>
      <c r="DY102" s="5" t="s">
        <v>56</v>
      </c>
      <c r="DZ102" s="5" t="s">
        <v>56</v>
      </c>
      <c r="EA102" s="5" t="s">
        <v>56</v>
      </c>
      <c r="EB102" s="5" t="s">
        <v>56</v>
      </c>
      <c r="EC102" s="5" t="s">
        <v>56</v>
      </c>
      <c r="ED102" s="5" t="s">
        <v>56</v>
      </c>
      <c r="EE102" s="5" t="s">
        <v>56</v>
      </c>
      <c r="EF102" s="5" t="s">
        <v>56</v>
      </c>
      <c r="EG102" s="5" t="s">
        <v>56</v>
      </c>
      <c r="EH102" s="5" t="s">
        <v>56</v>
      </c>
      <c r="EI102" s="5" t="s">
        <v>56</v>
      </c>
      <c r="EJ102" s="5" t="s">
        <v>56</v>
      </c>
      <c r="EK102" s="5" t="s">
        <v>56</v>
      </c>
      <c r="EL102" s="5" t="s">
        <v>56</v>
      </c>
      <c r="EM102" s="5" t="s">
        <v>56</v>
      </c>
      <c r="EN102" s="5" t="s">
        <v>56</v>
      </c>
      <c r="EO102" s="5" t="s">
        <v>56</v>
      </c>
      <c r="EP102" s="5" t="s">
        <v>56</v>
      </c>
      <c r="EQ102" s="5" t="s">
        <v>56</v>
      </c>
      <c r="ER102" s="5" t="s">
        <v>56</v>
      </c>
      <c r="ES102" s="5" t="s">
        <v>56</v>
      </c>
      <c r="ET102" s="5" t="s">
        <v>56</v>
      </c>
      <c r="EU102" s="5" t="s">
        <v>56</v>
      </c>
      <c r="EV102" s="5" t="s">
        <v>56</v>
      </c>
      <c r="EW102" s="5" t="s">
        <v>56</v>
      </c>
      <c r="EX102" s="5" t="s">
        <v>56</v>
      </c>
      <c r="EY102" s="5" t="s">
        <v>56</v>
      </c>
      <c r="EZ102" s="5" t="s">
        <v>56</v>
      </c>
      <c r="FA102" s="5" t="s">
        <v>56</v>
      </c>
      <c r="FB102" s="5" t="s">
        <v>56</v>
      </c>
      <c r="FC102" s="5" t="s">
        <v>56</v>
      </c>
      <c r="FD102" s="5" t="s">
        <v>56</v>
      </c>
      <c r="FE102" s="5" t="s">
        <v>56</v>
      </c>
      <c r="FF102" s="5" t="s">
        <v>56</v>
      </c>
      <c r="FG102" s="5" t="s">
        <v>56</v>
      </c>
      <c r="FH102" s="5" t="s">
        <v>56</v>
      </c>
      <c r="FI102" s="5" t="s">
        <v>56</v>
      </c>
      <c r="FJ102" s="5" t="s">
        <v>56</v>
      </c>
      <c r="FK102" s="5" t="s">
        <v>56</v>
      </c>
      <c r="FL102" s="5" t="s">
        <v>56</v>
      </c>
      <c r="FM102" s="5" t="s">
        <v>56</v>
      </c>
      <c r="FN102" s="5" t="s">
        <v>56</v>
      </c>
      <c r="FO102" s="5" t="s">
        <v>56</v>
      </c>
      <c r="FP102" s="5" t="s">
        <v>56</v>
      </c>
      <c r="FQ102" s="5" t="s">
        <v>56</v>
      </c>
      <c r="FR102" s="5" t="s">
        <v>56</v>
      </c>
      <c r="FS102" s="5" t="s">
        <v>56</v>
      </c>
      <c r="FT102" s="5" t="s">
        <v>56</v>
      </c>
      <c r="FU102" s="5" t="s">
        <v>56</v>
      </c>
      <c r="FV102" s="5" t="s">
        <v>56</v>
      </c>
      <c r="FW102" s="5" t="s">
        <v>56</v>
      </c>
      <c r="FX102" s="5" t="s">
        <v>56</v>
      </c>
      <c r="FY102" s="5" t="s">
        <v>56</v>
      </c>
      <c r="FZ102" s="5" t="s">
        <v>56</v>
      </c>
      <c r="GA102" s="5" t="s">
        <v>56</v>
      </c>
      <c r="GB102" s="5" t="s">
        <v>56</v>
      </c>
      <c r="GC102" s="5" t="s">
        <v>56</v>
      </c>
      <c r="GD102" s="5" t="s">
        <v>56</v>
      </c>
      <c r="GE102" s="5" t="s">
        <v>56</v>
      </c>
      <c r="GF102" s="5" t="s">
        <v>56</v>
      </c>
      <c r="GG102" s="5" t="s">
        <v>56</v>
      </c>
      <c r="GH102" s="5" t="s">
        <v>56</v>
      </c>
      <c r="GI102" s="5" t="s">
        <v>56</v>
      </c>
      <c r="GJ102" s="5" t="s">
        <v>56</v>
      </c>
      <c r="GK102" s="5" t="s">
        <v>56</v>
      </c>
      <c r="GL102" s="5" t="s">
        <v>56</v>
      </c>
      <c r="GM102" s="5" t="s">
        <v>56</v>
      </c>
      <c r="GN102" s="5" t="s">
        <v>56</v>
      </c>
      <c r="GO102" s="5" t="s">
        <v>56</v>
      </c>
      <c r="GP102" s="5" t="s">
        <v>56</v>
      </c>
      <c r="GQ102" s="5" t="s">
        <v>56</v>
      </c>
      <c r="GR102" s="5" t="s">
        <v>56</v>
      </c>
      <c r="GS102" s="5" t="s">
        <v>56</v>
      </c>
      <c r="GT102" s="5" t="s">
        <v>56</v>
      </c>
      <c r="GU102" s="5" t="s">
        <v>56</v>
      </c>
      <c r="GV102" s="5" t="s">
        <v>56</v>
      </c>
      <c r="GW102" s="5" t="s">
        <v>56</v>
      </c>
      <c r="GX102" s="5" t="s">
        <v>56</v>
      </c>
      <c r="GY102" s="5" t="s">
        <v>56</v>
      </c>
      <c r="GZ102" s="5" t="s">
        <v>56</v>
      </c>
      <c r="HA102" s="5" t="s">
        <v>56</v>
      </c>
      <c r="HB102" s="5" t="s">
        <v>56</v>
      </c>
      <c r="HC102" s="5" t="s">
        <v>56</v>
      </c>
      <c r="HD102" s="5" t="s">
        <v>56</v>
      </c>
      <c r="HE102" s="5" t="s">
        <v>56</v>
      </c>
      <c r="HF102" s="5" t="s">
        <v>56</v>
      </c>
      <c r="HG102" s="5" t="s">
        <v>56</v>
      </c>
      <c r="HH102" s="5" t="s">
        <v>56</v>
      </c>
      <c r="HI102" s="5" t="s">
        <v>56</v>
      </c>
      <c r="HJ102" s="5" t="s">
        <v>56</v>
      </c>
      <c r="HK102" s="5" t="s">
        <v>56</v>
      </c>
      <c r="HL102" s="5" t="s">
        <v>56</v>
      </c>
      <c r="HM102" s="5" t="s">
        <v>56</v>
      </c>
      <c r="HN102" s="5" t="s">
        <v>56</v>
      </c>
      <c r="HO102" s="5" t="s">
        <v>56</v>
      </c>
      <c r="HP102" s="5" t="s">
        <v>56</v>
      </c>
      <c r="HQ102" s="5" t="s">
        <v>56</v>
      </c>
      <c r="HR102" s="5" t="s">
        <v>56</v>
      </c>
      <c r="HS102" s="5" t="s">
        <v>56</v>
      </c>
      <c r="HT102" s="5" t="s">
        <v>56</v>
      </c>
      <c r="HU102" s="5" t="s">
        <v>56</v>
      </c>
      <c r="HV102" s="5" t="s">
        <v>56</v>
      </c>
      <c r="HW102" s="5" t="s">
        <v>56</v>
      </c>
      <c r="HX102" s="5" t="s">
        <v>56</v>
      </c>
      <c r="HY102" s="5" t="s">
        <v>56</v>
      </c>
      <c r="HZ102" s="5" t="s">
        <v>56</v>
      </c>
      <c r="IA102" s="5" t="s">
        <v>56</v>
      </c>
      <c r="IB102" s="5" t="s">
        <v>56</v>
      </c>
      <c r="IC102" s="5" t="s">
        <v>56</v>
      </c>
    </row>
    <row r="103" spans="1:257">
      <c r="A103" s="4" t="s">
        <v>522</v>
      </c>
      <c r="B103" s="82" t="str">
        <f t="array" ref="B103">_xlfn.LET(
  _xlpm.dates, _xlfn._xlws.FILTER(P103:HO103, (P105:HO105&lt;&gt;"")+(P107:HO107&lt;&gt;"")),
  _xlpm.numDates, IFERROR(VALUE(_xlpm.dates), _xlpm.dates),
  _xlpm.first, TEXT(MIN(_xlpm.numDates), "m/dd"),
  _xlpm.last, TEXT(MAX(_xlpm.numDates), "m/dd"),
  _xlpm.first &amp; "~" &amp; _xlpm.last
)</f>
        <v>3/27~4/27</v>
      </c>
      <c r="C103" s="7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 t="s">
        <v>522</v>
      </c>
      <c r="P103" s="3">
        <v>46107</v>
      </c>
      <c r="Q103" s="3">
        <v>46108</v>
      </c>
      <c r="R103" s="3">
        <v>46109</v>
      </c>
      <c r="S103" s="3">
        <v>46110</v>
      </c>
      <c r="T103" s="3">
        <v>46111</v>
      </c>
      <c r="U103" s="3">
        <v>46112</v>
      </c>
      <c r="V103" s="3">
        <v>46113</v>
      </c>
      <c r="W103" s="3">
        <v>46114</v>
      </c>
      <c r="X103" s="3">
        <v>46115</v>
      </c>
      <c r="Y103" s="3">
        <v>46116</v>
      </c>
      <c r="Z103" s="3">
        <v>46117</v>
      </c>
      <c r="AA103" s="3">
        <v>46118</v>
      </c>
      <c r="AB103" s="3">
        <v>46119</v>
      </c>
      <c r="AC103" s="3">
        <v>46120</v>
      </c>
      <c r="AD103" s="3">
        <v>46121</v>
      </c>
      <c r="AE103" s="3">
        <v>46122</v>
      </c>
      <c r="AF103" s="3">
        <v>46123</v>
      </c>
      <c r="AG103" s="3">
        <v>46124</v>
      </c>
      <c r="AH103" s="3">
        <v>46125</v>
      </c>
      <c r="AI103" s="3">
        <v>46126</v>
      </c>
      <c r="AJ103" s="3">
        <v>46127</v>
      </c>
      <c r="AK103" s="3">
        <v>46128</v>
      </c>
      <c r="AL103" s="3">
        <v>46129</v>
      </c>
      <c r="AM103" s="3">
        <v>46130</v>
      </c>
      <c r="AN103" s="3">
        <v>46131</v>
      </c>
      <c r="AO103" s="3">
        <v>46132</v>
      </c>
      <c r="AP103" s="3">
        <v>46133</v>
      </c>
      <c r="AQ103" s="3">
        <v>46134</v>
      </c>
      <c r="AR103" s="3">
        <v>46135</v>
      </c>
      <c r="AS103" s="3">
        <v>46136</v>
      </c>
      <c r="AT103" s="3">
        <v>46137</v>
      </c>
      <c r="AU103" s="3">
        <v>46138</v>
      </c>
      <c r="AV103" s="3">
        <v>46139</v>
      </c>
      <c r="AW103" s="3">
        <v>46140</v>
      </c>
      <c r="AX103" s="3">
        <v>46141</v>
      </c>
      <c r="AY103" s="3">
        <v>46142</v>
      </c>
      <c r="AZ103" s="3">
        <v>46143</v>
      </c>
      <c r="BA103" s="3">
        <v>46144</v>
      </c>
      <c r="BB103" s="3">
        <v>46145</v>
      </c>
      <c r="BC103" s="3">
        <v>46146</v>
      </c>
      <c r="BD103" s="3">
        <v>46147</v>
      </c>
      <c r="BE103" s="3">
        <v>46148</v>
      </c>
      <c r="BF103" s="3">
        <v>46149</v>
      </c>
      <c r="BG103" s="3">
        <v>46150</v>
      </c>
      <c r="BH103" s="3">
        <v>46151</v>
      </c>
      <c r="BI103" s="3">
        <v>46152</v>
      </c>
      <c r="BJ103" s="3">
        <v>46153</v>
      </c>
      <c r="BK103" s="3">
        <v>46154</v>
      </c>
      <c r="BL103" s="3">
        <v>46155</v>
      </c>
      <c r="BM103" s="3">
        <v>46156</v>
      </c>
      <c r="BN103" s="3">
        <v>46157</v>
      </c>
      <c r="BO103" s="3">
        <v>46158</v>
      </c>
      <c r="BP103" s="3">
        <v>46159</v>
      </c>
      <c r="BQ103" s="3">
        <v>46160</v>
      </c>
      <c r="BR103" s="3">
        <v>46161</v>
      </c>
      <c r="BS103" s="3">
        <v>46162</v>
      </c>
      <c r="BT103" s="3">
        <v>46163</v>
      </c>
      <c r="BU103" s="3">
        <v>46164</v>
      </c>
      <c r="BV103" s="3">
        <v>46165</v>
      </c>
      <c r="BW103" s="3">
        <v>46166</v>
      </c>
      <c r="BX103" s="3">
        <v>46167</v>
      </c>
      <c r="BY103" s="3">
        <v>46168</v>
      </c>
      <c r="BZ103" s="3">
        <v>46169</v>
      </c>
      <c r="CA103" s="3">
        <v>46170</v>
      </c>
      <c r="CB103" s="3">
        <v>46171</v>
      </c>
      <c r="CC103" s="3">
        <v>46172</v>
      </c>
      <c r="CD103" s="3">
        <v>46173</v>
      </c>
      <c r="CE103" s="3">
        <v>46174</v>
      </c>
      <c r="CF103" s="3">
        <v>46175</v>
      </c>
      <c r="CG103" s="3">
        <v>46176</v>
      </c>
      <c r="CH103" s="3">
        <v>46177</v>
      </c>
      <c r="CI103" s="3">
        <v>46178</v>
      </c>
      <c r="CJ103" s="3">
        <v>46179</v>
      </c>
      <c r="CK103" s="3">
        <v>46180</v>
      </c>
      <c r="CL103" s="3">
        <v>46181</v>
      </c>
      <c r="CM103" s="3">
        <v>46182</v>
      </c>
      <c r="CN103" s="3">
        <v>46183</v>
      </c>
      <c r="CO103" s="3">
        <v>46184</v>
      </c>
      <c r="CP103" s="3">
        <v>46185</v>
      </c>
      <c r="CQ103" s="3">
        <v>46186</v>
      </c>
      <c r="CR103" s="3">
        <v>46187</v>
      </c>
      <c r="CS103" s="3">
        <v>46188</v>
      </c>
      <c r="CT103" s="3">
        <v>46189</v>
      </c>
      <c r="CU103" s="3">
        <v>46190</v>
      </c>
      <c r="CV103" s="3">
        <v>46191</v>
      </c>
      <c r="CW103" s="3">
        <v>46192</v>
      </c>
      <c r="CX103" s="3">
        <v>46193</v>
      </c>
      <c r="CY103" s="3">
        <v>46194</v>
      </c>
      <c r="CZ103" s="3">
        <v>46195</v>
      </c>
      <c r="DA103" s="3">
        <v>46196</v>
      </c>
      <c r="DB103" s="3">
        <v>46197</v>
      </c>
      <c r="DC103" s="3">
        <v>46198</v>
      </c>
      <c r="DD103" s="3">
        <v>46199</v>
      </c>
      <c r="DE103" s="3">
        <v>46200</v>
      </c>
      <c r="DF103" s="3">
        <v>46201</v>
      </c>
      <c r="DG103" s="3">
        <v>46202</v>
      </c>
      <c r="DH103" s="3">
        <v>46203</v>
      </c>
      <c r="DI103" s="3">
        <v>46204</v>
      </c>
      <c r="DJ103" s="3">
        <v>46205</v>
      </c>
      <c r="DK103" s="3">
        <v>46206</v>
      </c>
      <c r="DL103" s="3">
        <v>46207</v>
      </c>
      <c r="DM103" s="3">
        <v>46208</v>
      </c>
      <c r="DN103" s="3">
        <v>46209</v>
      </c>
      <c r="DO103" s="3">
        <v>46210</v>
      </c>
      <c r="DP103" s="3">
        <v>46211</v>
      </c>
      <c r="DQ103" s="3">
        <v>46212</v>
      </c>
      <c r="DR103" s="3">
        <v>46213</v>
      </c>
      <c r="DS103" s="3">
        <v>46214</v>
      </c>
      <c r="DT103" s="3">
        <v>46215</v>
      </c>
      <c r="DU103" s="3">
        <v>46216</v>
      </c>
      <c r="DV103" s="3">
        <v>46217</v>
      </c>
      <c r="DW103" s="3">
        <v>46218</v>
      </c>
      <c r="DX103" s="3">
        <v>46219</v>
      </c>
      <c r="DY103" s="3">
        <v>46220</v>
      </c>
      <c r="DZ103" s="3">
        <v>46221</v>
      </c>
      <c r="EA103" s="3">
        <v>46222</v>
      </c>
      <c r="EB103" s="3">
        <v>46223</v>
      </c>
      <c r="EC103" s="3">
        <v>46224</v>
      </c>
      <c r="ED103" s="3">
        <v>46225</v>
      </c>
      <c r="EE103" s="3">
        <v>46226</v>
      </c>
      <c r="EF103" s="3">
        <v>46227</v>
      </c>
      <c r="EG103" s="3">
        <v>46228</v>
      </c>
      <c r="EH103" s="3">
        <v>46229</v>
      </c>
      <c r="EI103" s="3">
        <v>46230</v>
      </c>
      <c r="EJ103" s="3">
        <v>46231</v>
      </c>
      <c r="EK103" s="3">
        <v>46232</v>
      </c>
      <c r="EL103" s="3">
        <v>46233</v>
      </c>
      <c r="EM103" s="3">
        <v>46234</v>
      </c>
      <c r="EN103" s="3">
        <v>46235</v>
      </c>
      <c r="EO103" s="3">
        <v>46236</v>
      </c>
      <c r="EP103" s="3">
        <v>46237</v>
      </c>
      <c r="EQ103" s="3">
        <v>46238</v>
      </c>
      <c r="ER103" s="3">
        <v>46239</v>
      </c>
      <c r="ES103" s="3">
        <v>46240</v>
      </c>
      <c r="ET103" s="3">
        <v>46241</v>
      </c>
      <c r="EU103" s="3">
        <v>46242</v>
      </c>
      <c r="EV103" s="3">
        <v>46243</v>
      </c>
      <c r="EW103" s="3">
        <v>46244</v>
      </c>
      <c r="EX103" s="3">
        <v>46245</v>
      </c>
      <c r="EY103" s="3">
        <v>46246</v>
      </c>
      <c r="EZ103" s="3">
        <v>46247</v>
      </c>
      <c r="FA103" s="3">
        <v>46248</v>
      </c>
      <c r="FB103" s="3">
        <v>46249</v>
      </c>
      <c r="FC103" s="3">
        <v>46250</v>
      </c>
      <c r="FD103" s="3">
        <v>46251</v>
      </c>
      <c r="FE103" s="3">
        <v>46252</v>
      </c>
      <c r="FF103" s="3">
        <v>46253</v>
      </c>
      <c r="FG103" s="3">
        <v>46254</v>
      </c>
      <c r="FH103" s="3">
        <v>46255</v>
      </c>
      <c r="FI103" s="3">
        <v>46256</v>
      </c>
      <c r="FJ103" s="3">
        <v>46257</v>
      </c>
      <c r="FK103" s="3">
        <v>46258</v>
      </c>
      <c r="FL103" s="3">
        <v>46259</v>
      </c>
      <c r="FM103" s="3">
        <v>46260</v>
      </c>
      <c r="FN103" s="3">
        <v>46261</v>
      </c>
      <c r="FO103" s="3">
        <v>46262</v>
      </c>
      <c r="FP103" s="3">
        <v>46263</v>
      </c>
      <c r="FQ103" s="3">
        <v>46264</v>
      </c>
      <c r="FR103" s="3">
        <v>46265</v>
      </c>
      <c r="FS103" s="3">
        <v>46266</v>
      </c>
      <c r="FT103" s="3">
        <v>46267</v>
      </c>
      <c r="FU103" s="3">
        <v>46268</v>
      </c>
      <c r="FV103" s="3">
        <v>46269</v>
      </c>
      <c r="FW103" s="3">
        <v>46270</v>
      </c>
      <c r="FX103" s="3">
        <v>46271</v>
      </c>
      <c r="FY103" s="3">
        <v>46272</v>
      </c>
      <c r="FZ103" s="3">
        <v>46273</v>
      </c>
      <c r="GA103" s="3">
        <v>46274</v>
      </c>
      <c r="GB103" s="3">
        <v>46275</v>
      </c>
      <c r="GC103" s="3">
        <v>46276</v>
      </c>
      <c r="GD103" s="3">
        <v>46277</v>
      </c>
      <c r="GE103" s="3">
        <v>46278</v>
      </c>
      <c r="GF103" s="3">
        <v>46279</v>
      </c>
      <c r="GG103" s="3">
        <v>46280</v>
      </c>
      <c r="GH103" s="3">
        <v>46281</v>
      </c>
      <c r="GI103" s="3">
        <v>46282</v>
      </c>
      <c r="GJ103" s="3">
        <v>46283</v>
      </c>
      <c r="GK103" s="3">
        <v>46284</v>
      </c>
      <c r="GL103" s="3">
        <v>46285</v>
      </c>
      <c r="GM103" s="3">
        <v>46286</v>
      </c>
      <c r="GN103" s="3">
        <v>46287</v>
      </c>
      <c r="GO103" s="3">
        <v>46288</v>
      </c>
      <c r="GP103" s="3">
        <v>46289</v>
      </c>
      <c r="GQ103" s="3">
        <v>46290</v>
      </c>
      <c r="GR103" s="3">
        <v>46291</v>
      </c>
      <c r="GS103" s="3">
        <v>46292</v>
      </c>
      <c r="GT103" s="3">
        <v>46293</v>
      </c>
      <c r="GU103" s="3">
        <v>46294</v>
      </c>
      <c r="GV103" s="3">
        <v>46295</v>
      </c>
      <c r="GW103" s="3">
        <v>46296</v>
      </c>
      <c r="GX103" s="3">
        <v>46297</v>
      </c>
      <c r="GY103" s="3">
        <v>46298</v>
      </c>
      <c r="GZ103" s="3">
        <v>46299</v>
      </c>
      <c r="HA103" s="3">
        <v>46300</v>
      </c>
      <c r="HB103" s="3">
        <v>46301</v>
      </c>
      <c r="HC103" s="3">
        <v>46302</v>
      </c>
      <c r="HD103" s="3">
        <v>46303</v>
      </c>
      <c r="HE103" s="3">
        <v>46304</v>
      </c>
      <c r="HF103" s="3">
        <v>46305</v>
      </c>
      <c r="HG103" s="3">
        <v>46306</v>
      </c>
      <c r="HH103" s="3">
        <v>46307</v>
      </c>
      <c r="HI103" s="3">
        <v>46308</v>
      </c>
      <c r="HJ103" s="3">
        <v>46309</v>
      </c>
      <c r="HK103" s="3">
        <v>46310</v>
      </c>
      <c r="HL103" s="3">
        <v>46311</v>
      </c>
      <c r="HM103" s="3">
        <v>46312</v>
      </c>
      <c r="HN103" s="3">
        <v>46313</v>
      </c>
      <c r="HO103" s="3">
        <v>46314</v>
      </c>
      <c r="HP103" s="3">
        <v>46315</v>
      </c>
      <c r="HQ103" s="3">
        <v>46316</v>
      </c>
      <c r="HR103" s="3">
        <v>46317</v>
      </c>
      <c r="HS103" s="3">
        <v>46318</v>
      </c>
      <c r="HT103" s="3">
        <v>46319</v>
      </c>
      <c r="HU103" s="3">
        <v>46320</v>
      </c>
      <c r="HV103" s="3">
        <v>46321</v>
      </c>
      <c r="HW103" s="3">
        <v>46322</v>
      </c>
      <c r="HX103" s="3">
        <v>46323</v>
      </c>
      <c r="HY103" s="3">
        <v>46324</v>
      </c>
      <c r="HZ103" s="3">
        <v>46325</v>
      </c>
      <c r="IA103" s="3">
        <v>46326</v>
      </c>
      <c r="IB103" s="3">
        <v>46327</v>
      </c>
      <c r="IC103" s="3">
        <v>46328</v>
      </c>
    </row>
    <row r="104" spans="1:257">
      <c r="A104" s="4" t="s">
        <v>694</v>
      </c>
      <c r="B104" s="82" t="str">
        <f t="array" ref="B104">COLUMNS(_xlfn._xlws.FILTER(P103:HO103, (P105:HO105&lt;&gt;"")+(P107:HO107&lt;&gt;""))) &amp; "場"</f>
        <v>28場</v>
      </c>
      <c r="C104" s="7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 t="s">
        <v>675</v>
      </c>
      <c r="P104" s="3" t="s">
        <v>676</v>
      </c>
      <c r="Q104" s="3" t="s">
        <v>677</v>
      </c>
      <c r="R104" s="3" t="s">
        <v>678</v>
      </c>
      <c r="S104" s="3" t="s">
        <v>679</v>
      </c>
      <c r="T104" s="3" t="s">
        <v>680</v>
      </c>
      <c r="U104" s="3" t="s">
        <v>681</v>
      </c>
      <c r="V104" s="3" t="s">
        <v>682</v>
      </c>
      <c r="W104" s="3" t="s">
        <v>676</v>
      </c>
      <c r="X104" s="3" t="s">
        <v>677</v>
      </c>
      <c r="Y104" s="3" t="s">
        <v>678</v>
      </c>
      <c r="Z104" s="3" t="s">
        <v>679</v>
      </c>
      <c r="AA104" s="3" t="s">
        <v>680</v>
      </c>
      <c r="AB104" s="3" t="s">
        <v>681</v>
      </c>
      <c r="AC104" s="3" t="s">
        <v>682</v>
      </c>
      <c r="AD104" s="3" t="s">
        <v>676</v>
      </c>
      <c r="AE104" s="3" t="s">
        <v>677</v>
      </c>
      <c r="AF104" s="3" t="s">
        <v>678</v>
      </c>
      <c r="AG104" s="3" t="s">
        <v>679</v>
      </c>
      <c r="AH104" s="3" t="s">
        <v>680</v>
      </c>
      <c r="AI104" s="3" t="s">
        <v>681</v>
      </c>
      <c r="AJ104" s="3" t="s">
        <v>682</v>
      </c>
      <c r="AK104" s="3" t="s">
        <v>676</v>
      </c>
      <c r="AL104" s="3" t="s">
        <v>677</v>
      </c>
      <c r="AM104" s="3" t="s">
        <v>678</v>
      </c>
      <c r="AN104" s="3" t="s">
        <v>679</v>
      </c>
      <c r="AO104" s="3" t="s">
        <v>680</v>
      </c>
      <c r="AP104" s="3" t="s">
        <v>681</v>
      </c>
      <c r="AQ104" s="3" t="s">
        <v>682</v>
      </c>
      <c r="AR104" s="3" t="s">
        <v>676</v>
      </c>
      <c r="AS104" s="3" t="s">
        <v>677</v>
      </c>
      <c r="AT104" s="3" t="s">
        <v>678</v>
      </c>
      <c r="AU104" s="3" t="s">
        <v>679</v>
      </c>
      <c r="AV104" s="3" t="s">
        <v>680</v>
      </c>
      <c r="AW104" s="3" t="s">
        <v>681</v>
      </c>
      <c r="AX104" s="3" t="s">
        <v>682</v>
      </c>
      <c r="AY104" s="3" t="s">
        <v>676</v>
      </c>
      <c r="AZ104" s="3" t="s">
        <v>677</v>
      </c>
      <c r="BA104" s="3" t="s">
        <v>678</v>
      </c>
      <c r="BB104" s="3" t="s">
        <v>679</v>
      </c>
      <c r="BC104" s="3" t="s">
        <v>680</v>
      </c>
      <c r="BD104" s="3" t="s">
        <v>681</v>
      </c>
      <c r="BE104" s="3" t="s">
        <v>682</v>
      </c>
      <c r="BF104" s="3" t="s">
        <v>676</v>
      </c>
      <c r="BG104" s="3" t="s">
        <v>677</v>
      </c>
      <c r="BH104" s="3" t="s">
        <v>678</v>
      </c>
      <c r="BI104" s="3" t="s">
        <v>679</v>
      </c>
      <c r="BJ104" s="3" t="s">
        <v>680</v>
      </c>
      <c r="BK104" s="3" t="s">
        <v>681</v>
      </c>
      <c r="BL104" s="3" t="s">
        <v>682</v>
      </c>
      <c r="BM104" s="3" t="s">
        <v>676</v>
      </c>
      <c r="BN104" s="3" t="s">
        <v>677</v>
      </c>
      <c r="BO104" s="3" t="s">
        <v>678</v>
      </c>
      <c r="BP104" s="3" t="s">
        <v>679</v>
      </c>
      <c r="BQ104" s="3" t="s">
        <v>680</v>
      </c>
      <c r="BR104" s="3" t="s">
        <v>681</v>
      </c>
      <c r="BS104" s="3" t="s">
        <v>682</v>
      </c>
      <c r="BT104" s="3" t="s">
        <v>676</v>
      </c>
      <c r="BU104" s="3" t="s">
        <v>677</v>
      </c>
      <c r="BV104" s="3" t="s">
        <v>678</v>
      </c>
      <c r="BW104" s="3" t="s">
        <v>679</v>
      </c>
      <c r="BX104" s="3" t="s">
        <v>680</v>
      </c>
      <c r="BY104" s="3" t="s">
        <v>681</v>
      </c>
      <c r="BZ104" s="3" t="s">
        <v>682</v>
      </c>
      <c r="CA104" s="3" t="s">
        <v>676</v>
      </c>
      <c r="CB104" s="3" t="s">
        <v>677</v>
      </c>
      <c r="CC104" s="3" t="s">
        <v>678</v>
      </c>
      <c r="CD104" s="3" t="s">
        <v>679</v>
      </c>
      <c r="CE104" s="3" t="s">
        <v>680</v>
      </c>
      <c r="CF104" s="3" t="s">
        <v>681</v>
      </c>
      <c r="CG104" s="3" t="s">
        <v>682</v>
      </c>
      <c r="CH104" s="3" t="s">
        <v>676</v>
      </c>
      <c r="CI104" s="3" t="s">
        <v>677</v>
      </c>
      <c r="CJ104" s="3" t="s">
        <v>678</v>
      </c>
      <c r="CK104" s="3" t="s">
        <v>679</v>
      </c>
      <c r="CL104" s="3" t="s">
        <v>680</v>
      </c>
      <c r="CM104" s="3" t="s">
        <v>681</v>
      </c>
      <c r="CN104" s="3" t="s">
        <v>682</v>
      </c>
      <c r="CO104" s="3" t="s">
        <v>676</v>
      </c>
      <c r="CP104" s="3" t="s">
        <v>677</v>
      </c>
      <c r="CQ104" s="3" t="s">
        <v>678</v>
      </c>
      <c r="CR104" s="3" t="s">
        <v>679</v>
      </c>
      <c r="CS104" s="3" t="s">
        <v>680</v>
      </c>
      <c r="CT104" s="3" t="s">
        <v>681</v>
      </c>
      <c r="CU104" s="3" t="s">
        <v>682</v>
      </c>
      <c r="CV104" s="3" t="s">
        <v>676</v>
      </c>
      <c r="CW104" s="3" t="s">
        <v>677</v>
      </c>
      <c r="CX104" s="3" t="s">
        <v>678</v>
      </c>
      <c r="CY104" s="3" t="s">
        <v>679</v>
      </c>
      <c r="CZ104" s="3" t="s">
        <v>680</v>
      </c>
      <c r="DA104" s="3" t="s">
        <v>681</v>
      </c>
      <c r="DB104" s="3" t="s">
        <v>682</v>
      </c>
      <c r="DC104" s="3" t="s">
        <v>676</v>
      </c>
      <c r="DD104" s="3" t="s">
        <v>677</v>
      </c>
      <c r="DE104" s="3" t="s">
        <v>678</v>
      </c>
      <c r="DF104" s="3" t="s">
        <v>679</v>
      </c>
      <c r="DG104" s="3" t="s">
        <v>680</v>
      </c>
      <c r="DH104" s="3" t="s">
        <v>681</v>
      </c>
      <c r="DI104" s="3" t="s">
        <v>682</v>
      </c>
      <c r="DJ104" s="3" t="s">
        <v>676</v>
      </c>
      <c r="DK104" s="3" t="s">
        <v>677</v>
      </c>
      <c r="DL104" s="3" t="s">
        <v>678</v>
      </c>
      <c r="DM104" s="3" t="s">
        <v>679</v>
      </c>
      <c r="DN104" s="3" t="s">
        <v>680</v>
      </c>
      <c r="DO104" s="3" t="s">
        <v>681</v>
      </c>
      <c r="DP104" s="3" t="s">
        <v>682</v>
      </c>
      <c r="DQ104" s="3" t="s">
        <v>676</v>
      </c>
      <c r="DR104" s="3" t="s">
        <v>677</v>
      </c>
      <c r="DS104" s="3" t="s">
        <v>678</v>
      </c>
      <c r="DT104" s="3" t="s">
        <v>679</v>
      </c>
      <c r="DU104" s="3" t="s">
        <v>680</v>
      </c>
      <c r="DV104" s="3" t="s">
        <v>681</v>
      </c>
      <c r="DW104" s="3" t="s">
        <v>682</v>
      </c>
      <c r="DX104" s="3" t="s">
        <v>676</v>
      </c>
      <c r="DY104" s="3" t="s">
        <v>677</v>
      </c>
      <c r="DZ104" s="3" t="s">
        <v>678</v>
      </c>
      <c r="EA104" s="3" t="s">
        <v>679</v>
      </c>
      <c r="EB104" s="3" t="s">
        <v>680</v>
      </c>
      <c r="EC104" s="3" t="s">
        <v>681</v>
      </c>
      <c r="ED104" s="3" t="s">
        <v>682</v>
      </c>
      <c r="EE104" s="3" t="s">
        <v>676</v>
      </c>
      <c r="EF104" s="3" t="s">
        <v>677</v>
      </c>
      <c r="EG104" s="3" t="s">
        <v>678</v>
      </c>
      <c r="EH104" s="3" t="s">
        <v>679</v>
      </c>
      <c r="EI104" s="3" t="s">
        <v>680</v>
      </c>
      <c r="EJ104" s="3" t="s">
        <v>681</v>
      </c>
      <c r="EK104" s="3" t="s">
        <v>682</v>
      </c>
      <c r="EL104" s="3" t="s">
        <v>676</v>
      </c>
      <c r="EM104" s="3" t="s">
        <v>677</v>
      </c>
      <c r="EN104" s="3" t="s">
        <v>678</v>
      </c>
      <c r="EO104" s="3" t="s">
        <v>679</v>
      </c>
      <c r="EP104" s="3" t="s">
        <v>680</v>
      </c>
      <c r="EQ104" s="3" t="s">
        <v>681</v>
      </c>
      <c r="ER104" s="3" t="s">
        <v>682</v>
      </c>
      <c r="ES104" s="3" t="s">
        <v>676</v>
      </c>
      <c r="ET104" s="3" t="s">
        <v>677</v>
      </c>
      <c r="EU104" s="3" t="s">
        <v>678</v>
      </c>
      <c r="EV104" s="3" t="s">
        <v>679</v>
      </c>
      <c r="EW104" s="3" t="s">
        <v>680</v>
      </c>
      <c r="EX104" s="3" t="s">
        <v>681</v>
      </c>
      <c r="EY104" s="3" t="s">
        <v>682</v>
      </c>
      <c r="EZ104" s="3" t="s">
        <v>676</v>
      </c>
      <c r="FA104" s="3" t="s">
        <v>677</v>
      </c>
      <c r="FB104" s="3" t="s">
        <v>678</v>
      </c>
      <c r="FC104" s="3" t="s">
        <v>679</v>
      </c>
      <c r="FD104" s="3" t="s">
        <v>680</v>
      </c>
      <c r="FE104" s="3" t="s">
        <v>681</v>
      </c>
      <c r="FF104" s="3" t="s">
        <v>682</v>
      </c>
      <c r="FG104" s="3" t="s">
        <v>676</v>
      </c>
      <c r="FH104" s="3" t="s">
        <v>677</v>
      </c>
      <c r="FI104" s="3" t="s">
        <v>678</v>
      </c>
      <c r="FJ104" s="3" t="s">
        <v>679</v>
      </c>
      <c r="FK104" s="3" t="s">
        <v>680</v>
      </c>
      <c r="FL104" s="3" t="s">
        <v>681</v>
      </c>
      <c r="FM104" s="3" t="s">
        <v>682</v>
      </c>
      <c r="FN104" s="3" t="s">
        <v>676</v>
      </c>
      <c r="FO104" s="3" t="s">
        <v>677</v>
      </c>
      <c r="FP104" s="3" t="s">
        <v>678</v>
      </c>
      <c r="FQ104" s="3" t="s">
        <v>679</v>
      </c>
      <c r="FR104" s="3" t="s">
        <v>680</v>
      </c>
      <c r="FS104" s="3" t="s">
        <v>681</v>
      </c>
      <c r="FT104" s="3" t="s">
        <v>682</v>
      </c>
      <c r="FU104" s="3" t="s">
        <v>676</v>
      </c>
      <c r="FV104" s="3" t="s">
        <v>677</v>
      </c>
      <c r="FW104" s="3" t="s">
        <v>678</v>
      </c>
      <c r="FX104" s="3" t="s">
        <v>679</v>
      </c>
      <c r="FY104" s="3" t="s">
        <v>680</v>
      </c>
      <c r="FZ104" s="3" t="s">
        <v>681</v>
      </c>
      <c r="GA104" s="3" t="s">
        <v>682</v>
      </c>
      <c r="GB104" s="3" t="s">
        <v>676</v>
      </c>
      <c r="GC104" s="3" t="s">
        <v>677</v>
      </c>
      <c r="GD104" s="3" t="s">
        <v>678</v>
      </c>
      <c r="GE104" s="3" t="s">
        <v>679</v>
      </c>
      <c r="GF104" s="3" t="s">
        <v>680</v>
      </c>
      <c r="GG104" s="3" t="s">
        <v>681</v>
      </c>
      <c r="GH104" s="3" t="s">
        <v>682</v>
      </c>
      <c r="GI104" s="3" t="s">
        <v>676</v>
      </c>
      <c r="GJ104" s="3" t="s">
        <v>677</v>
      </c>
      <c r="GK104" s="3" t="s">
        <v>678</v>
      </c>
      <c r="GL104" s="3" t="s">
        <v>679</v>
      </c>
      <c r="GM104" s="3" t="s">
        <v>680</v>
      </c>
      <c r="GN104" s="3" t="s">
        <v>681</v>
      </c>
      <c r="GO104" s="3" t="s">
        <v>682</v>
      </c>
      <c r="GP104" s="3" t="s">
        <v>676</v>
      </c>
      <c r="GQ104" s="3" t="s">
        <v>677</v>
      </c>
      <c r="GR104" s="3" t="s">
        <v>678</v>
      </c>
      <c r="GS104" s="3" t="s">
        <v>679</v>
      </c>
      <c r="GT104" s="3" t="s">
        <v>680</v>
      </c>
      <c r="GU104" s="3" t="s">
        <v>681</v>
      </c>
      <c r="GV104" s="3" t="s">
        <v>682</v>
      </c>
      <c r="GW104" s="3" t="s">
        <v>676</v>
      </c>
      <c r="GX104" s="3" t="s">
        <v>677</v>
      </c>
      <c r="GY104" s="3" t="s">
        <v>678</v>
      </c>
      <c r="GZ104" s="3" t="s">
        <v>679</v>
      </c>
      <c r="HA104" s="3" t="s">
        <v>680</v>
      </c>
      <c r="HB104" s="3" t="s">
        <v>681</v>
      </c>
      <c r="HC104" s="3" t="s">
        <v>682</v>
      </c>
      <c r="HD104" s="3" t="s">
        <v>676</v>
      </c>
      <c r="HE104" s="3" t="s">
        <v>677</v>
      </c>
      <c r="HF104" s="3" t="s">
        <v>678</v>
      </c>
      <c r="HG104" s="3" t="s">
        <v>679</v>
      </c>
      <c r="HH104" s="3" t="s">
        <v>680</v>
      </c>
      <c r="HI104" s="3" t="s">
        <v>681</v>
      </c>
      <c r="HJ104" s="3" t="s">
        <v>682</v>
      </c>
      <c r="HK104" s="3" t="s">
        <v>676</v>
      </c>
      <c r="HL104" s="3" t="s">
        <v>677</v>
      </c>
      <c r="HM104" s="3" t="s">
        <v>678</v>
      </c>
      <c r="HN104" s="3" t="s">
        <v>679</v>
      </c>
      <c r="HO104" s="3" t="s">
        <v>680</v>
      </c>
      <c r="HP104" s="3" t="s">
        <v>681</v>
      </c>
      <c r="HQ104" s="3" t="s">
        <v>682</v>
      </c>
      <c r="HR104" s="3" t="s">
        <v>676</v>
      </c>
      <c r="HS104" s="3" t="s">
        <v>677</v>
      </c>
      <c r="HT104" s="3" t="s">
        <v>678</v>
      </c>
      <c r="HU104" s="3" t="s">
        <v>679</v>
      </c>
      <c r="HV104" s="3" t="s">
        <v>680</v>
      </c>
      <c r="HW104" s="3" t="s">
        <v>681</v>
      </c>
      <c r="HX104" s="3" t="s">
        <v>682</v>
      </c>
      <c r="HY104" s="3" t="s">
        <v>676</v>
      </c>
      <c r="HZ104" s="3" t="s">
        <v>677</v>
      </c>
      <c r="IA104" s="3" t="s">
        <v>678</v>
      </c>
      <c r="IB104" s="3" t="s">
        <v>679</v>
      </c>
      <c r="IC104" s="3" t="s">
        <v>680</v>
      </c>
    </row>
    <row r="105" spans="1:257">
      <c r="A105" s="82" t="s">
        <v>695</v>
      </c>
      <c r="B105" s="82" t="str">
        <f>COUNTIF(P105:IC105, "W")&amp;"勝"</f>
        <v>10勝</v>
      </c>
      <c r="C105" s="82" t="str">
        <f>COUNTIF(P105:IC105, "L")&amp;"敗"</f>
        <v>18敗</v>
      </c>
      <c r="D105" s="82" t="s">
        <v>696</v>
      </c>
      <c r="E105" s="78"/>
      <c r="F105" s="82" t="s">
        <v>730</v>
      </c>
      <c r="G105" s="78"/>
      <c r="H105" s="78"/>
      <c r="I105" s="78"/>
      <c r="J105" s="78"/>
      <c r="K105" s="78"/>
      <c r="L105" s="78"/>
      <c r="M105" s="82"/>
      <c r="N105" s="78"/>
      <c r="O105" s="1" t="s">
        <v>698</v>
      </c>
      <c r="Q105" t="s">
        <v>700</v>
      </c>
      <c r="R105" t="s">
        <v>700</v>
      </c>
      <c r="S105" t="s">
        <v>699</v>
      </c>
      <c r="T105" t="s">
        <v>699</v>
      </c>
      <c r="U105" t="s">
        <v>699</v>
      </c>
      <c r="V105" t="s">
        <v>699</v>
      </c>
      <c r="W105" t="s">
        <v>699</v>
      </c>
      <c r="Y105" t="s">
        <v>700</v>
      </c>
      <c r="Z105" t="s">
        <v>699</v>
      </c>
      <c r="AA105" t="s">
        <v>700</v>
      </c>
      <c r="AB105" t="s">
        <v>700</v>
      </c>
      <c r="AC105" t="s">
        <v>700</v>
      </c>
      <c r="AD105" t="s">
        <v>700</v>
      </c>
      <c r="AF105" t="s">
        <v>700</v>
      </c>
      <c r="AG105" t="s">
        <v>700</v>
      </c>
      <c r="AH105" t="s">
        <v>700</v>
      </c>
      <c r="AI105" t="s">
        <v>700</v>
      </c>
      <c r="AJ105" t="s">
        <v>699</v>
      </c>
      <c r="AK105" t="s">
        <v>699</v>
      </c>
      <c r="AL105" t="s">
        <v>700</v>
      </c>
      <c r="AM105" t="s">
        <v>700</v>
      </c>
      <c r="AN105" t="s">
        <v>700</v>
      </c>
      <c r="AO105" t="s">
        <v>700</v>
      </c>
      <c r="AP105" t="s">
        <v>699</v>
      </c>
      <c r="AQ105" t="s">
        <v>700</v>
      </c>
      <c r="AT105" t="s">
        <v>700</v>
      </c>
      <c r="AU105" t="s">
        <v>700</v>
      </c>
      <c r="AV105" t="s">
        <v>699</v>
      </c>
    </row>
    <row r="106" spans="1:257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1" t="s">
        <v>701</v>
      </c>
    </row>
    <row r="107" spans="1:257">
      <c r="A107" s="82" t="s">
        <v>702</v>
      </c>
      <c r="B107" s="82" t="str">
        <f>COUNTIF(P107:IC107, "O")&amp;"正"</f>
        <v>9正</v>
      </c>
      <c r="C107" s="82" t="str">
        <f>COUNTIF(P107:IC107, "X")&amp;"負"</f>
        <v>19負</v>
      </c>
      <c r="D107" s="82" t="s">
        <v>703</v>
      </c>
      <c r="E107" s="78"/>
      <c r="F107" s="82" t="s">
        <v>731</v>
      </c>
      <c r="G107" s="78"/>
      <c r="H107" s="78"/>
      <c r="I107" s="78"/>
      <c r="J107" s="78"/>
      <c r="K107" s="78"/>
      <c r="L107" s="78"/>
      <c r="M107" s="82"/>
      <c r="N107" s="78"/>
      <c r="O107" s="1" t="s">
        <v>705</v>
      </c>
      <c r="Q107" t="s">
        <v>684</v>
      </c>
      <c r="R107" t="s">
        <v>684</v>
      </c>
      <c r="S107" t="s">
        <v>683</v>
      </c>
      <c r="T107" t="s">
        <v>683</v>
      </c>
      <c r="U107" t="s">
        <v>683</v>
      </c>
      <c r="V107" t="s">
        <v>683</v>
      </c>
      <c r="W107" t="s">
        <v>683</v>
      </c>
      <c r="Y107" t="s">
        <v>684</v>
      </c>
      <c r="Z107" t="s">
        <v>683</v>
      </c>
      <c r="AA107" t="s">
        <v>684</v>
      </c>
      <c r="AB107" t="s">
        <v>684</v>
      </c>
      <c r="AC107" t="s">
        <v>684</v>
      </c>
      <c r="AD107" t="s">
        <v>684</v>
      </c>
      <c r="AF107" t="s">
        <v>684</v>
      </c>
      <c r="AG107" t="s">
        <v>684</v>
      </c>
      <c r="AH107" t="s">
        <v>684</v>
      </c>
      <c r="AI107" t="s">
        <v>684</v>
      </c>
      <c r="AJ107" t="s">
        <v>684</v>
      </c>
      <c r="AK107" t="s">
        <v>683</v>
      </c>
      <c r="AL107" t="s">
        <v>684</v>
      </c>
      <c r="AM107" t="s">
        <v>684</v>
      </c>
      <c r="AN107" t="s">
        <v>684</v>
      </c>
      <c r="AO107" t="s">
        <v>684</v>
      </c>
      <c r="AP107" t="s">
        <v>683</v>
      </c>
      <c r="AQ107" t="s">
        <v>684</v>
      </c>
      <c r="AT107" t="s">
        <v>684</v>
      </c>
      <c r="AU107" t="s">
        <v>684</v>
      </c>
      <c r="AV107" t="s">
        <v>683</v>
      </c>
      <c r="IN107" t="str">
        <f ca="1">IFERROR(INDEX($P107:$IC107,1,_xludf.AGGREGATE(14,6,(COLUMN($P107:$IC107)-COLUMN($P107)+1)/($P107:$IC107&lt;&gt;""),1)),"")</f>
        <v/>
      </c>
      <c r="IO107" t="str">
        <f ca="1">IFERROR(INDEX($P107:$IC107,1,_xludf.AGGREGATE(14,6,(COLUMN($P107:$IC107)-COLUMN($P107)+1)/($P107:$IC107&lt;&gt;""),2)),"")</f>
        <v/>
      </c>
      <c r="IP107" t="str">
        <f ca="1">IFERROR(INDEX($P107:$IC107,1,_xludf.AGGREGATE(14,6,(COLUMN($P107:$IC107)-COLUMN($P107)+1)/($P107:$IC107&lt;&gt;""),3)),"")</f>
        <v/>
      </c>
      <c r="IQ107" t="str">
        <f ca="1">IFERROR(INDEX($P107:$IC107,1,_xludf.AGGREGATE(14,6,(COLUMN($P107:$IC107)-COLUMN($P107)+1)/($P107:$IC107&lt;&gt;""),4)),"")</f>
        <v/>
      </c>
      <c r="IR107" t="str">
        <f ca="1">IFERROR(INDEX($P107:$IC107,1,_xludf.AGGREGATE(14,6,(COLUMN($P107:$IC107)-COLUMN($P107)+1)/($P107:$IC107&lt;&gt;""),5)),"")</f>
        <v/>
      </c>
      <c r="IS107" t="str">
        <f ca="1">IFERROR(INDEX($P107:$IC107,1,_xludf.AGGREGATE(14,6,(COLUMN($P107:$IC107)-COLUMN($P107)+1)/($P107:$IC107&lt;&gt;""),6)),"")</f>
        <v/>
      </c>
      <c r="IT107" t="str">
        <f ca="1">IFERROR(INDEX($P107:$IC107,1,_xludf.AGGREGATE(14,6,(COLUMN($P107:$IC107)-COLUMN($P107)+1)/($P107:$IC107&lt;&gt;""),7)),"")</f>
        <v/>
      </c>
      <c r="IU107" t="str">
        <f ca="1">IFERROR(INDEX($P107:$IC107,1,_xludf.AGGREGATE(14,6,(COLUMN($P107:$IC107)-COLUMN($P107)+1)/($P107:$IC107&lt;&gt;""),8)),"")</f>
        <v/>
      </c>
      <c r="IV107" t="str">
        <f ca="1">IFERROR(INDEX($P107:$IC107,1,_xludf.AGGREGATE(14,6,(COLUMN($P107:$IC107)-COLUMN($P107)+1)/($P107:$IC107&lt;&gt;""),9)),"")</f>
        <v/>
      </c>
      <c r="IW107" t="str">
        <f ca="1">IFERROR(INDEX($P107:$IC107,1,_xludf.AGGREGATE(14,6,(COLUMN($P107:$IC107)-COLUMN($P107)+1)/($P107:$IC107&lt;&gt;""),10)),"")</f>
        <v/>
      </c>
    </row>
    <row r="108" spans="1:257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1" t="s">
        <v>706</v>
      </c>
    </row>
    <row r="109" spans="1:257">
      <c r="A109" s="82" t="s">
        <v>707</v>
      </c>
      <c r="B109" s="77"/>
      <c r="C109" s="77"/>
      <c r="D109" s="82" t="s">
        <v>708</v>
      </c>
      <c r="E109" s="78"/>
      <c r="F109" s="82"/>
      <c r="G109" s="78"/>
      <c r="H109" s="78"/>
      <c r="I109" s="78"/>
      <c r="J109" s="78"/>
      <c r="K109" s="78"/>
      <c r="L109" s="78"/>
      <c r="M109" s="82"/>
      <c r="N109" s="78"/>
      <c r="O109" s="1" t="s">
        <v>709</v>
      </c>
    </row>
    <row r="110" spans="1:257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1" t="s">
        <v>710</v>
      </c>
    </row>
    <row r="111" spans="1:257">
      <c r="A111" s="109" t="s">
        <v>37</v>
      </c>
      <c r="B111" s="78"/>
      <c r="C111" s="7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 t="s">
        <v>674</v>
      </c>
      <c r="P111" s="8">
        <v>1</v>
      </c>
      <c r="Q111" s="8">
        <v>2</v>
      </c>
      <c r="R111" s="8">
        <v>3</v>
      </c>
      <c r="S111" s="8">
        <v>4</v>
      </c>
      <c r="T111" s="8">
        <v>5</v>
      </c>
      <c r="U111" s="8">
        <v>6</v>
      </c>
      <c r="V111" s="8">
        <v>7</v>
      </c>
      <c r="W111" s="8">
        <v>8</v>
      </c>
      <c r="X111" s="8">
        <v>9</v>
      </c>
      <c r="Y111" s="8">
        <v>10</v>
      </c>
      <c r="Z111" s="8">
        <v>11</v>
      </c>
      <c r="AA111" s="8">
        <v>12</v>
      </c>
      <c r="AB111" s="8">
        <v>13</v>
      </c>
      <c r="AC111" s="8">
        <v>14</v>
      </c>
      <c r="AD111" s="8">
        <v>15</v>
      </c>
      <c r="AE111" s="8">
        <v>16</v>
      </c>
      <c r="AF111" s="8">
        <v>17</v>
      </c>
      <c r="AG111" s="8">
        <v>18</v>
      </c>
      <c r="AH111" s="8">
        <v>19</v>
      </c>
      <c r="AI111" s="8">
        <v>20</v>
      </c>
      <c r="AJ111" s="8">
        <v>21</v>
      </c>
      <c r="AK111" s="8">
        <v>22</v>
      </c>
      <c r="AL111" s="8">
        <v>23</v>
      </c>
      <c r="AM111" s="8">
        <v>24</v>
      </c>
      <c r="AN111" s="8">
        <v>25</v>
      </c>
      <c r="AO111" s="8">
        <v>26</v>
      </c>
      <c r="AP111" s="8">
        <v>27</v>
      </c>
      <c r="AQ111" s="8">
        <v>28</v>
      </c>
      <c r="AR111" s="8">
        <v>29</v>
      </c>
      <c r="AS111" s="8">
        <v>30</v>
      </c>
      <c r="AT111" s="8">
        <v>31</v>
      </c>
      <c r="AU111" s="8">
        <v>32</v>
      </c>
      <c r="AV111" s="8">
        <v>33</v>
      </c>
      <c r="AW111" s="8">
        <v>34</v>
      </c>
      <c r="AX111" s="8">
        <v>35</v>
      </c>
      <c r="AY111" s="8">
        <v>36</v>
      </c>
      <c r="AZ111" s="8">
        <v>37</v>
      </c>
      <c r="BA111" s="8">
        <v>38</v>
      </c>
      <c r="BB111" s="8">
        <v>39</v>
      </c>
      <c r="BC111" s="8">
        <v>40</v>
      </c>
      <c r="BD111" s="8">
        <v>41</v>
      </c>
      <c r="BE111" s="8">
        <v>42</v>
      </c>
      <c r="BF111" s="8">
        <v>43</v>
      </c>
      <c r="BG111" s="8">
        <v>44</v>
      </c>
      <c r="BH111" s="8">
        <v>45</v>
      </c>
      <c r="BI111" s="8">
        <v>46</v>
      </c>
      <c r="BJ111" s="8">
        <v>47</v>
      </c>
      <c r="BK111" s="8">
        <v>48</v>
      </c>
      <c r="BL111" s="8">
        <v>49</v>
      </c>
      <c r="BM111" s="8">
        <v>50</v>
      </c>
      <c r="BN111" s="8">
        <v>51</v>
      </c>
      <c r="BO111" s="8">
        <v>52</v>
      </c>
      <c r="BP111" s="8">
        <v>53</v>
      </c>
      <c r="BQ111" s="8">
        <v>54</v>
      </c>
      <c r="BR111" s="8">
        <v>55</v>
      </c>
      <c r="BS111" s="8">
        <v>56</v>
      </c>
      <c r="BT111" s="8">
        <v>57</v>
      </c>
      <c r="BU111" s="8">
        <v>58</v>
      </c>
      <c r="BV111" s="8">
        <v>59</v>
      </c>
      <c r="BW111" s="8">
        <v>60</v>
      </c>
      <c r="BX111" s="8">
        <v>61</v>
      </c>
      <c r="BY111" s="8">
        <v>62</v>
      </c>
      <c r="BZ111" s="8">
        <v>63</v>
      </c>
      <c r="CA111" s="8">
        <v>64</v>
      </c>
      <c r="CB111" s="8">
        <v>65</v>
      </c>
      <c r="CC111" s="8">
        <v>66</v>
      </c>
      <c r="CD111" s="8">
        <v>67</v>
      </c>
      <c r="CE111" s="8">
        <v>68</v>
      </c>
      <c r="CF111" s="8">
        <v>69</v>
      </c>
      <c r="CG111" s="8">
        <v>70</v>
      </c>
      <c r="CH111" s="8">
        <v>71</v>
      </c>
      <c r="CI111" s="8">
        <v>72</v>
      </c>
      <c r="CJ111" s="8">
        <v>73</v>
      </c>
      <c r="CK111" s="8">
        <v>74</v>
      </c>
      <c r="CL111" s="8">
        <v>75</v>
      </c>
      <c r="CM111" s="8">
        <v>76</v>
      </c>
      <c r="CN111" s="8">
        <v>77</v>
      </c>
      <c r="CO111" s="8">
        <v>78</v>
      </c>
      <c r="CP111" s="8">
        <v>79</v>
      </c>
      <c r="CQ111" s="8">
        <v>80</v>
      </c>
      <c r="CR111" s="8">
        <v>81</v>
      </c>
      <c r="CS111" s="8">
        <v>82</v>
      </c>
      <c r="CT111" s="8">
        <v>83</v>
      </c>
      <c r="CU111" s="8">
        <v>84</v>
      </c>
      <c r="CV111" s="8">
        <v>85</v>
      </c>
      <c r="CW111" s="8">
        <v>86</v>
      </c>
      <c r="CX111" s="8">
        <v>87</v>
      </c>
      <c r="CY111" s="8">
        <v>88</v>
      </c>
      <c r="CZ111" s="8">
        <v>89</v>
      </c>
      <c r="DA111" s="8">
        <v>90</v>
      </c>
      <c r="DB111" s="8">
        <v>91</v>
      </c>
      <c r="DC111" s="8">
        <v>92</v>
      </c>
      <c r="DD111" s="8">
        <v>93</v>
      </c>
      <c r="DE111" s="8">
        <v>94</v>
      </c>
      <c r="DF111" s="8">
        <v>95</v>
      </c>
      <c r="DG111" s="8">
        <v>96</v>
      </c>
      <c r="DH111" s="8">
        <v>97</v>
      </c>
      <c r="DI111" s="8">
        <v>98</v>
      </c>
      <c r="DJ111" s="8">
        <v>99</v>
      </c>
      <c r="DK111" s="8">
        <v>100</v>
      </c>
      <c r="DL111" s="8">
        <v>101</v>
      </c>
      <c r="DM111" s="8">
        <v>102</v>
      </c>
      <c r="DN111" s="8">
        <v>103</v>
      </c>
      <c r="DO111" s="8">
        <v>104</v>
      </c>
      <c r="DP111" s="8">
        <v>105</v>
      </c>
      <c r="DQ111" s="8">
        <v>106</v>
      </c>
      <c r="DR111" s="8">
        <v>107</v>
      </c>
      <c r="DS111" s="8">
        <v>108</v>
      </c>
      <c r="DT111" s="8">
        <v>109</v>
      </c>
      <c r="DU111" s="8">
        <v>110</v>
      </c>
      <c r="DV111" s="8">
        <v>111</v>
      </c>
      <c r="DW111" s="8">
        <v>112</v>
      </c>
      <c r="DX111" s="8">
        <v>113</v>
      </c>
      <c r="DY111" s="8">
        <v>114</v>
      </c>
      <c r="DZ111" s="8">
        <v>115</v>
      </c>
      <c r="EA111" s="8">
        <v>116</v>
      </c>
      <c r="EB111" s="8">
        <v>117</v>
      </c>
      <c r="EC111" s="8">
        <v>118</v>
      </c>
      <c r="ED111" s="8">
        <v>119</v>
      </c>
      <c r="EE111" s="8">
        <v>120</v>
      </c>
      <c r="EF111" s="8">
        <v>121</v>
      </c>
      <c r="EG111" s="8">
        <v>122</v>
      </c>
      <c r="EH111" s="8">
        <v>123</v>
      </c>
      <c r="EI111" s="8">
        <v>124</v>
      </c>
      <c r="EJ111" s="8">
        <v>125</v>
      </c>
      <c r="EK111" s="8">
        <v>126</v>
      </c>
      <c r="EL111" s="8">
        <v>127</v>
      </c>
      <c r="EM111" s="8">
        <v>128</v>
      </c>
      <c r="EN111" s="8">
        <v>129</v>
      </c>
      <c r="EO111" s="8">
        <v>130</v>
      </c>
      <c r="EP111" s="8">
        <v>131</v>
      </c>
      <c r="EQ111" s="8">
        <v>132</v>
      </c>
      <c r="ER111" s="8">
        <v>133</v>
      </c>
      <c r="ES111" s="8">
        <v>134</v>
      </c>
      <c r="ET111" s="8">
        <v>135</v>
      </c>
      <c r="EU111" s="8">
        <v>136</v>
      </c>
      <c r="EV111" s="8">
        <v>137</v>
      </c>
      <c r="EW111" s="8">
        <v>138</v>
      </c>
      <c r="EX111" s="8">
        <v>139</v>
      </c>
      <c r="EY111" s="8">
        <v>140</v>
      </c>
      <c r="EZ111" s="8">
        <v>141</v>
      </c>
      <c r="FA111" s="8">
        <v>142</v>
      </c>
      <c r="FB111" s="8">
        <v>143</v>
      </c>
      <c r="FC111" s="8">
        <v>144</v>
      </c>
      <c r="FD111" s="8">
        <v>145</v>
      </c>
      <c r="FE111" s="8">
        <v>146</v>
      </c>
      <c r="FF111" s="8">
        <v>147</v>
      </c>
      <c r="FG111" s="8">
        <v>148</v>
      </c>
      <c r="FH111" s="8">
        <v>149</v>
      </c>
      <c r="FI111" s="8">
        <v>150</v>
      </c>
      <c r="FJ111" s="8">
        <v>151</v>
      </c>
      <c r="FK111" s="8">
        <v>152</v>
      </c>
      <c r="FL111" s="8">
        <v>153</v>
      </c>
      <c r="FM111" s="8">
        <v>154</v>
      </c>
      <c r="FN111" s="8">
        <v>155</v>
      </c>
      <c r="FO111" s="8">
        <v>156</v>
      </c>
      <c r="FP111" s="8">
        <v>157</v>
      </c>
      <c r="FQ111" s="8">
        <v>158</v>
      </c>
      <c r="FR111" s="8">
        <v>159</v>
      </c>
      <c r="FS111" s="8">
        <v>160</v>
      </c>
      <c r="FT111" s="8">
        <v>161</v>
      </c>
      <c r="FU111" s="8">
        <v>162</v>
      </c>
      <c r="FV111" s="8">
        <v>163</v>
      </c>
      <c r="FW111" s="8">
        <v>164</v>
      </c>
      <c r="FX111" s="8">
        <v>165</v>
      </c>
      <c r="FY111" s="8">
        <v>166</v>
      </c>
      <c r="FZ111" s="8">
        <v>167</v>
      </c>
      <c r="GA111" s="8">
        <v>168</v>
      </c>
      <c r="GB111" s="8">
        <v>169</v>
      </c>
      <c r="GC111" s="8">
        <v>170</v>
      </c>
      <c r="GD111" s="8">
        <v>171</v>
      </c>
      <c r="GE111" s="8">
        <v>172</v>
      </c>
      <c r="GF111" s="8">
        <v>173</v>
      </c>
      <c r="GG111" s="8">
        <v>174</v>
      </c>
      <c r="GH111" s="8">
        <v>175</v>
      </c>
      <c r="GI111" s="8">
        <v>176</v>
      </c>
      <c r="GJ111" s="8">
        <v>177</v>
      </c>
      <c r="GK111" s="8">
        <v>178</v>
      </c>
      <c r="GL111" s="8">
        <v>179</v>
      </c>
      <c r="GM111" s="8">
        <v>180</v>
      </c>
      <c r="GN111" s="8">
        <v>181</v>
      </c>
      <c r="GO111" s="8">
        <v>182</v>
      </c>
      <c r="GP111" s="8">
        <v>183</v>
      </c>
      <c r="GQ111" s="8">
        <v>184</v>
      </c>
      <c r="GR111" s="8">
        <v>185</v>
      </c>
      <c r="GS111" s="8">
        <v>186</v>
      </c>
      <c r="GT111" s="8">
        <v>187</v>
      </c>
      <c r="GU111" s="8">
        <v>188</v>
      </c>
      <c r="GV111" s="8">
        <v>189</v>
      </c>
      <c r="GW111" s="8">
        <v>190</v>
      </c>
      <c r="GX111" s="8">
        <v>191</v>
      </c>
      <c r="GY111" s="8">
        <v>192</v>
      </c>
      <c r="GZ111" s="8">
        <v>193</v>
      </c>
      <c r="HA111" s="8">
        <v>194</v>
      </c>
      <c r="HB111" s="8">
        <v>195</v>
      </c>
      <c r="HC111" s="8">
        <v>196</v>
      </c>
      <c r="HD111" s="8">
        <v>197</v>
      </c>
      <c r="HE111" s="8">
        <v>198</v>
      </c>
      <c r="HF111" s="8">
        <v>199</v>
      </c>
      <c r="HG111" s="8">
        <v>200</v>
      </c>
      <c r="HH111" s="8">
        <v>201</v>
      </c>
      <c r="HI111" s="8">
        <v>202</v>
      </c>
      <c r="HJ111" s="8">
        <v>203</v>
      </c>
      <c r="HK111" s="8">
        <v>204</v>
      </c>
      <c r="HL111" s="8">
        <v>205</v>
      </c>
      <c r="HM111" s="8">
        <v>206</v>
      </c>
      <c r="HN111" s="8">
        <v>207</v>
      </c>
      <c r="HO111" s="8">
        <v>208</v>
      </c>
      <c r="HP111" s="8">
        <v>209</v>
      </c>
      <c r="HQ111" s="8">
        <v>210</v>
      </c>
      <c r="HR111" s="8">
        <v>211</v>
      </c>
      <c r="HS111" s="8">
        <v>212</v>
      </c>
      <c r="HT111" s="8">
        <v>213</v>
      </c>
      <c r="HU111" s="8">
        <v>214</v>
      </c>
      <c r="HV111" s="8">
        <v>215</v>
      </c>
      <c r="HW111" s="8">
        <v>216</v>
      </c>
      <c r="HX111" s="8">
        <v>217</v>
      </c>
      <c r="HY111" s="8">
        <v>218</v>
      </c>
      <c r="HZ111" s="8">
        <v>219</v>
      </c>
      <c r="IA111" s="8">
        <v>220</v>
      </c>
      <c r="IB111" s="8">
        <v>221</v>
      </c>
      <c r="IC111" s="8">
        <v>222</v>
      </c>
    </row>
    <row r="112" spans="1:257">
      <c r="A112" s="78"/>
      <c r="B112" s="78"/>
      <c r="C112" s="7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7"/>
      <c r="P112" s="50" t="s">
        <v>37</v>
      </c>
      <c r="Q112" s="50" t="s">
        <v>37</v>
      </c>
      <c r="R112" s="50" t="s">
        <v>37</v>
      </c>
      <c r="S112" s="50" t="s">
        <v>37</v>
      </c>
      <c r="T112" s="50" t="s">
        <v>37</v>
      </c>
      <c r="U112" s="50" t="s">
        <v>37</v>
      </c>
      <c r="V112" s="50" t="s">
        <v>37</v>
      </c>
      <c r="W112" s="50" t="s">
        <v>37</v>
      </c>
      <c r="X112" s="50" t="s">
        <v>37</v>
      </c>
      <c r="Y112" s="50" t="s">
        <v>37</v>
      </c>
      <c r="Z112" s="50" t="s">
        <v>37</v>
      </c>
      <c r="AA112" s="50" t="s">
        <v>37</v>
      </c>
      <c r="AB112" s="50" t="s">
        <v>37</v>
      </c>
      <c r="AC112" s="50" t="s">
        <v>37</v>
      </c>
      <c r="AD112" s="50" t="s">
        <v>37</v>
      </c>
      <c r="AE112" s="50" t="s">
        <v>37</v>
      </c>
      <c r="AF112" s="50" t="s">
        <v>37</v>
      </c>
      <c r="AG112" s="50" t="s">
        <v>37</v>
      </c>
      <c r="AH112" s="50" t="s">
        <v>37</v>
      </c>
      <c r="AI112" s="50" t="s">
        <v>37</v>
      </c>
      <c r="AJ112" s="50" t="s">
        <v>37</v>
      </c>
      <c r="AK112" s="50" t="s">
        <v>37</v>
      </c>
      <c r="AL112" s="50" t="s">
        <v>37</v>
      </c>
      <c r="AM112" s="50" t="s">
        <v>37</v>
      </c>
      <c r="AN112" s="50" t="s">
        <v>37</v>
      </c>
      <c r="AO112" s="50" t="s">
        <v>37</v>
      </c>
      <c r="AP112" s="50" t="s">
        <v>37</v>
      </c>
      <c r="AQ112" s="50" t="s">
        <v>37</v>
      </c>
      <c r="AR112" s="50" t="s">
        <v>37</v>
      </c>
      <c r="AS112" s="50" t="s">
        <v>37</v>
      </c>
      <c r="AT112" s="50" t="s">
        <v>37</v>
      </c>
      <c r="AU112" s="50" t="s">
        <v>37</v>
      </c>
      <c r="AV112" s="50" t="s">
        <v>37</v>
      </c>
      <c r="AW112" s="50" t="s">
        <v>37</v>
      </c>
      <c r="AX112" s="50" t="s">
        <v>37</v>
      </c>
      <c r="AY112" s="50" t="s">
        <v>37</v>
      </c>
      <c r="AZ112" s="50" t="s">
        <v>37</v>
      </c>
      <c r="BA112" s="50" t="s">
        <v>37</v>
      </c>
      <c r="BB112" s="50" t="s">
        <v>37</v>
      </c>
      <c r="BC112" s="50" t="s">
        <v>37</v>
      </c>
      <c r="BD112" s="50" t="s">
        <v>37</v>
      </c>
      <c r="BE112" s="50" t="s">
        <v>37</v>
      </c>
      <c r="BF112" s="50" t="s">
        <v>37</v>
      </c>
      <c r="BG112" s="50" t="s">
        <v>37</v>
      </c>
      <c r="BH112" s="50" t="s">
        <v>37</v>
      </c>
      <c r="BI112" s="50" t="s">
        <v>37</v>
      </c>
      <c r="BJ112" s="50" t="s">
        <v>37</v>
      </c>
      <c r="BK112" s="50" t="s">
        <v>37</v>
      </c>
      <c r="BL112" s="50" t="s">
        <v>37</v>
      </c>
      <c r="BM112" s="50" t="s">
        <v>37</v>
      </c>
      <c r="BN112" s="50" t="s">
        <v>37</v>
      </c>
      <c r="BO112" s="50" t="s">
        <v>37</v>
      </c>
      <c r="BP112" s="50" t="s">
        <v>37</v>
      </c>
      <c r="BQ112" s="50" t="s">
        <v>37</v>
      </c>
      <c r="BR112" s="50" t="s">
        <v>37</v>
      </c>
      <c r="BS112" s="50" t="s">
        <v>37</v>
      </c>
      <c r="BT112" s="50" t="s">
        <v>37</v>
      </c>
      <c r="BU112" s="50" t="s">
        <v>37</v>
      </c>
      <c r="BV112" s="50" t="s">
        <v>37</v>
      </c>
      <c r="BW112" s="50" t="s">
        <v>37</v>
      </c>
      <c r="BX112" s="50" t="s">
        <v>37</v>
      </c>
      <c r="BY112" s="50" t="s">
        <v>37</v>
      </c>
      <c r="BZ112" s="50" t="s">
        <v>37</v>
      </c>
      <c r="CA112" s="50" t="s">
        <v>37</v>
      </c>
      <c r="CB112" s="50" t="s">
        <v>37</v>
      </c>
      <c r="CC112" s="50" t="s">
        <v>37</v>
      </c>
      <c r="CD112" s="50" t="s">
        <v>37</v>
      </c>
      <c r="CE112" s="50" t="s">
        <v>37</v>
      </c>
      <c r="CF112" s="50" t="s">
        <v>37</v>
      </c>
      <c r="CG112" s="50" t="s">
        <v>37</v>
      </c>
      <c r="CH112" s="50" t="s">
        <v>37</v>
      </c>
      <c r="CI112" s="50" t="s">
        <v>37</v>
      </c>
      <c r="CJ112" s="50" t="s">
        <v>37</v>
      </c>
      <c r="CK112" s="50" t="s">
        <v>37</v>
      </c>
      <c r="CL112" s="50" t="s">
        <v>37</v>
      </c>
      <c r="CM112" s="50" t="s">
        <v>37</v>
      </c>
      <c r="CN112" s="50" t="s">
        <v>37</v>
      </c>
      <c r="CO112" s="50" t="s">
        <v>37</v>
      </c>
      <c r="CP112" s="50" t="s">
        <v>37</v>
      </c>
      <c r="CQ112" s="50" t="s">
        <v>37</v>
      </c>
      <c r="CR112" s="50" t="s">
        <v>37</v>
      </c>
      <c r="CS112" s="50" t="s">
        <v>37</v>
      </c>
      <c r="CT112" s="50" t="s">
        <v>37</v>
      </c>
      <c r="CU112" s="50" t="s">
        <v>37</v>
      </c>
      <c r="CV112" s="50" t="s">
        <v>37</v>
      </c>
      <c r="CW112" s="50" t="s">
        <v>37</v>
      </c>
      <c r="CX112" s="50" t="s">
        <v>37</v>
      </c>
      <c r="CY112" s="50" t="s">
        <v>37</v>
      </c>
      <c r="CZ112" s="50" t="s">
        <v>37</v>
      </c>
      <c r="DA112" s="50" t="s">
        <v>37</v>
      </c>
      <c r="DB112" s="50" t="s">
        <v>37</v>
      </c>
      <c r="DC112" s="50" t="s">
        <v>37</v>
      </c>
      <c r="DD112" s="50" t="s">
        <v>37</v>
      </c>
      <c r="DE112" s="50" t="s">
        <v>37</v>
      </c>
      <c r="DF112" s="50" t="s">
        <v>37</v>
      </c>
      <c r="DG112" s="50" t="s">
        <v>37</v>
      </c>
      <c r="DH112" s="50" t="s">
        <v>37</v>
      </c>
      <c r="DI112" s="50" t="s">
        <v>37</v>
      </c>
      <c r="DJ112" s="50" t="s">
        <v>37</v>
      </c>
      <c r="DK112" s="50" t="s">
        <v>37</v>
      </c>
      <c r="DL112" s="50" t="s">
        <v>37</v>
      </c>
      <c r="DM112" s="50" t="s">
        <v>37</v>
      </c>
      <c r="DN112" s="50" t="s">
        <v>37</v>
      </c>
      <c r="DO112" s="50" t="s">
        <v>37</v>
      </c>
      <c r="DP112" s="50" t="s">
        <v>37</v>
      </c>
      <c r="DQ112" s="50" t="s">
        <v>37</v>
      </c>
      <c r="DR112" s="50" t="s">
        <v>37</v>
      </c>
      <c r="DS112" s="50" t="s">
        <v>37</v>
      </c>
      <c r="DT112" s="50" t="s">
        <v>37</v>
      </c>
      <c r="DU112" s="50" t="s">
        <v>37</v>
      </c>
      <c r="DV112" s="50" t="s">
        <v>37</v>
      </c>
      <c r="DW112" s="50" t="s">
        <v>37</v>
      </c>
      <c r="DX112" s="50" t="s">
        <v>37</v>
      </c>
      <c r="DY112" s="50" t="s">
        <v>37</v>
      </c>
      <c r="DZ112" s="50" t="s">
        <v>37</v>
      </c>
      <c r="EA112" s="50" t="s">
        <v>37</v>
      </c>
      <c r="EB112" s="50" t="s">
        <v>37</v>
      </c>
      <c r="EC112" s="50" t="s">
        <v>37</v>
      </c>
      <c r="ED112" s="50" t="s">
        <v>37</v>
      </c>
      <c r="EE112" s="50" t="s">
        <v>37</v>
      </c>
      <c r="EF112" s="50" t="s">
        <v>37</v>
      </c>
      <c r="EG112" s="50" t="s">
        <v>37</v>
      </c>
      <c r="EH112" s="50" t="s">
        <v>37</v>
      </c>
      <c r="EI112" s="50" t="s">
        <v>37</v>
      </c>
      <c r="EJ112" s="50" t="s">
        <v>37</v>
      </c>
      <c r="EK112" s="50" t="s">
        <v>37</v>
      </c>
      <c r="EL112" s="50" t="s">
        <v>37</v>
      </c>
      <c r="EM112" s="50" t="s">
        <v>37</v>
      </c>
      <c r="EN112" s="50" t="s">
        <v>37</v>
      </c>
      <c r="EO112" s="50" t="s">
        <v>37</v>
      </c>
      <c r="EP112" s="50" t="s">
        <v>37</v>
      </c>
      <c r="EQ112" s="50" t="s">
        <v>37</v>
      </c>
      <c r="ER112" s="50" t="s">
        <v>37</v>
      </c>
      <c r="ES112" s="50" t="s">
        <v>37</v>
      </c>
      <c r="ET112" s="50" t="s">
        <v>37</v>
      </c>
      <c r="EU112" s="50" t="s">
        <v>37</v>
      </c>
      <c r="EV112" s="50" t="s">
        <v>37</v>
      </c>
      <c r="EW112" s="50" t="s">
        <v>37</v>
      </c>
      <c r="EX112" s="50" t="s">
        <v>37</v>
      </c>
      <c r="EY112" s="50" t="s">
        <v>37</v>
      </c>
      <c r="EZ112" s="50" t="s">
        <v>37</v>
      </c>
      <c r="FA112" s="50" t="s">
        <v>37</v>
      </c>
      <c r="FB112" s="50" t="s">
        <v>37</v>
      </c>
      <c r="FC112" s="50" t="s">
        <v>37</v>
      </c>
      <c r="FD112" s="50" t="s">
        <v>37</v>
      </c>
      <c r="FE112" s="50" t="s">
        <v>37</v>
      </c>
      <c r="FF112" s="50" t="s">
        <v>37</v>
      </c>
      <c r="FG112" s="50" t="s">
        <v>37</v>
      </c>
      <c r="FH112" s="50" t="s">
        <v>37</v>
      </c>
      <c r="FI112" s="50" t="s">
        <v>37</v>
      </c>
      <c r="FJ112" s="50" t="s">
        <v>37</v>
      </c>
      <c r="FK112" s="50" t="s">
        <v>37</v>
      </c>
      <c r="FL112" s="50" t="s">
        <v>37</v>
      </c>
      <c r="FM112" s="50" t="s">
        <v>37</v>
      </c>
      <c r="FN112" s="50" t="s">
        <v>37</v>
      </c>
      <c r="FO112" s="50" t="s">
        <v>37</v>
      </c>
      <c r="FP112" s="50" t="s">
        <v>37</v>
      </c>
      <c r="FQ112" s="50" t="s">
        <v>37</v>
      </c>
      <c r="FR112" s="50" t="s">
        <v>37</v>
      </c>
      <c r="FS112" s="50" t="s">
        <v>37</v>
      </c>
      <c r="FT112" s="50" t="s">
        <v>37</v>
      </c>
      <c r="FU112" s="50" t="s">
        <v>37</v>
      </c>
      <c r="FV112" s="50" t="s">
        <v>37</v>
      </c>
      <c r="FW112" s="50" t="s">
        <v>37</v>
      </c>
      <c r="FX112" s="50" t="s">
        <v>37</v>
      </c>
      <c r="FY112" s="50" t="s">
        <v>37</v>
      </c>
      <c r="FZ112" s="50" t="s">
        <v>37</v>
      </c>
      <c r="GA112" s="50" t="s">
        <v>37</v>
      </c>
      <c r="GB112" s="50" t="s">
        <v>37</v>
      </c>
      <c r="GC112" s="50" t="s">
        <v>37</v>
      </c>
      <c r="GD112" s="50" t="s">
        <v>37</v>
      </c>
      <c r="GE112" s="50" t="s">
        <v>37</v>
      </c>
      <c r="GF112" s="50" t="s">
        <v>37</v>
      </c>
      <c r="GG112" s="50" t="s">
        <v>37</v>
      </c>
      <c r="GH112" s="50" t="s">
        <v>37</v>
      </c>
      <c r="GI112" s="50" t="s">
        <v>37</v>
      </c>
      <c r="GJ112" s="50" t="s">
        <v>37</v>
      </c>
      <c r="GK112" s="50" t="s">
        <v>37</v>
      </c>
      <c r="GL112" s="50" t="s">
        <v>37</v>
      </c>
      <c r="GM112" s="50" t="s">
        <v>37</v>
      </c>
      <c r="GN112" s="50" t="s">
        <v>37</v>
      </c>
      <c r="GO112" s="50" t="s">
        <v>37</v>
      </c>
      <c r="GP112" s="50" t="s">
        <v>37</v>
      </c>
      <c r="GQ112" s="50" t="s">
        <v>37</v>
      </c>
      <c r="GR112" s="50" t="s">
        <v>37</v>
      </c>
      <c r="GS112" s="50" t="s">
        <v>37</v>
      </c>
      <c r="GT112" s="50" t="s">
        <v>37</v>
      </c>
      <c r="GU112" s="50" t="s">
        <v>37</v>
      </c>
      <c r="GV112" s="50" t="s">
        <v>37</v>
      </c>
      <c r="GW112" s="50" t="s">
        <v>37</v>
      </c>
      <c r="GX112" s="50" t="s">
        <v>37</v>
      </c>
      <c r="GY112" s="50" t="s">
        <v>37</v>
      </c>
      <c r="GZ112" s="50" t="s">
        <v>37</v>
      </c>
      <c r="HA112" s="50" t="s">
        <v>37</v>
      </c>
      <c r="HB112" s="50" t="s">
        <v>37</v>
      </c>
      <c r="HC112" s="50" t="s">
        <v>37</v>
      </c>
      <c r="HD112" s="50" t="s">
        <v>37</v>
      </c>
      <c r="HE112" s="50" t="s">
        <v>37</v>
      </c>
      <c r="HF112" s="50" t="s">
        <v>37</v>
      </c>
      <c r="HG112" s="50" t="s">
        <v>37</v>
      </c>
      <c r="HH112" s="50" t="s">
        <v>37</v>
      </c>
      <c r="HI112" s="50" t="s">
        <v>37</v>
      </c>
      <c r="HJ112" s="50" t="s">
        <v>37</v>
      </c>
      <c r="HK112" s="50" t="s">
        <v>37</v>
      </c>
      <c r="HL112" s="50" t="s">
        <v>37</v>
      </c>
      <c r="HM112" s="50" t="s">
        <v>37</v>
      </c>
      <c r="HN112" s="50" t="s">
        <v>37</v>
      </c>
      <c r="HO112" s="50" t="s">
        <v>37</v>
      </c>
      <c r="HP112" s="50" t="s">
        <v>37</v>
      </c>
      <c r="HQ112" s="50" t="s">
        <v>37</v>
      </c>
      <c r="HR112" s="50" t="s">
        <v>37</v>
      </c>
      <c r="HS112" s="50" t="s">
        <v>37</v>
      </c>
      <c r="HT112" s="50" t="s">
        <v>37</v>
      </c>
      <c r="HU112" s="50" t="s">
        <v>37</v>
      </c>
      <c r="HV112" s="50" t="s">
        <v>37</v>
      </c>
      <c r="HW112" s="50" t="s">
        <v>37</v>
      </c>
      <c r="HX112" s="50" t="s">
        <v>37</v>
      </c>
      <c r="HY112" s="50" t="s">
        <v>37</v>
      </c>
      <c r="HZ112" s="50" t="s">
        <v>37</v>
      </c>
      <c r="IA112" s="50" t="s">
        <v>37</v>
      </c>
      <c r="IB112" s="50" t="s">
        <v>37</v>
      </c>
      <c r="IC112" s="50" t="s">
        <v>37</v>
      </c>
    </row>
    <row r="113" spans="1:257">
      <c r="A113" s="4" t="s">
        <v>522</v>
      </c>
      <c r="B113" s="82" t="str">
        <f t="array" ref="B113">_xlfn.LET(
  _xlpm.dates, _xlfn._xlws.FILTER(P113:HO113, (P115:HO115&lt;&gt;"")+(P117:HO117&lt;&gt;"")),
  _xlpm.numDates, IFERROR(VALUE(_xlpm.dates), _xlpm.dates),
  _xlpm.first, TEXT(MIN(_xlpm.numDates), "m/dd"),
  _xlpm.last, TEXT(MAX(_xlpm.numDates), "m/dd"),
  _xlpm.first &amp; "~" &amp; _xlpm.last
)</f>
        <v>3/27~4/27</v>
      </c>
      <c r="C113" s="7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 t="s">
        <v>522</v>
      </c>
      <c r="P113" s="3">
        <v>46107</v>
      </c>
      <c r="Q113" s="3">
        <v>46108</v>
      </c>
      <c r="R113" s="3">
        <v>46109</v>
      </c>
      <c r="S113" s="3">
        <v>46110</v>
      </c>
      <c r="T113" s="3">
        <v>46111</v>
      </c>
      <c r="U113" s="3">
        <v>46112</v>
      </c>
      <c r="V113" s="3">
        <v>46113</v>
      </c>
      <c r="W113" s="3">
        <v>46114</v>
      </c>
      <c r="X113" s="3">
        <v>46115</v>
      </c>
      <c r="Y113" s="3">
        <v>46116</v>
      </c>
      <c r="Z113" s="3">
        <v>46117</v>
      </c>
      <c r="AA113" s="3">
        <v>46118</v>
      </c>
      <c r="AB113" s="3">
        <v>46119</v>
      </c>
      <c r="AC113" s="3">
        <v>46120</v>
      </c>
      <c r="AD113" s="3">
        <v>46121</v>
      </c>
      <c r="AE113" s="3">
        <v>46122</v>
      </c>
      <c r="AF113" s="3">
        <v>46123</v>
      </c>
      <c r="AG113" s="3">
        <v>46124</v>
      </c>
      <c r="AH113" s="3">
        <v>46125</v>
      </c>
      <c r="AI113" s="3">
        <v>46126</v>
      </c>
      <c r="AJ113" s="3">
        <v>46127</v>
      </c>
      <c r="AK113" s="3">
        <v>46128</v>
      </c>
      <c r="AL113" s="3">
        <v>46129</v>
      </c>
      <c r="AM113" s="3">
        <v>46130</v>
      </c>
      <c r="AN113" s="3">
        <v>46131</v>
      </c>
      <c r="AO113" s="3">
        <v>46132</v>
      </c>
      <c r="AP113" s="3">
        <v>46133</v>
      </c>
      <c r="AQ113" s="3">
        <v>46134</v>
      </c>
      <c r="AR113" s="3">
        <v>46135</v>
      </c>
      <c r="AS113" s="3">
        <v>46136</v>
      </c>
      <c r="AT113" s="3">
        <v>46137</v>
      </c>
      <c r="AU113" s="3">
        <v>46138</v>
      </c>
      <c r="AV113" s="3">
        <v>46139</v>
      </c>
      <c r="AW113" s="3">
        <v>46140</v>
      </c>
      <c r="AX113" s="3">
        <v>46141</v>
      </c>
      <c r="AY113" s="3">
        <v>46142</v>
      </c>
      <c r="AZ113" s="3">
        <v>46143</v>
      </c>
      <c r="BA113" s="3">
        <v>46144</v>
      </c>
      <c r="BB113" s="3">
        <v>46145</v>
      </c>
      <c r="BC113" s="3">
        <v>46146</v>
      </c>
      <c r="BD113" s="3">
        <v>46147</v>
      </c>
      <c r="BE113" s="3">
        <v>46148</v>
      </c>
      <c r="BF113" s="3">
        <v>46149</v>
      </c>
      <c r="BG113" s="3">
        <v>46150</v>
      </c>
      <c r="BH113" s="3">
        <v>46151</v>
      </c>
      <c r="BI113" s="3">
        <v>46152</v>
      </c>
      <c r="BJ113" s="3">
        <v>46153</v>
      </c>
      <c r="BK113" s="3">
        <v>46154</v>
      </c>
      <c r="BL113" s="3">
        <v>46155</v>
      </c>
      <c r="BM113" s="3">
        <v>46156</v>
      </c>
      <c r="BN113" s="3">
        <v>46157</v>
      </c>
      <c r="BO113" s="3">
        <v>46158</v>
      </c>
      <c r="BP113" s="3">
        <v>46159</v>
      </c>
      <c r="BQ113" s="3">
        <v>46160</v>
      </c>
      <c r="BR113" s="3">
        <v>46161</v>
      </c>
      <c r="BS113" s="3">
        <v>46162</v>
      </c>
      <c r="BT113" s="3">
        <v>46163</v>
      </c>
      <c r="BU113" s="3">
        <v>46164</v>
      </c>
      <c r="BV113" s="3">
        <v>46165</v>
      </c>
      <c r="BW113" s="3">
        <v>46166</v>
      </c>
      <c r="BX113" s="3">
        <v>46167</v>
      </c>
      <c r="BY113" s="3">
        <v>46168</v>
      </c>
      <c r="BZ113" s="3">
        <v>46169</v>
      </c>
      <c r="CA113" s="3">
        <v>46170</v>
      </c>
      <c r="CB113" s="3">
        <v>46171</v>
      </c>
      <c r="CC113" s="3">
        <v>46172</v>
      </c>
      <c r="CD113" s="3">
        <v>46173</v>
      </c>
      <c r="CE113" s="3">
        <v>46174</v>
      </c>
      <c r="CF113" s="3">
        <v>46175</v>
      </c>
      <c r="CG113" s="3">
        <v>46176</v>
      </c>
      <c r="CH113" s="3">
        <v>46177</v>
      </c>
      <c r="CI113" s="3">
        <v>46178</v>
      </c>
      <c r="CJ113" s="3">
        <v>46179</v>
      </c>
      <c r="CK113" s="3">
        <v>46180</v>
      </c>
      <c r="CL113" s="3">
        <v>46181</v>
      </c>
      <c r="CM113" s="3">
        <v>46182</v>
      </c>
      <c r="CN113" s="3">
        <v>46183</v>
      </c>
      <c r="CO113" s="3">
        <v>46184</v>
      </c>
      <c r="CP113" s="3">
        <v>46185</v>
      </c>
      <c r="CQ113" s="3">
        <v>46186</v>
      </c>
      <c r="CR113" s="3">
        <v>46187</v>
      </c>
      <c r="CS113" s="3">
        <v>46188</v>
      </c>
      <c r="CT113" s="3">
        <v>46189</v>
      </c>
      <c r="CU113" s="3">
        <v>46190</v>
      </c>
      <c r="CV113" s="3">
        <v>46191</v>
      </c>
      <c r="CW113" s="3">
        <v>46192</v>
      </c>
      <c r="CX113" s="3">
        <v>46193</v>
      </c>
      <c r="CY113" s="3">
        <v>46194</v>
      </c>
      <c r="CZ113" s="3">
        <v>46195</v>
      </c>
      <c r="DA113" s="3">
        <v>46196</v>
      </c>
      <c r="DB113" s="3">
        <v>46197</v>
      </c>
      <c r="DC113" s="3">
        <v>46198</v>
      </c>
      <c r="DD113" s="3">
        <v>46199</v>
      </c>
      <c r="DE113" s="3">
        <v>46200</v>
      </c>
      <c r="DF113" s="3">
        <v>46201</v>
      </c>
      <c r="DG113" s="3">
        <v>46202</v>
      </c>
      <c r="DH113" s="3">
        <v>46203</v>
      </c>
      <c r="DI113" s="3">
        <v>46204</v>
      </c>
      <c r="DJ113" s="3">
        <v>46205</v>
      </c>
      <c r="DK113" s="3">
        <v>46206</v>
      </c>
      <c r="DL113" s="3">
        <v>46207</v>
      </c>
      <c r="DM113" s="3">
        <v>46208</v>
      </c>
      <c r="DN113" s="3">
        <v>46209</v>
      </c>
      <c r="DO113" s="3">
        <v>46210</v>
      </c>
      <c r="DP113" s="3">
        <v>46211</v>
      </c>
      <c r="DQ113" s="3">
        <v>46212</v>
      </c>
      <c r="DR113" s="3">
        <v>46213</v>
      </c>
      <c r="DS113" s="3">
        <v>46214</v>
      </c>
      <c r="DT113" s="3">
        <v>46215</v>
      </c>
      <c r="DU113" s="3">
        <v>46216</v>
      </c>
      <c r="DV113" s="3">
        <v>46217</v>
      </c>
      <c r="DW113" s="3">
        <v>46218</v>
      </c>
      <c r="DX113" s="3">
        <v>46219</v>
      </c>
      <c r="DY113" s="3">
        <v>46220</v>
      </c>
      <c r="DZ113" s="3">
        <v>46221</v>
      </c>
      <c r="EA113" s="3">
        <v>46222</v>
      </c>
      <c r="EB113" s="3">
        <v>46223</v>
      </c>
      <c r="EC113" s="3">
        <v>46224</v>
      </c>
      <c r="ED113" s="3">
        <v>46225</v>
      </c>
      <c r="EE113" s="3">
        <v>46226</v>
      </c>
      <c r="EF113" s="3">
        <v>46227</v>
      </c>
      <c r="EG113" s="3">
        <v>46228</v>
      </c>
      <c r="EH113" s="3">
        <v>46229</v>
      </c>
      <c r="EI113" s="3">
        <v>46230</v>
      </c>
      <c r="EJ113" s="3">
        <v>46231</v>
      </c>
      <c r="EK113" s="3">
        <v>46232</v>
      </c>
      <c r="EL113" s="3">
        <v>46233</v>
      </c>
      <c r="EM113" s="3">
        <v>46234</v>
      </c>
      <c r="EN113" s="3">
        <v>46235</v>
      </c>
      <c r="EO113" s="3">
        <v>46236</v>
      </c>
      <c r="EP113" s="3">
        <v>46237</v>
      </c>
      <c r="EQ113" s="3">
        <v>46238</v>
      </c>
      <c r="ER113" s="3">
        <v>46239</v>
      </c>
      <c r="ES113" s="3">
        <v>46240</v>
      </c>
      <c r="ET113" s="3">
        <v>46241</v>
      </c>
      <c r="EU113" s="3">
        <v>46242</v>
      </c>
      <c r="EV113" s="3">
        <v>46243</v>
      </c>
      <c r="EW113" s="3">
        <v>46244</v>
      </c>
      <c r="EX113" s="3">
        <v>46245</v>
      </c>
      <c r="EY113" s="3">
        <v>46246</v>
      </c>
      <c r="EZ113" s="3">
        <v>46247</v>
      </c>
      <c r="FA113" s="3">
        <v>46248</v>
      </c>
      <c r="FB113" s="3">
        <v>46249</v>
      </c>
      <c r="FC113" s="3">
        <v>46250</v>
      </c>
      <c r="FD113" s="3">
        <v>46251</v>
      </c>
      <c r="FE113" s="3">
        <v>46252</v>
      </c>
      <c r="FF113" s="3">
        <v>46253</v>
      </c>
      <c r="FG113" s="3">
        <v>46254</v>
      </c>
      <c r="FH113" s="3">
        <v>46255</v>
      </c>
      <c r="FI113" s="3">
        <v>46256</v>
      </c>
      <c r="FJ113" s="3">
        <v>46257</v>
      </c>
      <c r="FK113" s="3">
        <v>46258</v>
      </c>
      <c r="FL113" s="3">
        <v>46259</v>
      </c>
      <c r="FM113" s="3">
        <v>46260</v>
      </c>
      <c r="FN113" s="3">
        <v>46261</v>
      </c>
      <c r="FO113" s="3">
        <v>46262</v>
      </c>
      <c r="FP113" s="3">
        <v>46263</v>
      </c>
      <c r="FQ113" s="3">
        <v>46264</v>
      </c>
      <c r="FR113" s="3">
        <v>46265</v>
      </c>
      <c r="FS113" s="3">
        <v>46266</v>
      </c>
      <c r="FT113" s="3">
        <v>46267</v>
      </c>
      <c r="FU113" s="3">
        <v>46268</v>
      </c>
      <c r="FV113" s="3">
        <v>46269</v>
      </c>
      <c r="FW113" s="3">
        <v>46270</v>
      </c>
      <c r="FX113" s="3">
        <v>46271</v>
      </c>
      <c r="FY113" s="3">
        <v>46272</v>
      </c>
      <c r="FZ113" s="3">
        <v>46273</v>
      </c>
      <c r="GA113" s="3">
        <v>46274</v>
      </c>
      <c r="GB113" s="3">
        <v>46275</v>
      </c>
      <c r="GC113" s="3">
        <v>46276</v>
      </c>
      <c r="GD113" s="3">
        <v>46277</v>
      </c>
      <c r="GE113" s="3">
        <v>46278</v>
      </c>
      <c r="GF113" s="3">
        <v>46279</v>
      </c>
      <c r="GG113" s="3">
        <v>46280</v>
      </c>
      <c r="GH113" s="3">
        <v>46281</v>
      </c>
      <c r="GI113" s="3">
        <v>46282</v>
      </c>
      <c r="GJ113" s="3">
        <v>46283</v>
      </c>
      <c r="GK113" s="3">
        <v>46284</v>
      </c>
      <c r="GL113" s="3">
        <v>46285</v>
      </c>
      <c r="GM113" s="3">
        <v>46286</v>
      </c>
      <c r="GN113" s="3">
        <v>46287</v>
      </c>
      <c r="GO113" s="3">
        <v>46288</v>
      </c>
      <c r="GP113" s="3">
        <v>46289</v>
      </c>
      <c r="GQ113" s="3">
        <v>46290</v>
      </c>
      <c r="GR113" s="3">
        <v>46291</v>
      </c>
      <c r="GS113" s="3">
        <v>46292</v>
      </c>
      <c r="GT113" s="3">
        <v>46293</v>
      </c>
      <c r="GU113" s="3">
        <v>46294</v>
      </c>
      <c r="GV113" s="3">
        <v>46295</v>
      </c>
      <c r="GW113" s="3">
        <v>46296</v>
      </c>
      <c r="GX113" s="3">
        <v>46297</v>
      </c>
      <c r="GY113" s="3">
        <v>46298</v>
      </c>
      <c r="GZ113" s="3">
        <v>46299</v>
      </c>
      <c r="HA113" s="3">
        <v>46300</v>
      </c>
      <c r="HB113" s="3">
        <v>46301</v>
      </c>
      <c r="HC113" s="3">
        <v>46302</v>
      </c>
      <c r="HD113" s="3">
        <v>46303</v>
      </c>
      <c r="HE113" s="3">
        <v>46304</v>
      </c>
      <c r="HF113" s="3">
        <v>46305</v>
      </c>
      <c r="HG113" s="3">
        <v>46306</v>
      </c>
      <c r="HH113" s="3">
        <v>46307</v>
      </c>
      <c r="HI113" s="3">
        <v>46308</v>
      </c>
      <c r="HJ113" s="3">
        <v>46309</v>
      </c>
      <c r="HK113" s="3">
        <v>46310</v>
      </c>
      <c r="HL113" s="3">
        <v>46311</v>
      </c>
      <c r="HM113" s="3">
        <v>46312</v>
      </c>
      <c r="HN113" s="3">
        <v>46313</v>
      </c>
      <c r="HO113" s="3">
        <v>46314</v>
      </c>
      <c r="HP113" s="3">
        <v>46315</v>
      </c>
      <c r="HQ113" s="3">
        <v>46316</v>
      </c>
      <c r="HR113" s="3">
        <v>46317</v>
      </c>
      <c r="HS113" s="3">
        <v>46318</v>
      </c>
      <c r="HT113" s="3">
        <v>46319</v>
      </c>
      <c r="HU113" s="3">
        <v>46320</v>
      </c>
      <c r="HV113" s="3">
        <v>46321</v>
      </c>
      <c r="HW113" s="3">
        <v>46322</v>
      </c>
      <c r="HX113" s="3">
        <v>46323</v>
      </c>
      <c r="HY113" s="3">
        <v>46324</v>
      </c>
      <c r="HZ113" s="3">
        <v>46325</v>
      </c>
      <c r="IA113" s="3">
        <v>46326</v>
      </c>
      <c r="IB113" s="3">
        <v>46327</v>
      </c>
      <c r="IC113" s="3">
        <v>46328</v>
      </c>
    </row>
    <row r="114" spans="1:257">
      <c r="A114" s="4" t="s">
        <v>694</v>
      </c>
      <c r="B114" s="82" t="str">
        <f t="array" ref="B114">COLUMNS(_xlfn._xlws.FILTER(P113:HO113, (P115:HO115&lt;&gt;"")+(P117:HO117&lt;&gt;""))) &amp; "場"</f>
        <v>28場</v>
      </c>
      <c r="C114" s="7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 t="s">
        <v>675</v>
      </c>
      <c r="P114" s="3" t="s">
        <v>676</v>
      </c>
      <c r="Q114" s="3" t="s">
        <v>677</v>
      </c>
      <c r="R114" s="3" t="s">
        <v>678</v>
      </c>
      <c r="S114" s="3" t="s">
        <v>679</v>
      </c>
      <c r="T114" s="3" t="s">
        <v>680</v>
      </c>
      <c r="U114" s="3" t="s">
        <v>681</v>
      </c>
      <c r="V114" s="3" t="s">
        <v>682</v>
      </c>
      <c r="W114" s="3" t="s">
        <v>676</v>
      </c>
      <c r="X114" s="3" t="s">
        <v>677</v>
      </c>
      <c r="Y114" s="3" t="s">
        <v>678</v>
      </c>
      <c r="Z114" s="3" t="s">
        <v>679</v>
      </c>
      <c r="AA114" s="3" t="s">
        <v>680</v>
      </c>
      <c r="AB114" s="3" t="s">
        <v>681</v>
      </c>
      <c r="AC114" s="3" t="s">
        <v>682</v>
      </c>
      <c r="AD114" s="3" t="s">
        <v>676</v>
      </c>
      <c r="AE114" s="3" t="s">
        <v>677</v>
      </c>
      <c r="AF114" s="3" t="s">
        <v>678</v>
      </c>
      <c r="AG114" s="3" t="s">
        <v>679</v>
      </c>
      <c r="AH114" s="3" t="s">
        <v>680</v>
      </c>
      <c r="AI114" s="3" t="s">
        <v>681</v>
      </c>
      <c r="AJ114" s="3" t="s">
        <v>682</v>
      </c>
      <c r="AK114" s="3" t="s">
        <v>676</v>
      </c>
      <c r="AL114" s="3" t="s">
        <v>677</v>
      </c>
      <c r="AM114" s="3" t="s">
        <v>678</v>
      </c>
      <c r="AN114" s="3" t="s">
        <v>679</v>
      </c>
      <c r="AO114" s="3" t="s">
        <v>680</v>
      </c>
      <c r="AP114" s="3" t="s">
        <v>681</v>
      </c>
      <c r="AQ114" s="3" t="s">
        <v>682</v>
      </c>
      <c r="AR114" s="3" t="s">
        <v>676</v>
      </c>
      <c r="AS114" s="3" t="s">
        <v>677</v>
      </c>
      <c r="AT114" s="3" t="s">
        <v>678</v>
      </c>
      <c r="AU114" s="3" t="s">
        <v>679</v>
      </c>
      <c r="AV114" s="3" t="s">
        <v>680</v>
      </c>
      <c r="AW114" s="3" t="s">
        <v>681</v>
      </c>
      <c r="AX114" s="3" t="s">
        <v>682</v>
      </c>
      <c r="AY114" s="3" t="s">
        <v>676</v>
      </c>
      <c r="AZ114" s="3" t="s">
        <v>677</v>
      </c>
      <c r="BA114" s="3" t="s">
        <v>678</v>
      </c>
      <c r="BB114" s="3" t="s">
        <v>679</v>
      </c>
      <c r="BC114" s="3" t="s">
        <v>680</v>
      </c>
      <c r="BD114" s="3" t="s">
        <v>681</v>
      </c>
      <c r="BE114" s="3" t="s">
        <v>682</v>
      </c>
      <c r="BF114" s="3" t="s">
        <v>676</v>
      </c>
      <c r="BG114" s="3" t="s">
        <v>677</v>
      </c>
      <c r="BH114" s="3" t="s">
        <v>678</v>
      </c>
      <c r="BI114" s="3" t="s">
        <v>679</v>
      </c>
      <c r="BJ114" s="3" t="s">
        <v>680</v>
      </c>
      <c r="BK114" s="3" t="s">
        <v>681</v>
      </c>
      <c r="BL114" s="3" t="s">
        <v>682</v>
      </c>
      <c r="BM114" s="3" t="s">
        <v>676</v>
      </c>
      <c r="BN114" s="3" t="s">
        <v>677</v>
      </c>
      <c r="BO114" s="3" t="s">
        <v>678</v>
      </c>
      <c r="BP114" s="3" t="s">
        <v>679</v>
      </c>
      <c r="BQ114" s="3" t="s">
        <v>680</v>
      </c>
      <c r="BR114" s="3" t="s">
        <v>681</v>
      </c>
      <c r="BS114" s="3" t="s">
        <v>682</v>
      </c>
      <c r="BT114" s="3" t="s">
        <v>676</v>
      </c>
      <c r="BU114" s="3" t="s">
        <v>677</v>
      </c>
      <c r="BV114" s="3" t="s">
        <v>678</v>
      </c>
      <c r="BW114" s="3" t="s">
        <v>679</v>
      </c>
      <c r="BX114" s="3" t="s">
        <v>680</v>
      </c>
      <c r="BY114" s="3" t="s">
        <v>681</v>
      </c>
      <c r="BZ114" s="3" t="s">
        <v>682</v>
      </c>
      <c r="CA114" s="3" t="s">
        <v>676</v>
      </c>
      <c r="CB114" s="3" t="s">
        <v>677</v>
      </c>
      <c r="CC114" s="3" t="s">
        <v>678</v>
      </c>
      <c r="CD114" s="3" t="s">
        <v>679</v>
      </c>
      <c r="CE114" s="3" t="s">
        <v>680</v>
      </c>
      <c r="CF114" s="3" t="s">
        <v>681</v>
      </c>
      <c r="CG114" s="3" t="s">
        <v>682</v>
      </c>
      <c r="CH114" s="3" t="s">
        <v>676</v>
      </c>
      <c r="CI114" s="3" t="s">
        <v>677</v>
      </c>
      <c r="CJ114" s="3" t="s">
        <v>678</v>
      </c>
      <c r="CK114" s="3" t="s">
        <v>679</v>
      </c>
      <c r="CL114" s="3" t="s">
        <v>680</v>
      </c>
      <c r="CM114" s="3" t="s">
        <v>681</v>
      </c>
      <c r="CN114" s="3" t="s">
        <v>682</v>
      </c>
      <c r="CO114" s="3" t="s">
        <v>676</v>
      </c>
      <c r="CP114" s="3" t="s">
        <v>677</v>
      </c>
      <c r="CQ114" s="3" t="s">
        <v>678</v>
      </c>
      <c r="CR114" s="3" t="s">
        <v>679</v>
      </c>
      <c r="CS114" s="3" t="s">
        <v>680</v>
      </c>
      <c r="CT114" s="3" t="s">
        <v>681</v>
      </c>
      <c r="CU114" s="3" t="s">
        <v>682</v>
      </c>
      <c r="CV114" s="3" t="s">
        <v>676</v>
      </c>
      <c r="CW114" s="3" t="s">
        <v>677</v>
      </c>
      <c r="CX114" s="3" t="s">
        <v>678</v>
      </c>
      <c r="CY114" s="3" t="s">
        <v>679</v>
      </c>
      <c r="CZ114" s="3" t="s">
        <v>680</v>
      </c>
      <c r="DA114" s="3" t="s">
        <v>681</v>
      </c>
      <c r="DB114" s="3" t="s">
        <v>682</v>
      </c>
      <c r="DC114" s="3" t="s">
        <v>676</v>
      </c>
      <c r="DD114" s="3" t="s">
        <v>677</v>
      </c>
      <c r="DE114" s="3" t="s">
        <v>678</v>
      </c>
      <c r="DF114" s="3" t="s">
        <v>679</v>
      </c>
      <c r="DG114" s="3" t="s">
        <v>680</v>
      </c>
      <c r="DH114" s="3" t="s">
        <v>681</v>
      </c>
      <c r="DI114" s="3" t="s">
        <v>682</v>
      </c>
      <c r="DJ114" s="3" t="s">
        <v>676</v>
      </c>
      <c r="DK114" s="3" t="s">
        <v>677</v>
      </c>
      <c r="DL114" s="3" t="s">
        <v>678</v>
      </c>
      <c r="DM114" s="3" t="s">
        <v>679</v>
      </c>
      <c r="DN114" s="3" t="s">
        <v>680</v>
      </c>
      <c r="DO114" s="3" t="s">
        <v>681</v>
      </c>
      <c r="DP114" s="3" t="s">
        <v>682</v>
      </c>
      <c r="DQ114" s="3" t="s">
        <v>676</v>
      </c>
      <c r="DR114" s="3" t="s">
        <v>677</v>
      </c>
      <c r="DS114" s="3" t="s">
        <v>678</v>
      </c>
      <c r="DT114" s="3" t="s">
        <v>679</v>
      </c>
      <c r="DU114" s="3" t="s">
        <v>680</v>
      </c>
      <c r="DV114" s="3" t="s">
        <v>681</v>
      </c>
      <c r="DW114" s="3" t="s">
        <v>682</v>
      </c>
      <c r="DX114" s="3" t="s">
        <v>676</v>
      </c>
      <c r="DY114" s="3" t="s">
        <v>677</v>
      </c>
      <c r="DZ114" s="3" t="s">
        <v>678</v>
      </c>
      <c r="EA114" s="3" t="s">
        <v>679</v>
      </c>
      <c r="EB114" s="3" t="s">
        <v>680</v>
      </c>
      <c r="EC114" s="3" t="s">
        <v>681</v>
      </c>
      <c r="ED114" s="3" t="s">
        <v>682</v>
      </c>
      <c r="EE114" s="3" t="s">
        <v>676</v>
      </c>
      <c r="EF114" s="3" t="s">
        <v>677</v>
      </c>
      <c r="EG114" s="3" t="s">
        <v>678</v>
      </c>
      <c r="EH114" s="3" t="s">
        <v>679</v>
      </c>
      <c r="EI114" s="3" t="s">
        <v>680</v>
      </c>
      <c r="EJ114" s="3" t="s">
        <v>681</v>
      </c>
      <c r="EK114" s="3" t="s">
        <v>682</v>
      </c>
      <c r="EL114" s="3" t="s">
        <v>676</v>
      </c>
      <c r="EM114" s="3" t="s">
        <v>677</v>
      </c>
      <c r="EN114" s="3" t="s">
        <v>678</v>
      </c>
      <c r="EO114" s="3" t="s">
        <v>679</v>
      </c>
      <c r="EP114" s="3" t="s">
        <v>680</v>
      </c>
      <c r="EQ114" s="3" t="s">
        <v>681</v>
      </c>
      <c r="ER114" s="3" t="s">
        <v>682</v>
      </c>
      <c r="ES114" s="3" t="s">
        <v>676</v>
      </c>
      <c r="ET114" s="3" t="s">
        <v>677</v>
      </c>
      <c r="EU114" s="3" t="s">
        <v>678</v>
      </c>
      <c r="EV114" s="3" t="s">
        <v>679</v>
      </c>
      <c r="EW114" s="3" t="s">
        <v>680</v>
      </c>
      <c r="EX114" s="3" t="s">
        <v>681</v>
      </c>
      <c r="EY114" s="3" t="s">
        <v>682</v>
      </c>
      <c r="EZ114" s="3" t="s">
        <v>676</v>
      </c>
      <c r="FA114" s="3" t="s">
        <v>677</v>
      </c>
      <c r="FB114" s="3" t="s">
        <v>678</v>
      </c>
      <c r="FC114" s="3" t="s">
        <v>679</v>
      </c>
      <c r="FD114" s="3" t="s">
        <v>680</v>
      </c>
      <c r="FE114" s="3" t="s">
        <v>681</v>
      </c>
      <c r="FF114" s="3" t="s">
        <v>682</v>
      </c>
      <c r="FG114" s="3" t="s">
        <v>676</v>
      </c>
      <c r="FH114" s="3" t="s">
        <v>677</v>
      </c>
      <c r="FI114" s="3" t="s">
        <v>678</v>
      </c>
      <c r="FJ114" s="3" t="s">
        <v>679</v>
      </c>
      <c r="FK114" s="3" t="s">
        <v>680</v>
      </c>
      <c r="FL114" s="3" t="s">
        <v>681</v>
      </c>
      <c r="FM114" s="3" t="s">
        <v>682</v>
      </c>
      <c r="FN114" s="3" t="s">
        <v>676</v>
      </c>
      <c r="FO114" s="3" t="s">
        <v>677</v>
      </c>
      <c r="FP114" s="3" t="s">
        <v>678</v>
      </c>
      <c r="FQ114" s="3" t="s">
        <v>679</v>
      </c>
      <c r="FR114" s="3" t="s">
        <v>680</v>
      </c>
      <c r="FS114" s="3" t="s">
        <v>681</v>
      </c>
      <c r="FT114" s="3" t="s">
        <v>682</v>
      </c>
      <c r="FU114" s="3" t="s">
        <v>676</v>
      </c>
      <c r="FV114" s="3" t="s">
        <v>677</v>
      </c>
      <c r="FW114" s="3" t="s">
        <v>678</v>
      </c>
      <c r="FX114" s="3" t="s">
        <v>679</v>
      </c>
      <c r="FY114" s="3" t="s">
        <v>680</v>
      </c>
      <c r="FZ114" s="3" t="s">
        <v>681</v>
      </c>
      <c r="GA114" s="3" t="s">
        <v>682</v>
      </c>
      <c r="GB114" s="3" t="s">
        <v>676</v>
      </c>
      <c r="GC114" s="3" t="s">
        <v>677</v>
      </c>
      <c r="GD114" s="3" t="s">
        <v>678</v>
      </c>
      <c r="GE114" s="3" t="s">
        <v>679</v>
      </c>
      <c r="GF114" s="3" t="s">
        <v>680</v>
      </c>
      <c r="GG114" s="3" t="s">
        <v>681</v>
      </c>
      <c r="GH114" s="3" t="s">
        <v>682</v>
      </c>
      <c r="GI114" s="3" t="s">
        <v>676</v>
      </c>
      <c r="GJ114" s="3" t="s">
        <v>677</v>
      </c>
      <c r="GK114" s="3" t="s">
        <v>678</v>
      </c>
      <c r="GL114" s="3" t="s">
        <v>679</v>
      </c>
      <c r="GM114" s="3" t="s">
        <v>680</v>
      </c>
      <c r="GN114" s="3" t="s">
        <v>681</v>
      </c>
      <c r="GO114" s="3" t="s">
        <v>682</v>
      </c>
      <c r="GP114" s="3" t="s">
        <v>676</v>
      </c>
      <c r="GQ114" s="3" t="s">
        <v>677</v>
      </c>
      <c r="GR114" s="3" t="s">
        <v>678</v>
      </c>
      <c r="GS114" s="3" t="s">
        <v>679</v>
      </c>
      <c r="GT114" s="3" t="s">
        <v>680</v>
      </c>
      <c r="GU114" s="3" t="s">
        <v>681</v>
      </c>
      <c r="GV114" s="3" t="s">
        <v>682</v>
      </c>
      <c r="GW114" s="3" t="s">
        <v>676</v>
      </c>
      <c r="GX114" s="3" t="s">
        <v>677</v>
      </c>
      <c r="GY114" s="3" t="s">
        <v>678</v>
      </c>
      <c r="GZ114" s="3" t="s">
        <v>679</v>
      </c>
      <c r="HA114" s="3" t="s">
        <v>680</v>
      </c>
      <c r="HB114" s="3" t="s">
        <v>681</v>
      </c>
      <c r="HC114" s="3" t="s">
        <v>682</v>
      </c>
      <c r="HD114" s="3" t="s">
        <v>676</v>
      </c>
      <c r="HE114" s="3" t="s">
        <v>677</v>
      </c>
      <c r="HF114" s="3" t="s">
        <v>678</v>
      </c>
      <c r="HG114" s="3" t="s">
        <v>679</v>
      </c>
      <c r="HH114" s="3" t="s">
        <v>680</v>
      </c>
      <c r="HI114" s="3" t="s">
        <v>681</v>
      </c>
      <c r="HJ114" s="3" t="s">
        <v>682</v>
      </c>
      <c r="HK114" s="3" t="s">
        <v>676</v>
      </c>
      <c r="HL114" s="3" t="s">
        <v>677</v>
      </c>
      <c r="HM114" s="3" t="s">
        <v>678</v>
      </c>
      <c r="HN114" s="3" t="s">
        <v>679</v>
      </c>
      <c r="HO114" s="3" t="s">
        <v>680</v>
      </c>
      <c r="HP114" s="3" t="s">
        <v>681</v>
      </c>
      <c r="HQ114" s="3" t="s">
        <v>682</v>
      </c>
      <c r="HR114" s="3" t="s">
        <v>676</v>
      </c>
      <c r="HS114" s="3" t="s">
        <v>677</v>
      </c>
      <c r="HT114" s="3" t="s">
        <v>678</v>
      </c>
      <c r="HU114" s="3" t="s">
        <v>679</v>
      </c>
      <c r="HV114" s="3" t="s">
        <v>680</v>
      </c>
      <c r="HW114" s="3" t="s">
        <v>681</v>
      </c>
      <c r="HX114" s="3" t="s">
        <v>682</v>
      </c>
      <c r="HY114" s="3" t="s">
        <v>676</v>
      </c>
      <c r="HZ114" s="3" t="s">
        <v>677</v>
      </c>
      <c r="IA114" s="3" t="s">
        <v>678</v>
      </c>
      <c r="IB114" s="3" t="s">
        <v>679</v>
      </c>
      <c r="IC114" s="3" t="s">
        <v>680</v>
      </c>
    </row>
    <row r="115" spans="1:257">
      <c r="A115" s="82" t="s">
        <v>695</v>
      </c>
      <c r="B115" s="82" t="str">
        <f>COUNTIF(P115:IC115, "W")&amp;"勝"</f>
        <v>11勝</v>
      </c>
      <c r="C115" s="82" t="str">
        <f>COUNTIF(P115:IC115, "L")&amp;"敗"</f>
        <v>17敗</v>
      </c>
      <c r="D115" s="82" t="s">
        <v>696</v>
      </c>
      <c r="E115" s="78"/>
      <c r="F115" s="82" t="s">
        <v>732</v>
      </c>
      <c r="G115" s="78"/>
      <c r="H115" s="78"/>
      <c r="I115" s="78"/>
      <c r="J115" s="78"/>
      <c r="K115" s="78"/>
      <c r="L115" s="78"/>
      <c r="M115" s="82"/>
      <c r="N115" s="78"/>
      <c r="O115" s="1" t="s">
        <v>698</v>
      </c>
      <c r="Q115" t="s">
        <v>699</v>
      </c>
      <c r="R115" t="s">
        <v>699</v>
      </c>
      <c r="S115" t="s">
        <v>700</v>
      </c>
      <c r="T115" t="s">
        <v>700</v>
      </c>
      <c r="U115" t="s">
        <v>700</v>
      </c>
      <c r="V115" t="s">
        <v>699</v>
      </c>
      <c r="W115" t="s">
        <v>700</v>
      </c>
      <c r="Y115" t="s">
        <v>700</v>
      </c>
      <c r="Z115" t="s">
        <v>699</v>
      </c>
      <c r="AA115" t="s">
        <v>699</v>
      </c>
      <c r="AB115" t="s">
        <v>699</v>
      </c>
      <c r="AC115" t="s">
        <v>700</v>
      </c>
      <c r="AD115" t="s">
        <v>700</v>
      </c>
      <c r="AF115" t="s">
        <v>699</v>
      </c>
      <c r="AG115" t="s">
        <v>700</v>
      </c>
      <c r="AH115" t="s">
        <v>699</v>
      </c>
      <c r="AI115" t="s">
        <v>700</v>
      </c>
      <c r="AJ115" t="s">
        <v>699</v>
      </c>
      <c r="AK115" t="s">
        <v>700</v>
      </c>
      <c r="AL115" t="s">
        <v>699</v>
      </c>
      <c r="AM115" t="s">
        <v>699</v>
      </c>
      <c r="AN115" t="s">
        <v>700</v>
      </c>
      <c r="AO115" t="s">
        <v>700</v>
      </c>
      <c r="AP115" t="s">
        <v>700</v>
      </c>
      <c r="AQ115" t="s">
        <v>700</v>
      </c>
      <c r="AT115" t="s">
        <v>700</v>
      </c>
      <c r="AU115" t="s">
        <v>700</v>
      </c>
      <c r="AV115" t="s">
        <v>700</v>
      </c>
    </row>
    <row r="116" spans="1:257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1" t="s">
        <v>701</v>
      </c>
    </row>
    <row r="117" spans="1:257">
      <c r="A117" s="82" t="s">
        <v>702</v>
      </c>
      <c r="B117" s="82" t="str">
        <f>COUNTIF(P117:IC117, "O")&amp;"正"</f>
        <v>14正</v>
      </c>
      <c r="C117" s="82" t="str">
        <f>COUNTIF(P117:IC117, "X")&amp;"負"</f>
        <v>14負</v>
      </c>
      <c r="D117" s="82" t="s">
        <v>703</v>
      </c>
      <c r="E117" s="78"/>
      <c r="F117" s="82" t="s">
        <v>733</v>
      </c>
      <c r="G117" s="78"/>
      <c r="H117" s="78"/>
      <c r="I117" s="78"/>
      <c r="J117" s="78"/>
      <c r="K117" s="78"/>
      <c r="L117" s="78"/>
      <c r="M117" s="82"/>
      <c r="N117" s="78"/>
      <c r="O117" s="1" t="s">
        <v>705</v>
      </c>
      <c r="Q117" t="s">
        <v>683</v>
      </c>
      <c r="R117" t="s">
        <v>683</v>
      </c>
      <c r="S117" t="s">
        <v>684</v>
      </c>
      <c r="T117" t="s">
        <v>684</v>
      </c>
      <c r="U117" t="s">
        <v>684</v>
      </c>
      <c r="V117" t="s">
        <v>683</v>
      </c>
      <c r="W117" t="s">
        <v>684</v>
      </c>
      <c r="Y117" t="s">
        <v>684</v>
      </c>
      <c r="Z117" t="s">
        <v>683</v>
      </c>
      <c r="AA117" t="s">
        <v>683</v>
      </c>
      <c r="AB117" t="s">
        <v>683</v>
      </c>
      <c r="AC117" t="s">
        <v>684</v>
      </c>
      <c r="AD117" t="s">
        <v>684</v>
      </c>
      <c r="AF117" t="s">
        <v>683</v>
      </c>
      <c r="AG117" t="s">
        <v>684</v>
      </c>
      <c r="AH117" t="s">
        <v>683</v>
      </c>
      <c r="AI117" t="s">
        <v>683</v>
      </c>
      <c r="AJ117" t="s">
        <v>683</v>
      </c>
      <c r="AK117" t="s">
        <v>683</v>
      </c>
      <c r="AL117" t="s">
        <v>683</v>
      </c>
      <c r="AM117" t="s">
        <v>683</v>
      </c>
      <c r="AN117" t="s">
        <v>684</v>
      </c>
      <c r="AO117" t="s">
        <v>683</v>
      </c>
      <c r="AP117" t="s">
        <v>684</v>
      </c>
      <c r="AQ117" t="s">
        <v>684</v>
      </c>
      <c r="AT117" t="s">
        <v>684</v>
      </c>
      <c r="AU117" t="s">
        <v>684</v>
      </c>
      <c r="AV117" t="s">
        <v>684</v>
      </c>
      <c r="IN117" t="str">
        <f ca="1">IFERROR(INDEX($P117:$IC117,1,_xludf.AGGREGATE(14,6,(COLUMN($P117:$IC117)-COLUMN($P117)+1)/($P117:$IC117&lt;&gt;""),1)),"")</f>
        <v/>
      </c>
      <c r="IO117" t="str">
        <f ca="1">IFERROR(INDEX($P117:$IC117,1,_xludf.AGGREGATE(14,6,(COLUMN($P117:$IC117)-COLUMN($P117)+1)/($P117:$IC117&lt;&gt;""),2)),"")</f>
        <v/>
      </c>
      <c r="IP117" t="str">
        <f ca="1">IFERROR(INDEX($P117:$IC117,1,_xludf.AGGREGATE(14,6,(COLUMN($P117:$IC117)-COLUMN($P117)+1)/($P117:$IC117&lt;&gt;""),3)),"")</f>
        <v/>
      </c>
      <c r="IQ117" t="str">
        <f ca="1">IFERROR(INDEX($P117:$IC117,1,_xludf.AGGREGATE(14,6,(COLUMN($P117:$IC117)-COLUMN($P117)+1)/($P117:$IC117&lt;&gt;""),4)),"")</f>
        <v/>
      </c>
      <c r="IR117" t="str">
        <f ca="1">IFERROR(INDEX($P117:$IC117,1,_xludf.AGGREGATE(14,6,(COLUMN($P117:$IC117)-COLUMN($P117)+1)/($P117:$IC117&lt;&gt;""),5)),"")</f>
        <v/>
      </c>
      <c r="IS117" t="str">
        <f ca="1">IFERROR(INDEX($P117:$IC117,1,_xludf.AGGREGATE(14,6,(COLUMN($P117:$IC117)-COLUMN($P117)+1)/($P117:$IC117&lt;&gt;""),6)),"")</f>
        <v/>
      </c>
      <c r="IT117" t="str">
        <f ca="1">IFERROR(INDEX($P117:$IC117,1,_xludf.AGGREGATE(14,6,(COLUMN($P117:$IC117)-COLUMN($P117)+1)/($P117:$IC117&lt;&gt;""),7)),"")</f>
        <v/>
      </c>
      <c r="IU117" t="str">
        <f ca="1">IFERROR(INDEX($P117:$IC117,1,_xludf.AGGREGATE(14,6,(COLUMN($P117:$IC117)-COLUMN($P117)+1)/($P117:$IC117&lt;&gt;""),8)),"")</f>
        <v/>
      </c>
      <c r="IV117" t="str">
        <f ca="1">IFERROR(INDEX($P117:$IC117,1,_xludf.AGGREGATE(14,6,(COLUMN($P117:$IC117)-COLUMN($P117)+1)/($P117:$IC117&lt;&gt;""),9)),"")</f>
        <v/>
      </c>
      <c r="IW117" t="str">
        <f ca="1">IFERROR(INDEX($P117:$IC117,1,_xludf.AGGREGATE(14,6,(COLUMN($P117:$IC117)-COLUMN($P117)+1)/($P117:$IC117&lt;&gt;""),10)),"")</f>
        <v/>
      </c>
    </row>
    <row r="118" spans="1:257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1" t="s">
        <v>706</v>
      </c>
    </row>
    <row r="119" spans="1:257">
      <c r="A119" s="82" t="s">
        <v>707</v>
      </c>
      <c r="B119" s="77"/>
      <c r="C119" s="77"/>
      <c r="D119" s="82" t="s">
        <v>708</v>
      </c>
      <c r="E119" s="78"/>
      <c r="F119" s="82"/>
      <c r="G119" s="78"/>
      <c r="H119" s="78"/>
      <c r="I119" s="78"/>
      <c r="J119" s="78"/>
      <c r="K119" s="78"/>
      <c r="L119" s="78"/>
      <c r="M119" s="82"/>
      <c r="N119" s="78"/>
      <c r="O119" s="1" t="s">
        <v>709</v>
      </c>
    </row>
    <row r="120" spans="1:257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1" t="s">
        <v>710</v>
      </c>
    </row>
    <row r="121" spans="1:257">
      <c r="A121" s="108" t="s">
        <v>79</v>
      </c>
      <c r="B121" s="78"/>
      <c r="C121" s="78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 t="s">
        <v>674</v>
      </c>
      <c r="P121" s="6">
        <v>1</v>
      </c>
      <c r="Q121" s="6">
        <v>2</v>
      </c>
      <c r="R121" s="6">
        <v>3</v>
      </c>
      <c r="S121" s="6">
        <v>4</v>
      </c>
      <c r="T121" s="6">
        <v>5</v>
      </c>
      <c r="U121" s="6">
        <v>6</v>
      </c>
      <c r="V121" s="6">
        <v>7</v>
      </c>
      <c r="W121" s="6">
        <v>8</v>
      </c>
      <c r="X121" s="6">
        <v>9</v>
      </c>
      <c r="Y121" s="6">
        <v>10</v>
      </c>
      <c r="Z121" s="6">
        <v>11</v>
      </c>
      <c r="AA121" s="6">
        <v>12</v>
      </c>
      <c r="AB121" s="6">
        <v>13</v>
      </c>
      <c r="AC121" s="6">
        <v>14</v>
      </c>
      <c r="AD121" s="6">
        <v>15</v>
      </c>
      <c r="AE121" s="6">
        <v>16</v>
      </c>
      <c r="AF121" s="6">
        <v>17</v>
      </c>
      <c r="AG121" s="6">
        <v>18</v>
      </c>
      <c r="AH121" s="6">
        <v>19</v>
      </c>
      <c r="AI121" s="6">
        <v>20</v>
      </c>
      <c r="AJ121" s="6">
        <v>21</v>
      </c>
      <c r="AK121" s="6">
        <v>22</v>
      </c>
      <c r="AL121" s="6">
        <v>23</v>
      </c>
      <c r="AM121" s="6">
        <v>24</v>
      </c>
      <c r="AN121" s="6">
        <v>25</v>
      </c>
      <c r="AO121" s="6">
        <v>26</v>
      </c>
      <c r="AP121" s="6">
        <v>27</v>
      </c>
      <c r="AQ121" s="6">
        <v>28</v>
      </c>
      <c r="AR121" s="6">
        <v>29</v>
      </c>
      <c r="AS121" s="6">
        <v>30</v>
      </c>
      <c r="AT121" s="6">
        <v>31</v>
      </c>
      <c r="AU121" s="6">
        <v>32</v>
      </c>
      <c r="AV121" s="6">
        <v>33</v>
      </c>
      <c r="AW121" s="6">
        <v>34</v>
      </c>
      <c r="AX121" s="6">
        <v>35</v>
      </c>
      <c r="AY121" s="6">
        <v>36</v>
      </c>
      <c r="AZ121" s="6">
        <v>37</v>
      </c>
      <c r="BA121" s="6">
        <v>38</v>
      </c>
      <c r="BB121" s="6">
        <v>39</v>
      </c>
      <c r="BC121" s="6">
        <v>40</v>
      </c>
      <c r="BD121" s="6">
        <v>41</v>
      </c>
      <c r="BE121" s="6">
        <v>42</v>
      </c>
      <c r="BF121" s="6">
        <v>43</v>
      </c>
      <c r="BG121" s="6">
        <v>44</v>
      </c>
      <c r="BH121" s="6">
        <v>45</v>
      </c>
      <c r="BI121" s="6">
        <v>46</v>
      </c>
      <c r="BJ121" s="6">
        <v>47</v>
      </c>
      <c r="BK121" s="6">
        <v>48</v>
      </c>
      <c r="BL121" s="6">
        <v>49</v>
      </c>
      <c r="BM121" s="6">
        <v>50</v>
      </c>
      <c r="BN121" s="6">
        <v>51</v>
      </c>
      <c r="BO121" s="6">
        <v>52</v>
      </c>
      <c r="BP121" s="6">
        <v>53</v>
      </c>
      <c r="BQ121" s="6">
        <v>54</v>
      </c>
      <c r="BR121" s="6">
        <v>55</v>
      </c>
      <c r="BS121" s="6">
        <v>56</v>
      </c>
      <c r="BT121" s="6">
        <v>57</v>
      </c>
      <c r="BU121" s="6">
        <v>58</v>
      </c>
      <c r="BV121" s="6">
        <v>59</v>
      </c>
      <c r="BW121" s="6">
        <v>60</v>
      </c>
      <c r="BX121" s="6">
        <v>61</v>
      </c>
      <c r="BY121" s="6">
        <v>62</v>
      </c>
      <c r="BZ121" s="6">
        <v>63</v>
      </c>
      <c r="CA121" s="6">
        <v>64</v>
      </c>
      <c r="CB121" s="6">
        <v>65</v>
      </c>
      <c r="CC121" s="6">
        <v>66</v>
      </c>
      <c r="CD121" s="6">
        <v>67</v>
      </c>
      <c r="CE121" s="6">
        <v>68</v>
      </c>
      <c r="CF121" s="6">
        <v>69</v>
      </c>
      <c r="CG121" s="6">
        <v>70</v>
      </c>
      <c r="CH121" s="6">
        <v>71</v>
      </c>
      <c r="CI121" s="6">
        <v>72</v>
      </c>
      <c r="CJ121" s="6">
        <v>73</v>
      </c>
      <c r="CK121" s="6">
        <v>74</v>
      </c>
      <c r="CL121" s="6">
        <v>75</v>
      </c>
      <c r="CM121" s="6">
        <v>76</v>
      </c>
      <c r="CN121" s="6">
        <v>77</v>
      </c>
      <c r="CO121" s="6">
        <v>78</v>
      </c>
      <c r="CP121" s="6">
        <v>79</v>
      </c>
      <c r="CQ121" s="6">
        <v>80</v>
      </c>
      <c r="CR121" s="6">
        <v>81</v>
      </c>
      <c r="CS121" s="6">
        <v>82</v>
      </c>
      <c r="CT121" s="6">
        <v>83</v>
      </c>
      <c r="CU121" s="6">
        <v>84</v>
      </c>
      <c r="CV121" s="6">
        <v>85</v>
      </c>
      <c r="CW121" s="6">
        <v>86</v>
      </c>
      <c r="CX121" s="6">
        <v>87</v>
      </c>
      <c r="CY121" s="6">
        <v>88</v>
      </c>
      <c r="CZ121" s="6">
        <v>89</v>
      </c>
      <c r="DA121" s="6">
        <v>90</v>
      </c>
      <c r="DB121" s="6">
        <v>91</v>
      </c>
      <c r="DC121" s="6">
        <v>92</v>
      </c>
      <c r="DD121" s="6">
        <v>93</v>
      </c>
      <c r="DE121" s="6">
        <v>94</v>
      </c>
      <c r="DF121" s="6">
        <v>95</v>
      </c>
      <c r="DG121" s="6">
        <v>96</v>
      </c>
      <c r="DH121" s="6">
        <v>97</v>
      </c>
      <c r="DI121" s="6">
        <v>98</v>
      </c>
      <c r="DJ121" s="6">
        <v>99</v>
      </c>
      <c r="DK121" s="6">
        <v>100</v>
      </c>
      <c r="DL121" s="6">
        <v>101</v>
      </c>
      <c r="DM121" s="6">
        <v>102</v>
      </c>
      <c r="DN121" s="6">
        <v>103</v>
      </c>
      <c r="DO121" s="6">
        <v>104</v>
      </c>
      <c r="DP121" s="6">
        <v>105</v>
      </c>
      <c r="DQ121" s="6">
        <v>106</v>
      </c>
      <c r="DR121" s="6">
        <v>107</v>
      </c>
      <c r="DS121" s="6">
        <v>108</v>
      </c>
      <c r="DT121" s="6">
        <v>109</v>
      </c>
      <c r="DU121" s="6">
        <v>110</v>
      </c>
      <c r="DV121" s="6">
        <v>111</v>
      </c>
      <c r="DW121" s="6">
        <v>112</v>
      </c>
      <c r="DX121" s="6">
        <v>113</v>
      </c>
      <c r="DY121" s="6">
        <v>114</v>
      </c>
      <c r="DZ121" s="6">
        <v>115</v>
      </c>
      <c r="EA121" s="6">
        <v>116</v>
      </c>
      <c r="EB121" s="6">
        <v>117</v>
      </c>
      <c r="EC121" s="6">
        <v>118</v>
      </c>
      <c r="ED121" s="6">
        <v>119</v>
      </c>
      <c r="EE121" s="6">
        <v>120</v>
      </c>
      <c r="EF121" s="6">
        <v>121</v>
      </c>
      <c r="EG121" s="6">
        <v>122</v>
      </c>
      <c r="EH121" s="6">
        <v>123</v>
      </c>
      <c r="EI121" s="6">
        <v>124</v>
      </c>
      <c r="EJ121" s="6">
        <v>125</v>
      </c>
      <c r="EK121" s="6">
        <v>126</v>
      </c>
      <c r="EL121" s="6">
        <v>127</v>
      </c>
      <c r="EM121" s="6">
        <v>128</v>
      </c>
      <c r="EN121" s="6">
        <v>129</v>
      </c>
      <c r="EO121" s="6">
        <v>130</v>
      </c>
      <c r="EP121" s="6">
        <v>131</v>
      </c>
      <c r="EQ121" s="6">
        <v>132</v>
      </c>
      <c r="ER121" s="6">
        <v>133</v>
      </c>
      <c r="ES121" s="6">
        <v>134</v>
      </c>
      <c r="ET121" s="6">
        <v>135</v>
      </c>
      <c r="EU121" s="6">
        <v>136</v>
      </c>
      <c r="EV121" s="6">
        <v>137</v>
      </c>
      <c r="EW121" s="6">
        <v>138</v>
      </c>
      <c r="EX121" s="6">
        <v>139</v>
      </c>
      <c r="EY121" s="6">
        <v>140</v>
      </c>
      <c r="EZ121" s="6">
        <v>141</v>
      </c>
      <c r="FA121" s="6">
        <v>142</v>
      </c>
      <c r="FB121" s="6">
        <v>143</v>
      </c>
      <c r="FC121" s="6">
        <v>144</v>
      </c>
      <c r="FD121" s="6">
        <v>145</v>
      </c>
      <c r="FE121" s="6">
        <v>146</v>
      </c>
      <c r="FF121" s="6">
        <v>147</v>
      </c>
      <c r="FG121" s="6">
        <v>148</v>
      </c>
      <c r="FH121" s="6">
        <v>149</v>
      </c>
      <c r="FI121" s="6">
        <v>150</v>
      </c>
      <c r="FJ121" s="6">
        <v>151</v>
      </c>
      <c r="FK121" s="6">
        <v>152</v>
      </c>
      <c r="FL121" s="6">
        <v>153</v>
      </c>
      <c r="FM121" s="6">
        <v>154</v>
      </c>
      <c r="FN121" s="6">
        <v>155</v>
      </c>
      <c r="FO121" s="6">
        <v>156</v>
      </c>
      <c r="FP121" s="6">
        <v>157</v>
      </c>
      <c r="FQ121" s="6">
        <v>158</v>
      </c>
      <c r="FR121" s="6">
        <v>159</v>
      </c>
      <c r="FS121" s="6">
        <v>160</v>
      </c>
      <c r="FT121" s="6">
        <v>161</v>
      </c>
      <c r="FU121" s="6">
        <v>162</v>
      </c>
      <c r="FV121" s="6">
        <v>163</v>
      </c>
      <c r="FW121" s="6">
        <v>164</v>
      </c>
      <c r="FX121" s="6">
        <v>165</v>
      </c>
      <c r="FY121" s="6">
        <v>166</v>
      </c>
      <c r="FZ121" s="6">
        <v>167</v>
      </c>
      <c r="GA121" s="6">
        <v>168</v>
      </c>
      <c r="GB121" s="6">
        <v>169</v>
      </c>
      <c r="GC121" s="6">
        <v>170</v>
      </c>
      <c r="GD121" s="6">
        <v>171</v>
      </c>
      <c r="GE121" s="6">
        <v>172</v>
      </c>
      <c r="GF121" s="6">
        <v>173</v>
      </c>
      <c r="GG121" s="6">
        <v>174</v>
      </c>
      <c r="GH121" s="6">
        <v>175</v>
      </c>
      <c r="GI121" s="6">
        <v>176</v>
      </c>
      <c r="GJ121" s="6">
        <v>177</v>
      </c>
      <c r="GK121" s="6">
        <v>178</v>
      </c>
      <c r="GL121" s="6">
        <v>179</v>
      </c>
      <c r="GM121" s="6">
        <v>180</v>
      </c>
      <c r="GN121" s="6">
        <v>181</v>
      </c>
      <c r="GO121" s="6">
        <v>182</v>
      </c>
      <c r="GP121" s="6">
        <v>183</v>
      </c>
      <c r="GQ121" s="6">
        <v>184</v>
      </c>
      <c r="GR121" s="6">
        <v>185</v>
      </c>
      <c r="GS121" s="6">
        <v>186</v>
      </c>
      <c r="GT121" s="6">
        <v>187</v>
      </c>
      <c r="GU121" s="6">
        <v>188</v>
      </c>
      <c r="GV121" s="6">
        <v>189</v>
      </c>
      <c r="GW121" s="6">
        <v>190</v>
      </c>
      <c r="GX121" s="6">
        <v>191</v>
      </c>
      <c r="GY121" s="6">
        <v>192</v>
      </c>
      <c r="GZ121" s="6">
        <v>193</v>
      </c>
      <c r="HA121" s="6">
        <v>194</v>
      </c>
      <c r="HB121" s="6">
        <v>195</v>
      </c>
      <c r="HC121" s="6">
        <v>196</v>
      </c>
      <c r="HD121" s="6">
        <v>197</v>
      </c>
      <c r="HE121" s="6">
        <v>198</v>
      </c>
      <c r="HF121" s="6">
        <v>199</v>
      </c>
      <c r="HG121" s="6">
        <v>200</v>
      </c>
      <c r="HH121" s="6">
        <v>201</v>
      </c>
      <c r="HI121" s="6">
        <v>202</v>
      </c>
      <c r="HJ121" s="6">
        <v>203</v>
      </c>
      <c r="HK121" s="6">
        <v>204</v>
      </c>
      <c r="HL121" s="6">
        <v>205</v>
      </c>
      <c r="HM121" s="6">
        <v>206</v>
      </c>
      <c r="HN121" s="6">
        <v>207</v>
      </c>
      <c r="HO121" s="6">
        <v>208</v>
      </c>
      <c r="HP121" s="6">
        <v>209</v>
      </c>
      <c r="HQ121" s="6">
        <v>210</v>
      </c>
      <c r="HR121" s="6">
        <v>211</v>
      </c>
      <c r="HS121" s="6">
        <v>212</v>
      </c>
      <c r="HT121" s="6">
        <v>213</v>
      </c>
      <c r="HU121" s="6">
        <v>214</v>
      </c>
      <c r="HV121" s="6">
        <v>215</v>
      </c>
      <c r="HW121" s="6">
        <v>216</v>
      </c>
      <c r="HX121" s="6">
        <v>217</v>
      </c>
      <c r="HY121" s="6">
        <v>218</v>
      </c>
      <c r="HZ121" s="6">
        <v>219</v>
      </c>
      <c r="IA121" s="6">
        <v>220</v>
      </c>
      <c r="IB121" s="6">
        <v>221</v>
      </c>
      <c r="IC121" s="6">
        <v>222</v>
      </c>
    </row>
    <row r="122" spans="1:257">
      <c r="A122" s="78"/>
      <c r="B122" s="78"/>
      <c r="C122" s="78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5"/>
      <c r="P122" s="51" t="s">
        <v>79</v>
      </c>
      <c r="Q122" s="51" t="s">
        <v>79</v>
      </c>
      <c r="R122" s="51" t="s">
        <v>79</v>
      </c>
      <c r="S122" s="51" t="s">
        <v>79</v>
      </c>
      <c r="T122" s="51" t="s">
        <v>79</v>
      </c>
      <c r="U122" s="51" t="s">
        <v>79</v>
      </c>
      <c r="V122" s="51" t="s">
        <v>79</v>
      </c>
      <c r="W122" s="51" t="s">
        <v>79</v>
      </c>
      <c r="X122" s="51" t="s">
        <v>79</v>
      </c>
      <c r="Y122" s="51" t="s">
        <v>79</v>
      </c>
      <c r="Z122" s="51" t="s">
        <v>79</v>
      </c>
      <c r="AA122" s="51" t="s">
        <v>79</v>
      </c>
      <c r="AB122" s="51" t="s">
        <v>79</v>
      </c>
      <c r="AC122" s="51" t="s">
        <v>79</v>
      </c>
      <c r="AD122" s="51" t="s">
        <v>79</v>
      </c>
      <c r="AE122" s="51" t="s">
        <v>79</v>
      </c>
      <c r="AF122" s="51" t="s">
        <v>79</v>
      </c>
      <c r="AG122" s="51" t="s">
        <v>79</v>
      </c>
      <c r="AH122" s="51" t="s">
        <v>79</v>
      </c>
      <c r="AI122" s="51" t="s">
        <v>79</v>
      </c>
      <c r="AJ122" s="51" t="s">
        <v>79</v>
      </c>
      <c r="AK122" s="51" t="s">
        <v>79</v>
      </c>
      <c r="AL122" s="51" t="s">
        <v>79</v>
      </c>
      <c r="AM122" s="51" t="s">
        <v>79</v>
      </c>
      <c r="AN122" s="51" t="s">
        <v>79</v>
      </c>
      <c r="AO122" s="51" t="s">
        <v>79</v>
      </c>
      <c r="AP122" s="51" t="s">
        <v>79</v>
      </c>
      <c r="AQ122" s="51" t="s">
        <v>79</v>
      </c>
      <c r="AR122" s="51" t="s">
        <v>79</v>
      </c>
      <c r="AS122" s="51" t="s">
        <v>79</v>
      </c>
      <c r="AT122" s="51" t="s">
        <v>79</v>
      </c>
      <c r="AU122" s="51" t="s">
        <v>79</v>
      </c>
      <c r="AV122" s="51" t="s">
        <v>79</v>
      </c>
      <c r="AW122" s="51" t="s">
        <v>79</v>
      </c>
      <c r="AX122" s="51" t="s">
        <v>79</v>
      </c>
      <c r="AY122" s="51" t="s">
        <v>79</v>
      </c>
      <c r="AZ122" s="51" t="s">
        <v>79</v>
      </c>
      <c r="BA122" s="51" t="s">
        <v>79</v>
      </c>
      <c r="BB122" s="51" t="s">
        <v>79</v>
      </c>
      <c r="BC122" s="51" t="s">
        <v>79</v>
      </c>
      <c r="BD122" s="51" t="s">
        <v>79</v>
      </c>
      <c r="BE122" s="51" t="s">
        <v>79</v>
      </c>
      <c r="BF122" s="51" t="s">
        <v>79</v>
      </c>
      <c r="BG122" s="51" t="s">
        <v>79</v>
      </c>
      <c r="BH122" s="51" t="s">
        <v>79</v>
      </c>
      <c r="BI122" s="51" t="s">
        <v>79</v>
      </c>
      <c r="BJ122" s="51" t="s">
        <v>79</v>
      </c>
      <c r="BK122" s="51" t="s">
        <v>79</v>
      </c>
      <c r="BL122" s="51" t="s">
        <v>79</v>
      </c>
      <c r="BM122" s="51" t="s">
        <v>79</v>
      </c>
      <c r="BN122" s="51" t="s">
        <v>79</v>
      </c>
      <c r="BO122" s="51" t="s">
        <v>79</v>
      </c>
      <c r="BP122" s="51" t="s">
        <v>79</v>
      </c>
      <c r="BQ122" s="51" t="s">
        <v>79</v>
      </c>
      <c r="BR122" s="51" t="s">
        <v>79</v>
      </c>
      <c r="BS122" s="51" t="s">
        <v>79</v>
      </c>
      <c r="BT122" s="51" t="s">
        <v>79</v>
      </c>
      <c r="BU122" s="51" t="s">
        <v>79</v>
      </c>
      <c r="BV122" s="51" t="s">
        <v>79</v>
      </c>
      <c r="BW122" s="51" t="s">
        <v>79</v>
      </c>
      <c r="BX122" s="51" t="s">
        <v>79</v>
      </c>
      <c r="BY122" s="51" t="s">
        <v>79</v>
      </c>
      <c r="BZ122" s="51" t="s">
        <v>79</v>
      </c>
      <c r="CA122" s="51" t="s">
        <v>79</v>
      </c>
      <c r="CB122" s="51" t="s">
        <v>79</v>
      </c>
      <c r="CC122" s="51" t="s">
        <v>79</v>
      </c>
      <c r="CD122" s="51" t="s">
        <v>79</v>
      </c>
      <c r="CE122" s="51" t="s">
        <v>79</v>
      </c>
      <c r="CF122" s="51" t="s">
        <v>79</v>
      </c>
      <c r="CG122" s="51" t="s">
        <v>79</v>
      </c>
      <c r="CH122" s="51" t="s">
        <v>79</v>
      </c>
      <c r="CI122" s="51" t="s">
        <v>79</v>
      </c>
      <c r="CJ122" s="51" t="s">
        <v>79</v>
      </c>
      <c r="CK122" s="51" t="s">
        <v>79</v>
      </c>
      <c r="CL122" s="51" t="s">
        <v>79</v>
      </c>
      <c r="CM122" s="51" t="s">
        <v>79</v>
      </c>
      <c r="CN122" s="51" t="s">
        <v>79</v>
      </c>
      <c r="CO122" s="51" t="s">
        <v>79</v>
      </c>
      <c r="CP122" s="51" t="s">
        <v>79</v>
      </c>
      <c r="CQ122" s="51" t="s">
        <v>79</v>
      </c>
      <c r="CR122" s="51" t="s">
        <v>79</v>
      </c>
      <c r="CS122" s="51" t="s">
        <v>79</v>
      </c>
      <c r="CT122" s="51" t="s">
        <v>79</v>
      </c>
      <c r="CU122" s="51" t="s">
        <v>79</v>
      </c>
      <c r="CV122" s="51" t="s">
        <v>79</v>
      </c>
      <c r="CW122" s="51" t="s">
        <v>79</v>
      </c>
      <c r="CX122" s="51" t="s">
        <v>79</v>
      </c>
      <c r="CY122" s="51" t="s">
        <v>79</v>
      </c>
      <c r="CZ122" s="51" t="s">
        <v>79</v>
      </c>
      <c r="DA122" s="51" t="s">
        <v>79</v>
      </c>
      <c r="DB122" s="51" t="s">
        <v>79</v>
      </c>
      <c r="DC122" s="51" t="s">
        <v>79</v>
      </c>
      <c r="DD122" s="51" t="s">
        <v>79</v>
      </c>
      <c r="DE122" s="51" t="s">
        <v>79</v>
      </c>
      <c r="DF122" s="51" t="s">
        <v>79</v>
      </c>
      <c r="DG122" s="51" t="s">
        <v>79</v>
      </c>
      <c r="DH122" s="51" t="s">
        <v>79</v>
      </c>
      <c r="DI122" s="51" t="s">
        <v>79</v>
      </c>
      <c r="DJ122" s="51" t="s">
        <v>79</v>
      </c>
      <c r="DK122" s="51" t="s">
        <v>79</v>
      </c>
      <c r="DL122" s="51" t="s">
        <v>79</v>
      </c>
      <c r="DM122" s="51" t="s">
        <v>79</v>
      </c>
      <c r="DN122" s="51" t="s">
        <v>79</v>
      </c>
      <c r="DO122" s="51" t="s">
        <v>79</v>
      </c>
      <c r="DP122" s="51" t="s">
        <v>79</v>
      </c>
      <c r="DQ122" s="51" t="s">
        <v>79</v>
      </c>
      <c r="DR122" s="51" t="s">
        <v>79</v>
      </c>
      <c r="DS122" s="51" t="s">
        <v>79</v>
      </c>
      <c r="DT122" s="51" t="s">
        <v>79</v>
      </c>
      <c r="DU122" s="51" t="s">
        <v>79</v>
      </c>
      <c r="DV122" s="51" t="s">
        <v>79</v>
      </c>
      <c r="DW122" s="51" t="s">
        <v>79</v>
      </c>
      <c r="DX122" s="51" t="s">
        <v>79</v>
      </c>
      <c r="DY122" s="51" t="s">
        <v>79</v>
      </c>
      <c r="DZ122" s="51" t="s">
        <v>79</v>
      </c>
      <c r="EA122" s="51" t="s">
        <v>79</v>
      </c>
      <c r="EB122" s="51" t="s">
        <v>79</v>
      </c>
      <c r="EC122" s="51" t="s">
        <v>79</v>
      </c>
      <c r="ED122" s="51" t="s">
        <v>79</v>
      </c>
      <c r="EE122" s="51" t="s">
        <v>79</v>
      </c>
      <c r="EF122" s="51" t="s">
        <v>79</v>
      </c>
      <c r="EG122" s="51" t="s">
        <v>79</v>
      </c>
      <c r="EH122" s="51" t="s">
        <v>79</v>
      </c>
      <c r="EI122" s="51" t="s">
        <v>79</v>
      </c>
      <c r="EJ122" s="51" t="s">
        <v>79</v>
      </c>
      <c r="EK122" s="51" t="s">
        <v>79</v>
      </c>
      <c r="EL122" s="51" t="s">
        <v>79</v>
      </c>
      <c r="EM122" s="51" t="s">
        <v>79</v>
      </c>
      <c r="EN122" s="51" t="s">
        <v>79</v>
      </c>
      <c r="EO122" s="51" t="s">
        <v>79</v>
      </c>
      <c r="EP122" s="51" t="s">
        <v>79</v>
      </c>
      <c r="EQ122" s="51" t="s">
        <v>79</v>
      </c>
      <c r="ER122" s="51" t="s">
        <v>79</v>
      </c>
      <c r="ES122" s="51" t="s">
        <v>79</v>
      </c>
      <c r="ET122" s="51" t="s">
        <v>79</v>
      </c>
      <c r="EU122" s="51" t="s">
        <v>79</v>
      </c>
      <c r="EV122" s="51" t="s">
        <v>79</v>
      </c>
      <c r="EW122" s="51" t="s">
        <v>79</v>
      </c>
      <c r="EX122" s="51" t="s">
        <v>79</v>
      </c>
      <c r="EY122" s="51" t="s">
        <v>79</v>
      </c>
      <c r="EZ122" s="51" t="s">
        <v>79</v>
      </c>
      <c r="FA122" s="51" t="s">
        <v>79</v>
      </c>
      <c r="FB122" s="51" t="s">
        <v>79</v>
      </c>
      <c r="FC122" s="51" t="s">
        <v>79</v>
      </c>
      <c r="FD122" s="51" t="s">
        <v>79</v>
      </c>
      <c r="FE122" s="51" t="s">
        <v>79</v>
      </c>
      <c r="FF122" s="51" t="s">
        <v>79</v>
      </c>
      <c r="FG122" s="51" t="s">
        <v>79</v>
      </c>
      <c r="FH122" s="51" t="s">
        <v>79</v>
      </c>
      <c r="FI122" s="51" t="s">
        <v>79</v>
      </c>
      <c r="FJ122" s="51" t="s">
        <v>79</v>
      </c>
      <c r="FK122" s="51" t="s">
        <v>79</v>
      </c>
      <c r="FL122" s="51" t="s">
        <v>79</v>
      </c>
      <c r="FM122" s="51" t="s">
        <v>79</v>
      </c>
      <c r="FN122" s="51" t="s">
        <v>79</v>
      </c>
      <c r="FO122" s="51" t="s">
        <v>79</v>
      </c>
      <c r="FP122" s="51" t="s">
        <v>79</v>
      </c>
      <c r="FQ122" s="51" t="s">
        <v>79</v>
      </c>
      <c r="FR122" s="51" t="s">
        <v>79</v>
      </c>
      <c r="FS122" s="51" t="s">
        <v>79</v>
      </c>
      <c r="FT122" s="51" t="s">
        <v>79</v>
      </c>
      <c r="FU122" s="51" t="s">
        <v>79</v>
      </c>
      <c r="FV122" s="51" t="s">
        <v>79</v>
      </c>
      <c r="FW122" s="51" t="s">
        <v>79</v>
      </c>
      <c r="FX122" s="51" t="s">
        <v>79</v>
      </c>
      <c r="FY122" s="51" t="s">
        <v>79</v>
      </c>
      <c r="FZ122" s="51" t="s">
        <v>79</v>
      </c>
      <c r="GA122" s="51" t="s">
        <v>79</v>
      </c>
      <c r="GB122" s="51" t="s">
        <v>79</v>
      </c>
      <c r="GC122" s="51" t="s">
        <v>79</v>
      </c>
      <c r="GD122" s="51" t="s">
        <v>79</v>
      </c>
      <c r="GE122" s="51" t="s">
        <v>79</v>
      </c>
      <c r="GF122" s="51" t="s">
        <v>79</v>
      </c>
      <c r="GG122" s="51" t="s">
        <v>79</v>
      </c>
      <c r="GH122" s="51" t="s">
        <v>79</v>
      </c>
      <c r="GI122" s="51" t="s">
        <v>79</v>
      </c>
      <c r="GJ122" s="51" t="s">
        <v>79</v>
      </c>
      <c r="GK122" s="51" t="s">
        <v>79</v>
      </c>
      <c r="GL122" s="51" t="s">
        <v>79</v>
      </c>
      <c r="GM122" s="51" t="s">
        <v>79</v>
      </c>
      <c r="GN122" s="51" t="s">
        <v>79</v>
      </c>
      <c r="GO122" s="51" t="s">
        <v>79</v>
      </c>
      <c r="GP122" s="51" t="s">
        <v>79</v>
      </c>
      <c r="GQ122" s="51" t="s">
        <v>79</v>
      </c>
      <c r="GR122" s="51" t="s">
        <v>79</v>
      </c>
      <c r="GS122" s="51" t="s">
        <v>79</v>
      </c>
      <c r="GT122" s="51" t="s">
        <v>79</v>
      </c>
      <c r="GU122" s="51" t="s">
        <v>79</v>
      </c>
      <c r="GV122" s="51" t="s">
        <v>79</v>
      </c>
      <c r="GW122" s="51" t="s">
        <v>79</v>
      </c>
      <c r="GX122" s="51" t="s">
        <v>79</v>
      </c>
      <c r="GY122" s="51" t="s">
        <v>79</v>
      </c>
      <c r="GZ122" s="51" t="s">
        <v>79</v>
      </c>
      <c r="HA122" s="51" t="s">
        <v>79</v>
      </c>
      <c r="HB122" s="51" t="s">
        <v>79</v>
      </c>
      <c r="HC122" s="51" t="s">
        <v>79</v>
      </c>
      <c r="HD122" s="51" t="s">
        <v>79</v>
      </c>
      <c r="HE122" s="51" t="s">
        <v>79</v>
      </c>
      <c r="HF122" s="51" t="s">
        <v>79</v>
      </c>
      <c r="HG122" s="51" t="s">
        <v>79</v>
      </c>
      <c r="HH122" s="51" t="s">
        <v>79</v>
      </c>
      <c r="HI122" s="51" t="s">
        <v>79</v>
      </c>
      <c r="HJ122" s="51" t="s">
        <v>79</v>
      </c>
      <c r="HK122" s="51" t="s">
        <v>79</v>
      </c>
      <c r="HL122" s="51" t="s">
        <v>79</v>
      </c>
      <c r="HM122" s="51" t="s">
        <v>79</v>
      </c>
      <c r="HN122" s="51" t="s">
        <v>79</v>
      </c>
      <c r="HO122" s="51" t="s">
        <v>79</v>
      </c>
      <c r="HP122" s="51" t="s">
        <v>79</v>
      </c>
      <c r="HQ122" s="51" t="s">
        <v>79</v>
      </c>
      <c r="HR122" s="51" t="s">
        <v>79</v>
      </c>
      <c r="HS122" s="51" t="s">
        <v>79</v>
      </c>
      <c r="HT122" s="51" t="s">
        <v>79</v>
      </c>
      <c r="HU122" s="51" t="s">
        <v>79</v>
      </c>
      <c r="HV122" s="51" t="s">
        <v>79</v>
      </c>
      <c r="HW122" s="51" t="s">
        <v>79</v>
      </c>
      <c r="HX122" s="51" t="s">
        <v>79</v>
      </c>
      <c r="HY122" s="51" t="s">
        <v>79</v>
      </c>
      <c r="HZ122" s="51" t="s">
        <v>79</v>
      </c>
      <c r="IA122" s="51" t="s">
        <v>79</v>
      </c>
      <c r="IB122" s="51" t="s">
        <v>79</v>
      </c>
      <c r="IC122" s="51" t="s">
        <v>79</v>
      </c>
    </row>
    <row r="123" spans="1:257">
      <c r="A123" s="4" t="s">
        <v>522</v>
      </c>
      <c r="B123" s="82" t="str">
        <f t="array" ref="B123">_xlfn.LET(
  _xlpm.dates, _xlfn._xlws.FILTER(P123:HO123, (P125:HO125&lt;&gt;"")+(P127:HO127&lt;&gt;"")),
  _xlpm.numDates, IFERROR(VALUE(_xlpm.dates), _xlpm.dates),
  _xlpm.first, TEXT(MIN(_xlpm.numDates), "m/dd"),
  _xlpm.last, TEXT(MAX(_xlpm.numDates), "m/dd"),
  _xlpm.first &amp; "~" &amp; _xlpm.last
)</f>
        <v>3/28~4/27</v>
      </c>
      <c r="C123" s="7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 t="s">
        <v>522</v>
      </c>
      <c r="P123" s="3">
        <v>46107</v>
      </c>
      <c r="Q123" s="3">
        <v>46108</v>
      </c>
      <c r="R123" s="3">
        <v>46109</v>
      </c>
      <c r="S123" s="3">
        <v>46110</v>
      </c>
      <c r="T123" s="3">
        <v>46111</v>
      </c>
      <c r="U123" s="3">
        <v>46112</v>
      </c>
      <c r="V123" s="3">
        <v>46113</v>
      </c>
      <c r="W123" s="3">
        <v>46114</v>
      </c>
      <c r="X123" s="3">
        <v>46115</v>
      </c>
      <c r="Y123" s="3">
        <v>46116</v>
      </c>
      <c r="Z123" s="3">
        <v>46117</v>
      </c>
      <c r="AA123" s="3">
        <v>46118</v>
      </c>
      <c r="AB123" s="3">
        <v>46119</v>
      </c>
      <c r="AC123" s="3">
        <v>46120</v>
      </c>
      <c r="AD123" s="3">
        <v>46121</v>
      </c>
      <c r="AE123" s="3">
        <v>46122</v>
      </c>
      <c r="AF123" s="3">
        <v>46123</v>
      </c>
      <c r="AG123" s="3">
        <v>46124</v>
      </c>
      <c r="AH123" s="3">
        <v>46125</v>
      </c>
      <c r="AI123" s="3">
        <v>46126</v>
      </c>
      <c r="AJ123" s="3">
        <v>46127</v>
      </c>
      <c r="AK123" s="3">
        <v>46128</v>
      </c>
      <c r="AL123" s="3">
        <v>46129</v>
      </c>
      <c r="AM123" s="3">
        <v>46130</v>
      </c>
      <c r="AN123" s="3">
        <v>46131</v>
      </c>
      <c r="AO123" s="3">
        <v>46132</v>
      </c>
      <c r="AP123" s="3">
        <v>46133</v>
      </c>
      <c r="AQ123" s="3">
        <v>46134</v>
      </c>
      <c r="AR123" s="3">
        <v>46135</v>
      </c>
      <c r="AS123" s="3">
        <v>46136</v>
      </c>
      <c r="AT123" s="3">
        <v>46137</v>
      </c>
      <c r="AU123" s="3">
        <v>46138</v>
      </c>
      <c r="AV123" s="3">
        <v>46139</v>
      </c>
      <c r="AW123" s="3">
        <v>46140</v>
      </c>
      <c r="AX123" s="3">
        <v>46141</v>
      </c>
      <c r="AY123" s="3">
        <v>46142</v>
      </c>
      <c r="AZ123" s="3">
        <v>46143</v>
      </c>
      <c r="BA123" s="3">
        <v>46144</v>
      </c>
      <c r="BB123" s="3">
        <v>46145</v>
      </c>
      <c r="BC123" s="3">
        <v>46146</v>
      </c>
      <c r="BD123" s="3">
        <v>46147</v>
      </c>
      <c r="BE123" s="3">
        <v>46148</v>
      </c>
      <c r="BF123" s="3">
        <v>46149</v>
      </c>
      <c r="BG123" s="3">
        <v>46150</v>
      </c>
      <c r="BH123" s="3">
        <v>46151</v>
      </c>
      <c r="BI123" s="3">
        <v>46152</v>
      </c>
      <c r="BJ123" s="3">
        <v>46153</v>
      </c>
      <c r="BK123" s="3">
        <v>46154</v>
      </c>
      <c r="BL123" s="3">
        <v>46155</v>
      </c>
      <c r="BM123" s="3">
        <v>46156</v>
      </c>
      <c r="BN123" s="3">
        <v>46157</v>
      </c>
      <c r="BO123" s="3">
        <v>46158</v>
      </c>
      <c r="BP123" s="3">
        <v>46159</v>
      </c>
      <c r="BQ123" s="3">
        <v>46160</v>
      </c>
      <c r="BR123" s="3">
        <v>46161</v>
      </c>
      <c r="BS123" s="3">
        <v>46162</v>
      </c>
      <c r="BT123" s="3">
        <v>46163</v>
      </c>
      <c r="BU123" s="3">
        <v>46164</v>
      </c>
      <c r="BV123" s="3">
        <v>46165</v>
      </c>
      <c r="BW123" s="3">
        <v>46166</v>
      </c>
      <c r="BX123" s="3">
        <v>46167</v>
      </c>
      <c r="BY123" s="3">
        <v>46168</v>
      </c>
      <c r="BZ123" s="3">
        <v>46169</v>
      </c>
      <c r="CA123" s="3">
        <v>46170</v>
      </c>
      <c r="CB123" s="3">
        <v>46171</v>
      </c>
      <c r="CC123" s="3">
        <v>46172</v>
      </c>
      <c r="CD123" s="3">
        <v>46173</v>
      </c>
      <c r="CE123" s="3">
        <v>46174</v>
      </c>
      <c r="CF123" s="3">
        <v>46175</v>
      </c>
      <c r="CG123" s="3">
        <v>46176</v>
      </c>
      <c r="CH123" s="3">
        <v>46177</v>
      </c>
      <c r="CI123" s="3">
        <v>46178</v>
      </c>
      <c r="CJ123" s="3">
        <v>46179</v>
      </c>
      <c r="CK123" s="3">
        <v>46180</v>
      </c>
      <c r="CL123" s="3">
        <v>46181</v>
      </c>
      <c r="CM123" s="3">
        <v>46182</v>
      </c>
      <c r="CN123" s="3">
        <v>46183</v>
      </c>
      <c r="CO123" s="3">
        <v>46184</v>
      </c>
      <c r="CP123" s="3">
        <v>46185</v>
      </c>
      <c r="CQ123" s="3">
        <v>46186</v>
      </c>
      <c r="CR123" s="3">
        <v>46187</v>
      </c>
      <c r="CS123" s="3">
        <v>46188</v>
      </c>
      <c r="CT123" s="3">
        <v>46189</v>
      </c>
      <c r="CU123" s="3">
        <v>46190</v>
      </c>
      <c r="CV123" s="3">
        <v>46191</v>
      </c>
      <c r="CW123" s="3">
        <v>46192</v>
      </c>
      <c r="CX123" s="3">
        <v>46193</v>
      </c>
      <c r="CY123" s="3">
        <v>46194</v>
      </c>
      <c r="CZ123" s="3">
        <v>46195</v>
      </c>
      <c r="DA123" s="3">
        <v>46196</v>
      </c>
      <c r="DB123" s="3">
        <v>46197</v>
      </c>
      <c r="DC123" s="3">
        <v>46198</v>
      </c>
      <c r="DD123" s="3">
        <v>46199</v>
      </c>
      <c r="DE123" s="3">
        <v>46200</v>
      </c>
      <c r="DF123" s="3">
        <v>46201</v>
      </c>
      <c r="DG123" s="3">
        <v>46202</v>
      </c>
      <c r="DH123" s="3">
        <v>46203</v>
      </c>
      <c r="DI123" s="3">
        <v>46204</v>
      </c>
      <c r="DJ123" s="3">
        <v>46205</v>
      </c>
      <c r="DK123" s="3">
        <v>46206</v>
      </c>
      <c r="DL123" s="3">
        <v>46207</v>
      </c>
      <c r="DM123" s="3">
        <v>46208</v>
      </c>
      <c r="DN123" s="3">
        <v>46209</v>
      </c>
      <c r="DO123" s="3">
        <v>46210</v>
      </c>
      <c r="DP123" s="3">
        <v>46211</v>
      </c>
      <c r="DQ123" s="3">
        <v>46212</v>
      </c>
      <c r="DR123" s="3">
        <v>46213</v>
      </c>
      <c r="DS123" s="3">
        <v>46214</v>
      </c>
      <c r="DT123" s="3">
        <v>46215</v>
      </c>
      <c r="DU123" s="3">
        <v>46216</v>
      </c>
      <c r="DV123" s="3">
        <v>46217</v>
      </c>
      <c r="DW123" s="3">
        <v>46218</v>
      </c>
      <c r="DX123" s="3">
        <v>46219</v>
      </c>
      <c r="DY123" s="3">
        <v>46220</v>
      </c>
      <c r="DZ123" s="3">
        <v>46221</v>
      </c>
      <c r="EA123" s="3">
        <v>46222</v>
      </c>
      <c r="EB123" s="3">
        <v>46223</v>
      </c>
      <c r="EC123" s="3">
        <v>46224</v>
      </c>
      <c r="ED123" s="3">
        <v>46225</v>
      </c>
      <c r="EE123" s="3">
        <v>46226</v>
      </c>
      <c r="EF123" s="3">
        <v>46227</v>
      </c>
      <c r="EG123" s="3">
        <v>46228</v>
      </c>
      <c r="EH123" s="3">
        <v>46229</v>
      </c>
      <c r="EI123" s="3">
        <v>46230</v>
      </c>
      <c r="EJ123" s="3">
        <v>46231</v>
      </c>
      <c r="EK123" s="3">
        <v>46232</v>
      </c>
      <c r="EL123" s="3">
        <v>46233</v>
      </c>
      <c r="EM123" s="3">
        <v>46234</v>
      </c>
      <c r="EN123" s="3">
        <v>46235</v>
      </c>
      <c r="EO123" s="3">
        <v>46236</v>
      </c>
      <c r="EP123" s="3">
        <v>46237</v>
      </c>
      <c r="EQ123" s="3">
        <v>46238</v>
      </c>
      <c r="ER123" s="3">
        <v>46239</v>
      </c>
      <c r="ES123" s="3">
        <v>46240</v>
      </c>
      <c r="ET123" s="3">
        <v>46241</v>
      </c>
      <c r="EU123" s="3">
        <v>46242</v>
      </c>
      <c r="EV123" s="3">
        <v>46243</v>
      </c>
      <c r="EW123" s="3">
        <v>46244</v>
      </c>
      <c r="EX123" s="3">
        <v>46245</v>
      </c>
      <c r="EY123" s="3">
        <v>46246</v>
      </c>
      <c r="EZ123" s="3">
        <v>46247</v>
      </c>
      <c r="FA123" s="3">
        <v>46248</v>
      </c>
      <c r="FB123" s="3">
        <v>46249</v>
      </c>
      <c r="FC123" s="3">
        <v>46250</v>
      </c>
      <c r="FD123" s="3">
        <v>46251</v>
      </c>
      <c r="FE123" s="3">
        <v>46252</v>
      </c>
      <c r="FF123" s="3">
        <v>46253</v>
      </c>
      <c r="FG123" s="3">
        <v>46254</v>
      </c>
      <c r="FH123" s="3">
        <v>46255</v>
      </c>
      <c r="FI123" s="3">
        <v>46256</v>
      </c>
      <c r="FJ123" s="3">
        <v>46257</v>
      </c>
      <c r="FK123" s="3">
        <v>46258</v>
      </c>
      <c r="FL123" s="3">
        <v>46259</v>
      </c>
      <c r="FM123" s="3">
        <v>46260</v>
      </c>
      <c r="FN123" s="3">
        <v>46261</v>
      </c>
      <c r="FO123" s="3">
        <v>46262</v>
      </c>
      <c r="FP123" s="3">
        <v>46263</v>
      </c>
      <c r="FQ123" s="3">
        <v>46264</v>
      </c>
      <c r="FR123" s="3">
        <v>46265</v>
      </c>
      <c r="FS123" s="3">
        <v>46266</v>
      </c>
      <c r="FT123" s="3">
        <v>46267</v>
      </c>
      <c r="FU123" s="3">
        <v>46268</v>
      </c>
      <c r="FV123" s="3">
        <v>46269</v>
      </c>
      <c r="FW123" s="3">
        <v>46270</v>
      </c>
      <c r="FX123" s="3">
        <v>46271</v>
      </c>
      <c r="FY123" s="3">
        <v>46272</v>
      </c>
      <c r="FZ123" s="3">
        <v>46273</v>
      </c>
      <c r="GA123" s="3">
        <v>46274</v>
      </c>
      <c r="GB123" s="3">
        <v>46275</v>
      </c>
      <c r="GC123" s="3">
        <v>46276</v>
      </c>
      <c r="GD123" s="3">
        <v>46277</v>
      </c>
      <c r="GE123" s="3">
        <v>46278</v>
      </c>
      <c r="GF123" s="3">
        <v>46279</v>
      </c>
      <c r="GG123" s="3">
        <v>46280</v>
      </c>
      <c r="GH123" s="3">
        <v>46281</v>
      </c>
      <c r="GI123" s="3">
        <v>46282</v>
      </c>
      <c r="GJ123" s="3">
        <v>46283</v>
      </c>
      <c r="GK123" s="3">
        <v>46284</v>
      </c>
      <c r="GL123" s="3">
        <v>46285</v>
      </c>
      <c r="GM123" s="3">
        <v>46286</v>
      </c>
      <c r="GN123" s="3">
        <v>46287</v>
      </c>
      <c r="GO123" s="3">
        <v>46288</v>
      </c>
      <c r="GP123" s="3">
        <v>46289</v>
      </c>
      <c r="GQ123" s="3">
        <v>46290</v>
      </c>
      <c r="GR123" s="3">
        <v>46291</v>
      </c>
      <c r="GS123" s="3">
        <v>46292</v>
      </c>
      <c r="GT123" s="3">
        <v>46293</v>
      </c>
      <c r="GU123" s="3">
        <v>46294</v>
      </c>
      <c r="GV123" s="3">
        <v>46295</v>
      </c>
      <c r="GW123" s="3">
        <v>46296</v>
      </c>
      <c r="GX123" s="3">
        <v>46297</v>
      </c>
      <c r="GY123" s="3">
        <v>46298</v>
      </c>
      <c r="GZ123" s="3">
        <v>46299</v>
      </c>
      <c r="HA123" s="3">
        <v>46300</v>
      </c>
      <c r="HB123" s="3">
        <v>46301</v>
      </c>
      <c r="HC123" s="3">
        <v>46302</v>
      </c>
      <c r="HD123" s="3">
        <v>46303</v>
      </c>
      <c r="HE123" s="3">
        <v>46304</v>
      </c>
      <c r="HF123" s="3">
        <v>46305</v>
      </c>
      <c r="HG123" s="3">
        <v>46306</v>
      </c>
      <c r="HH123" s="3">
        <v>46307</v>
      </c>
      <c r="HI123" s="3">
        <v>46308</v>
      </c>
      <c r="HJ123" s="3">
        <v>46309</v>
      </c>
      <c r="HK123" s="3">
        <v>46310</v>
      </c>
      <c r="HL123" s="3">
        <v>46311</v>
      </c>
      <c r="HM123" s="3">
        <v>46312</v>
      </c>
      <c r="HN123" s="3">
        <v>46313</v>
      </c>
      <c r="HO123" s="3">
        <v>46314</v>
      </c>
      <c r="HP123" s="3">
        <v>46315</v>
      </c>
      <c r="HQ123" s="3">
        <v>46316</v>
      </c>
      <c r="HR123" s="3">
        <v>46317</v>
      </c>
      <c r="HS123" s="3">
        <v>46318</v>
      </c>
      <c r="HT123" s="3">
        <v>46319</v>
      </c>
      <c r="HU123" s="3">
        <v>46320</v>
      </c>
      <c r="HV123" s="3">
        <v>46321</v>
      </c>
      <c r="HW123" s="3">
        <v>46322</v>
      </c>
      <c r="HX123" s="3">
        <v>46323</v>
      </c>
      <c r="HY123" s="3">
        <v>46324</v>
      </c>
      <c r="HZ123" s="3">
        <v>46325</v>
      </c>
      <c r="IA123" s="3">
        <v>46326</v>
      </c>
      <c r="IB123" s="3">
        <v>46327</v>
      </c>
      <c r="IC123" s="3">
        <v>46328</v>
      </c>
    </row>
    <row r="124" spans="1:257">
      <c r="A124" s="4" t="s">
        <v>694</v>
      </c>
      <c r="B124" s="82" t="str">
        <f t="array" ref="B124">COLUMNS(_xlfn._xlws.FILTER(P123:HO123, (P125:HO125&lt;&gt;"")+(P127:HO127&lt;&gt;""))) &amp; "場"</f>
        <v>27場</v>
      </c>
      <c r="C124" s="7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 t="s">
        <v>675</v>
      </c>
      <c r="P124" s="3" t="s">
        <v>676</v>
      </c>
      <c r="Q124" s="3" t="s">
        <v>677</v>
      </c>
      <c r="R124" s="3" t="s">
        <v>678</v>
      </c>
      <c r="S124" s="3" t="s">
        <v>679</v>
      </c>
      <c r="T124" s="3" t="s">
        <v>680</v>
      </c>
      <c r="U124" s="3" t="s">
        <v>681</v>
      </c>
      <c r="V124" s="3" t="s">
        <v>682</v>
      </c>
      <c r="W124" s="3" t="s">
        <v>676</v>
      </c>
      <c r="X124" s="3" t="s">
        <v>677</v>
      </c>
      <c r="Y124" s="3" t="s">
        <v>678</v>
      </c>
      <c r="Z124" s="3" t="s">
        <v>679</v>
      </c>
      <c r="AA124" s="3" t="s">
        <v>680</v>
      </c>
      <c r="AB124" s="3" t="s">
        <v>681</v>
      </c>
      <c r="AC124" s="3" t="s">
        <v>682</v>
      </c>
      <c r="AD124" s="3" t="s">
        <v>676</v>
      </c>
      <c r="AE124" s="3" t="s">
        <v>677</v>
      </c>
      <c r="AF124" s="3" t="s">
        <v>678</v>
      </c>
      <c r="AG124" s="3" t="s">
        <v>679</v>
      </c>
      <c r="AH124" s="3" t="s">
        <v>680</v>
      </c>
      <c r="AI124" s="3" t="s">
        <v>681</v>
      </c>
      <c r="AJ124" s="3" t="s">
        <v>682</v>
      </c>
      <c r="AK124" s="3" t="s">
        <v>676</v>
      </c>
      <c r="AL124" s="3" t="s">
        <v>677</v>
      </c>
      <c r="AM124" s="3" t="s">
        <v>678</v>
      </c>
      <c r="AN124" s="3" t="s">
        <v>679</v>
      </c>
      <c r="AO124" s="3" t="s">
        <v>680</v>
      </c>
      <c r="AP124" s="3" t="s">
        <v>681</v>
      </c>
      <c r="AQ124" s="3" t="s">
        <v>682</v>
      </c>
      <c r="AR124" s="3" t="s">
        <v>676</v>
      </c>
      <c r="AS124" s="3" t="s">
        <v>677</v>
      </c>
      <c r="AT124" s="3" t="s">
        <v>678</v>
      </c>
      <c r="AU124" s="3" t="s">
        <v>679</v>
      </c>
      <c r="AV124" s="3" t="s">
        <v>680</v>
      </c>
      <c r="AW124" s="3" t="s">
        <v>681</v>
      </c>
      <c r="AX124" s="3" t="s">
        <v>682</v>
      </c>
      <c r="AY124" s="3" t="s">
        <v>676</v>
      </c>
      <c r="AZ124" s="3" t="s">
        <v>677</v>
      </c>
      <c r="BA124" s="3" t="s">
        <v>678</v>
      </c>
      <c r="BB124" s="3" t="s">
        <v>679</v>
      </c>
      <c r="BC124" s="3" t="s">
        <v>680</v>
      </c>
      <c r="BD124" s="3" t="s">
        <v>681</v>
      </c>
      <c r="BE124" s="3" t="s">
        <v>682</v>
      </c>
      <c r="BF124" s="3" t="s">
        <v>676</v>
      </c>
      <c r="BG124" s="3" t="s">
        <v>677</v>
      </c>
      <c r="BH124" s="3" t="s">
        <v>678</v>
      </c>
      <c r="BI124" s="3" t="s">
        <v>679</v>
      </c>
      <c r="BJ124" s="3" t="s">
        <v>680</v>
      </c>
      <c r="BK124" s="3" t="s">
        <v>681</v>
      </c>
      <c r="BL124" s="3" t="s">
        <v>682</v>
      </c>
      <c r="BM124" s="3" t="s">
        <v>676</v>
      </c>
      <c r="BN124" s="3" t="s">
        <v>677</v>
      </c>
      <c r="BO124" s="3" t="s">
        <v>678</v>
      </c>
      <c r="BP124" s="3" t="s">
        <v>679</v>
      </c>
      <c r="BQ124" s="3" t="s">
        <v>680</v>
      </c>
      <c r="BR124" s="3" t="s">
        <v>681</v>
      </c>
      <c r="BS124" s="3" t="s">
        <v>682</v>
      </c>
      <c r="BT124" s="3" t="s">
        <v>676</v>
      </c>
      <c r="BU124" s="3" t="s">
        <v>677</v>
      </c>
      <c r="BV124" s="3" t="s">
        <v>678</v>
      </c>
      <c r="BW124" s="3" t="s">
        <v>679</v>
      </c>
      <c r="BX124" s="3" t="s">
        <v>680</v>
      </c>
      <c r="BY124" s="3" t="s">
        <v>681</v>
      </c>
      <c r="BZ124" s="3" t="s">
        <v>682</v>
      </c>
      <c r="CA124" s="3" t="s">
        <v>676</v>
      </c>
      <c r="CB124" s="3" t="s">
        <v>677</v>
      </c>
      <c r="CC124" s="3" t="s">
        <v>678</v>
      </c>
      <c r="CD124" s="3" t="s">
        <v>679</v>
      </c>
      <c r="CE124" s="3" t="s">
        <v>680</v>
      </c>
      <c r="CF124" s="3" t="s">
        <v>681</v>
      </c>
      <c r="CG124" s="3" t="s">
        <v>682</v>
      </c>
      <c r="CH124" s="3" t="s">
        <v>676</v>
      </c>
      <c r="CI124" s="3" t="s">
        <v>677</v>
      </c>
      <c r="CJ124" s="3" t="s">
        <v>678</v>
      </c>
      <c r="CK124" s="3" t="s">
        <v>679</v>
      </c>
      <c r="CL124" s="3" t="s">
        <v>680</v>
      </c>
      <c r="CM124" s="3" t="s">
        <v>681</v>
      </c>
      <c r="CN124" s="3" t="s">
        <v>682</v>
      </c>
      <c r="CO124" s="3" t="s">
        <v>676</v>
      </c>
      <c r="CP124" s="3" t="s">
        <v>677</v>
      </c>
      <c r="CQ124" s="3" t="s">
        <v>678</v>
      </c>
      <c r="CR124" s="3" t="s">
        <v>679</v>
      </c>
      <c r="CS124" s="3" t="s">
        <v>680</v>
      </c>
      <c r="CT124" s="3" t="s">
        <v>681</v>
      </c>
      <c r="CU124" s="3" t="s">
        <v>682</v>
      </c>
      <c r="CV124" s="3" t="s">
        <v>676</v>
      </c>
      <c r="CW124" s="3" t="s">
        <v>677</v>
      </c>
      <c r="CX124" s="3" t="s">
        <v>678</v>
      </c>
      <c r="CY124" s="3" t="s">
        <v>679</v>
      </c>
      <c r="CZ124" s="3" t="s">
        <v>680</v>
      </c>
      <c r="DA124" s="3" t="s">
        <v>681</v>
      </c>
      <c r="DB124" s="3" t="s">
        <v>682</v>
      </c>
      <c r="DC124" s="3" t="s">
        <v>676</v>
      </c>
      <c r="DD124" s="3" t="s">
        <v>677</v>
      </c>
      <c r="DE124" s="3" t="s">
        <v>678</v>
      </c>
      <c r="DF124" s="3" t="s">
        <v>679</v>
      </c>
      <c r="DG124" s="3" t="s">
        <v>680</v>
      </c>
      <c r="DH124" s="3" t="s">
        <v>681</v>
      </c>
      <c r="DI124" s="3" t="s">
        <v>682</v>
      </c>
      <c r="DJ124" s="3" t="s">
        <v>676</v>
      </c>
      <c r="DK124" s="3" t="s">
        <v>677</v>
      </c>
      <c r="DL124" s="3" t="s">
        <v>678</v>
      </c>
      <c r="DM124" s="3" t="s">
        <v>679</v>
      </c>
      <c r="DN124" s="3" t="s">
        <v>680</v>
      </c>
      <c r="DO124" s="3" t="s">
        <v>681</v>
      </c>
      <c r="DP124" s="3" t="s">
        <v>682</v>
      </c>
      <c r="DQ124" s="3" t="s">
        <v>676</v>
      </c>
      <c r="DR124" s="3" t="s">
        <v>677</v>
      </c>
      <c r="DS124" s="3" t="s">
        <v>678</v>
      </c>
      <c r="DT124" s="3" t="s">
        <v>679</v>
      </c>
      <c r="DU124" s="3" t="s">
        <v>680</v>
      </c>
      <c r="DV124" s="3" t="s">
        <v>681</v>
      </c>
      <c r="DW124" s="3" t="s">
        <v>682</v>
      </c>
      <c r="DX124" s="3" t="s">
        <v>676</v>
      </c>
      <c r="DY124" s="3" t="s">
        <v>677</v>
      </c>
      <c r="DZ124" s="3" t="s">
        <v>678</v>
      </c>
      <c r="EA124" s="3" t="s">
        <v>679</v>
      </c>
      <c r="EB124" s="3" t="s">
        <v>680</v>
      </c>
      <c r="EC124" s="3" t="s">
        <v>681</v>
      </c>
      <c r="ED124" s="3" t="s">
        <v>682</v>
      </c>
      <c r="EE124" s="3" t="s">
        <v>676</v>
      </c>
      <c r="EF124" s="3" t="s">
        <v>677</v>
      </c>
      <c r="EG124" s="3" t="s">
        <v>678</v>
      </c>
      <c r="EH124" s="3" t="s">
        <v>679</v>
      </c>
      <c r="EI124" s="3" t="s">
        <v>680</v>
      </c>
      <c r="EJ124" s="3" t="s">
        <v>681</v>
      </c>
      <c r="EK124" s="3" t="s">
        <v>682</v>
      </c>
      <c r="EL124" s="3" t="s">
        <v>676</v>
      </c>
      <c r="EM124" s="3" t="s">
        <v>677</v>
      </c>
      <c r="EN124" s="3" t="s">
        <v>678</v>
      </c>
      <c r="EO124" s="3" t="s">
        <v>679</v>
      </c>
      <c r="EP124" s="3" t="s">
        <v>680</v>
      </c>
      <c r="EQ124" s="3" t="s">
        <v>681</v>
      </c>
      <c r="ER124" s="3" t="s">
        <v>682</v>
      </c>
      <c r="ES124" s="3" t="s">
        <v>676</v>
      </c>
      <c r="ET124" s="3" t="s">
        <v>677</v>
      </c>
      <c r="EU124" s="3" t="s">
        <v>678</v>
      </c>
      <c r="EV124" s="3" t="s">
        <v>679</v>
      </c>
      <c r="EW124" s="3" t="s">
        <v>680</v>
      </c>
      <c r="EX124" s="3" t="s">
        <v>681</v>
      </c>
      <c r="EY124" s="3" t="s">
        <v>682</v>
      </c>
      <c r="EZ124" s="3" t="s">
        <v>676</v>
      </c>
      <c r="FA124" s="3" t="s">
        <v>677</v>
      </c>
      <c r="FB124" s="3" t="s">
        <v>678</v>
      </c>
      <c r="FC124" s="3" t="s">
        <v>679</v>
      </c>
      <c r="FD124" s="3" t="s">
        <v>680</v>
      </c>
      <c r="FE124" s="3" t="s">
        <v>681</v>
      </c>
      <c r="FF124" s="3" t="s">
        <v>682</v>
      </c>
      <c r="FG124" s="3" t="s">
        <v>676</v>
      </c>
      <c r="FH124" s="3" t="s">
        <v>677</v>
      </c>
      <c r="FI124" s="3" t="s">
        <v>678</v>
      </c>
      <c r="FJ124" s="3" t="s">
        <v>679</v>
      </c>
      <c r="FK124" s="3" t="s">
        <v>680</v>
      </c>
      <c r="FL124" s="3" t="s">
        <v>681</v>
      </c>
      <c r="FM124" s="3" t="s">
        <v>682</v>
      </c>
      <c r="FN124" s="3" t="s">
        <v>676</v>
      </c>
      <c r="FO124" s="3" t="s">
        <v>677</v>
      </c>
      <c r="FP124" s="3" t="s">
        <v>678</v>
      </c>
      <c r="FQ124" s="3" t="s">
        <v>679</v>
      </c>
      <c r="FR124" s="3" t="s">
        <v>680</v>
      </c>
      <c r="FS124" s="3" t="s">
        <v>681</v>
      </c>
      <c r="FT124" s="3" t="s">
        <v>682</v>
      </c>
      <c r="FU124" s="3" t="s">
        <v>676</v>
      </c>
      <c r="FV124" s="3" t="s">
        <v>677</v>
      </c>
      <c r="FW124" s="3" t="s">
        <v>678</v>
      </c>
      <c r="FX124" s="3" t="s">
        <v>679</v>
      </c>
      <c r="FY124" s="3" t="s">
        <v>680</v>
      </c>
      <c r="FZ124" s="3" t="s">
        <v>681</v>
      </c>
      <c r="GA124" s="3" t="s">
        <v>682</v>
      </c>
      <c r="GB124" s="3" t="s">
        <v>676</v>
      </c>
      <c r="GC124" s="3" t="s">
        <v>677</v>
      </c>
      <c r="GD124" s="3" t="s">
        <v>678</v>
      </c>
      <c r="GE124" s="3" t="s">
        <v>679</v>
      </c>
      <c r="GF124" s="3" t="s">
        <v>680</v>
      </c>
      <c r="GG124" s="3" t="s">
        <v>681</v>
      </c>
      <c r="GH124" s="3" t="s">
        <v>682</v>
      </c>
      <c r="GI124" s="3" t="s">
        <v>676</v>
      </c>
      <c r="GJ124" s="3" t="s">
        <v>677</v>
      </c>
      <c r="GK124" s="3" t="s">
        <v>678</v>
      </c>
      <c r="GL124" s="3" t="s">
        <v>679</v>
      </c>
      <c r="GM124" s="3" t="s">
        <v>680</v>
      </c>
      <c r="GN124" s="3" t="s">
        <v>681</v>
      </c>
      <c r="GO124" s="3" t="s">
        <v>682</v>
      </c>
      <c r="GP124" s="3" t="s">
        <v>676</v>
      </c>
      <c r="GQ124" s="3" t="s">
        <v>677</v>
      </c>
      <c r="GR124" s="3" t="s">
        <v>678</v>
      </c>
      <c r="GS124" s="3" t="s">
        <v>679</v>
      </c>
      <c r="GT124" s="3" t="s">
        <v>680</v>
      </c>
      <c r="GU124" s="3" t="s">
        <v>681</v>
      </c>
      <c r="GV124" s="3" t="s">
        <v>682</v>
      </c>
      <c r="GW124" s="3" t="s">
        <v>676</v>
      </c>
      <c r="GX124" s="3" t="s">
        <v>677</v>
      </c>
      <c r="GY124" s="3" t="s">
        <v>678</v>
      </c>
      <c r="GZ124" s="3" t="s">
        <v>679</v>
      </c>
      <c r="HA124" s="3" t="s">
        <v>680</v>
      </c>
      <c r="HB124" s="3" t="s">
        <v>681</v>
      </c>
      <c r="HC124" s="3" t="s">
        <v>682</v>
      </c>
      <c r="HD124" s="3" t="s">
        <v>676</v>
      </c>
      <c r="HE124" s="3" t="s">
        <v>677</v>
      </c>
      <c r="HF124" s="3" t="s">
        <v>678</v>
      </c>
      <c r="HG124" s="3" t="s">
        <v>679</v>
      </c>
      <c r="HH124" s="3" t="s">
        <v>680</v>
      </c>
      <c r="HI124" s="3" t="s">
        <v>681</v>
      </c>
      <c r="HJ124" s="3" t="s">
        <v>682</v>
      </c>
      <c r="HK124" s="3" t="s">
        <v>676</v>
      </c>
      <c r="HL124" s="3" t="s">
        <v>677</v>
      </c>
      <c r="HM124" s="3" t="s">
        <v>678</v>
      </c>
      <c r="HN124" s="3" t="s">
        <v>679</v>
      </c>
      <c r="HO124" s="3" t="s">
        <v>680</v>
      </c>
      <c r="HP124" s="3" t="s">
        <v>681</v>
      </c>
      <c r="HQ124" s="3" t="s">
        <v>682</v>
      </c>
      <c r="HR124" s="3" t="s">
        <v>676</v>
      </c>
      <c r="HS124" s="3" t="s">
        <v>677</v>
      </c>
      <c r="HT124" s="3" t="s">
        <v>678</v>
      </c>
      <c r="HU124" s="3" t="s">
        <v>679</v>
      </c>
      <c r="HV124" s="3" t="s">
        <v>680</v>
      </c>
      <c r="HW124" s="3" t="s">
        <v>681</v>
      </c>
      <c r="HX124" s="3" t="s">
        <v>682</v>
      </c>
      <c r="HY124" s="3" t="s">
        <v>676</v>
      </c>
      <c r="HZ124" s="3" t="s">
        <v>677</v>
      </c>
      <c r="IA124" s="3" t="s">
        <v>678</v>
      </c>
      <c r="IB124" s="3" t="s">
        <v>679</v>
      </c>
      <c r="IC124" s="3" t="s">
        <v>680</v>
      </c>
    </row>
    <row r="125" spans="1:257">
      <c r="A125" s="82" t="s">
        <v>695</v>
      </c>
      <c r="B125" s="82" t="str">
        <f>COUNTIF(P125:IC125, "W")&amp;"勝"</f>
        <v>15勝</v>
      </c>
      <c r="C125" s="82" t="str">
        <f>COUNTIF(P125:IC125, "L")&amp;"敗"</f>
        <v>12敗</v>
      </c>
      <c r="D125" s="82" t="s">
        <v>696</v>
      </c>
      <c r="E125" s="78"/>
      <c r="F125" s="82" t="s">
        <v>734</v>
      </c>
      <c r="G125" s="78"/>
      <c r="H125" s="78"/>
      <c r="I125" s="78"/>
      <c r="J125" s="78"/>
      <c r="K125" s="78"/>
      <c r="L125" s="78"/>
      <c r="M125" s="82"/>
      <c r="N125" s="78"/>
      <c r="O125" s="1" t="s">
        <v>698</v>
      </c>
      <c r="R125" t="s">
        <v>700</v>
      </c>
      <c r="S125" t="s">
        <v>700</v>
      </c>
      <c r="T125" t="s">
        <v>700</v>
      </c>
      <c r="U125" t="s">
        <v>700</v>
      </c>
      <c r="V125" t="s">
        <v>699</v>
      </c>
      <c r="W125" t="s">
        <v>700</v>
      </c>
      <c r="Y125" t="s">
        <v>699</v>
      </c>
      <c r="Z125" t="s">
        <v>700</v>
      </c>
      <c r="AA125" t="s">
        <v>699</v>
      </c>
      <c r="AC125" t="s">
        <v>700</v>
      </c>
      <c r="AD125" t="s">
        <v>699</v>
      </c>
      <c r="AE125" t="s">
        <v>699</v>
      </c>
      <c r="AF125" t="s">
        <v>699</v>
      </c>
      <c r="AG125" t="s">
        <v>699</v>
      </c>
      <c r="AH125" t="s">
        <v>699</v>
      </c>
      <c r="AI125" t="s">
        <v>700</v>
      </c>
      <c r="AJ125" t="s">
        <v>699</v>
      </c>
      <c r="AK125" t="s">
        <v>699</v>
      </c>
      <c r="AL125" t="s">
        <v>700</v>
      </c>
      <c r="AM125" t="s">
        <v>700</v>
      </c>
      <c r="AN125" t="s">
        <v>699</v>
      </c>
      <c r="AO125" t="s">
        <v>700</v>
      </c>
      <c r="AP125" t="s">
        <v>699</v>
      </c>
      <c r="AQ125" t="s">
        <v>699</v>
      </c>
      <c r="AT125" t="s">
        <v>699</v>
      </c>
      <c r="AU125" t="s">
        <v>700</v>
      </c>
      <c r="AV125" t="s">
        <v>699</v>
      </c>
    </row>
    <row r="126" spans="1:257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1" t="s">
        <v>701</v>
      </c>
    </row>
    <row r="127" spans="1:257">
      <c r="A127" s="82" t="s">
        <v>702</v>
      </c>
      <c r="B127" s="82" t="str">
        <f>COUNTIF(P127:IC127, "O")&amp;"正"</f>
        <v>16正</v>
      </c>
      <c r="C127" s="82" t="str">
        <f>COUNTIF(P127:IC127, "X")&amp;"負"</f>
        <v>11負</v>
      </c>
      <c r="D127" s="82" t="s">
        <v>703</v>
      </c>
      <c r="E127" s="78"/>
      <c r="F127" s="82" t="s">
        <v>735</v>
      </c>
      <c r="G127" s="78"/>
      <c r="H127" s="78"/>
      <c r="I127" s="78"/>
      <c r="J127" s="78"/>
      <c r="K127" s="78"/>
      <c r="L127" s="78"/>
      <c r="M127" s="82"/>
      <c r="N127" s="78"/>
      <c r="O127" s="1" t="s">
        <v>705</v>
      </c>
      <c r="R127" t="s">
        <v>683</v>
      </c>
      <c r="S127" t="s">
        <v>683</v>
      </c>
      <c r="T127" t="s">
        <v>684</v>
      </c>
      <c r="U127" t="s">
        <v>684</v>
      </c>
      <c r="V127" t="s">
        <v>683</v>
      </c>
      <c r="W127" t="s">
        <v>684</v>
      </c>
      <c r="Y127" t="s">
        <v>683</v>
      </c>
      <c r="Z127" t="s">
        <v>684</v>
      </c>
      <c r="AA127" t="s">
        <v>683</v>
      </c>
      <c r="AC127" t="s">
        <v>684</v>
      </c>
      <c r="AD127" t="s">
        <v>683</v>
      </c>
      <c r="AE127" t="s">
        <v>683</v>
      </c>
      <c r="AF127" t="s">
        <v>683</v>
      </c>
      <c r="AG127" t="s">
        <v>683</v>
      </c>
      <c r="AH127" t="s">
        <v>683</v>
      </c>
      <c r="AI127" t="s">
        <v>684</v>
      </c>
      <c r="AJ127" t="s">
        <v>683</v>
      </c>
      <c r="AK127" t="s">
        <v>683</v>
      </c>
      <c r="AL127" t="s">
        <v>684</v>
      </c>
      <c r="AM127" t="s">
        <v>684</v>
      </c>
      <c r="AN127" t="s">
        <v>684</v>
      </c>
      <c r="AO127" t="s">
        <v>684</v>
      </c>
      <c r="AP127" t="s">
        <v>683</v>
      </c>
      <c r="AQ127" t="s">
        <v>683</v>
      </c>
      <c r="AT127" t="s">
        <v>683</v>
      </c>
      <c r="AU127" t="s">
        <v>684</v>
      </c>
      <c r="AV127" t="s">
        <v>683</v>
      </c>
      <c r="IN127" t="str">
        <f ca="1">IFERROR(INDEX($P127:$IC127,1,_xludf.AGGREGATE(14,6,(COLUMN($P127:$IC127)-COLUMN($P127)+1)/($P127:$IC127&lt;&gt;""),1)),"")</f>
        <v/>
      </c>
      <c r="IO127" t="str">
        <f ca="1">IFERROR(INDEX($P127:$IC127,1,_xludf.AGGREGATE(14,6,(COLUMN($P127:$IC127)-COLUMN($P127)+1)/($P127:$IC127&lt;&gt;""),2)),"")</f>
        <v/>
      </c>
      <c r="IP127" t="str">
        <f ca="1">IFERROR(INDEX($P127:$IC127,1,_xludf.AGGREGATE(14,6,(COLUMN($P127:$IC127)-COLUMN($P127)+1)/($P127:$IC127&lt;&gt;""),3)),"")</f>
        <v/>
      </c>
      <c r="IQ127" t="str">
        <f ca="1">IFERROR(INDEX($P127:$IC127,1,_xludf.AGGREGATE(14,6,(COLUMN($P127:$IC127)-COLUMN($P127)+1)/($P127:$IC127&lt;&gt;""),4)),"")</f>
        <v/>
      </c>
      <c r="IR127" t="str">
        <f ca="1">IFERROR(INDEX($P127:$IC127,1,_xludf.AGGREGATE(14,6,(COLUMN($P127:$IC127)-COLUMN($P127)+1)/($P127:$IC127&lt;&gt;""),5)),"")</f>
        <v/>
      </c>
      <c r="IS127" t="str">
        <f ca="1">IFERROR(INDEX($P127:$IC127,1,_xludf.AGGREGATE(14,6,(COLUMN($P127:$IC127)-COLUMN($P127)+1)/($P127:$IC127&lt;&gt;""),6)),"")</f>
        <v/>
      </c>
      <c r="IT127" t="str">
        <f ca="1">IFERROR(INDEX($P127:$IC127,1,_xludf.AGGREGATE(14,6,(COLUMN($P127:$IC127)-COLUMN($P127)+1)/($P127:$IC127&lt;&gt;""),7)),"")</f>
        <v/>
      </c>
      <c r="IU127" t="str">
        <f ca="1">IFERROR(INDEX($P127:$IC127,1,_xludf.AGGREGATE(14,6,(COLUMN($P127:$IC127)-COLUMN($P127)+1)/($P127:$IC127&lt;&gt;""),8)),"")</f>
        <v/>
      </c>
      <c r="IV127" t="str">
        <f ca="1">IFERROR(INDEX($P127:$IC127,1,_xludf.AGGREGATE(14,6,(COLUMN($P127:$IC127)-COLUMN($P127)+1)/($P127:$IC127&lt;&gt;""),9)),"")</f>
        <v/>
      </c>
      <c r="IW127" t="str">
        <f ca="1">IFERROR(INDEX($P127:$IC127,1,_xludf.AGGREGATE(14,6,(COLUMN($P127:$IC127)-COLUMN($P127)+1)/($P127:$IC127&lt;&gt;""),10)),"")</f>
        <v/>
      </c>
    </row>
    <row r="128" spans="1:257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1" t="s">
        <v>706</v>
      </c>
    </row>
    <row r="129" spans="1:257">
      <c r="A129" s="82" t="s">
        <v>707</v>
      </c>
      <c r="B129" s="77"/>
      <c r="C129" s="77"/>
      <c r="D129" s="82" t="s">
        <v>708</v>
      </c>
      <c r="E129" s="78"/>
      <c r="F129" s="82"/>
      <c r="G129" s="78"/>
      <c r="H129" s="78"/>
      <c r="I129" s="78"/>
      <c r="J129" s="78"/>
      <c r="K129" s="78"/>
      <c r="L129" s="78"/>
      <c r="M129" s="82"/>
      <c r="N129" s="78"/>
      <c r="O129" s="1" t="s">
        <v>709</v>
      </c>
    </row>
    <row r="130" spans="1:257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1" t="s">
        <v>710</v>
      </c>
    </row>
    <row r="131" spans="1:257">
      <c r="A131" s="109" t="s">
        <v>117</v>
      </c>
      <c r="B131" s="78"/>
      <c r="C131" s="7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 t="s">
        <v>674</v>
      </c>
      <c r="P131" s="8">
        <v>1</v>
      </c>
      <c r="Q131" s="8">
        <v>2</v>
      </c>
      <c r="R131" s="8">
        <v>3</v>
      </c>
      <c r="S131" s="8">
        <v>4</v>
      </c>
      <c r="T131" s="8">
        <v>5</v>
      </c>
      <c r="U131" s="8">
        <v>6</v>
      </c>
      <c r="V131" s="8">
        <v>7</v>
      </c>
      <c r="W131" s="8">
        <v>8</v>
      </c>
      <c r="X131" s="8">
        <v>9</v>
      </c>
      <c r="Y131" s="8">
        <v>10</v>
      </c>
      <c r="Z131" s="8">
        <v>11</v>
      </c>
      <c r="AA131" s="8">
        <v>12</v>
      </c>
      <c r="AB131" s="8">
        <v>13</v>
      </c>
      <c r="AC131" s="8">
        <v>14</v>
      </c>
      <c r="AD131" s="8">
        <v>15</v>
      </c>
      <c r="AE131" s="8">
        <v>16</v>
      </c>
      <c r="AF131" s="8">
        <v>17</v>
      </c>
      <c r="AG131" s="8">
        <v>18</v>
      </c>
      <c r="AH131" s="8">
        <v>19</v>
      </c>
      <c r="AI131" s="8">
        <v>20</v>
      </c>
      <c r="AJ131" s="8">
        <v>21</v>
      </c>
      <c r="AK131" s="8">
        <v>22</v>
      </c>
      <c r="AL131" s="8">
        <v>23</v>
      </c>
      <c r="AM131" s="8">
        <v>24</v>
      </c>
      <c r="AN131" s="8">
        <v>25</v>
      </c>
      <c r="AO131" s="8">
        <v>26</v>
      </c>
      <c r="AP131" s="8">
        <v>27</v>
      </c>
      <c r="AQ131" s="8">
        <v>28</v>
      </c>
      <c r="AR131" s="8">
        <v>29</v>
      </c>
      <c r="AS131" s="8">
        <v>30</v>
      </c>
      <c r="AT131" s="8">
        <v>31</v>
      </c>
      <c r="AU131" s="8">
        <v>32</v>
      </c>
      <c r="AV131" s="8">
        <v>33</v>
      </c>
      <c r="AW131" s="8">
        <v>34</v>
      </c>
      <c r="AX131" s="8">
        <v>35</v>
      </c>
      <c r="AY131" s="8">
        <v>36</v>
      </c>
      <c r="AZ131" s="8">
        <v>37</v>
      </c>
      <c r="BA131" s="8">
        <v>38</v>
      </c>
      <c r="BB131" s="8">
        <v>39</v>
      </c>
      <c r="BC131" s="8">
        <v>40</v>
      </c>
      <c r="BD131" s="8">
        <v>41</v>
      </c>
      <c r="BE131" s="8">
        <v>42</v>
      </c>
      <c r="BF131" s="8">
        <v>43</v>
      </c>
      <c r="BG131" s="8">
        <v>44</v>
      </c>
      <c r="BH131" s="8">
        <v>45</v>
      </c>
      <c r="BI131" s="8">
        <v>46</v>
      </c>
      <c r="BJ131" s="8">
        <v>47</v>
      </c>
      <c r="BK131" s="8">
        <v>48</v>
      </c>
      <c r="BL131" s="8">
        <v>49</v>
      </c>
      <c r="BM131" s="8">
        <v>50</v>
      </c>
      <c r="BN131" s="8">
        <v>51</v>
      </c>
      <c r="BO131" s="8">
        <v>52</v>
      </c>
      <c r="BP131" s="8">
        <v>53</v>
      </c>
      <c r="BQ131" s="8">
        <v>54</v>
      </c>
      <c r="BR131" s="8">
        <v>55</v>
      </c>
      <c r="BS131" s="8">
        <v>56</v>
      </c>
      <c r="BT131" s="8">
        <v>57</v>
      </c>
      <c r="BU131" s="8">
        <v>58</v>
      </c>
      <c r="BV131" s="8">
        <v>59</v>
      </c>
      <c r="BW131" s="8">
        <v>60</v>
      </c>
      <c r="BX131" s="8">
        <v>61</v>
      </c>
      <c r="BY131" s="8">
        <v>62</v>
      </c>
      <c r="BZ131" s="8">
        <v>63</v>
      </c>
      <c r="CA131" s="8">
        <v>64</v>
      </c>
      <c r="CB131" s="8">
        <v>65</v>
      </c>
      <c r="CC131" s="8">
        <v>66</v>
      </c>
      <c r="CD131" s="8">
        <v>67</v>
      </c>
      <c r="CE131" s="8">
        <v>68</v>
      </c>
      <c r="CF131" s="8">
        <v>69</v>
      </c>
      <c r="CG131" s="8">
        <v>70</v>
      </c>
      <c r="CH131" s="8">
        <v>71</v>
      </c>
      <c r="CI131" s="8">
        <v>72</v>
      </c>
      <c r="CJ131" s="8">
        <v>73</v>
      </c>
      <c r="CK131" s="8">
        <v>74</v>
      </c>
      <c r="CL131" s="8">
        <v>75</v>
      </c>
      <c r="CM131" s="8">
        <v>76</v>
      </c>
      <c r="CN131" s="8">
        <v>77</v>
      </c>
      <c r="CO131" s="8">
        <v>78</v>
      </c>
      <c r="CP131" s="8">
        <v>79</v>
      </c>
      <c r="CQ131" s="8">
        <v>80</v>
      </c>
      <c r="CR131" s="8">
        <v>81</v>
      </c>
      <c r="CS131" s="8">
        <v>82</v>
      </c>
      <c r="CT131" s="8">
        <v>83</v>
      </c>
      <c r="CU131" s="8">
        <v>84</v>
      </c>
      <c r="CV131" s="8">
        <v>85</v>
      </c>
      <c r="CW131" s="8">
        <v>86</v>
      </c>
      <c r="CX131" s="8">
        <v>87</v>
      </c>
      <c r="CY131" s="8">
        <v>88</v>
      </c>
      <c r="CZ131" s="8">
        <v>89</v>
      </c>
      <c r="DA131" s="8">
        <v>90</v>
      </c>
      <c r="DB131" s="8">
        <v>91</v>
      </c>
      <c r="DC131" s="8">
        <v>92</v>
      </c>
      <c r="DD131" s="8">
        <v>93</v>
      </c>
      <c r="DE131" s="8">
        <v>94</v>
      </c>
      <c r="DF131" s="8">
        <v>95</v>
      </c>
      <c r="DG131" s="8">
        <v>96</v>
      </c>
      <c r="DH131" s="8">
        <v>97</v>
      </c>
      <c r="DI131" s="8">
        <v>98</v>
      </c>
      <c r="DJ131" s="8">
        <v>99</v>
      </c>
      <c r="DK131" s="8">
        <v>100</v>
      </c>
      <c r="DL131" s="8">
        <v>101</v>
      </c>
      <c r="DM131" s="8">
        <v>102</v>
      </c>
      <c r="DN131" s="8">
        <v>103</v>
      </c>
      <c r="DO131" s="8">
        <v>104</v>
      </c>
      <c r="DP131" s="8">
        <v>105</v>
      </c>
      <c r="DQ131" s="8">
        <v>106</v>
      </c>
      <c r="DR131" s="8">
        <v>107</v>
      </c>
      <c r="DS131" s="8">
        <v>108</v>
      </c>
      <c r="DT131" s="8">
        <v>109</v>
      </c>
      <c r="DU131" s="8">
        <v>110</v>
      </c>
      <c r="DV131" s="8">
        <v>111</v>
      </c>
      <c r="DW131" s="8">
        <v>112</v>
      </c>
      <c r="DX131" s="8">
        <v>113</v>
      </c>
      <c r="DY131" s="8">
        <v>114</v>
      </c>
      <c r="DZ131" s="8">
        <v>115</v>
      </c>
      <c r="EA131" s="8">
        <v>116</v>
      </c>
      <c r="EB131" s="8">
        <v>117</v>
      </c>
      <c r="EC131" s="8">
        <v>118</v>
      </c>
      <c r="ED131" s="8">
        <v>119</v>
      </c>
      <c r="EE131" s="8">
        <v>120</v>
      </c>
      <c r="EF131" s="8">
        <v>121</v>
      </c>
      <c r="EG131" s="8">
        <v>122</v>
      </c>
      <c r="EH131" s="8">
        <v>123</v>
      </c>
      <c r="EI131" s="8">
        <v>124</v>
      </c>
      <c r="EJ131" s="8">
        <v>125</v>
      </c>
      <c r="EK131" s="8">
        <v>126</v>
      </c>
      <c r="EL131" s="8">
        <v>127</v>
      </c>
      <c r="EM131" s="8">
        <v>128</v>
      </c>
      <c r="EN131" s="8">
        <v>129</v>
      </c>
      <c r="EO131" s="8">
        <v>130</v>
      </c>
      <c r="EP131" s="8">
        <v>131</v>
      </c>
      <c r="EQ131" s="8">
        <v>132</v>
      </c>
      <c r="ER131" s="8">
        <v>133</v>
      </c>
      <c r="ES131" s="8">
        <v>134</v>
      </c>
      <c r="ET131" s="8">
        <v>135</v>
      </c>
      <c r="EU131" s="8">
        <v>136</v>
      </c>
      <c r="EV131" s="8">
        <v>137</v>
      </c>
      <c r="EW131" s="8">
        <v>138</v>
      </c>
      <c r="EX131" s="8">
        <v>139</v>
      </c>
      <c r="EY131" s="8">
        <v>140</v>
      </c>
      <c r="EZ131" s="8">
        <v>141</v>
      </c>
      <c r="FA131" s="8">
        <v>142</v>
      </c>
      <c r="FB131" s="8">
        <v>143</v>
      </c>
      <c r="FC131" s="8">
        <v>144</v>
      </c>
      <c r="FD131" s="8">
        <v>145</v>
      </c>
      <c r="FE131" s="8">
        <v>146</v>
      </c>
      <c r="FF131" s="8">
        <v>147</v>
      </c>
      <c r="FG131" s="8">
        <v>148</v>
      </c>
      <c r="FH131" s="8">
        <v>149</v>
      </c>
      <c r="FI131" s="8">
        <v>150</v>
      </c>
      <c r="FJ131" s="8">
        <v>151</v>
      </c>
      <c r="FK131" s="8">
        <v>152</v>
      </c>
      <c r="FL131" s="8">
        <v>153</v>
      </c>
      <c r="FM131" s="8">
        <v>154</v>
      </c>
      <c r="FN131" s="8">
        <v>155</v>
      </c>
      <c r="FO131" s="8">
        <v>156</v>
      </c>
      <c r="FP131" s="8">
        <v>157</v>
      </c>
      <c r="FQ131" s="8">
        <v>158</v>
      </c>
      <c r="FR131" s="8">
        <v>159</v>
      </c>
      <c r="FS131" s="8">
        <v>160</v>
      </c>
      <c r="FT131" s="8">
        <v>161</v>
      </c>
      <c r="FU131" s="8">
        <v>162</v>
      </c>
      <c r="FV131" s="8">
        <v>163</v>
      </c>
      <c r="FW131" s="8">
        <v>164</v>
      </c>
      <c r="FX131" s="8">
        <v>165</v>
      </c>
      <c r="FY131" s="8">
        <v>166</v>
      </c>
      <c r="FZ131" s="8">
        <v>167</v>
      </c>
      <c r="GA131" s="8">
        <v>168</v>
      </c>
      <c r="GB131" s="8">
        <v>169</v>
      </c>
      <c r="GC131" s="8">
        <v>170</v>
      </c>
      <c r="GD131" s="8">
        <v>171</v>
      </c>
      <c r="GE131" s="8">
        <v>172</v>
      </c>
      <c r="GF131" s="8">
        <v>173</v>
      </c>
      <c r="GG131" s="8">
        <v>174</v>
      </c>
      <c r="GH131" s="8">
        <v>175</v>
      </c>
      <c r="GI131" s="8">
        <v>176</v>
      </c>
      <c r="GJ131" s="8">
        <v>177</v>
      </c>
      <c r="GK131" s="8">
        <v>178</v>
      </c>
      <c r="GL131" s="8">
        <v>179</v>
      </c>
      <c r="GM131" s="8">
        <v>180</v>
      </c>
      <c r="GN131" s="8">
        <v>181</v>
      </c>
      <c r="GO131" s="8">
        <v>182</v>
      </c>
      <c r="GP131" s="8">
        <v>183</v>
      </c>
      <c r="GQ131" s="8">
        <v>184</v>
      </c>
      <c r="GR131" s="8">
        <v>185</v>
      </c>
      <c r="GS131" s="8">
        <v>186</v>
      </c>
      <c r="GT131" s="8">
        <v>187</v>
      </c>
      <c r="GU131" s="8">
        <v>188</v>
      </c>
      <c r="GV131" s="8">
        <v>189</v>
      </c>
      <c r="GW131" s="8">
        <v>190</v>
      </c>
      <c r="GX131" s="8">
        <v>191</v>
      </c>
      <c r="GY131" s="8">
        <v>192</v>
      </c>
      <c r="GZ131" s="8">
        <v>193</v>
      </c>
      <c r="HA131" s="8">
        <v>194</v>
      </c>
      <c r="HB131" s="8">
        <v>195</v>
      </c>
      <c r="HC131" s="8">
        <v>196</v>
      </c>
      <c r="HD131" s="8">
        <v>197</v>
      </c>
      <c r="HE131" s="8">
        <v>198</v>
      </c>
      <c r="HF131" s="8">
        <v>199</v>
      </c>
      <c r="HG131" s="8">
        <v>200</v>
      </c>
      <c r="HH131" s="8">
        <v>201</v>
      </c>
      <c r="HI131" s="8">
        <v>202</v>
      </c>
      <c r="HJ131" s="8">
        <v>203</v>
      </c>
      <c r="HK131" s="8">
        <v>204</v>
      </c>
      <c r="HL131" s="8">
        <v>205</v>
      </c>
      <c r="HM131" s="8">
        <v>206</v>
      </c>
      <c r="HN131" s="8">
        <v>207</v>
      </c>
      <c r="HO131" s="8">
        <v>208</v>
      </c>
      <c r="HP131" s="8">
        <v>209</v>
      </c>
      <c r="HQ131" s="8">
        <v>210</v>
      </c>
      <c r="HR131" s="8">
        <v>211</v>
      </c>
      <c r="HS131" s="8">
        <v>212</v>
      </c>
      <c r="HT131" s="8">
        <v>213</v>
      </c>
      <c r="HU131" s="8">
        <v>214</v>
      </c>
      <c r="HV131" s="8">
        <v>215</v>
      </c>
      <c r="HW131" s="8">
        <v>216</v>
      </c>
      <c r="HX131" s="8">
        <v>217</v>
      </c>
      <c r="HY131" s="8">
        <v>218</v>
      </c>
      <c r="HZ131" s="8">
        <v>219</v>
      </c>
      <c r="IA131" s="8">
        <v>220</v>
      </c>
      <c r="IB131" s="8">
        <v>221</v>
      </c>
      <c r="IC131" s="8">
        <v>222</v>
      </c>
    </row>
    <row r="132" spans="1:257">
      <c r="A132" s="78"/>
      <c r="B132" s="78"/>
      <c r="C132" s="7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7"/>
      <c r="P132" s="50" t="s">
        <v>117</v>
      </c>
      <c r="Q132" s="50" t="s">
        <v>117</v>
      </c>
      <c r="R132" s="50" t="s">
        <v>117</v>
      </c>
      <c r="S132" s="50" t="s">
        <v>117</v>
      </c>
      <c r="T132" s="50" t="s">
        <v>117</v>
      </c>
      <c r="U132" s="50" t="s">
        <v>117</v>
      </c>
      <c r="V132" s="50" t="s">
        <v>117</v>
      </c>
      <c r="W132" s="50" t="s">
        <v>117</v>
      </c>
      <c r="X132" s="50" t="s">
        <v>117</v>
      </c>
      <c r="Y132" s="50" t="s">
        <v>117</v>
      </c>
      <c r="Z132" s="50" t="s">
        <v>117</v>
      </c>
      <c r="AA132" s="50" t="s">
        <v>117</v>
      </c>
      <c r="AB132" s="50" t="s">
        <v>117</v>
      </c>
      <c r="AC132" s="50" t="s">
        <v>117</v>
      </c>
      <c r="AD132" s="50" t="s">
        <v>117</v>
      </c>
      <c r="AE132" s="50" t="s">
        <v>117</v>
      </c>
      <c r="AF132" s="50" t="s">
        <v>117</v>
      </c>
      <c r="AG132" s="50" t="s">
        <v>117</v>
      </c>
      <c r="AH132" s="50" t="s">
        <v>117</v>
      </c>
      <c r="AI132" s="50" t="s">
        <v>117</v>
      </c>
      <c r="AJ132" s="50" t="s">
        <v>117</v>
      </c>
      <c r="AK132" s="50" t="s">
        <v>117</v>
      </c>
      <c r="AL132" s="50" t="s">
        <v>117</v>
      </c>
      <c r="AM132" s="50" t="s">
        <v>117</v>
      </c>
      <c r="AN132" s="50" t="s">
        <v>117</v>
      </c>
      <c r="AO132" s="50" t="s">
        <v>117</v>
      </c>
      <c r="AP132" s="50" t="s">
        <v>117</v>
      </c>
      <c r="AQ132" s="50" t="s">
        <v>117</v>
      </c>
      <c r="AR132" s="50" t="s">
        <v>117</v>
      </c>
      <c r="AS132" s="50" t="s">
        <v>117</v>
      </c>
      <c r="AT132" s="50" t="s">
        <v>117</v>
      </c>
      <c r="AU132" s="50" t="s">
        <v>117</v>
      </c>
      <c r="AV132" s="50" t="s">
        <v>117</v>
      </c>
      <c r="AW132" s="50" t="s">
        <v>117</v>
      </c>
      <c r="AX132" s="50" t="s">
        <v>117</v>
      </c>
      <c r="AY132" s="50" t="s">
        <v>117</v>
      </c>
      <c r="AZ132" s="50" t="s">
        <v>117</v>
      </c>
      <c r="BA132" s="50" t="s">
        <v>117</v>
      </c>
      <c r="BB132" s="50" t="s">
        <v>117</v>
      </c>
      <c r="BC132" s="50" t="s">
        <v>117</v>
      </c>
      <c r="BD132" s="50" t="s">
        <v>117</v>
      </c>
      <c r="BE132" s="50" t="s">
        <v>117</v>
      </c>
      <c r="BF132" s="50" t="s">
        <v>117</v>
      </c>
      <c r="BG132" s="50" t="s">
        <v>117</v>
      </c>
      <c r="BH132" s="50" t="s">
        <v>117</v>
      </c>
      <c r="BI132" s="50" t="s">
        <v>117</v>
      </c>
      <c r="BJ132" s="50" t="s">
        <v>117</v>
      </c>
      <c r="BK132" s="50" t="s">
        <v>117</v>
      </c>
      <c r="BL132" s="50" t="s">
        <v>117</v>
      </c>
      <c r="BM132" s="50" t="s">
        <v>117</v>
      </c>
      <c r="BN132" s="50" t="s">
        <v>117</v>
      </c>
      <c r="BO132" s="50" t="s">
        <v>117</v>
      </c>
      <c r="BP132" s="50" t="s">
        <v>117</v>
      </c>
      <c r="BQ132" s="50" t="s">
        <v>117</v>
      </c>
      <c r="BR132" s="50" t="s">
        <v>117</v>
      </c>
      <c r="BS132" s="50" t="s">
        <v>117</v>
      </c>
      <c r="BT132" s="50" t="s">
        <v>117</v>
      </c>
      <c r="BU132" s="50" t="s">
        <v>117</v>
      </c>
      <c r="BV132" s="50" t="s">
        <v>117</v>
      </c>
      <c r="BW132" s="50" t="s">
        <v>117</v>
      </c>
      <c r="BX132" s="50" t="s">
        <v>117</v>
      </c>
      <c r="BY132" s="50" t="s">
        <v>117</v>
      </c>
      <c r="BZ132" s="50" t="s">
        <v>117</v>
      </c>
      <c r="CA132" s="50" t="s">
        <v>117</v>
      </c>
      <c r="CB132" s="50" t="s">
        <v>117</v>
      </c>
      <c r="CC132" s="50" t="s">
        <v>117</v>
      </c>
      <c r="CD132" s="50" t="s">
        <v>117</v>
      </c>
      <c r="CE132" s="50" t="s">
        <v>117</v>
      </c>
      <c r="CF132" s="50" t="s">
        <v>117</v>
      </c>
      <c r="CG132" s="50" t="s">
        <v>117</v>
      </c>
      <c r="CH132" s="50" t="s">
        <v>117</v>
      </c>
      <c r="CI132" s="50" t="s">
        <v>117</v>
      </c>
      <c r="CJ132" s="50" t="s">
        <v>117</v>
      </c>
      <c r="CK132" s="50" t="s">
        <v>117</v>
      </c>
      <c r="CL132" s="50" t="s">
        <v>117</v>
      </c>
      <c r="CM132" s="50" t="s">
        <v>117</v>
      </c>
      <c r="CN132" s="50" t="s">
        <v>117</v>
      </c>
      <c r="CO132" s="50" t="s">
        <v>117</v>
      </c>
      <c r="CP132" s="50" t="s">
        <v>117</v>
      </c>
      <c r="CQ132" s="50" t="s">
        <v>117</v>
      </c>
      <c r="CR132" s="50" t="s">
        <v>117</v>
      </c>
      <c r="CS132" s="50" t="s">
        <v>117</v>
      </c>
      <c r="CT132" s="50" t="s">
        <v>117</v>
      </c>
      <c r="CU132" s="50" t="s">
        <v>117</v>
      </c>
      <c r="CV132" s="50" t="s">
        <v>117</v>
      </c>
      <c r="CW132" s="50" t="s">
        <v>117</v>
      </c>
      <c r="CX132" s="50" t="s">
        <v>117</v>
      </c>
      <c r="CY132" s="50" t="s">
        <v>117</v>
      </c>
      <c r="CZ132" s="50" t="s">
        <v>117</v>
      </c>
      <c r="DA132" s="50" t="s">
        <v>117</v>
      </c>
      <c r="DB132" s="50" t="s">
        <v>117</v>
      </c>
      <c r="DC132" s="50" t="s">
        <v>117</v>
      </c>
      <c r="DD132" s="50" t="s">
        <v>117</v>
      </c>
      <c r="DE132" s="50" t="s">
        <v>117</v>
      </c>
      <c r="DF132" s="50" t="s">
        <v>117</v>
      </c>
      <c r="DG132" s="50" t="s">
        <v>117</v>
      </c>
      <c r="DH132" s="50" t="s">
        <v>117</v>
      </c>
      <c r="DI132" s="50" t="s">
        <v>117</v>
      </c>
      <c r="DJ132" s="50" t="s">
        <v>117</v>
      </c>
      <c r="DK132" s="50" t="s">
        <v>117</v>
      </c>
      <c r="DL132" s="50" t="s">
        <v>117</v>
      </c>
      <c r="DM132" s="50" t="s">
        <v>117</v>
      </c>
      <c r="DN132" s="50" t="s">
        <v>117</v>
      </c>
      <c r="DO132" s="50" t="s">
        <v>117</v>
      </c>
      <c r="DP132" s="50" t="s">
        <v>117</v>
      </c>
      <c r="DQ132" s="50" t="s">
        <v>117</v>
      </c>
      <c r="DR132" s="50" t="s">
        <v>117</v>
      </c>
      <c r="DS132" s="50" t="s">
        <v>117</v>
      </c>
      <c r="DT132" s="50" t="s">
        <v>117</v>
      </c>
      <c r="DU132" s="50" t="s">
        <v>117</v>
      </c>
      <c r="DV132" s="50" t="s">
        <v>117</v>
      </c>
      <c r="DW132" s="50" t="s">
        <v>117</v>
      </c>
      <c r="DX132" s="50" t="s">
        <v>117</v>
      </c>
      <c r="DY132" s="50" t="s">
        <v>117</v>
      </c>
      <c r="DZ132" s="50" t="s">
        <v>117</v>
      </c>
      <c r="EA132" s="50" t="s">
        <v>117</v>
      </c>
      <c r="EB132" s="50" t="s">
        <v>117</v>
      </c>
      <c r="EC132" s="50" t="s">
        <v>117</v>
      </c>
      <c r="ED132" s="50" t="s">
        <v>117</v>
      </c>
      <c r="EE132" s="50" t="s">
        <v>117</v>
      </c>
      <c r="EF132" s="50" t="s">
        <v>117</v>
      </c>
      <c r="EG132" s="50" t="s">
        <v>117</v>
      </c>
      <c r="EH132" s="50" t="s">
        <v>117</v>
      </c>
      <c r="EI132" s="50" t="s">
        <v>117</v>
      </c>
      <c r="EJ132" s="50" t="s">
        <v>117</v>
      </c>
      <c r="EK132" s="50" t="s">
        <v>117</v>
      </c>
      <c r="EL132" s="50" t="s">
        <v>117</v>
      </c>
      <c r="EM132" s="50" t="s">
        <v>117</v>
      </c>
      <c r="EN132" s="50" t="s">
        <v>117</v>
      </c>
      <c r="EO132" s="50" t="s">
        <v>117</v>
      </c>
      <c r="EP132" s="50" t="s">
        <v>117</v>
      </c>
      <c r="EQ132" s="50" t="s">
        <v>117</v>
      </c>
      <c r="ER132" s="50" t="s">
        <v>117</v>
      </c>
      <c r="ES132" s="50" t="s">
        <v>117</v>
      </c>
      <c r="ET132" s="50" t="s">
        <v>117</v>
      </c>
      <c r="EU132" s="50" t="s">
        <v>117</v>
      </c>
      <c r="EV132" s="50" t="s">
        <v>117</v>
      </c>
      <c r="EW132" s="50" t="s">
        <v>117</v>
      </c>
      <c r="EX132" s="50" t="s">
        <v>117</v>
      </c>
      <c r="EY132" s="50" t="s">
        <v>117</v>
      </c>
      <c r="EZ132" s="50" t="s">
        <v>117</v>
      </c>
      <c r="FA132" s="50" t="s">
        <v>117</v>
      </c>
      <c r="FB132" s="50" t="s">
        <v>117</v>
      </c>
      <c r="FC132" s="50" t="s">
        <v>117</v>
      </c>
      <c r="FD132" s="50" t="s">
        <v>117</v>
      </c>
      <c r="FE132" s="50" t="s">
        <v>117</v>
      </c>
      <c r="FF132" s="50" t="s">
        <v>117</v>
      </c>
      <c r="FG132" s="50" t="s">
        <v>117</v>
      </c>
      <c r="FH132" s="50" t="s">
        <v>117</v>
      </c>
      <c r="FI132" s="50" t="s">
        <v>117</v>
      </c>
      <c r="FJ132" s="50" t="s">
        <v>117</v>
      </c>
      <c r="FK132" s="50" t="s">
        <v>117</v>
      </c>
      <c r="FL132" s="50" t="s">
        <v>117</v>
      </c>
      <c r="FM132" s="50" t="s">
        <v>117</v>
      </c>
      <c r="FN132" s="50" t="s">
        <v>117</v>
      </c>
      <c r="FO132" s="50" t="s">
        <v>117</v>
      </c>
      <c r="FP132" s="50" t="s">
        <v>117</v>
      </c>
      <c r="FQ132" s="50" t="s">
        <v>117</v>
      </c>
      <c r="FR132" s="50" t="s">
        <v>117</v>
      </c>
      <c r="FS132" s="50" t="s">
        <v>117</v>
      </c>
      <c r="FT132" s="50" t="s">
        <v>117</v>
      </c>
      <c r="FU132" s="50" t="s">
        <v>117</v>
      </c>
      <c r="FV132" s="50" t="s">
        <v>117</v>
      </c>
      <c r="FW132" s="50" t="s">
        <v>117</v>
      </c>
      <c r="FX132" s="50" t="s">
        <v>117</v>
      </c>
      <c r="FY132" s="50" t="s">
        <v>117</v>
      </c>
      <c r="FZ132" s="50" t="s">
        <v>117</v>
      </c>
      <c r="GA132" s="50" t="s">
        <v>117</v>
      </c>
      <c r="GB132" s="50" t="s">
        <v>117</v>
      </c>
      <c r="GC132" s="50" t="s">
        <v>117</v>
      </c>
      <c r="GD132" s="50" t="s">
        <v>117</v>
      </c>
      <c r="GE132" s="50" t="s">
        <v>117</v>
      </c>
      <c r="GF132" s="50" t="s">
        <v>117</v>
      </c>
      <c r="GG132" s="50" t="s">
        <v>117</v>
      </c>
      <c r="GH132" s="50" t="s">
        <v>117</v>
      </c>
      <c r="GI132" s="50" t="s">
        <v>117</v>
      </c>
      <c r="GJ132" s="50" t="s">
        <v>117</v>
      </c>
      <c r="GK132" s="50" t="s">
        <v>117</v>
      </c>
      <c r="GL132" s="50" t="s">
        <v>117</v>
      </c>
      <c r="GM132" s="50" t="s">
        <v>117</v>
      </c>
      <c r="GN132" s="50" t="s">
        <v>117</v>
      </c>
      <c r="GO132" s="50" t="s">
        <v>117</v>
      </c>
      <c r="GP132" s="50" t="s">
        <v>117</v>
      </c>
      <c r="GQ132" s="50" t="s">
        <v>117</v>
      </c>
      <c r="GR132" s="50" t="s">
        <v>117</v>
      </c>
      <c r="GS132" s="50" t="s">
        <v>117</v>
      </c>
      <c r="GT132" s="50" t="s">
        <v>117</v>
      </c>
      <c r="GU132" s="50" t="s">
        <v>117</v>
      </c>
      <c r="GV132" s="50" t="s">
        <v>117</v>
      </c>
      <c r="GW132" s="50" t="s">
        <v>117</v>
      </c>
      <c r="GX132" s="50" t="s">
        <v>117</v>
      </c>
      <c r="GY132" s="50" t="s">
        <v>117</v>
      </c>
      <c r="GZ132" s="50" t="s">
        <v>117</v>
      </c>
      <c r="HA132" s="50" t="s">
        <v>117</v>
      </c>
      <c r="HB132" s="50" t="s">
        <v>117</v>
      </c>
      <c r="HC132" s="50" t="s">
        <v>117</v>
      </c>
      <c r="HD132" s="50" t="s">
        <v>117</v>
      </c>
      <c r="HE132" s="50" t="s">
        <v>117</v>
      </c>
      <c r="HF132" s="50" t="s">
        <v>117</v>
      </c>
      <c r="HG132" s="50" t="s">
        <v>117</v>
      </c>
      <c r="HH132" s="50" t="s">
        <v>117</v>
      </c>
      <c r="HI132" s="50" t="s">
        <v>117</v>
      </c>
      <c r="HJ132" s="50" t="s">
        <v>117</v>
      </c>
      <c r="HK132" s="50" t="s">
        <v>117</v>
      </c>
      <c r="HL132" s="50" t="s">
        <v>117</v>
      </c>
      <c r="HM132" s="50" t="s">
        <v>117</v>
      </c>
      <c r="HN132" s="50" t="s">
        <v>117</v>
      </c>
      <c r="HO132" s="50" t="s">
        <v>117</v>
      </c>
      <c r="HP132" s="50" t="s">
        <v>117</v>
      </c>
      <c r="HQ132" s="50" t="s">
        <v>117</v>
      </c>
      <c r="HR132" s="50" t="s">
        <v>117</v>
      </c>
      <c r="HS132" s="50" t="s">
        <v>117</v>
      </c>
      <c r="HT132" s="50" t="s">
        <v>117</v>
      </c>
      <c r="HU132" s="50" t="s">
        <v>117</v>
      </c>
      <c r="HV132" s="50" t="s">
        <v>117</v>
      </c>
      <c r="HW132" s="50" t="s">
        <v>117</v>
      </c>
      <c r="HX132" s="50" t="s">
        <v>117</v>
      </c>
      <c r="HY132" s="50" t="s">
        <v>117</v>
      </c>
      <c r="HZ132" s="50" t="s">
        <v>117</v>
      </c>
      <c r="IA132" s="50" t="s">
        <v>117</v>
      </c>
      <c r="IB132" s="50" t="s">
        <v>117</v>
      </c>
      <c r="IC132" s="50" t="s">
        <v>117</v>
      </c>
    </row>
    <row r="133" spans="1:257">
      <c r="A133" s="4" t="s">
        <v>522</v>
      </c>
      <c r="B133" s="82" t="str">
        <f t="array" ref="B133">_xlfn.LET(
  _xlpm.dates, _xlfn._xlws.FILTER(P133:HO133, (P135:HO135&lt;&gt;"")+(P137:HO137&lt;&gt;"")),
  _xlpm.numDates, IFERROR(VALUE(_xlpm.dates), _xlpm.dates),
  _xlpm.first, TEXT(MIN(_xlpm.numDates), "m/dd"),
  _xlpm.last, TEXT(MAX(_xlpm.numDates), "m/dd"),
  _xlpm.first &amp; "~" &amp; _xlpm.last
)</f>
        <v>3/27~4/27</v>
      </c>
      <c r="C133" s="7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 t="s">
        <v>522</v>
      </c>
      <c r="P133" s="3">
        <v>46107</v>
      </c>
      <c r="Q133" s="3">
        <v>46108</v>
      </c>
      <c r="R133" s="3">
        <v>46109</v>
      </c>
      <c r="S133" s="3">
        <v>46110</v>
      </c>
      <c r="T133" s="3">
        <v>46111</v>
      </c>
      <c r="U133" s="3">
        <v>46112</v>
      </c>
      <c r="V133" s="3">
        <v>46113</v>
      </c>
      <c r="W133" s="3">
        <v>46114</v>
      </c>
      <c r="X133" s="3">
        <v>46115</v>
      </c>
      <c r="Y133" s="3">
        <v>46116</v>
      </c>
      <c r="Z133" s="3">
        <v>46117</v>
      </c>
      <c r="AA133" s="3">
        <v>46118</v>
      </c>
      <c r="AB133" s="3">
        <v>46119</v>
      </c>
      <c r="AC133" s="3">
        <v>46120</v>
      </c>
      <c r="AD133" s="3">
        <v>46121</v>
      </c>
      <c r="AE133" s="3">
        <v>46122</v>
      </c>
      <c r="AF133" s="3">
        <v>46123</v>
      </c>
      <c r="AG133" s="3">
        <v>46124</v>
      </c>
      <c r="AH133" s="3">
        <v>46125</v>
      </c>
      <c r="AI133" s="3">
        <v>46126</v>
      </c>
      <c r="AJ133" s="3">
        <v>46127</v>
      </c>
      <c r="AK133" s="3">
        <v>46128</v>
      </c>
      <c r="AL133" s="3">
        <v>46129</v>
      </c>
      <c r="AM133" s="3">
        <v>46130</v>
      </c>
      <c r="AN133" s="3">
        <v>46131</v>
      </c>
      <c r="AO133" s="3">
        <v>46132</v>
      </c>
      <c r="AP133" s="3">
        <v>46133</v>
      </c>
      <c r="AQ133" s="3">
        <v>46134</v>
      </c>
      <c r="AR133" s="3">
        <v>46135</v>
      </c>
      <c r="AS133" s="3">
        <v>46136</v>
      </c>
      <c r="AT133" s="3">
        <v>46137</v>
      </c>
      <c r="AU133" s="3">
        <v>46138</v>
      </c>
      <c r="AV133" s="3">
        <v>46139</v>
      </c>
      <c r="AW133" s="3">
        <v>46140</v>
      </c>
      <c r="AX133" s="3">
        <v>46141</v>
      </c>
      <c r="AY133" s="3">
        <v>46142</v>
      </c>
      <c r="AZ133" s="3">
        <v>46143</v>
      </c>
      <c r="BA133" s="3">
        <v>46144</v>
      </c>
      <c r="BB133" s="3">
        <v>46145</v>
      </c>
      <c r="BC133" s="3">
        <v>46146</v>
      </c>
      <c r="BD133" s="3">
        <v>46147</v>
      </c>
      <c r="BE133" s="3">
        <v>46148</v>
      </c>
      <c r="BF133" s="3">
        <v>46149</v>
      </c>
      <c r="BG133" s="3">
        <v>46150</v>
      </c>
      <c r="BH133" s="3">
        <v>46151</v>
      </c>
      <c r="BI133" s="3">
        <v>46152</v>
      </c>
      <c r="BJ133" s="3">
        <v>46153</v>
      </c>
      <c r="BK133" s="3">
        <v>46154</v>
      </c>
      <c r="BL133" s="3">
        <v>46155</v>
      </c>
      <c r="BM133" s="3">
        <v>46156</v>
      </c>
      <c r="BN133" s="3">
        <v>46157</v>
      </c>
      <c r="BO133" s="3">
        <v>46158</v>
      </c>
      <c r="BP133" s="3">
        <v>46159</v>
      </c>
      <c r="BQ133" s="3">
        <v>46160</v>
      </c>
      <c r="BR133" s="3">
        <v>46161</v>
      </c>
      <c r="BS133" s="3">
        <v>46162</v>
      </c>
      <c r="BT133" s="3">
        <v>46163</v>
      </c>
      <c r="BU133" s="3">
        <v>46164</v>
      </c>
      <c r="BV133" s="3">
        <v>46165</v>
      </c>
      <c r="BW133" s="3">
        <v>46166</v>
      </c>
      <c r="BX133" s="3">
        <v>46167</v>
      </c>
      <c r="BY133" s="3">
        <v>46168</v>
      </c>
      <c r="BZ133" s="3">
        <v>46169</v>
      </c>
      <c r="CA133" s="3">
        <v>46170</v>
      </c>
      <c r="CB133" s="3">
        <v>46171</v>
      </c>
      <c r="CC133" s="3">
        <v>46172</v>
      </c>
      <c r="CD133" s="3">
        <v>46173</v>
      </c>
      <c r="CE133" s="3">
        <v>46174</v>
      </c>
      <c r="CF133" s="3">
        <v>46175</v>
      </c>
      <c r="CG133" s="3">
        <v>46176</v>
      </c>
      <c r="CH133" s="3">
        <v>46177</v>
      </c>
      <c r="CI133" s="3">
        <v>46178</v>
      </c>
      <c r="CJ133" s="3">
        <v>46179</v>
      </c>
      <c r="CK133" s="3">
        <v>46180</v>
      </c>
      <c r="CL133" s="3">
        <v>46181</v>
      </c>
      <c r="CM133" s="3">
        <v>46182</v>
      </c>
      <c r="CN133" s="3">
        <v>46183</v>
      </c>
      <c r="CO133" s="3">
        <v>46184</v>
      </c>
      <c r="CP133" s="3">
        <v>46185</v>
      </c>
      <c r="CQ133" s="3">
        <v>46186</v>
      </c>
      <c r="CR133" s="3">
        <v>46187</v>
      </c>
      <c r="CS133" s="3">
        <v>46188</v>
      </c>
      <c r="CT133" s="3">
        <v>46189</v>
      </c>
      <c r="CU133" s="3">
        <v>46190</v>
      </c>
      <c r="CV133" s="3">
        <v>46191</v>
      </c>
      <c r="CW133" s="3">
        <v>46192</v>
      </c>
      <c r="CX133" s="3">
        <v>46193</v>
      </c>
      <c r="CY133" s="3">
        <v>46194</v>
      </c>
      <c r="CZ133" s="3">
        <v>46195</v>
      </c>
      <c r="DA133" s="3">
        <v>46196</v>
      </c>
      <c r="DB133" s="3">
        <v>46197</v>
      </c>
      <c r="DC133" s="3">
        <v>46198</v>
      </c>
      <c r="DD133" s="3">
        <v>46199</v>
      </c>
      <c r="DE133" s="3">
        <v>46200</v>
      </c>
      <c r="DF133" s="3">
        <v>46201</v>
      </c>
      <c r="DG133" s="3">
        <v>46202</v>
      </c>
      <c r="DH133" s="3">
        <v>46203</v>
      </c>
      <c r="DI133" s="3">
        <v>46204</v>
      </c>
      <c r="DJ133" s="3">
        <v>46205</v>
      </c>
      <c r="DK133" s="3">
        <v>46206</v>
      </c>
      <c r="DL133" s="3">
        <v>46207</v>
      </c>
      <c r="DM133" s="3">
        <v>46208</v>
      </c>
      <c r="DN133" s="3">
        <v>46209</v>
      </c>
      <c r="DO133" s="3">
        <v>46210</v>
      </c>
      <c r="DP133" s="3">
        <v>46211</v>
      </c>
      <c r="DQ133" s="3">
        <v>46212</v>
      </c>
      <c r="DR133" s="3">
        <v>46213</v>
      </c>
      <c r="DS133" s="3">
        <v>46214</v>
      </c>
      <c r="DT133" s="3">
        <v>46215</v>
      </c>
      <c r="DU133" s="3">
        <v>46216</v>
      </c>
      <c r="DV133" s="3">
        <v>46217</v>
      </c>
      <c r="DW133" s="3">
        <v>46218</v>
      </c>
      <c r="DX133" s="3">
        <v>46219</v>
      </c>
      <c r="DY133" s="3">
        <v>46220</v>
      </c>
      <c r="DZ133" s="3">
        <v>46221</v>
      </c>
      <c r="EA133" s="3">
        <v>46222</v>
      </c>
      <c r="EB133" s="3">
        <v>46223</v>
      </c>
      <c r="EC133" s="3">
        <v>46224</v>
      </c>
      <c r="ED133" s="3">
        <v>46225</v>
      </c>
      <c r="EE133" s="3">
        <v>46226</v>
      </c>
      <c r="EF133" s="3">
        <v>46227</v>
      </c>
      <c r="EG133" s="3">
        <v>46228</v>
      </c>
      <c r="EH133" s="3">
        <v>46229</v>
      </c>
      <c r="EI133" s="3">
        <v>46230</v>
      </c>
      <c r="EJ133" s="3">
        <v>46231</v>
      </c>
      <c r="EK133" s="3">
        <v>46232</v>
      </c>
      <c r="EL133" s="3">
        <v>46233</v>
      </c>
      <c r="EM133" s="3">
        <v>46234</v>
      </c>
      <c r="EN133" s="3">
        <v>46235</v>
      </c>
      <c r="EO133" s="3">
        <v>46236</v>
      </c>
      <c r="EP133" s="3">
        <v>46237</v>
      </c>
      <c r="EQ133" s="3">
        <v>46238</v>
      </c>
      <c r="ER133" s="3">
        <v>46239</v>
      </c>
      <c r="ES133" s="3">
        <v>46240</v>
      </c>
      <c r="ET133" s="3">
        <v>46241</v>
      </c>
      <c r="EU133" s="3">
        <v>46242</v>
      </c>
      <c r="EV133" s="3">
        <v>46243</v>
      </c>
      <c r="EW133" s="3">
        <v>46244</v>
      </c>
      <c r="EX133" s="3">
        <v>46245</v>
      </c>
      <c r="EY133" s="3">
        <v>46246</v>
      </c>
      <c r="EZ133" s="3">
        <v>46247</v>
      </c>
      <c r="FA133" s="3">
        <v>46248</v>
      </c>
      <c r="FB133" s="3">
        <v>46249</v>
      </c>
      <c r="FC133" s="3">
        <v>46250</v>
      </c>
      <c r="FD133" s="3">
        <v>46251</v>
      </c>
      <c r="FE133" s="3">
        <v>46252</v>
      </c>
      <c r="FF133" s="3">
        <v>46253</v>
      </c>
      <c r="FG133" s="3">
        <v>46254</v>
      </c>
      <c r="FH133" s="3">
        <v>46255</v>
      </c>
      <c r="FI133" s="3">
        <v>46256</v>
      </c>
      <c r="FJ133" s="3">
        <v>46257</v>
      </c>
      <c r="FK133" s="3">
        <v>46258</v>
      </c>
      <c r="FL133" s="3">
        <v>46259</v>
      </c>
      <c r="FM133" s="3">
        <v>46260</v>
      </c>
      <c r="FN133" s="3">
        <v>46261</v>
      </c>
      <c r="FO133" s="3">
        <v>46262</v>
      </c>
      <c r="FP133" s="3">
        <v>46263</v>
      </c>
      <c r="FQ133" s="3">
        <v>46264</v>
      </c>
      <c r="FR133" s="3">
        <v>46265</v>
      </c>
      <c r="FS133" s="3">
        <v>46266</v>
      </c>
      <c r="FT133" s="3">
        <v>46267</v>
      </c>
      <c r="FU133" s="3">
        <v>46268</v>
      </c>
      <c r="FV133" s="3">
        <v>46269</v>
      </c>
      <c r="FW133" s="3">
        <v>46270</v>
      </c>
      <c r="FX133" s="3">
        <v>46271</v>
      </c>
      <c r="FY133" s="3">
        <v>46272</v>
      </c>
      <c r="FZ133" s="3">
        <v>46273</v>
      </c>
      <c r="GA133" s="3">
        <v>46274</v>
      </c>
      <c r="GB133" s="3">
        <v>46275</v>
      </c>
      <c r="GC133" s="3">
        <v>46276</v>
      </c>
      <c r="GD133" s="3">
        <v>46277</v>
      </c>
      <c r="GE133" s="3">
        <v>46278</v>
      </c>
      <c r="GF133" s="3">
        <v>46279</v>
      </c>
      <c r="GG133" s="3">
        <v>46280</v>
      </c>
      <c r="GH133" s="3">
        <v>46281</v>
      </c>
      <c r="GI133" s="3">
        <v>46282</v>
      </c>
      <c r="GJ133" s="3">
        <v>46283</v>
      </c>
      <c r="GK133" s="3">
        <v>46284</v>
      </c>
      <c r="GL133" s="3">
        <v>46285</v>
      </c>
      <c r="GM133" s="3">
        <v>46286</v>
      </c>
      <c r="GN133" s="3">
        <v>46287</v>
      </c>
      <c r="GO133" s="3">
        <v>46288</v>
      </c>
      <c r="GP133" s="3">
        <v>46289</v>
      </c>
      <c r="GQ133" s="3">
        <v>46290</v>
      </c>
      <c r="GR133" s="3">
        <v>46291</v>
      </c>
      <c r="GS133" s="3">
        <v>46292</v>
      </c>
      <c r="GT133" s="3">
        <v>46293</v>
      </c>
      <c r="GU133" s="3">
        <v>46294</v>
      </c>
      <c r="GV133" s="3">
        <v>46295</v>
      </c>
      <c r="GW133" s="3">
        <v>46296</v>
      </c>
      <c r="GX133" s="3">
        <v>46297</v>
      </c>
      <c r="GY133" s="3">
        <v>46298</v>
      </c>
      <c r="GZ133" s="3">
        <v>46299</v>
      </c>
      <c r="HA133" s="3">
        <v>46300</v>
      </c>
      <c r="HB133" s="3">
        <v>46301</v>
      </c>
      <c r="HC133" s="3">
        <v>46302</v>
      </c>
      <c r="HD133" s="3">
        <v>46303</v>
      </c>
      <c r="HE133" s="3">
        <v>46304</v>
      </c>
      <c r="HF133" s="3">
        <v>46305</v>
      </c>
      <c r="HG133" s="3">
        <v>46306</v>
      </c>
      <c r="HH133" s="3">
        <v>46307</v>
      </c>
      <c r="HI133" s="3">
        <v>46308</v>
      </c>
      <c r="HJ133" s="3">
        <v>46309</v>
      </c>
      <c r="HK133" s="3">
        <v>46310</v>
      </c>
      <c r="HL133" s="3">
        <v>46311</v>
      </c>
      <c r="HM133" s="3">
        <v>46312</v>
      </c>
      <c r="HN133" s="3">
        <v>46313</v>
      </c>
      <c r="HO133" s="3">
        <v>46314</v>
      </c>
      <c r="HP133" s="3">
        <v>46315</v>
      </c>
      <c r="HQ133" s="3">
        <v>46316</v>
      </c>
      <c r="HR133" s="3">
        <v>46317</v>
      </c>
      <c r="HS133" s="3">
        <v>46318</v>
      </c>
      <c r="HT133" s="3">
        <v>46319</v>
      </c>
      <c r="HU133" s="3">
        <v>46320</v>
      </c>
      <c r="HV133" s="3">
        <v>46321</v>
      </c>
      <c r="HW133" s="3">
        <v>46322</v>
      </c>
      <c r="HX133" s="3">
        <v>46323</v>
      </c>
      <c r="HY133" s="3">
        <v>46324</v>
      </c>
      <c r="HZ133" s="3">
        <v>46325</v>
      </c>
      <c r="IA133" s="3">
        <v>46326</v>
      </c>
      <c r="IB133" s="3">
        <v>46327</v>
      </c>
      <c r="IC133" s="3">
        <v>46328</v>
      </c>
    </row>
    <row r="134" spans="1:257">
      <c r="A134" s="4" t="s">
        <v>694</v>
      </c>
      <c r="B134" s="82" t="str">
        <f t="array" ref="B134">COLUMNS(_xlfn._xlws.FILTER(P133:HO133, (P135:HO135&lt;&gt;"")+(P137:HO137&lt;&gt;""))) &amp; "場"</f>
        <v>28場</v>
      </c>
      <c r="C134" s="7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 t="s">
        <v>675</v>
      </c>
      <c r="P134" s="3" t="s">
        <v>676</v>
      </c>
      <c r="Q134" s="3" t="s">
        <v>677</v>
      </c>
      <c r="R134" s="3" t="s">
        <v>678</v>
      </c>
      <c r="S134" s="3" t="s">
        <v>679</v>
      </c>
      <c r="T134" s="3" t="s">
        <v>680</v>
      </c>
      <c r="U134" s="3" t="s">
        <v>681</v>
      </c>
      <c r="V134" s="3" t="s">
        <v>682</v>
      </c>
      <c r="W134" s="3" t="s">
        <v>676</v>
      </c>
      <c r="X134" s="3" t="s">
        <v>677</v>
      </c>
      <c r="Y134" s="3" t="s">
        <v>678</v>
      </c>
      <c r="Z134" s="3" t="s">
        <v>679</v>
      </c>
      <c r="AA134" s="3" t="s">
        <v>680</v>
      </c>
      <c r="AB134" s="3" t="s">
        <v>681</v>
      </c>
      <c r="AC134" s="3" t="s">
        <v>682</v>
      </c>
      <c r="AD134" s="3" t="s">
        <v>676</v>
      </c>
      <c r="AE134" s="3" t="s">
        <v>677</v>
      </c>
      <c r="AF134" s="3" t="s">
        <v>678</v>
      </c>
      <c r="AG134" s="3" t="s">
        <v>679</v>
      </c>
      <c r="AH134" s="3" t="s">
        <v>680</v>
      </c>
      <c r="AI134" s="3" t="s">
        <v>681</v>
      </c>
      <c r="AJ134" s="3" t="s">
        <v>682</v>
      </c>
      <c r="AK134" s="3" t="s">
        <v>676</v>
      </c>
      <c r="AL134" s="3" t="s">
        <v>677</v>
      </c>
      <c r="AM134" s="3" t="s">
        <v>678</v>
      </c>
      <c r="AN134" s="3" t="s">
        <v>679</v>
      </c>
      <c r="AO134" s="3" t="s">
        <v>680</v>
      </c>
      <c r="AP134" s="3" t="s">
        <v>681</v>
      </c>
      <c r="AQ134" s="3" t="s">
        <v>682</v>
      </c>
      <c r="AR134" s="3" t="s">
        <v>676</v>
      </c>
      <c r="AS134" s="3" t="s">
        <v>677</v>
      </c>
      <c r="AT134" s="3" t="s">
        <v>678</v>
      </c>
      <c r="AU134" s="3" t="s">
        <v>679</v>
      </c>
      <c r="AV134" s="3" t="s">
        <v>680</v>
      </c>
      <c r="AW134" s="3" t="s">
        <v>681</v>
      </c>
      <c r="AX134" s="3" t="s">
        <v>682</v>
      </c>
      <c r="AY134" s="3" t="s">
        <v>676</v>
      </c>
      <c r="AZ134" s="3" t="s">
        <v>677</v>
      </c>
      <c r="BA134" s="3" t="s">
        <v>678</v>
      </c>
      <c r="BB134" s="3" t="s">
        <v>679</v>
      </c>
      <c r="BC134" s="3" t="s">
        <v>680</v>
      </c>
      <c r="BD134" s="3" t="s">
        <v>681</v>
      </c>
      <c r="BE134" s="3" t="s">
        <v>682</v>
      </c>
      <c r="BF134" s="3" t="s">
        <v>676</v>
      </c>
      <c r="BG134" s="3" t="s">
        <v>677</v>
      </c>
      <c r="BH134" s="3" t="s">
        <v>678</v>
      </c>
      <c r="BI134" s="3" t="s">
        <v>679</v>
      </c>
      <c r="BJ134" s="3" t="s">
        <v>680</v>
      </c>
      <c r="BK134" s="3" t="s">
        <v>681</v>
      </c>
      <c r="BL134" s="3" t="s">
        <v>682</v>
      </c>
      <c r="BM134" s="3" t="s">
        <v>676</v>
      </c>
      <c r="BN134" s="3" t="s">
        <v>677</v>
      </c>
      <c r="BO134" s="3" t="s">
        <v>678</v>
      </c>
      <c r="BP134" s="3" t="s">
        <v>679</v>
      </c>
      <c r="BQ134" s="3" t="s">
        <v>680</v>
      </c>
      <c r="BR134" s="3" t="s">
        <v>681</v>
      </c>
      <c r="BS134" s="3" t="s">
        <v>682</v>
      </c>
      <c r="BT134" s="3" t="s">
        <v>676</v>
      </c>
      <c r="BU134" s="3" t="s">
        <v>677</v>
      </c>
      <c r="BV134" s="3" t="s">
        <v>678</v>
      </c>
      <c r="BW134" s="3" t="s">
        <v>679</v>
      </c>
      <c r="BX134" s="3" t="s">
        <v>680</v>
      </c>
      <c r="BY134" s="3" t="s">
        <v>681</v>
      </c>
      <c r="BZ134" s="3" t="s">
        <v>682</v>
      </c>
      <c r="CA134" s="3" t="s">
        <v>676</v>
      </c>
      <c r="CB134" s="3" t="s">
        <v>677</v>
      </c>
      <c r="CC134" s="3" t="s">
        <v>678</v>
      </c>
      <c r="CD134" s="3" t="s">
        <v>679</v>
      </c>
      <c r="CE134" s="3" t="s">
        <v>680</v>
      </c>
      <c r="CF134" s="3" t="s">
        <v>681</v>
      </c>
      <c r="CG134" s="3" t="s">
        <v>682</v>
      </c>
      <c r="CH134" s="3" t="s">
        <v>676</v>
      </c>
      <c r="CI134" s="3" t="s">
        <v>677</v>
      </c>
      <c r="CJ134" s="3" t="s">
        <v>678</v>
      </c>
      <c r="CK134" s="3" t="s">
        <v>679</v>
      </c>
      <c r="CL134" s="3" t="s">
        <v>680</v>
      </c>
      <c r="CM134" s="3" t="s">
        <v>681</v>
      </c>
      <c r="CN134" s="3" t="s">
        <v>682</v>
      </c>
      <c r="CO134" s="3" t="s">
        <v>676</v>
      </c>
      <c r="CP134" s="3" t="s">
        <v>677</v>
      </c>
      <c r="CQ134" s="3" t="s">
        <v>678</v>
      </c>
      <c r="CR134" s="3" t="s">
        <v>679</v>
      </c>
      <c r="CS134" s="3" t="s">
        <v>680</v>
      </c>
      <c r="CT134" s="3" t="s">
        <v>681</v>
      </c>
      <c r="CU134" s="3" t="s">
        <v>682</v>
      </c>
      <c r="CV134" s="3" t="s">
        <v>676</v>
      </c>
      <c r="CW134" s="3" t="s">
        <v>677</v>
      </c>
      <c r="CX134" s="3" t="s">
        <v>678</v>
      </c>
      <c r="CY134" s="3" t="s">
        <v>679</v>
      </c>
      <c r="CZ134" s="3" t="s">
        <v>680</v>
      </c>
      <c r="DA134" s="3" t="s">
        <v>681</v>
      </c>
      <c r="DB134" s="3" t="s">
        <v>682</v>
      </c>
      <c r="DC134" s="3" t="s">
        <v>676</v>
      </c>
      <c r="DD134" s="3" t="s">
        <v>677</v>
      </c>
      <c r="DE134" s="3" t="s">
        <v>678</v>
      </c>
      <c r="DF134" s="3" t="s">
        <v>679</v>
      </c>
      <c r="DG134" s="3" t="s">
        <v>680</v>
      </c>
      <c r="DH134" s="3" t="s">
        <v>681</v>
      </c>
      <c r="DI134" s="3" t="s">
        <v>682</v>
      </c>
      <c r="DJ134" s="3" t="s">
        <v>676</v>
      </c>
      <c r="DK134" s="3" t="s">
        <v>677</v>
      </c>
      <c r="DL134" s="3" t="s">
        <v>678</v>
      </c>
      <c r="DM134" s="3" t="s">
        <v>679</v>
      </c>
      <c r="DN134" s="3" t="s">
        <v>680</v>
      </c>
      <c r="DO134" s="3" t="s">
        <v>681</v>
      </c>
      <c r="DP134" s="3" t="s">
        <v>682</v>
      </c>
      <c r="DQ134" s="3" t="s">
        <v>676</v>
      </c>
      <c r="DR134" s="3" t="s">
        <v>677</v>
      </c>
      <c r="DS134" s="3" t="s">
        <v>678</v>
      </c>
      <c r="DT134" s="3" t="s">
        <v>679</v>
      </c>
      <c r="DU134" s="3" t="s">
        <v>680</v>
      </c>
      <c r="DV134" s="3" t="s">
        <v>681</v>
      </c>
      <c r="DW134" s="3" t="s">
        <v>682</v>
      </c>
      <c r="DX134" s="3" t="s">
        <v>676</v>
      </c>
      <c r="DY134" s="3" t="s">
        <v>677</v>
      </c>
      <c r="DZ134" s="3" t="s">
        <v>678</v>
      </c>
      <c r="EA134" s="3" t="s">
        <v>679</v>
      </c>
      <c r="EB134" s="3" t="s">
        <v>680</v>
      </c>
      <c r="EC134" s="3" t="s">
        <v>681</v>
      </c>
      <c r="ED134" s="3" t="s">
        <v>682</v>
      </c>
      <c r="EE134" s="3" t="s">
        <v>676</v>
      </c>
      <c r="EF134" s="3" t="s">
        <v>677</v>
      </c>
      <c r="EG134" s="3" t="s">
        <v>678</v>
      </c>
      <c r="EH134" s="3" t="s">
        <v>679</v>
      </c>
      <c r="EI134" s="3" t="s">
        <v>680</v>
      </c>
      <c r="EJ134" s="3" t="s">
        <v>681</v>
      </c>
      <c r="EK134" s="3" t="s">
        <v>682</v>
      </c>
      <c r="EL134" s="3" t="s">
        <v>676</v>
      </c>
      <c r="EM134" s="3" t="s">
        <v>677</v>
      </c>
      <c r="EN134" s="3" t="s">
        <v>678</v>
      </c>
      <c r="EO134" s="3" t="s">
        <v>679</v>
      </c>
      <c r="EP134" s="3" t="s">
        <v>680</v>
      </c>
      <c r="EQ134" s="3" t="s">
        <v>681</v>
      </c>
      <c r="ER134" s="3" t="s">
        <v>682</v>
      </c>
      <c r="ES134" s="3" t="s">
        <v>676</v>
      </c>
      <c r="ET134" s="3" t="s">
        <v>677</v>
      </c>
      <c r="EU134" s="3" t="s">
        <v>678</v>
      </c>
      <c r="EV134" s="3" t="s">
        <v>679</v>
      </c>
      <c r="EW134" s="3" t="s">
        <v>680</v>
      </c>
      <c r="EX134" s="3" t="s">
        <v>681</v>
      </c>
      <c r="EY134" s="3" t="s">
        <v>682</v>
      </c>
      <c r="EZ134" s="3" t="s">
        <v>676</v>
      </c>
      <c r="FA134" s="3" t="s">
        <v>677</v>
      </c>
      <c r="FB134" s="3" t="s">
        <v>678</v>
      </c>
      <c r="FC134" s="3" t="s">
        <v>679</v>
      </c>
      <c r="FD134" s="3" t="s">
        <v>680</v>
      </c>
      <c r="FE134" s="3" t="s">
        <v>681</v>
      </c>
      <c r="FF134" s="3" t="s">
        <v>682</v>
      </c>
      <c r="FG134" s="3" t="s">
        <v>676</v>
      </c>
      <c r="FH134" s="3" t="s">
        <v>677</v>
      </c>
      <c r="FI134" s="3" t="s">
        <v>678</v>
      </c>
      <c r="FJ134" s="3" t="s">
        <v>679</v>
      </c>
      <c r="FK134" s="3" t="s">
        <v>680</v>
      </c>
      <c r="FL134" s="3" t="s">
        <v>681</v>
      </c>
      <c r="FM134" s="3" t="s">
        <v>682</v>
      </c>
      <c r="FN134" s="3" t="s">
        <v>676</v>
      </c>
      <c r="FO134" s="3" t="s">
        <v>677</v>
      </c>
      <c r="FP134" s="3" t="s">
        <v>678</v>
      </c>
      <c r="FQ134" s="3" t="s">
        <v>679</v>
      </c>
      <c r="FR134" s="3" t="s">
        <v>680</v>
      </c>
      <c r="FS134" s="3" t="s">
        <v>681</v>
      </c>
      <c r="FT134" s="3" t="s">
        <v>682</v>
      </c>
      <c r="FU134" s="3" t="s">
        <v>676</v>
      </c>
      <c r="FV134" s="3" t="s">
        <v>677</v>
      </c>
      <c r="FW134" s="3" t="s">
        <v>678</v>
      </c>
      <c r="FX134" s="3" t="s">
        <v>679</v>
      </c>
      <c r="FY134" s="3" t="s">
        <v>680</v>
      </c>
      <c r="FZ134" s="3" t="s">
        <v>681</v>
      </c>
      <c r="GA134" s="3" t="s">
        <v>682</v>
      </c>
      <c r="GB134" s="3" t="s">
        <v>676</v>
      </c>
      <c r="GC134" s="3" t="s">
        <v>677</v>
      </c>
      <c r="GD134" s="3" t="s">
        <v>678</v>
      </c>
      <c r="GE134" s="3" t="s">
        <v>679</v>
      </c>
      <c r="GF134" s="3" t="s">
        <v>680</v>
      </c>
      <c r="GG134" s="3" t="s">
        <v>681</v>
      </c>
      <c r="GH134" s="3" t="s">
        <v>682</v>
      </c>
      <c r="GI134" s="3" t="s">
        <v>676</v>
      </c>
      <c r="GJ134" s="3" t="s">
        <v>677</v>
      </c>
      <c r="GK134" s="3" t="s">
        <v>678</v>
      </c>
      <c r="GL134" s="3" t="s">
        <v>679</v>
      </c>
      <c r="GM134" s="3" t="s">
        <v>680</v>
      </c>
      <c r="GN134" s="3" t="s">
        <v>681</v>
      </c>
      <c r="GO134" s="3" t="s">
        <v>682</v>
      </c>
      <c r="GP134" s="3" t="s">
        <v>676</v>
      </c>
      <c r="GQ134" s="3" t="s">
        <v>677</v>
      </c>
      <c r="GR134" s="3" t="s">
        <v>678</v>
      </c>
      <c r="GS134" s="3" t="s">
        <v>679</v>
      </c>
      <c r="GT134" s="3" t="s">
        <v>680</v>
      </c>
      <c r="GU134" s="3" t="s">
        <v>681</v>
      </c>
      <c r="GV134" s="3" t="s">
        <v>682</v>
      </c>
      <c r="GW134" s="3" t="s">
        <v>676</v>
      </c>
      <c r="GX134" s="3" t="s">
        <v>677</v>
      </c>
      <c r="GY134" s="3" t="s">
        <v>678</v>
      </c>
      <c r="GZ134" s="3" t="s">
        <v>679</v>
      </c>
      <c r="HA134" s="3" t="s">
        <v>680</v>
      </c>
      <c r="HB134" s="3" t="s">
        <v>681</v>
      </c>
      <c r="HC134" s="3" t="s">
        <v>682</v>
      </c>
      <c r="HD134" s="3" t="s">
        <v>676</v>
      </c>
      <c r="HE134" s="3" t="s">
        <v>677</v>
      </c>
      <c r="HF134" s="3" t="s">
        <v>678</v>
      </c>
      <c r="HG134" s="3" t="s">
        <v>679</v>
      </c>
      <c r="HH134" s="3" t="s">
        <v>680</v>
      </c>
      <c r="HI134" s="3" t="s">
        <v>681</v>
      </c>
      <c r="HJ134" s="3" t="s">
        <v>682</v>
      </c>
      <c r="HK134" s="3" t="s">
        <v>676</v>
      </c>
      <c r="HL134" s="3" t="s">
        <v>677</v>
      </c>
      <c r="HM134" s="3" t="s">
        <v>678</v>
      </c>
      <c r="HN134" s="3" t="s">
        <v>679</v>
      </c>
      <c r="HO134" s="3" t="s">
        <v>680</v>
      </c>
      <c r="HP134" s="3" t="s">
        <v>681</v>
      </c>
      <c r="HQ134" s="3" t="s">
        <v>682</v>
      </c>
      <c r="HR134" s="3" t="s">
        <v>676</v>
      </c>
      <c r="HS134" s="3" t="s">
        <v>677</v>
      </c>
      <c r="HT134" s="3" t="s">
        <v>678</v>
      </c>
      <c r="HU134" s="3" t="s">
        <v>679</v>
      </c>
      <c r="HV134" s="3" t="s">
        <v>680</v>
      </c>
      <c r="HW134" s="3" t="s">
        <v>681</v>
      </c>
      <c r="HX134" s="3" t="s">
        <v>682</v>
      </c>
      <c r="HY134" s="3" t="s">
        <v>676</v>
      </c>
      <c r="HZ134" s="3" t="s">
        <v>677</v>
      </c>
      <c r="IA134" s="3" t="s">
        <v>678</v>
      </c>
      <c r="IB134" s="3" t="s">
        <v>679</v>
      </c>
      <c r="IC134" s="3" t="s">
        <v>680</v>
      </c>
    </row>
    <row r="135" spans="1:257">
      <c r="A135" s="82" t="s">
        <v>695</v>
      </c>
      <c r="B135" s="82" t="str">
        <f>COUNTIF(P135:IC135, "W")&amp;"勝"</f>
        <v>13勝</v>
      </c>
      <c r="C135" s="82" t="str">
        <f>COUNTIF(P135:IC135, "L")&amp;"敗"</f>
        <v>15敗</v>
      </c>
      <c r="D135" s="82" t="s">
        <v>696</v>
      </c>
      <c r="E135" s="78"/>
      <c r="F135" s="82" t="s">
        <v>736</v>
      </c>
      <c r="G135" s="78"/>
      <c r="H135" s="78"/>
      <c r="I135" s="78"/>
      <c r="J135" s="78"/>
      <c r="K135" s="78"/>
      <c r="L135" s="78"/>
      <c r="M135" s="82"/>
      <c r="N135" s="78"/>
      <c r="O135" s="1" t="s">
        <v>698</v>
      </c>
      <c r="Q135" t="s">
        <v>700</v>
      </c>
      <c r="R135" t="s">
        <v>699</v>
      </c>
      <c r="S135" t="s">
        <v>700</v>
      </c>
      <c r="T135" t="s">
        <v>699</v>
      </c>
      <c r="U135" t="s">
        <v>699</v>
      </c>
      <c r="V135" t="s">
        <v>700</v>
      </c>
      <c r="W135" t="s">
        <v>700</v>
      </c>
      <c r="Y135" t="s">
        <v>699</v>
      </c>
      <c r="Z135" t="s">
        <v>700</v>
      </c>
      <c r="AA135" t="s">
        <v>700</v>
      </c>
      <c r="AB135" t="s">
        <v>700</v>
      </c>
      <c r="AC135" t="s">
        <v>700</v>
      </c>
      <c r="AD135" t="s">
        <v>700</v>
      </c>
      <c r="AF135" t="s">
        <v>699</v>
      </c>
      <c r="AG135" t="s">
        <v>699</v>
      </c>
      <c r="AH135" t="s">
        <v>699</v>
      </c>
      <c r="AI135" t="s">
        <v>699</v>
      </c>
      <c r="AJ135" t="s">
        <v>700</v>
      </c>
      <c r="AK135" t="s">
        <v>700</v>
      </c>
      <c r="AL135" t="s">
        <v>700</v>
      </c>
      <c r="AM135" t="s">
        <v>700</v>
      </c>
      <c r="AN135" t="s">
        <v>699</v>
      </c>
      <c r="AO135" t="s">
        <v>699</v>
      </c>
      <c r="AP135" t="s">
        <v>700</v>
      </c>
      <c r="AQ135" t="s">
        <v>700</v>
      </c>
      <c r="AT135" t="s">
        <v>699</v>
      </c>
      <c r="AU135" t="s">
        <v>699</v>
      </c>
      <c r="AV135" t="s">
        <v>699</v>
      </c>
    </row>
    <row r="136" spans="1:257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1" t="s">
        <v>701</v>
      </c>
    </row>
    <row r="137" spans="1:257">
      <c r="A137" s="82" t="s">
        <v>702</v>
      </c>
      <c r="B137" s="82" t="str">
        <f>COUNTIF(P137:IC137, "O")&amp;"正"</f>
        <v>13正</v>
      </c>
      <c r="C137" s="82" t="str">
        <f>COUNTIF(P137:IC137, "X")&amp;"負"</f>
        <v>15負</v>
      </c>
      <c r="D137" s="82" t="s">
        <v>703</v>
      </c>
      <c r="E137" s="78"/>
      <c r="F137" s="82" t="s">
        <v>737</v>
      </c>
      <c r="G137" s="78"/>
      <c r="H137" s="78"/>
      <c r="I137" s="78"/>
      <c r="J137" s="78"/>
      <c r="K137" s="78"/>
      <c r="L137" s="78"/>
      <c r="M137" s="82"/>
      <c r="N137" s="78"/>
      <c r="O137" s="1" t="s">
        <v>705</v>
      </c>
      <c r="Q137" t="s">
        <v>684</v>
      </c>
      <c r="R137" t="s">
        <v>683</v>
      </c>
      <c r="S137" t="s">
        <v>684</v>
      </c>
      <c r="T137" t="s">
        <v>683</v>
      </c>
      <c r="U137" t="s">
        <v>683</v>
      </c>
      <c r="V137" t="s">
        <v>684</v>
      </c>
      <c r="W137" t="s">
        <v>684</v>
      </c>
      <c r="Y137" t="s">
        <v>683</v>
      </c>
      <c r="Z137" t="s">
        <v>684</v>
      </c>
      <c r="AA137" t="s">
        <v>684</v>
      </c>
      <c r="AB137" t="s">
        <v>684</v>
      </c>
      <c r="AC137" t="s">
        <v>684</v>
      </c>
      <c r="AD137" t="s">
        <v>684</v>
      </c>
      <c r="AF137" t="s">
        <v>683</v>
      </c>
      <c r="AG137" t="s">
        <v>683</v>
      </c>
      <c r="AH137" t="s">
        <v>683</v>
      </c>
      <c r="AI137" t="s">
        <v>683</v>
      </c>
      <c r="AJ137" t="s">
        <v>684</v>
      </c>
      <c r="AK137" t="s">
        <v>684</v>
      </c>
      <c r="AL137" t="s">
        <v>684</v>
      </c>
      <c r="AM137" t="s">
        <v>684</v>
      </c>
      <c r="AN137" t="s">
        <v>683</v>
      </c>
      <c r="AO137" t="s">
        <v>683</v>
      </c>
      <c r="AP137" t="s">
        <v>684</v>
      </c>
      <c r="AQ137" t="s">
        <v>684</v>
      </c>
      <c r="AT137" t="s">
        <v>683</v>
      </c>
      <c r="AU137" t="s">
        <v>683</v>
      </c>
      <c r="AV137" t="s">
        <v>683</v>
      </c>
      <c r="IN137" t="str">
        <f ca="1">IFERROR(INDEX($P137:$IC137,1,_xludf.AGGREGATE(14,6,(COLUMN($P137:$IC137)-COLUMN($P137)+1)/($P137:$IC137&lt;&gt;""),1)),"")</f>
        <v/>
      </c>
      <c r="IO137" t="str">
        <f ca="1">IFERROR(INDEX($P137:$IC137,1,_xludf.AGGREGATE(14,6,(COLUMN($P137:$IC137)-COLUMN($P137)+1)/($P137:$IC137&lt;&gt;""),2)),"")</f>
        <v/>
      </c>
      <c r="IP137" t="str">
        <f ca="1">IFERROR(INDEX($P137:$IC137,1,_xludf.AGGREGATE(14,6,(COLUMN($P137:$IC137)-COLUMN($P137)+1)/($P137:$IC137&lt;&gt;""),3)),"")</f>
        <v/>
      </c>
      <c r="IQ137" t="str">
        <f ca="1">IFERROR(INDEX($P137:$IC137,1,_xludf.AGGREGATE(14,6,(COLUMN($P137:$IC137)-COLUMN($P137)+1)/($P137:$IC137&lt;&gt;""),4)),"")</f>
        <v/>
      </c>
      <c r="IR137" t="str">
        <f ca="1">IFERROR(INDEX($P137:$IC137,1,_xludf.AGGREGATE(14,6,(COLUMN($P137:$IC137)-COLUMN($P137)+1)/($P137:$IC137&lt;&gt;""),5)),"")</f>
        <v/>
      </c>
      <c r="IS137" t="str">
        <f ca="1">IFERROR(INDEX($P137:$IC137,1,_xludf.AGGREGATE(14,6,(COLUMN($P137:$IC137)-COLUMN($P137)+1)/($P137:$IC137&lt;&gt;""),6)),"")</f>
        <v/>
      </c>
      <c r="IT137" t="str">
        <f ca="1">IFERROR(INDEX($P137:$IC137,1,_xludf.AGGREGATE(14,6,(COLUMN($P137:$IC137)-COLUMN($P137)+1)/($P137:$IC137&lt;&gt;""),7)),"")</f>
        <v/>
      </c>
      <c r="IU137" t="str">
        <f ca="1">IFERROR(INDEX($P137:$IC137,1,_xludf.AGGREGATE(14,6,(COLUMN($P137:$IC137)-COLUMN($P137)+1)/($P137:$IC137&lt;&gt;""),8)),"")</f>
        <v/>
      </c>
      <c r="IV137" t="str">
        <f ca="1">IFERROR(INDEX($P137:$IC137,1,_xludf.AGGREGATE(14,6,(COLUMN($P137:$IC137)-COLUMN($P137)+1)/($P137:$IC137&lt;&gt;""),9)),"")</f>
        <v/>
      </c>
      <c r="IW137" t="str">
        <f ca="1">IFERROR(INDEX($P137:$IC137,1,_xludf.AGGREGATE(14,6,(COLUMN($P137:$IC137)-COLUMN($P137)+1)/($P137:$IC137&lt;&gt;""),10)),"")</f>
        <v/>
      </c>
    </row>
    <row r="138" spans="1:257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1" t="s">
        <v>706</v>
      </c>
    </row>
    <row r="139" spans="1:257">
      <c r="A139" s="82" t="s">
        <v>707</v>
      </c>
      <c r="B139" s="77"/>
      <c r="C139" s="77"/>
      <c r="D139" s="82" t="s">
        <v>708</v>
      </c>
      <c r="E139" s="78"/>
      <c r="F139" s="82"/>
      <c r="G139" s="78"/>
      <c r="H139" s="78"/>
      <c r="I139" s="78"/>
      <c r="J139" s="78"/>
      <c r="K139" s="78"/>
      <c r="L139" s="78"/>
      <c r="M139" s="82"/>
      <c r="N139" s="78"/>
      <c r="O139" s="1" t="s">
        <v>709</v>
      </c>
    </row>
    <row r="140" spans="1:257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1" t="s">
        <v>710</v>
      </c>
    </row>
    <row r="141" spans="1:257">
      <c r="A141" s="108" t="s">
        <v>25</v>
      </c>
      <c r="B141" s="78"/>
      <c r="C141" s="78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 t="s">
        <v>674</v>
      </c>
      <c r="P141" s="6">
        <v>1</v>
      </c>
      <c r="Q141" s="6">
        <v>2</v>
      </c>
      <c r="R141" s="6">
        <v>3</v>
      </c>
      <c r="S141" s="6">
        <v>4</v>
      </c>
      <c r="T141" s="6">
        <v>5</v>
      </c>
      <c r="U141" s="6">
        <v>6</v>
      </c>
      <c r="V141" s="6">
        <v>7</v>
      </c>
      <c r="W141" s="6">
        <v>8</v>
      </c>
      <c r="X141" s="6">
        <v>9</v>
      </c>
      <c r="Y141" s="6">
        <v>10</v>
      </c>
      <c r="Z141" s="6">
        <v>11</v>
      </c>
      <c r="AA141" s="6">
        <v>12</v>
      </c>
      <c r="AB141" s="6">
        <v>13</v>
      </c>
      <c r="AC141" s="6">
        <v>14</v>
      </c>
      <c r="AD141" s="6">
        <v>15</v>
      </c>
      <c r="AE141" s="6">
        <v>16</v>
      </c>
      <c r="AF141" s="6">
        <v>17</v>
      </c>
      <c r="AG141" s="6">
        <v>18</v>
      </c>
      <c r="AH141" s="6">
        <v>19</v>
      </c>
      <c r="AI141" s="6">
        <v>20</v>
      </c>
      <c r="AJ141" s="6">
        <v>21</v>
      </c>
      <c r="AK141" s="6">
        <v>22</v>
      </c>
      <c r="AL141" s="6">
        <v>23</v>
      </c>
      <c r="AM141" s="6">
        <v>24</v>
      </c>
      <c r="AN141" s="6">
        <v>25</v>
      </c>
      <c r="AO141" s="6">
        <v>26</v>
      </c>
      <c r="AP141" s="6">
        <v>27</v>
      </c>
      <c r="AQ141" s="6">
        <v>28</v>
      </c>
      <c r="AR141" s="6">
        <v>29</v>
      </c>
      <c r="AS141" s="6">
        <v>30</v>
      </c>
      <c r="AT141" s="6">
        <v>31</v>
      </c>
      <c r="AU141" s="6">
        <v>32</v>
      </c>
      <c r="AV141" s="6">
        <v>33</v>
      </c>
      <c r="AW141" s="6">
        <v>34</v>
      </c>
      <c r="AX141" s="6">
        <v>35</v>
      </c>
      <c r="AY141" s="6">
        <v>36</v>
      </c>
      <c r="AZ141" s="6">
        <v>37</v>
      </c>
      <c r="BA141" s="6">
        <v>38</v>
      </c>
      <c r="BB141" s="6">
        <v>39</v>
      </c>
      <c r="BC141" s="6">
        <v>40</v>
      </c>
      <c r="BD141" s="6">
        <v>41</v>
      </c>
      <c r="BE141" s="6">
        <v>42</v>
      </c>
      <c r="BF141" s="6">
        <v>43</v>
      </c>
      <c r="BG141" s="6">
        <v>44</v>
      </c>
      <c r="BH141" s="6">
        <v>45</v>
      </c>
      <c r="BI141" s="6">
        <v>46</v>
      </c>
      <c r="BJ141" s="6">
        <v>47</v>
      </c>
      <c r="BK141" s="6">
        <v>48</v>
      </c>
      <c r="BL141" s="6">
        <v>49</v>
      </c>
      <c r="BM141" s="6">
        <v>50</v>
      </c>
      <c r="BN141" s="6">
        <v>51</v>
      </c>
      <c r="BO141" s="6">
        <v>52</v>
      </c>
      <c r="BP141" s="6">
        <v>53</v>
      </c>
      <c r="BQ141" s="6">
        <v>54</v>
      </c>
      <c r="BR141" s="6">
        <v>55</v>
      </c>
      <c r="BS141" s="6">
        <v>56</v>
      </c>
      <c r="BT141" s="6">
        <v>57</v>
      </c>
      <c r="BU141" s="6">
        <v>58</v>
      </c>
      <c r="BV141" s="6">
        <v>59</v>
      </c>
      <c r="BW141" s="6">
        <v>60</v>
      </c>
      <c r="BX141" s="6">
        <v>61</v>
      </c>
      <c r="BY141" s="6">
        <v>62</v>
      </c>
      <c r="BZ141" s="6">
        <v>63</v>
      </c>
      <c r="CA141" s="6">
        <v>64</v>
      </c>
      <c r="CB141" s="6">
        <v>65</v>
      </c>
      <c r="CC141" s="6">
        <v>66</v>
      </c>
      <c r="CD141" s="6">
        <v>67</v>
      </c>
      <c r="CE141" s="6">
        <v>68</v>
      </c>
      <c r="CF141" s="6">
        <v>69</v>
      </c>
      <c r="CG141" s="6">
        <v>70</v>
      </c>
      <c r="CH141" s="6">
        <v>71</v>
      </c>
      <c r="CI141" s="6">
        <v>72</v>
      </c>
      <c r="CJ141" s="6">
        <v>73</v>
      </c>
      <c r="CK141" s="6">
        <v>74</v>
      </c>
      <c r="CL141" s="6">
        <v>75</v>
      </c>
      <c r="CM141" s="6">
        <v>76</v>
      </c>
      <c r="CN141" s="6">
        <v>77</v>
      </c>
      <c r="CO141" s="6">
        <v>78</v>
      </c>
      <c r="CP141" s="6">
        <v>79</v>
      </c>
      <c r="CQ141" s="6">
        <v>80</v>
      </c>
      <c r="CR141" s="6">
        <v>81</v>
      </c>
      <c r="CS141" s="6">
        <v>82</v>
      </c>
      <c r="CT141" s="6">
        <v>83</v>
      </c>
      <c r="CU141" s="6">
        <v>84</v>
      </c>
      <c r="CV141" s="6">
        <v>85</v>
      </c>
      <c r="CW141" s="6">
        <v>86</v>
      </c>
      <c r="CX141" s="6">
        <v>87</v>
      </c>
      <c r="CY141" s="6">
        <v>88</v>
      </c>
      <c r="CZ141" s="6">
        <v>89</v>
      </c>
      <c r="DA141" s="6">
        <v>90</v>
      </c>
      <c r="DB141" s="6">
        <v>91</v>
      </c>
      <c r="DC141" s="6">
        <v>92</v>
      </c>
      <c r="DD141" s="6">
        <v>93</v>
      </c>
      <c r="DE141" s="6">
        <v>94</v>
      </c>
      <c r="DF141" s="6">
        <v>95</v>
      </c>
      <c r="DG141" s="6">
        <v>96</v>
      </c>
      <c r="DH141" s="6">
        <v>97</v>
      </c>
      <c r="DI141" s="6">
        <v>98</v>
      </c>
      <c r="DJ141" s="6">
        <v>99</v>
      </c>
      <c r="DK141" s="6">
        <v>100</v>
      </c>
      <c r="DL141" s="6">
        <v>101</v>
      </c>
      <c r="DM141" s="6">
        <v>102</v>
      </c>
      <c r="DN141" s="6">
        <v>103</v>
      </c>
      <c r="DO141" s="6">
        <v>104</v>
      </c>
      <c r="DP141" s="6">
        <v>105</v>
      </c>
      <c r="DQ141" s="6">
        <v>106</v>
      </c>
      <c r="DR141" s="6">
        <v>107</v>
      </c>
      <c r="DS141" s="6">
        <v>108</v>
      </c>
      <c r="DT141" s="6">
        <v>109</v>
      </c>
      <c r="DU141" s="6">
        <v>110</v>
      </c>
      <c r="DV141" s="6">
        <v>111</v>
      </c>
      <c r="DW141" s="6">
        <v>112</v>
      </c>
      <c r="DX141" s="6">
        <v>113</v>
      </c>
      <c r="DY141" s="6">
        <v>114</v>
      </c>
      <c r="DZ141" s="6">
        <v>115</v>
      </c>
      <c r="EA141" s="6">
        <v>116</v>
      </c>
      <c r="EB141" s="6">
        <v>117</v>
      </c>
      <c r="EC141" s="6">
        <v>118</v>
      </c>
      <c r="ED141" s="6">
        <v>119</v>
      </c>
      <c r="EE141" s="6">
        <v>120</v>
      </c>
      <c r="EF141" s="6">
        <v>121</v>
      </c>
      <c r="EG141" s="6">
        <v>122</v>
      </c>
      <c r="EH141" s="6">
        <v>123</v>
      </c>
      <c r="EI141" s="6">
        <v>124</v>
      </c>
      <c r="EJ141" s="6">
        <v>125</v>
      </c>
      <c r="EK141" s="6">
        <v>126</v>
      </c>
      <c r="EL141" s="6">
        <v>127</v>
      </c>
      <c r="EM141" s="6">
        <v>128</v>
      </c>
      <c r="EN141" s="6">
        <v>129</v>
      </c>
      <c r="EO141" s="6">
        <v>130</v>
      </c>
      <c r="EP141" s="6">
        <v>131</v>
      </c>
      <c r="EQ141" s="6">
        <v>132</v>
      </c>
      <c r="ER141" s="6">
        <v>133</v>
      </c>
      <c r="ES141" s="6">
        <v>134</v>
      </c>
      <c r="ET141" s="6">
        <v>135</v>
      </c>
      <c r="EU141" s="6">
        <v>136</v>
      </c>
      <c r="EV141" s="6">
        <v>137</v>
      </c>
      <c r="EW141" s="6">
        <v>138</v>
      </c>
      <c r="EX141" s="6">
        <v>139</v>
      </c>
      <c r="EY141" s="6">
        <v>140</v>
      </c>
      <c r="EZ141" s="6">
        <v>141</v>
      </c>
      <c r="FA141" s="6">
        <v>142</v>
      </c>
      <c r="FB141" s="6">
        <v>143</v>
      </c>
      <c r="FC141" s="6">
        <v>144</v>
      </c>
      <c r="FD141" s="6">
        <v>145</v>
      </c>
      <c r="FE141" s="6">
        <v>146</v>
      </c>
      <c r="FF141" s="6">
        <v>147</v>
      </c>
      <c r="FG141" s="6">
        <v>148</v>
      </c>
      <c r="FH141" s="6">
        <v>149</v>
      </c>
      <c r="FI141" s="6">
        <v>150</v>
      </c>
      <c r="FJ141" s="6">
        <v>151</v>
      </c>
      <c r="FK141" s="6">
        <v>152</v>
      </c>
      <c r="FL141" s="6">
        <v>153</v>
      </c>
      <c r="FM141" s="6">
        <v>154</v>
      </c>
      <c r="FN141" s="6">
        <v>155</v>
      </c>
      <c r="FO141" s="6">
        <v>156</v>
      </c>
      <c r="FP141" s="6">
        <v>157</v>
      </c>
      <c r="FQ141" s="6">
        <v>158</v>
      </c>
      <c r="FR141" s="6">
        <v>159</v>
      </c>
      <c r="FS141" s="6">
        <v>160</v>
      </c>
      <c r="FT141" s="6">
        <v>161</v>
      </c>
      <c r="FU141" s="6">
        <v>162</v>
      </c>
      <c r="FV141" s="6">
        <v>163</v>
      </c>
      <c r="FW141" s="6">
        <v>164</v>
      </c>
      <c r="FX141" s="6">
        <v>165</v>
      </c>
      <c r="FY141" s="6">
        <v>166</v>
      </c>
      <c r="FZ141" s="6">
        <v>167</v>
      </c>
      <c r="GA141" s="6">
        <v>168</v>
      </c>
      <c r="GB141" s="6">
        <v>169</v>
      </c>
      <c r="GC141" s="6">
        <v>170</v>
      </c>
      <c r="GD141" s="6">
        <v>171</v>
      </c>
      <c r="GE141" s="6">
        <v>172</v>
      </c>
      <c r="GF141" s="6">
        <v>173</v>
      </c>
      <c r="GG141" s="6">
        <v>174</v>
      </c>
      <c r="GH141" s="6">
        <v>175</v>
      </c>
      <c r="GI141" s="6">
        <v>176</v>
      </c>
      <c r="GJ141" s="6">
        <v>177</v>
      </c>
      <c r="GK141" s="6">
        <v>178</v>
      </c>
      <c r="GL141" s="6">
        <v>179</v>
      </c>
      <c r="GM141" s="6">
        <v>180</v>
      </c>
      <c r="GN141" s="6">
        <v>181</v>
      </c>
      <c r="GO141" s="6">
        <v>182</v>
      </c>
      <c r="GP141" s="6">
        <v>183</v>
      </c>
      <c r="GQ141" s="6">
        <v>184</v>
      </c>
      <c r="GR141" s="6">
        <v>185</v>
      </c>
      <c r="GS141" s="6">
        <v>186</v>
      </c>
      <c r="GT141" s="6">
        <v>187</v>
      </c>
      <c r="GU141" s="6">
        <v>188</v>
      </c>
      <c r="GV141" s="6">
        <v>189</v>
      </c>
      <c r="GW141" s="6">
        <v>190</v>
      </c>
      <c r="GX141" s="6">
        <v>191</v>
      </c>
      <c r="GY141" s="6">
        <v>192</v>
      </c>
      <c r="GZ141" s="6">
        <v>193</v>
      </c>
      <c r="HA141" s="6">
        <v>194</v>
      </c>
      <c r="HB141" s="6">
        <v>195</v>
      </c>
      <c r="HC141" s="6">
        <v>196</v>
      </c>
      <c r="HD141" s="6">
        <v>197</v>
      </c>
      <c r="HE141" s="6">
        <v>198</v>
      </c>
      <c r="HF141" s="6">
        <v>199</v>
      </c>
      <c r="HG141" s="6">
        <v>200</v>
      </c>
      <c r="HH141" s="6">
        <v>201</v>
      </c>
      <c r="HI141" s="6">
        <v>202</v>
      </c>
      <c r="HJ141" s="6">
        <v>203</v>
      </c>
      <c r="HK141" s="6">
        <v>204</v>
      </c>
      <c r="HL141" s="6">
        <v>205</v>
      </c>
      <c r="HM141" s="6">
        <v>206</v>
      </c>
      <c r="HN141" s="6">
        <v>207</v>
      </c>
      <c r="HO141" s="6">
        <v>208</v>
      </c>
      <c r="HP141" s="6">
        <v>209</v>
      </c>
      <c r="HQ141" s="6">
        <v>210</v>
      </c>
      <c r="HR141" s="6">
        <v>211</v>
      </c>
      <c r="HS141" s="6">
        <v>212</v>
      </c>
      <c r="HT141" s="6">
        <v>213</v>
      </c>
      <c r="HU141" s="6">
        <v>214</v>
      </c>
      <c r="HV141" s="6">
        <v>215</v>
      </c>
      <c r="HW141" s="6">
        <v>216</v>
      </c>
      <c r="HX141" s="6">
        <v>217</v>
      </c>
      <c r="HY141" s="6">
        <v>218</v>
      </c>
      <c r="HZ141" s="6">
        <v>219</v>
      </c>
      <c r="IA141" s="6">
        <v>220</v>
      </c>
      <c r="IB141" s="6">
        <v>221</v>
      </c>
      <c r="IC141" s="6">
        <v>222</v>
      </c>
    </row>
    <row r="142" spans="1:257">
      <c r="A142" s="78"/>
      <c r="B142" s="78"/>
      <c r="C142" s="78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5"/>
      <c r="P142" s="51" t="s">
        <v>25</v>
      </c>
      <c r="Q142" s="51" t="s">
        <v>25</v>
      </c>
      <c r="R142" s="51" t="s">
        <v>25</v>
      </c>
      <c r="S142" s="51" t="s">
        <v>25</v>
      </c>
      <c r="T142" s="51" t="s">
        <v>25</v>
      </c>
      <c r="U142" s="51" t="s">
        <v>25</v>
      </c>
      <c r="V142" s="51" t="s">
        <v>25</v>
      </c>
      <c r="W142" s="51" t="s">
        <v>25</v>
      </c>
      <c r="X142" s="51" t="s">
        <v>25</v>
      </c>
      <c r="Y142" s="51" t="s">
        <v>25</v>
      </c>
      <c r="Z142" s="51" t="s">
        <v>25</v>
      </c>
      <c r="AA142" s="51" t="s">
        <v>25</v>
      </c>
      <c r="AB142" s="51" t="s">
        <v>25</v>
      </c>
      <c r="AC142" s="51" t="s">
        <v>25</v>
      </c>
      <c r="AD142" s="51" t="s">
        <v>25</v>
      </c>
      <c r="AE142" s="51" t="s">
        <v>25</v>
      </c>
      <c r="AF142" s="51" t="s">
        <v>25</v>
      </c>
      <c r="AG142" s="51" t="s">
        <v>25</v>
      </c>
      <c r="AH142" s="51" t="s">
        <v>25</v>
      </c>
      <c r="AI142" s="51" t="s">
        <v>25</v>
      </c>
      <c r="AJ142" s="51" t="s">
        <v>25</v>
      </c>
      <c r="AK142" s="51" t="s">
        <v>25</v>
      </c>
      <c r="AL142" s="51" t="s">
        <v>25</v>
      </c>
      <c r="AM142" s="51" t="s">
        <v>25</v>
      </c>
      <c r="AN142" s="51" t="s">
        <v>25</v>
      </c>
      <c r="AO142" s="51" t="s">
        <v>25</v>
      </c>
      <c r="AP142" s="51" t="s">
        <v>25</v>
      </c>
      <c r="AQ142" s="51" t="s">
        <v>25</v>
      </c>
      <c r="AR142" s="51" t="s">
        <v>25</v>
      </c>
      <c r="AS142" s="51" t="s">
        <v>25</v>
      </c>
      <c r="AT142" s="51" t="s">
        <v>25</v>
      </c>
      <c r="AU142" s="51" t="s">
        <v>25</v>
      </c>
      <c r="AV142" s="51" t="s">
        <v>25</v>
      </c>
      <c r="AW142" s="51" t="s">
        <v>25</v>
      </c>
      <c r="AX142" s="51" t="s">
        <v>25</v>
      </c>
      <c r="AY142" s="51" t="s">
        <v>25</v>
      </c>
      <c r="AZ142" s="51" t="s">
        <v>25</v>
      </c>
      <c r="BA142" s="51" t="s">
        <v>25</v>
      </c>
      <c r="BB142" s="51" t="s">
        <v>25</v>
      </c>
      <c r="BC142" s="51" t="s">
        <v>25</v>
      </c>
      <c r="BD142" s="51" t="s">
        <v>25</v>
      </c>
      <c r="BE142" s="51" t="s">
        <v>25</v>
      </c>
      <c r="BF142" s="51" t="s">
        <v>25</v>
      </c>
      <c r="BG142" s="51" t="s">
        <v>25</v>
      </c>
      <c r="BH142" s="51" t="s">
        <v>25</v>
      </c>
      <c r="BI142" s="51" t="s">
        <v>25</v>
      </c>
      <c r="BJ142" s="51" t="s">
        <v>25</v>
      </c>
      <c r="BK142" s="51" t="s">
        <v>25</v>
      </c>
      <c r="BL142" s="51" t="s">
        <v>25</v>
      </c>
      <c r="BM142" s="51" t="s">
        <v>25</v>
      </c>
      <c r="BN142" s="51" t="s">
        <v>25</v>
      </c>
      <c r="BO142" s="51" t="s">
        <v>25</v>
      </c>
      <c r="BP142" s="51" t="s">
        <v>25</v>
      </c>
      <c r="BQ142" s="51" t="s">
        <v>25</v>
      </c>
      <c r="BR142" s="51" t="s">
        <v>25</v>
      </c>
      <c r="BS142" s="51" t="s">
        <v>25</v>
      </c>
      <c r="BT142" s="51" t="s">
        <v>25</v>
      </c>
      <c r="BU142" s="51" t="s">
        <v>25</v>
      </c>
      <c r="BV142" s="51" t="s">
        <v>25</v>
      </c>
      <c r="BW142" s="51" t="s">
        <v>25</v>
      </c>
      <c r="BX142" s="51" t="s">
        <v>25</v>
      </c>
      <c r="BY142" s="51" t="s">
        <v>25</v>
      </c>
      <c r="BZ142" s="51" t="s">
        <v>25</v>
      </c>
      <c r="CA142" s="51" t="s">
        <v>25</v>
      </c>
      <c r="CB142" s="51" t="s">
        <v>25</v>
      </c>
      <c r="CC142" s="51" t="s">
        <v>25</v>
      </c>
      <c r="CD142" s="51" t="s">
        <v>25</v>
      </c>
      <c r="CE142" s="51" t="s">
        <v>25</v>
      </c>
      <c r="CF142" s="51" t="s">
        <v>25</v>
      </c>
      <c r="CG142" s="51" t="s">
        <v>25</v>
      </c>
      <c r="CH142" s="51" t="s">
        <v>25</v>
      </c>
      <c r="CI142" s="51" t="s">
        <v>25</v>
      </c>
      <c r="CJ142" s="51" t="s">
        <v>25</v>
      </c>
      <c r="CK142" s="51" t="s">
        <v>25</v>
      </c>
      <c r="CL142" s="51" t="s">
        <v>25</v>
      </c>
      <c r="CM142" s="51" t="s">
        <v>25</v>
      </c>
      <c r="CN142" s="51" t="s">
        <v>25</v>
      </c>
      <c r="CO142" s="51" t="s">
        <v>25</v>
      </c>
      <c r="CP142" s="51" t="s">
        <v>25</v>
      </c>
      <c r="CQ142" s="51" t="s">
        <v>25</v>
      </c>
      <c r="CR142" s="51" t="s">
        <v>25</v>
      </c>
      <c r="CS142" s="51" t="s">
        <v>25</v>
      </c>
      <c r="CT142" s="51" t="s">
        <v>25</v>
      </c>
      <c r="CU142" s="51" t="s">
        <v>25</v>
      </c>
      <c r="CV142" s="51" t="s">
        <v>25</v>
      </c>
      <c r="CW142" s="51" t="s">
        <v>25</v>
      </c>
      <c r="CX142" s="51" t="s">
        <v>25</v>
      </c>
      <c r="CY142" s="51" t="s">
        <v>25</v>
      </c>
      <c r="CZ142" s="51" t="s">
        <v>25</v>
      </c>
      <c r="DA142" s="51" t="s">
        <v>25</v>
      </c>
      <c r="DB142" s="51" t="s">
        <v>25</v>
      </c>
      <c r="DC142" s="51" t="s">
        <v>25</v>
      </c>
      <c r="DD142" s="51" t="s">
        <v>25</v>
      </c>
      <c r="DE142" s="51" t="s">
        <v>25</v>
      </c>
      <c r="DF142" s="51" t="s">
        <v>25</v>
      </c>
      <c r="DG142" s="51" t="s">
        <v>25</v>
      </c>
      <c r="DH142" s="51" t="s">
        <v>25</v>
      </c>
      <c r="DI142" s="51" t="s">
        <v>25</v>
      </c>
      <c r="DJ142" s="51" t="s">
        <v>25</v>
      </c>
      <c r="DK142" s="51" t="s">
        <v>25</v>
      </c>
      <c r="DL142" s="51" t="s">
        <v>25</v>
      </c>
      <c r="DM142" s="51" t="s">
        <v>25</v>
      </c>
      <c r="DN142" s="51" t="s">
        <v>25</v>
      </c>
      <c r="DO142" s="51" t="s">
        <v>25</v>
      </c>
      <c r="DP142" s="51" t="s">
        <v>25</v>
      </c>
      <c r="DQ142" s="51" t="s">
        <v>25</v>
      </c>
      <c r="DR142" s="51" t="s">
        <v>25</v>
      </c>
      <c r="DS142" s="51" t="s">
        <v>25</v>
      </c>
      <c r="DT142" s="51" t="s">
        <v>25</v>
      </c>
      <c r="DU142" s="51" t="s">
        <v>25</v>
      </c>
      <c r="DV142" s="51" t="s">
        <v>25</v>
      </c>
      <c r="DW142" s="51" t="s">
        <v>25</v>
      </c>
      <c r="DX142" s="51" t="s">
        <v>25</v>
      </c>
      <c r="DY142" s="51" t="s">
        <v>25</v>
      </c>
      <c r="DZ142" s="51" t="s">
        <v>25</v>
      </c>
      <c r="EA142" s="51" t="s">
        <v>25</v>
      </c>
      <c r="EB142" s="51" t="s">
        <v>25</v>
      </c>
      <c r="EC142" s="51" t="s">
        <v>25</v>
      </c>
      <c r="ED142" s="51" t="s">
        <v>25</v>
      </c>
      <c r="EE142" s="51" t="s">
        <v>25</v>
      </c>
      <c r="EF142" s="51" t="s">
        <v>25</v>
      </c>
      <c r="EG142" s="51" t="s">
        <v>25</v>
      </c>
      <c r="EH142" s="51" t="s">
        <v>25</v>
      </c>
      <c r="EI142" s="51" t="s">
        <v>25</v>
      </c>
      <c r="EJ142" s="51" t="s">
        <v>25</v>
      </c>
      <c r="EK142" s="51" t="s">
        <v>25</v>
      </c>
      <c r="EL142" s="51" t="s">
        <v>25</v>
      </c>
      <c r="EM142" s="51" t="s">
        <v>25</v>
      </c>
      <c r="EN142" s="51" t="s">
        <v>25</v>
      </c>
      <c r="EO142" s="51" t="s">
        <v>25</v>
      </c>
      <c r="EP142" s="51" t="s">
        <v>25</v>
      </c>
      <c r="EQ142" s="51" t="s">
        <v>25</v>
      </c>
      <c r="ER142" s="51" t="s">
        <v>25</v>
      </c>
      <c r="ES142" s="51" t="s">
        <v>25</v>
      </c>
      <c r="ET142" s="51" t="s">
        <v>25</v>
      </c>
      <c r="EU142" s="51" t="s">
        <v>25</v>
      </c>
      <c r="EV142" s="51" t="s">
        <v>25</v>
      </c>
      <c r="EW142" s="51" t="s">
        <v>25</v>
      </c>
      <c r="EX142" s="51" t="s">
        <v>25</v>
      </c>
      <c r="EY142" s="51" t="s">
        <v>25</v>
      </c>
      <c r="EZ142" s="51" t="s">
        <v>25</v>
      </c>
      <c r="FA142" s="51" t="s">
        <v>25</v>
      </c>
      <c r="FB142" s="51" t="s">
        <v>25</v>
      </c>
      <c r="FC142" s="51" t="s">
        <v>25</v>
      </c>
      <c r="FD142" s="51" t="s">
        <v>25</v>
      </c>
      <c r="FE142" s="51" t="s">
        <v>25</v>
      </c>
      <c r="FF142" s="51" t="s">
        <v>25</v>
      </c>
      <c r="FG142" s="51" t="s">
        <v>25</v>
      </c>
      <c r="FH142" s="51" t="s">
        <v>25</v>
      </c>
      <c r="FI142" s="51" t="s">
        <v>25</v>
      </c>
      <c r="FJ142" s="51" t="s">
        <v>25</v>
      </c>
      <c r="FK142" s="51" t="s">
        <v>25</v>
      </c>
      <c r="FL142" s="51" t="s">
        <v>25</v>
      </c>
      <c r="FM142" s="51" t="s">
        <v>25</v>
      </c>
      <c r="FN142" s="51" t="s">
        <v>25</v>
      </c>
      <c r="FO142" s="51" t="s">
        <v>25</v>
      </c>
      <c r="FP142" s="51" t="s">
        <v>25</v>
      </c>
      <c r="FQ142" s="51" t="s">
        <v>25</v>
      </c>
      <c r="FR142" s="51" t="s">
        <v>25</v>
      </c>
      <c r="FS142" s="51" t="s">
        <v>25</v>
      </c>
      <c r="FT142" s="51" t="s">
        <v>25</v>
      </c>
      <c r="FU142" s="51" t="s">
        <v>25</v>
      </c>
      <c r="FV142" s="51" t="s">
        <v>25</v>
      </c>
      <c r="FW142" s="51" t="s">
        <v>25</v>
      </c>
      <c r="FX142" s="51" t="s">
        <v>25</v>
      </c>
      <c r="FY142" s="51" t="s">
        <v>25</v>
      </c>
      <c r="FZ142" s="51" t="s">
        <v>25</v>
      </c>
      <c r="GA142" s="51" t="s">
        <v>25</v>
      </c>
      <c r="GB142" s="51" t="s">
        <v>25</v>
      </c>
      <c r="GC142" s="51" t="s">
        <v>25</v>
      </c>
      <c r="GD142" s="51" t="s">
        <v>25</v>
      </c>
      <c r="GE142" s="51" t="s">
        <v>25</v>
      </c>
      <c r="GF142" s="51" t="s">
        <v>25</v>
      </c>
      <c r="GG142" s="51" t="s">
        <v>25</v>
      </c>
      <c r="GH142" s="51" t="s">
        <v>25</v>
      </c>
      <c r="GI142" s="51" t="s">
        <v>25</v>
      </c>
      <c r="GJ142" s="51" t="s">
        <v>25</v>
      </c>
      <c r="GK142" s="51" t="s">
        <v>25</v>
      </c>
      <c r="GL142" s="51" t="s">
        <v>25</v>
      </c>
      <c r="GM142" s="51" t="s">
        <v>25</v>
      </c>
      <c r="GN142" s="51" t="s">
        <v>25</v>
      </c>
      <c r="GO142" s="51" t="s">
        <v>25</v>
      </c>
      <c r="GP142" s="51" t="s">
        <v>25</v>
      </c>
      <c r="GQ142" s="51" t="s">
        <v>25</v>
      </c>
      <c r="GR142" s="51" t="s">
        <v>25</v>
      </c>
      <c r="GS142" s="51" t="s">
        <v>25</v>
      </c>
      <c r="GT142" s="51" t="s">
        <v>25</v>
      </c>
      <c r="GU142" s="51" t="s">
        <v>25</v>
      </c>
      <c r="GV142" s="51" t="s">
        <v>25</v>
      </c>
      <c r="GW142" s="51" t="s">
        <v>25</v>
      </c>
      <c r="GX142" s="51" t="s">
        <v>25</v>
      </c>
      <c r="GY142" s="51" t="s">
        <v>25</v>
      </c>
      <c r="GZ142" s="51" t="s">
        <v>25</v>
      </c>
      <c r="HA142" s="51" t="s">
        <v>25</v>
      </c>
      <c r="HB142" s="51" t="s">
        <v>25</v>
      </c>
      <c r="HC142" s="51" t="s">
        <v>25</v>
      </c>
      <c r="HD142" s="51" t="s">
        <v>25</v>
      </c>
      <c r="HE142" s="51" t="s">
        <v>25</v>
      </c>
      <c r="HF142" s="51" t="s">
        <v>25</v>
      </c>
      <c r="HG142" s="51" t="s">
        <v>25</v>
      </c>
      <c r="HH142" s="51" t="s">
        <v>25</v>
      </c>
      <c r="HI142" s="51" t="s">
        <v>25</v>
      </c>
      <c r="HJ142" s="51" t="s">
        <v>25</v>
      </c>
      <c r="HK142" s="51" t="s">
        <v>25</v>
      </c>
      <c r="HL142" s="51" t="s">
        <v>25</v>
      </c>
      <c r="HM142" s="51" t="s">
        <v>25</v>
      </c>
      <c r="HN142" s="51" t="s">
        <v>25</v>
      </c>
      <c r="HO142" s="51" t="s">
        <v>25</v>
      </c>
      <c r="HP142" s="51" t="s">
        <v>25</v>
      </c>
      <c r="HQ142" s="51" t="s">
        <v>25</v>
      </c>
      <c r="HR142" s="51" t="s">
        <v>25</v>
      </c>
      <c r="HS142" s="51" t="s">
        <v>25</v>
      </c>
      <c r="HT142" s="51" t="s">
        <v>25</v>
      </c>
      <c r="HU142" s="51" t="s">
        <v>25</v>
      </c>
      <c r="HV142" s="51" t="s">
        <v>25</v>
      </c>
      <c r="HW142" s="51" t="s">
        <v>25</v>
      </c>
      <c r="HX142" s="51" t="s">
        <v>25</v>
      </c>
      <c r="HY142" s="51" t="s">
        <v>25</v>
      </c>
      <c r="HZ142" s="51" t="s">
        <v>25</v>
      </c>
      <c r="IA142" s="51" t="s">
        <v>25</v>
      </c>
      <c r="IB142" s="51" t="s">
        <v>25</v>
      </c>
      <c r="IC142" s="51" t="s">
        <v>25</v>
      </c>
    </row>
    <row r="143" spans="1:257">
      <c r="A143" s="4" t="s">
        <v>522</v>
      </c>
      <c r="B143" s="82" t="str">
        <f t="array" ref="B143">_xlfn.LET(
  _xlpm.dates, _xlfn._xlws.FILTER(P143:HO143, (P145:HO145&lt;&gt;"")+(P147:HO147&lt;&gt;"")),
  _xlpm.numDates, IFERROR(VALUE(_xlpm.dates), _xlpm.dates),
  _xlpm.first, TEXT(MIN(_xlpm.numDates), "m/dd"),
  _xlpm.last, TEXT(MAX(_xlpm.numDates), "m/dd"),
  _xlpm.first &amp; "~" &amp; _xlpm.last
)</f>
        <v>3/27~4/27</v>
      </c>
      <c r="C143" s="7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 t="s">
        <v>522</v>
      </c>
      <c r="P143" s="3">
        <v>46107</v>
      </c>
      <c r="Q143" s="3">
        <v>46108</v>
      </c>
      <c r="R143" s="3">
        <v>46109</v>
      </c>
      <c r="S143" s="3">
        <v>46110</v>
      </c>
      <c r="T143" s="3">
        <v>46111</v>
      </c>
      <c r="U143" s="3">
        <v>46112</v>
      </c>
      <c r="V143" s="3">
        <v>46113</v>
      </c>
      <c r="W143" s="3">
        <v>46114</v>
      </c>
      <c r="X143" s="3">
        <v>46115</v>
      </c>
      <c r="Y143" s="3">
        <v>46116</v>
      </c>
      <c r="Z143" s="3">
        <v>46117</v>
      </c>
      <c r="AA143" s="3">
        <v>46118</v>
      </c>
      <c r="AB143" s="3">
        <v>46119</v>
      </c>
      <c r="AC143" s="3">
        <v>46120</v>
      </c>
      <c r="AD143" s="3">
        <v>46121</v>
      </c>
      <c r="AE143" s="3">
        <v>46122</v>
      </c>
      <c r="AF143" s="3">
        <v>46123</v>
      </c>
      <c r="AG143" s="3">
        <v>46124</v>
      </c>
      <c r="AH143" s="3">
        <v>46125</v>
      </c>
      <c r="AI143" s="3">
        <v>46126</v>
      </c>
      <c r="AJ143" s="3">
        <v>46127</v>
      </c>
      <c r="AK143" s="3">
        <v>46128</v>
      </c>
      <c r="AL143" s="3">
        <v>46129</v>
      </c>
      <c r="AM143" s="3">
        <v>46130</v>
      </c>
      <c r="AN143" s="3">
        <v>46131</v>
      </c>
      <c r="AO143" s="3">
        <v>46132</v>
      </c>
      <c r="AP143" s="3">
        <v>46133</v>
      </c>
      <c r="AQ143" s="3">
        <v>46134</v>
      </c>
      <c r="AR143" s="3">
        <v>46135</v>
      </c>
      <c r="AS143" s="3">
        <v>46136</v>
      </c>
      <c r="AT143" s="3">
        <v>46137</v>
      </c>
      <c r="AU143" s="3">
        <v>46138</v>
      </c>
      <c r="AV143" s="3">
        <v>46139</v>
      </c>
      <c r="AW143" s="3">
        <v>46140</v>
      </c>
      <c r="AX143" s="3">
        <v>46141</v>
      </c>
      <c r="AY143" s="3">
        <v>46142</v>
      </c>
      <c r="AZ143" s="3">
        <v>46143</v>
      </c>
      <c r="BA143" s="3">
        <v>46144</v>
      </c>
      <c r="BB143" s="3">
        <v>46145</v>
      </c>
      <c r="BC143" s="3">
        <v>46146</v>
      </c>
      <c r="BD143" s="3">
        <v>46147</v>
      </c>
      <c r="BE143" s="3">
        <v>46148</v>
      </c>
      <c r="BF143" s="3">
        <v>46149</v>
      </c>
      <c r="BG143" s="3">
        <v>46150</v>
      </c>
      <c r="BH143" s="3">
        <v>46151</v>
      </c>
      <c r="BI143" s="3">
        <v>46152</v>
      </c>
      <c r="BJ143" s="3">
        <v>46153</v>
      </c>
      <c r="BK143" s="3">
        <v>46154</v>
      </c>
      <c r="BL143" s="3">
        <v>46155</v>
      </c>
      <c r="BM143" s="3">
        <v>46156</v>
      </c>
      <c r="BN143" s="3">
        <v>46157</v>
      </c>
      <c r="BO143" s="3">
        <v>46158</v>
      </c>
      <c r="BP143" s="3">
        <v>46159</v>
      </c>
      <c r="BQ143" s="3">
        <v>46160</v>
      </c>
      <c r="BR143" s="3">
        <v>46161</v>
      </c>
      <c r="BS143" s="3">
        <v>46162</v>
      </c>
      <c r="BT143" s="3">
        <v>46163</v>
      </c>
      <c r="BU143" s="3">
        <v>46164</v>
      </c>
      <c r="BV143" s="3">
        <v>46165</v>
      </c>
      <c r="BW143" s="3">
        <v>46166</v>
      </c>
      <c r="BX143" s="3">
        <v>46167</v>
      </c>
      <c r="BY143" s="3">
        <v>46168</v>
      </c>
      <c r="BZ143" s="3">
        <v>46169</v>
      </c>
      <c r="CA143" s="3">
        <v>46170</v>
      </c>
      <c r="CB143" s="3">
        <v>46171</v>
      </c>
      <c r="CC143" s="3">
        <v>46172</v>
      </c>
      <c r="CD143" s="3">
        <v>46173</v>
      </c>
      <c r="CE143" s="3">
        <v>46174</v>
      </c>
      <c r="CF143" s="3">
        <v>46175</v>
      </c>
      <c r="CG143" s="3">
        <v>46176</v>
      </c>
      <c r="CH143" s="3">
        <v>46177</v>
      </c>
      <c r="CI143" s="3">
        <v>46178</v>
      </c>
      <c r="CJ143" s="3">
        <v>46179</v>
      </c>
      <c r="CK143" s="3">
        <v>46180</v>
      </c>
      <c r="CL143" s="3">
        <v>46181</v>
      </c>
      <c r="CM143" s="3">
        <v>46182</v>
      </c>
      <c r="CN143" s="3">
        <v>46183</v>
      </c>
      <c r="CO143" s="3">
        <v>46184</v>
      </c>
      <c r="CP143" s="3">
        <v>46185</v>
      </c>
      <c r="CQ143" s="3">
        <v>46186</v>
      </c>
      <c r="CR143" s="3">
        <v>46187</v>
      </c>
      <c r="CS143" s="3">
        <v>46188</v>
      </c>
      <c r="CT143" s="3">
        <v>46189</v>
      </c>
      <c r="CU143" s="3">
        <v>46190</v>
      </c>
      <c r="CV143" s="3">
        <v>46191</v>
      </c>
      <c r="CW143" s="3">
        <v>46192</v>
      </c>
      <c r="CX143" s="3">
        <v>46193</v>
      </c>
      <c r="CY143" s="3">
        <v>46194</v>
      </c>
      <c r="CZ143" s="3">
        <v>46195</v>
      </c>
      <c r="DA143" s="3">
        <v>46196</v>
      </c>
      <c r="DB143" s="3">
        <v>46197</v>
      </c>
      <c r="DC143" s="3">
        <v>46198</v>
      </c>
      <c r="DD143" s="3">
        <v>46199</v>
      </c>
      <c r="DE143" s="3">
        <v>46200</v>
      </c>
      <c r="DF143" s="3">
        <v>46201</v>
      </c>
      <c r="DG143" s="3">
        <v>46202</v>
      </c>
      <c r="DH143" s="3">
        <v>46203</v>
      </c>
      <c r="DI143" s="3">
        <v>46204</v>
      </c>
      <c r="DJ143" s="3">
        <v>46205</v>
      </c>
      <c r="DK143" s="3">
        <v>46206</v>
      </c>
      <c r="DL143" s="3">
        <v>46207</v>
      </c>
      <c r="DM143" s="3">
        <v>46208</v>
      </c>
      <c r="DN143" s="3">
        <v>46209</v>
      </c>
      <c r="DO143" s="3">
        <v>46210</v>
      </c>
      <c r="DP143" s="3">
        <v>46211</v>
      </c>
      <c r="DQ143" s="3">
        <v>46212</v>
      </c>
      <c r="DR143" s="3">
        <v>46213</v>
      </c>
      <c r="DS143" s="3">
        <v>46214</v>
      </c>
      <c r="DT143" s="3">
        <v>46215</v>
      </c>
      <c r="DU143" s="3">
        <v>46216</v>
      </c>
      <c r="DV143" s="3">
        <v>46217</v>
      </c>
      <c r="DW143" s="3">
        <v>46218</v>
      </c>
      <c r="DX143" s="3">
        <v>46219</v>
      </c>
      <c r="DY143" s="3">
        <v>46220</v>
      </c>
      <c r="DZ143" s="3">
        <v>46221</v>
      </c>
      <c r="EA143" s="3">
        <v>46222</v>
      </c>
      <c r="EB143" s="3">
        <v>46223</v>
      </c>
      <c r="EC143" s="3">
        <v>46224</v>
      </c>
      <c r="ED143" s="3">
        <v>46225</v>
      </c>
      <c r="EE143" s="3">
        <v>46226</v>
      </c>
      <c r="EF143" s="3">
        <v>46227</v>
      </c>
      <c r="EG143" s="3">
        <v>46228</v>
      </c>
      <c r="EH143" s="3">
        <v>46229</v>
      </c>
      <c r="EI143" s="3">
        <v>46230</v>
      </c>
      <c r="EJ143" s="3">
        <v>46231</v>
      </c>
      <c r="EK143" s="3">
        <v>46232</v>
      </c>
      <c r="EL143" s="3">
        <v>46233</v>
      </c>
      <c r="EM143" s="3">
        <v>46234</v>
      </c>
      <c r="EN143" s="3">
        <v>46235</v>
      </c>
      <c r="EO143" s="3">
        <v>46236</v>
      </c>
      <c r="EP143" s="3">
        <v>46237</v>
      </c>
      <c r="EQ143" s="3">
        <v>46238</v>
      </c>
      <c r="ER143" s="3">
        <v>46239</v>
      </c>
      <c r="ES143" s="3">
        <v>46240</v>
      </c>
      <c r="ET143" s="3">
        <v>46241</v>
      </c>
      <c r="EU143" s="3">
        <v>46242</v>
      </c>
      <c r="EV143" s="3">
        <v>46243</v>
      </c>
      <c r="EW143" s="3">
        <v>46244</v>
      </c>
      <c r="EX143" s="3">
        <v>46245</v>
      </c>
      <c r="EY143" s="3">
        <v>46246</v>
      </c>
      <c r="EZ143" s="3">
        <v>46247</v>
      </c>
      <c r="FA143" s="3">
        <v>46248</v>
      </c>
      <c r="FB143" s="3">
        <v>46249</v>
      </c>
      <c r="FC143" s="3">
        <v>46250</v>
      </c>
      <c r="FD143" s="3">
        <v>46251</v>
      </c>
      <c r="FE143" s="3">
        <v>46252</v>
      </c>
      <c r="FF143" s="3">
        <v>46253</v>
      </c>
      <c r="FG143" s="3">
        <v>46254</v>
      </c>
      <c r="FH143" s="3">
        <v>46255</v>
      </c>
      <c r="FI143" s="3">
        <v>46256</v>
      </c>
      <c r="FJ143" s="3">
        <v>46257</v>
      </c>
      <c r="FK143" s="3">
        <v>46258</v>
      </c>
      <c r="FL143" s="3">
        <v>46259</v>
      </c>
      <c r="FM143" s="3">
        <v>46260</v>
      </c>
      <c r="FN143" s="3">
        <v>46261</v>
      </c>
      <c r="FO143" s="3">
        <v>46262</v>
      </c>
      <c r="FP143" s="3">
        <v>46263</v>
      </c>
      <c r="FQ143" s="3">
        <v>46264</v>
      </c>
      <c r="FR143" s="3">
        <v>46265</v>
      </c>
      <c r="FS143" s="3">
        <v>46266</v>
      </c>
      <c r="FT143" s="3">
        <v>46267</v>
      </c>
      <c r="FU143" s="3">
        <v>46268</v>
      </c>
      <c r="FV143" s="3">
        <v>46269</v>
      </c>
      <c r="FW143" s="3">
        <v>46270</v>
      </c>
      <c r="FX143" s="3">
        <v>46271</v>
      </c>
      <c r="FY143" s="3">
        <v>46272</v>
      </c>
      <c r="FZ143" s="3">
        <v>46273</v>
      </c>
      <c r="GA143" s="3">
        <v>46274</v>
      </c>
      <c r="GB143" s="3">
        <v>46275</v>
      </c>
      <c r="GC143" s="3">
        <v>46276</v>
      </c>
      <c r="GD143" s="3">
        <v>46277</v>
      </c>
      <c r="GE143" s="3">
        <v>46278</v>
      </c>
      <c r="GF143" s="3">
        <v>46279</v>
      </c>
      <c r="GG143" s="3">
        <v>46280</v>
      </c>
      <c r="GH143" s="3">
        <v>46281</v>
      </c>
      <c r="GI143" s="3">
        <v>46282</v>
      </c>
      <c r="GJ143" s="3">
        <v>46283</v>
      </c>
      <c r="GK143" s="3">
        <v>46284</v>
      </c>
      <c r="GL143" s="3">
        <v>46285</v>
      </c>
      <c r="GM143" s="3">
        <v>46286</v>
      </c>
      <c r="GN143" s="3">
        <v>46287</v>
      </c>
      <c r="GO143" s="3">
        <v>46288</v>
      </c>
      <c r="GP143" s="3">
        <v>46289</v>
      </c>
      <c r="GQ143" s="3">
        <v>46290</v>
      </c>
      <c r="GR143" s="3">
        <v>46291</v>
      </c>
      <c r="GS143" s="3">
        <v>46292</v>
      </c>
      <c r="GT143" s="3">
        <v>46293</v>
      </c>
      <c r="GU143" s="3">
        <v>46294</v>
      </c>
      <c r="GV143" s="3">
        <v>46295</v>
      </c>
      <c r="GW143" s="3">
        <v>46296</v>
      </c>
      <c r="GX143" s="3">
        <v>46297</v>
      </c>
      <c r="GY143" s="3">
        <v>46298</v>
      </c>
      <c r="GZ143" s="3">
        <v>46299</v>
      </c>
      <c r="HA143" s="3">
        <v>46300</v>
      </c>
      <c r="HB143" s="3">
        <v>46301</v>
      </c>
      <c r="HC143" s="3">
        <v>46302</v>
      </c>
      <c r="HD143" s="3">
        <v>46303</v>
      </c>
      <c r="HE143" s="3">
        <v>46304</v>
      </c>
      <c r="HF143" s="3">
        <v>46305</v>
      </c>
      <c r="HG143" s="3">
        <v>46306</v>
      </c>
      <c r="HH143" s="3">
        <v>46307</v>
      </c>
      <c r="HI143" s="3">
        <v>46308</v>
      </c>
      <c r="HJ143" s="3">
        <v>46309</v>
      </c>
      <c r="HK143" s="3">
        <v>46310</v>
      </c>
      <c r="HL143" s="3">
        <v>46311</v>
      </c>
      <c r="HM143" s="3">
        <v>46312</v>
      </c>
      <c r="HN143" s="3">
        <v>46313</v>
      </c>
      <c r="HO143" s="3">
        <v>46314</v>
      </c>
      <c r="HP143" s="3">
        <v>46315</v>
      </c>
      <c r="HQ143" s="3">
        <v>46316</v>
      </c>
      <c r="HR143" s="3">
        <v>46317</v>
      </c>
      <c r="HS143" s="3">
        <v>46318</v>
      </c>
      <c r="HT143" s="3">
        <v>46319</v>
      </c>
      <c r="HU143" s="3">
        <v>46320</v>
      </c>
      <c r="HV143" s="3">
        <v>46321</v>
      </c>
      <c r="HW143" s="3">
        <v>46322</v>
      </c>
      <c r="HX143" s="3">
        <v>46323</v>
      </c>
      <c r="HY143" s="3">
        <v>46324</v>
      </c>
      <c r="HZ143" s="3">
        <v>46325</v>
      </c>
      <c r="IA143" s="3">
        <v>46326</v>
      </c>
      <c r="IB143" s="3">
        <v>46327</v>
      </c>
      <c r="IC143" s="3">
        <v>46328</v>
      </c>
    </row>
    <row r="144" spans="1:257">
      <c r="A144" s="4" t="s">
        <v>694</v>
      </c>
      <c r="B144" s="82" t="str">
        <f t="array" ref="B144">COLUMNS(_xlfn._xlws.FILTER(P143:HO143, (P145:HO145&lt;&gt;"")+(P147:HO147&lt;&gt;""))) &amp; "場"</f>
        <v>27場</v>
      </c>
      <c r="C144" s="7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 t="s">
        <v>675</v>
      </c>
      <c r="P144" s="3" t="s">
        <v>676</v>
      </c>
      <c r="Q144" s="3" t="s">
        <v>677</v>
      </c>
      <c r="R144" s="3" t="s">
        <v>678</v>
      </c>
      <c r="S144" s="3" t="s">
        <v>679</v>
      </c>
      <c r="T144" s="3" t="s">
        <v>680</v>
      </c>
      <c r="U144" s="3" t="s">
        <v>681</v>
      </c>
      <c r="V144" s="3" t="s">
        <v>682</v>
      </c>
      <c r="W144" s="3" t="s">
        <v>676</v>
      </c>
      <c r="X144" s="3" t="s">
        <v>677</v>
      </c>
      <c r="Y144" s="3" t="s">
        <v>678</v>
      </c>
      <c r="Z144" s="3" t="s">
        <v>679</v>
      </c>
      <c r="AA144" s="3" t="s">
        <v>680</v>
      </c>
      <c r="AB144" s="3" t="s">
        <v>681</v>
      </c>
      <c r="AC144" s="3" t="s">
        <v>682</v>
      </c>
      <c r="AD144" s="3" t="s">
        <v>676</v>
      </c>
      <c r="AE144" s="3" t="s">
        <v>677</v>
      </c>
      <c r="AF144" s="3" t="s">
        <v>678</v>
      </c>
      <c r="AG144" s="3" t="s">
        <v>679</v>
      </c>
      <c r="AH144" s="3" t="s">
        <v>680</v>
      </c>
      <c r="AI144" s="3" t="s">
        <v>681</v>
      </c>
      <c r="AJ144" s="3" t="s">
        <v>682</v>
      </c>
      <c r="AK144" s="3" t="s">
        <v>676</v>
      </c>
      <c r="AL144" s="3" t="s">
        <v>677</v>
      </c>
      <c r="AM144" s="3" t="s">
        <v>678</v>
      </c>
      <c r="AN144" s="3" t="s">
        <v>679</v>
      </c>
      <c r="AO144" s="3" t="s">
        <v>680</v>
      </c>
      <c r="AP144" s="3" t="s">
        <v>681</v>
      </c>
      <c r="AQ144" s="3" t="s">
        <v>682</v>
      </c>
      <c r="AR144" s="3" t="s">
        <v>676</v>
      </c>
      <c r="AS144" s="3" t="s">
        <v>677</v>
      </c>
      <c r="AT144" s="3" t="s">
        <v>678</v>
      </c>
      <c r="AU144" s="3" t="s">
        <v>679</v>
      </c>
      <c r="AV144" s="3" t="s">
        <v>680</v>
      </c>
      <c r="AW144" s="3" t="s">
        <v>681</v>
      </c>
      <c r="AX144" s="3" t="s">
        <v>682</v>
      </c>
      <c r="AY144" s="3" t="s">
        <v>676</v>
      </c>
      <c r="AZ144" s="3" t="s">
        <v>677</v>
      </c>
      <c r="BA144" s="3" t="s">
        <v>678</v>
      </c>
      <c r="BB144" s="3" t="s">
        <v>679</v>
      </c>
      <c r="BC144" s="3" t="s">
        <v>680</v>
      </c>
      <c r="BD144" s="3" t="s">
        <v>681</v>
      </c>
      <c r="BE144" s="3" t="s">
        <v>682</v>
      </c>
      <c r="BF144" s="3" t="s">
        <v>676</v>
      </c>
      <c r="BG144" s="3" t="s">
        <v>677</v>
      </c>
      <c r="BH144" s="3" t="s">
        <v>678</v>
      </c>
      <c r="BI144" s="3" t="s">
        <v>679</v>
      </c>
      <c r="BJ144" s="3" t="s">
        <v>680</v>
      </c>
      <c r="BK144" s="3" t="s">
        <v>681</v>
      </c>
      <c r="BL144" s="3" t="s">
        <v>682</v>
      </c>
      <c r="BM144" s="3" t="s">
        <v>676</v>
      </c>
      <c r="BN144" s="3" t="s">
        <v>677</v>
      </c>
      <c r="BO144" s="3" t="s">
        <v>678</v>
      </c>
      <c r="BP144" s="3" t="s">
        <v>679</v>
      </c>
      <c r="BQ144" s="3" t="s">
        <v>680</v>
      </c>
      <c r="BR144" s="3" t="s">
        <v>681</v>
      </c>
      <c r="BS144" s="3" t="s">
        <v>682</v>
      </c>
      <c r="BT144" s="3" t="s">
        <v>676</v>
      </c>
      <c r="BU144" s="3" t="s">
        <v>677</v>
      </c>
      <c r="BV144" s="3" t="s">
        <v>678</v>
      </c>
      <c r="BW144" s="3" t="s">
        <v>679</v>
      </c>
      <c r="BX144" s="3" t="s">
        <v>680</v>
      </c>
      <c r="BY144" s="3" t="s">
        <v>681</v>
      </c>
      <c r="BZ144" s="3" t="s">
        <v>682</v>
      </c>
      <c r="CA144" s="3" t="s">
        <v>676</v>
      </c>
      <c r="CB144" s="3" t="s">
        <v>677</v>
      </c>
      <c r="CC144" s="3" t="s">
        <v>678</v>
      </c>
      <c r="CD144" s="3" t="s">
        <v>679</v>
      </c>
      <c r="CE144" s="3" t="s">
        <v>680</v>
      </c>
      <c r="CF144" s="3" t="s">
        <v>681</v>
      </c>
      <c r="CG144" s="3" t="s">
        <v>682</v>
      </c>
      <c r="CH144" s="3" t="s">
        <v>676</v>
      </c>
      <c r="CI144" s="3" t="s">
        <v>677</v>
      </c>
      <c r="CJ144" s="3" t="s">
        <v>678</v>
      </c>
      <c r="CK144" s="3" t="s">
        <v>679</v>
      </c>
      <c r="CL144" s="3" t="s">
        <v>680</v>
      </c>
      <c r="CM144" s="3" t="s">
        <v>681</v>
      </c>
      <c r="CN144" s="3" t="s">
        <v>682</v>
      </c>
      <c r="CO144" s="3" t="s">
        <v>676</v>
      </c>
      <c r="CP144" s="3" t="s">
        <v>677</v>
      </c>
      <c r="CQ144" s="3" t="s">
        <v>678</v>
      </c>
      <c r="CR144" s="3" t="s">
        <v>679</v>
      </c>
      <c r="CS144" s="3" t="s">
        <v>680</v>
      </c>
      <c r="CT144" s="3" t="s">
        <v>681</v>
      </c>
      <c r="CU144" s="3" t="s">
        <v>682</v>
      </c>
      <c r="CV144" s="3" t="s">
        <v>676</v>
      </c>
      <c r="CW144" s="3" t="s">
        <v>677</v>
      </c>
      <c r="CX144" s="3" t="s">
        <v>678</v>
      </c>
      <c r="CY144" s="3" t="s">
        <v>679</v>
      </c>
      <c r="CZ144" s="3" t="s">
        <v>680</v>
      </c>
      <c r="DA144" s="3" t="s">
        <v>681</v>
      </c>
      <c r="DB144" s="3" t="s">
        <v>682</v>
      </c>
      <c r="DC144" s="3" t="s">
        <v>676</v>
      </c>
      <c r="DD144" s="3" t="s">
        <v>677</v>
      </c>
      <c r="DE144" s="3" t="s">
        <v>678</v>
      </c>
      <c r="DF144" s="3" t="s">
        <v>679</v>
      </c>
      <c r="DG144" s="3" t="s">
        <v>680</v>
      </c>
      <c r="DH144" s="3" t="s">
        <v>681</v>
      </c>
      <c r="DI144" s="3" t="s">
        <v>682</v>
      </c>
      <c r="DJ144" s="3" t="s">
        <v>676</v>
      </c>
      <c r="DK144" s="3" t="s">
        <v>677</v>
      </c>
      <c r="DL144" s="3" t="s">
        <v>678</v>
      </c>
      <c r="DM144" s="3" t="s">
        <v>679</v>
      </c>
      <c r="DN144" s="3" t="s">
        <v>680</v>
      </c>
      <c r="DO144" s="3" t="s">
        <v>681</v>
      </c>
      <c r="DP144" s="3" t="s">
        <v>682</v>
      </c>
      <c r="DQ144" s="3" t="s">
        <v>676</v>
      </c>
      <c r="DR144" s="3" t="s">
        <v>677</v>
      </c>
      <c r="DS144" s="3" t="s">
        <v>678</v>
      </c>
      <c r="DT144" s="3" t="s">
        <v>679</v>
      </c>
      <c r="DU144" s="3" t="s">
        <v>680</v>
      </c>
      <c r="DV144" s="3" t="s">
        <v>681</v>
      </c>
      <c r="DW144" s="3" t="s">
        <v>682</v>
      </c>
      <c r="DX144" s="3" t="s">
        <v>676</v>
      </c>
      <c r="DY144" s="3" t="s">
        <v>677</v>
      </c>
      <c r="DZ144" s="3" t="s">
        <v>678</v>
      </c>
      <c r="EA144" s="3" t="s">
        <v>679</v>
      </c>
      <c r="EB144" s="3" t="s">
        <v>680</v>
      </c>
      <c r="EC144" s="3" t="s">
        <v>681</v>
      </c>
      <c r="ED144" s="3" t="s">
        <v>682</v>
      </c>
      <c r="EE144" s="3" t="s">
        <v>676</v>
      </c>
      <c r="EF144" s="3" t="s">
        <v>677</v>
      </c>
      <c r="EG144" s="3" t="s">
        <v>678</v>
      </c>
      <c r="EH144" s="3" t="s">
        <v>679</v>
      </c>
      <c r="EI144" s="3" t="s">
        <v>680</v>
      </c>
      <c r="EJ144" s="3" t="s">
        <v>681</v>
      </c>
      <c r="EK144" s="3" t="s">
        <v>682</v>
      </c>
      <c r="EL144" s="3" t="s">
        <v>676</v>
      </c>
      <c r="EM144" s="3" t="s">
        <v>677</v>
      </c>
      <c r="EN144" s="3" t="s">
        <v>678</v>
      </c>
      <c r="EO144" s="3" t="s">
        <v>679</v>
      </c>
      <c r="EP144" s="3" t="s">
        <v>680</v>
      </c>
      <c r="EQ144" s="3" t="s">
        <v>681</v>
      </c>
      <c r="ER144" s="3" t="s">
        <v>682</v>
      </c>
      <c r="ES144" s="3" t="s">
        <v>676</v>
      </c>
      <c r="ET144" s="3" t="s">
        <v>677</v>
      </c>
      <c r="EU144" s="3" t="s">
        <v>678</v>
      </c>
      <c r="EV144" s="3" t="s">
        <v>679</v>
      </c>
      <c r="EW144" s="3" t="s">
        <v>680</v>
      </c>
      <c r="EX144" s="3" t="s">
        <v>681</v>
      </c>
      <c r="EY144" s="3" t="s">
        <v>682</v>
      </c>
      <c r="EZ144" s="3" t="s">
        <v>676</v>
      </c>
      <c r="FA144" s="3" t="s">
        <v>677</v>
      </c>
      <c r="FB144" s="3" t="s">
        <v>678</v>
      </c>
      <c r="FC144" s="3" t="s">
        <v>679</v>
      </c>
      <c r="FD144" s="3" t="s">
        <v>680</v>
      </c>
      <c r="FE144" s="3" t="s">
        <v>681</v>
      </c>
      <c r="FF144" s="3" t="s">
        <v>682</v>
      </c>
      <c r="FG144" s="3" t="s">
        <v>676</v>
      </c>
      <c r="FH144" s="3" t="s">
        <v>677</v>
      </c>
      <c r="FI144" s="3" t="s">
        <v>678</v>
      </c>
      <c r="FJ144" s="3" t="s">
        <v>679</v>
      </c>
      <c r="FK144" s="3" t="s">
        <v>680</v>
      </c>
      <c r="FL144" s="3" t="s">
        <v>681</v>
      </c>
      <c r="FM144" s="3" t="s">
        <v>682</v>
      </c>
      <c r="FN144" s="3" t="s">
        <v>676</v>
      </c>
      <c r="FO144" s="3" t="s">
        <v>677</v>
      </c>
      <c r="FP144" s="3" t="s">
        <v>678</v>
      </c>
      <c r="FQ144" s="3" t="s">
        <v>679</v>
      </c>
      <c r="FR144" s="3" t="s">
        <v>680</v>
      </c>
      <c r="FS144" s="3" t="s">
        <v>681</v>
      </c>
      <c r="FT144" s="3" t="s">
        <v>682</v>
      </c>
      <c r="FU144" s="3" t="s">
        <v>676</v>
      </c>
      <c r="FV144" s="3" t="s">
        <v>677</v>
      </c>
      <c r="FW144" s="3" t="s">
        <v>678</v>
      </c>
      <c r="FX144" s="3" t="s">
        <v>679</v>
      </c>
      <c r="FY144" s="3" t="s">
        <v>680</v>
      </c>
      <c r="FZ144" s="3" t="s">
        <v>681</v>
      </c>
      <c r="GA144" s="3" t="s">
        <v>682</v>
      </c>
      <c r="GB144" s="3" t="s">
        <v>676</v>
      </c>
      <c r="GC144" s="3" t="s">
        <v>677</v>
      </c>
      <c r="GD144" s="3" t="s">
        <v>678</v>
      </c>
      <c r="GE144" s="3" t="s">
        <v>679</v>
      </c>
      <c r="GF144" s="3" t="s">
        <v>680</v>
      </c>
      <c r="GG144" s="3" t="s">
        <v>681</v>
      </c>
      <c r="GH144" s="3" t="s">
        <v>682</v>
      </c>
      <c r="GI144" s="3" t="s">
        <v>676</v>
      </c>
      <c r="GJ144" s="3" t="s">
        <v>677</v>
      </c>
      <c r="GK144" s="3" t="s">
        <v>678</v>
      </c>
      <c r="GL144" s="3" t="s">
        <v>679</v>
      </c>
      <c r="GM144" s="3" t="s">
        <v>680</v>
      </c>
      <c r="GN144" s="3" t="s">
        <v>681</v>
      </c>
      <c r="GO144" s="3" t="s">
        <v>682</v>
      </c>
      <c r="GP144" s="3" t="s">
        <v>676</v>
      </c>
      <c r="GQ144" s="3" t="s">
        <v>677</v>
      </c>
      <c r="GR144" s="3" t="s">
        <v>678</v>
      </c>
      <c r="GS144" s="3" t="s">
        <v>679</v>
      </c>
      <c r="GT144" s="3" t="s">
        <v>680</v>
      </c>
      <c r="GU144" s="3" t="s">
        <v>681</v>
      </c>
      <c r="GV144" s="3" t="s">
        <v>682</v>
      </c>
      <c r="GW144" s="3" t="s">
        <v>676</v>
      </c>
      <c r="GX144" s="3" t="s">
        <v>677</v>
      </c>
      <c r="GY144" s="3" t="s">
        <v>678</v>
      </c>
      <c r="GZ144" s="3" t="s">
        <v>679</v>
      </c>
      <c r="HA144" s="3" t="s">
        <v>680</v>
      </c>
      <c r="HB144" s="3" t="s">
        <v>681</v>
      </c>
      <c r="HC144" s="3" t="s">
        <v>682</v>
      </c>
      <c r="HD144" s="3" t="s">
        <v>676</v>
      </c>
      <c r="HE144" s="3" t="s">
        <v>677</v>
      </c>
      <c r="HF144" s="3" t="s">
        <v>678</v>
      </c>
      <c r="HG144" s="3" t="s">
        <v>679</v>
      </c>
      <c r="HH144" s="3" t="s">
        <v>680</v>
      </c>
      <c r="HI144" s="3" t="s">
        <v>681</v>
      </c>
      <c r="HJ144" s="3" t="s">
        <v>682</v>
      </c>
      <c r="HK144" s="3" t="s">
        <v>676</v>
      </c>
      <c r="HL144" s="3" t="s">
        <v>677</v>
      </c>
      <c r="HM144" s="3" t="s">
        <v>678</v>
      </c>
      <c r="HN144" s="3" t="s">
        <v>679</v>
      </c>
      <c r="HO144" s="3" t="s">
        <v>680</v>
      </c>
      <c r="HP144" s="3" t="s">
        <v>681</v>
      </c>
      <c r="HQ144" s="3" t="s">
        <v>682</v>
      </c>
      <c r="HR144" s="3" t="s">
        <v>676</v>
      </c>
      <c r="HS144" s="3" t="s">
        <v>677</v>
      </c>
      <c r="HT144" s="3" t="s">
        <v>678</v>
      </c>
      <c r="HU144" s="3" t="s">
        <v>679</v>
      </c>
      <c r="HV144" s="3" t="s">
        <v>680</v>
      </c>
      <c r="HW144" s="3" t="s">
        <v>681</v>
      </c>
      <c r="HX144" s="3" t="s">
        <v>682</v>
      </c>
      <c r="HY144" s="3" t="s">
        <v>676</v>
      </c>
      <c r="HZ144" s="3" t="s">
        <v>677</v>
      </c>
      <c r="IA144" s="3" t="s">
        <v>678</v>
      </c>
      <c r="IB144" s="3" t="s">
        <v>679</v>
      </c>
      <c r="IC144" s="3" t="s">
        <v>680</v>
      </c>
    </row>
    <row r="145" spans="1:257">
      <c r="A145" s="82" t="s">
        <v>695</v>
      </c>
      <c r="B145" s="82" t="str">
        <f>COUNTIF(P145:IC145, "W")&amp;"勝"</f>
        <v>14勝</v>
      </c>
      <c r="C145" s="82" t="str">
        <f>COUNTIF(P145:IC145, "L")&amp;"敗"</f>
        <v>13敗</v>
      </c>
      <c r="D145" s="82" t="s">
        <v>696</v>
      </c>
      <c r="E145" s="78"/>
      <c r="F145" s="82" t="s">
        <v>738</v>
      </c>
      <c r="G145" s="78"/>
      <c r="H145" s="78"/>
      <c r="I145" s="78"/>
      <c r="J145" s="78"/>
      <c r="K145" s="78"/>
      <c r="L145" s="78"/>
      <c r="M145" s="82"/>
      <c r="N145" s="78"/>
      <c r="O145" s="1" t="s">
        <v>698</v>
      </c>
      <c r="Q145" t="s">
        <v>700</v>
      </c>
      <c r="S145" t="s">
        <v>699</v>
      </c>
      <c r="T145" t="s">
        <v>699</v>
      </c>
      <c r="U145" t="s">
        <v>699</v>
      </c>
      <c r="V145" t="s">
        <v>699</v>
      </c>
      <c r="W145" t="s">
        <v>700</v>
      </c>
      <c r="Y145" t="s">
        <v>700</v>
      </c>
      <c r="Z145" t="s">
        <v>700</v>
      </c>
      <c r="AA145" t="s">
        <v>700</v>
      </c>
      <c r="AB145" t="s">
        <v>699</v>
      </c>
      <c r="AC145" t="s">
        <v>699</v>
      </c>
      <c r="AD145" t="s">
        <v>699</v>
      </c>
      <c r="AF145" t="s">
        <v>700</v>
      </c>
      <c r="AG145" t="s">
        <v>700</v>
      </c>
      <c r="AH145" t="s">
        <v>699</v>
      </c>
      <c r="AI145" t="s">
        <v>699</v>
      </c>
      <c r="AJ145" t="s">
        <v>700</v>
      </c>
      <c r="AK145" t="s">
        <v>700</v>
      </c>
      <c r="AL145" t="s">
        <v>699</v>
      </c>
      <c r="AM145" t="s">
        <v>699</v>
      </c>
      <c r="AN145" t="s">
        <v>700</v>
      </c>
      <c r="AO145" t="s">
        <v>700</v>
      </c>
      <c r="AQ145" t="s">
        <v>699</v>
      </c>
      <c r="AS145" t="s">
        <v>699</v>
      </c>
      <c r="AT145" t="s">
        <v>700</v>
      </c>
      <c r="AU145" t="s">
        <v>699</v>
      </c>
      <c r="AV145" t="s">
        <v>700</v>
      </c>
    </row>
    <row r="146" spans="1:257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1" t="s">
        <v>701</v>
      </c>
    </row>
    <row r="147" spans="1:257">
      <c r="A147" s="82" t="s">
        <v>702</v>
      </c>
      <c r="B147" s="82" t="str">
        <f>COUNTIF(P147:IC147, "O")&amp;"正"</f>
        <v>15正</v>
      </c>
      <c r="C147" s="82" t="str">
        <f>COUNTIF(P147:IC147, "X")&amp;"負"</f>
        <v>12負</v>
      </c>
      <c r="D147" s="82" t="s">
        <v>703</v>
      </c>
      <c r="E147" s="78"/>
      <c r="F147" s="82" t="s">
        <v>739</v>
      </c>
      <c r="G147" s="78"/>
      <c r="H147" s="78"/>
      <c r="I147" s="78"/>
      <c r="J147" s="78"/>
      <c r="K147" s="78"/>
      <c r="L147" s="78"/>
      <c r="M147" s="82"/>
      <c r="N147" s="78"/>
      <c r="O147" s="1" t="s">
        <v>705</v>
      </c>
      <c r="Q147" t="s">
        <v>684</v>
      </c>
      <c r="S147" t="s">
        <v>683</v>
      </c>
      <c r="T147" t="s">
        <v>683</v>
      </c>
      <c r="U147" t="s">
        <v>683</v>
      </c>
      <c r="V147" t="s">
        <v>683</v>
      </c>
      <c r="W147" t="s">
        <v>684</v>
      </c>
      <c r="Y147" t="s">
        <v>684</v>
      </c>
      <c r="Z147" t="s">
        <v>684</v>
      </c>
      <c r="AA147" t="s">
        <v>684</v>
      </c>
      <c r="AB147" t="s">
        <v>683</v>
      </c>
      <c r="AC147" t="s">
        <v>683</v>
      </c>
      <c r="AD147" t="s">
        <v>683</v>
      </c>
      <c r="AF147" t="s">
        <v>683</v>
      </c>
      <c r="AG147" t="s">
        <v>684</v>
      </c>
      <c r="AH147" t="s">
        <v>683</v>
      </c>
      <c r="AI147" t="s">
        <v>683</v>
      </c>
      <c r="AJ147" t="s">
        <v>684</v>
      </c>
      <c r="AK147" t="s">
        <v>684</v>
      </c>
      <c r="AL147" t="s">
        <v>683</v>
      </c>
      <c r="AM147" t="s">
        <v>683</v>
      </c>
      <c r="AN147" t="s">
        <v>684</v>
      </c>
      <c r="AO147" t="s">
        <v>684</v>
      </c>
      <c r="AQ147" t="s">
        <v>683</v>
      </c>
      <c r="AS147" t="s">
        <v>683</v>
      </c>
      <c r="AT147" t="s">
        <v>684</v>
      </c>
      <c r="AU147" t="s">
        <v>683</v>
      </c>
      <c r="AV147" t="s">
        <v>684</v>
      </c>
      <c r="IN147" t="str">
        <f ca="1">IFERROR(INDEX($P147:$IC147,1,_xludf.AGGREGATE(14,6,(COLUMN($P147:$IC147)-COLUMN($P147)+1)/($P147:$IC147&lt;&gt;""),1)),"")</f>
        <v/>
      </c>
      <c r="IO147" t="str">
        <f ca="1">IFERROR(INDEX($P147:$IC147,1,_xludf.AGGREGATE(14,6,(COLUMN($P147:$IC147)-COLUMN($P147)+1)/($P147:$IC147&lt;&gt;""),2)),"")</f>
        <v/>
      </c>
      <c r="IP147" t="str">
        <f ca="1">IFERROR(INDEX($P147:$IC147,1,_xludf.AGGREGATE(14,6,(COLUMN($P147:$IC147)-COLUMN($P147)+1)/($P147:$IC147&lt;&gt;""),3)),"")</f>
        <v/>
      </c>
      <c r="IQ147" t="str">
        <f ca="1">IFERROR(INDEX($P147:$IC147,1,_xludf.AGGREGATE(14,6,(COLUMN($P147:$IC147)-COLUMN($P147)+1)/($P147:$IC147&lt;&gt;""),4)),"")</f>
        <v/>
      </c>
      <c r="IR147" t="str">
        <f ca="1">IFERROR(INDEX($P147:$IC147,1,_xludf.AGGREGATE(14,6,(COLUMN($P147:$IC147)-COLUMN($P147)+1)/($P147:$IC147&lt;&gt;""),5)),"")</f>
        <v/>
      </c>
      <c r="IS147" t="str">
        <f ca="1">IFERROR(INDEX($P147:$IC147,1,_xludf.AGGREGATE(14,6,(COLUMN($P147:$IC147)-COLUMN($P147)+1)/($P147:$IC147&lt;&gt;""),6)),"")</f>
        <v/>
      </c>
      <c r="IT147" t="str">
        <f ca="1">IFERROR(INDEX($P147:$IC147,1,_xludf.AGGREGATE(14,6,(COLUMN($P147:$IC147)-COLUMN($P147)+1)/($P147:$IC147&lt;&gt;""),7)),"")</f>
        <v/>
      </c>
      <c r="IU147" t="str">
        <f ca="1">IFERROR(INDEX($P147:$IC147,1,_xludf.AGGREGATE(14,6,(COLUMN($P147:$IC147)-COLUMN($P147)+1)/($P147:$IC147&lt;&gt;""),8)),"")</f>
        <v/>
      </c>
      <c r="IV147" t="str">
        <f ca="1">IFERROR(INDEX($P147:$IC147,1,_xludf.AGGREGATE(14,6,(COLUMN($P147:$IC147)-COLUMN($P147)+1)/($P147:$IC147&lt;&gt;""),9)),"")</f>
        <v/>
      </c>
      <c r="IW147" t="str">
        <f ca="1">IFERROR(INDEX($P147:$IC147,1,_xludf.AGGREGATE(14,6,(COLUMN($P147:$IC147)-COLUMN($P147)+1)/($P147:$IC147&lt;&gt;""),10)),"")</f>
        <v/>
      </c>
    </row>
    <row r="148" spans="1:257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1" t="s">
        <v>706</v>
      </c>
    </row>
    <row r="149" spans="1:257">
      <c r="A149" s="82" t="s">
        <v>707</v>
      </c>
      <c r="B149" s="77"/>
      <c r="C149" s="77"/>
      <c r="D149" s="82" t="s">
        <v>708</v>
      </c>
      <c r="E149" s="78"/>
      <c r="F149" s="82"/>
      <c r="G149" s="78"/>
      <c r="H149" s="78"/>
      <c r="I149" s="78"/>
      <c r="J149" s="78"/>
      <c r="K149" s="78"/>
      <c r="L149" s="78"/>
      <c r="M149" s="82"/>
      <c r="N149" s="78"/>
      <c r="O149" s="1" t="s">
        <v>709</v>
      </c>
    </row>
    <row r="150" spans="1:257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1" t="s">
        <v>710</v>
      </c>
    </row>
    <row r="151" spans="1:257">
      <c r="A151" s="109" t="s">
        <v>44</v>
      </c>
      <c r="B151" s="78"/>
      <c r="C151" s="7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 t="s">
        <v>674</v>
      </c>
      <c r="P151" s="8">
        <v>1</v>
      </c>
      <c r="Q151" s="8">
        <v>2</v>
      </c>
      <c r="R151" s="8">
        <v>3</v>
      </c>
      <c r="S151" s="8">
        <v>4</v>
      </c>
      <c r="T151" s="8">
        <v>5</v>
      </c>
      <c r="U151" s="8">
        <v>6</v>
      </c>
      <c r="V151" s="8">
        <v>7</v>
      </c>
      <c r="W151" s="8">
        <v>8</v>
      </c>
      <c r="X151" s="8">
        <v>9</v>
      </c>
      <c r="Y151" s="8">
        <v>10</v>
      </c>
      <c r="Z151" s="8">
        <v>11</v>
      </c>
      <c r="AA151" s="8">
        <v>12</v>
      </c>
      <c r="AB151" s="8">
        <v>13</v>
      </c>
      <c r="AC151" s="8">
        <v>14</v>
      </c>
      <c r="AD151" s="8">
        <v>15</v>
      </c>
      <c r="AE151" s="8">
        <v>16</v>
      </c>
      <c r="AF151" s="8">
        <v>17</v>
      </c>
      <c r="AG151" s="8">
        <v>18</v>
      </c>
      <c r="AH151" s="8">
        <v>19</v>
      </c>
      <c r="AI151" s="8">
        <v>20</v>
      </c>
      <c r="AJ151" s="8">
        <v>21</v>
      </c>
      <c r="AK151" s="8">
        <v>22</v>
      </c>
      <c r="AL151" s="8">
        <v>23</v>
      </c>
      <c r="AM151" s="8">
        <v>24</v>
      </c>
      <c r="AN151" s="8">
        <v>25</v>
      </c>
      <c r="AO151" s="8">
        <v>26</v>
      </c>
      <c r="AP151" s="8">
        <v>27</v>
      </c>
      <c r="AQ151" s="8">
        <v>28</v>
      </c>
      <c r="AR151" s="8">
        <v>29</v>
      </c>
      <c r="AS151" s="8">
        <v>30</v>
      </c>
      <c r="AT151" s="8">
        <v>31</v>
      </c>
      <c r="AU151" s="8">
        <v>32</v>
      </c>
      <c r="AV151" s="8">
        <v>33</v>
      </c>
      <c r="AW151" s="8">
        <v>34</v>
      </c>
      <c r="AX151" s="8">
        <v>35</v>
      </c>
      <c r="AY151" s="8">
        <v>36</v>
      </c>
      <c r="AZ151" s="8">
        <v>37</v>
      </c>
      <c r="BA151" s="8">
        <v>38</v>
      </c>
      <c r="BB151" s="8">
        <v>39</v>
      </c>
      <c r="BC151" s="8">
        <v>40</v>
      </c>
      <c r="BD151" s="8">
        <v>41</v>
      </c>
      <c r="BE151" s="8">
        <v>42</v>
      </c>
      <c r="BF151" s="8">
        <v>43</v>
      </c>
      <c r="BG151" s="8">
        <v>44</v>
      </c>
      <c r="BH151" s="8">
        <v>45</v>
      </c>
      <c r="BI151" s="8">
        <v>46</v>
      </c>
      <c r="BJ151" s="8">
        <v>47</v>
      </c>
      <c r="BK151" s="8">
        <v>48</v>
      </c>
      <c r="BL151" s="8">
        <v>49</v>
      </c>
      <c r="BM151" s="8">
        <v>50</v>
      </c>
      <c r="BN151" s="8">
        <v>51</v>
      </c>
      <c r="BO151" s="8">
        <v>52</v>
      </c>
      <c r="BP151" s="8">
        <v>53</v>
      </c>
      <c r="BQ151" s="8">
        <v>54</v>
      </c>
      <c r="BR151" s="8">
        <v>55</v>
      </c>
      <c r="BS151" s="8">
        <v>56</v>
      </c>
      <c r="BT151" s="8">
        <v>57</v>
      </c>
      <c r="BU151" s="8">
        <v>58</v>
      </c>
      <c r="BV151" s="8">
        <v>59</v>
      </c>
      <c r="BW151" s="8">
        <v>60</v>
      </c>
      <c r="BX151" s="8">
        <v>61</v>
      </c>
      <c r="BY151" s="8">
        <v>62</v>
      </c>
      <c r="BZ151" s="8">
        <v>63</v>
      </c>
      <c r="CA151" s="8">
        <v>64</v>
      </c>
      <c r="CB151" s="8">
        <v>65</v>
      </c>
      <c r="CC151" s="8">
        <v>66</v>
      </c>
      <c r="CD151" s="8">
        <v>67</v>
      </c>
      <c r="CE151" s="8">
        <v>68</v>
      </c>
      <c r="CF151" s="8">
        <v>69</v>
      </c>
      <c r="CG151" s="8">
        <v>70</v>
      </c>
      <c r="CH151" s="8">
        <v>71</v>
      </c>
      <c r="CI151" s="8">
        <v>72</v>
      </c>
      <c r="CJ151" s="8">
        <v>73</v>
      </c>
      <c r="CK151" s="8">
        <v>74</v>
      </c>
      <c r="CL151" s="8">
        <v>75</v>
      </c>
      <c r="CM151" s="8">
        <v>76</v>
      </c>
      <c r="CN151" s="8">
        <v>77</v>
      </c>
      <c r="CO151" s="8">
        <v>78</v>
      </c>
      <c r="CP151" s="8">
        <v>79</v>
      </c>
      <c r="CQ151" s="8">
        <v>80</v>
      </c>
      <c r="CR151" s="8">
        <v>81</v>
      </c>
      <c r="CS151" s="8">
        <v>82</v>
      </c>
      <c r="CT151" s="8">
        <v>83</v>
      </c>
      <c r="CU151" s="8">
        <v>84</v>
      </c>
      <c r="CV151" s="8">
        <v>85</v>
      </c>
      <c r="CW151" s="8">
        <v>86</v>
      </c>
      <c r="CX151" s="8">
        <v>87</v>
      </c>
      <c r="CY151" s="8">
        <v>88</v>
      </c>
      <c r="CZ151" s="8">
        <v>89</v>
      </c>
      <c r="DA151" s="8">
        <v>90</v>
      </c>
      <c r="DB151" s="8">
        <v>91</v>
      </c>
      <c r="DC151" s="8">
        <v>92</v>
      </c>
      <c r="DD151" s="8">
        <v>93</v>
      </c>
      <c r="DE151" s="8">
        <v>94</v>
      </c>
      <c r="DF151" s="8">
        <v>95</v>
      </c>
      <c r="DG151" s="8">
        <v>96</v>
      </c>
      <c r="DH151" s="8">
        <v>97</v>
      </c>
      <c r="DI151" s="8">
        <v>98</v>
      </c>
      <c r="DJ151" s="8">
        <v>99</v>
      </c>
      <c r="DK151" s="8">
        <v>100</v>
      </c>
      <c r="DL151" s="8">
        <v>101</v>
      </c>
      <c r="DM151" s="8">
        <v>102</v>
      </c>
      <c r="DN151" s="8">
        <v>103</v>
      </c>
      <c r="DO151" s="8">
        <v>104</v>
      </c>
      <c r="DP151" s="8">
        <v>105</v>
      </c>
      <c r="DQ151" s="8">
        <v>106</v>
      </c>
      <c r="DR151" s="8">
        <v>107</v>
      </c>
      <c r="DS151" s="8">
        <v>108</v>
      </c>
      <c r="DT151" s="8">
        <v>109</v>
      </c>
      <c r="DU151" s="8">
        <v>110</v>
      </c>
      <c r="DV151" s="8">
        <v>111</v>
      </c>
      <c r="DW151" s="8">
        <v>112</v>
      </c>
      <c r="DX151" s="8">
        <v>113</v>
      </c>
      <c r="DY151" s="8">
        <v>114</v>
      </c>
      <c r="DZ151" s="8">
        <v>115</v>
      </c>
      <c r="EA151" s="8">
        <v>116</v>
      </c>
      <c r="EB151" s="8">
        <v>117</v>
      </c>
      <c r="EC151" s="8">
        <v>118</v>
      </c>
      <c r="ED151" s="8">
        <v>119</v>
      </c>
      <c r="EE151" s="8">
        <v>120</v>
      </c>
      <c r="EF151" s="8">
        <v>121</v>
      </c>
      <c r="EG151" s="8">
        <v>122</v>
      </c>
      <c r="EH151" s="8">
        <v>123</v>
      </c>
      <c r="EI151" s="8">
        <v>124</v>
      </c>
      <c r="EJ151" s="8">
        <v>125</v>
      </c>
      <c r="EK151" s="8">
        <v>126</v>
      </c>
      <c r="EL151" s="8">
        <v>127</v>
      </c>
      <c r="EM151" s="8">
        <v>128</v>
      </c>
      <c r="EN151" s="8">
        <v>129</v>
      </c>
      <c r="EO151" s="8">
        <v>130</v>
      </c>
      <c r="EP151" s="8">
        <v>131</v>
      </c>
      <c r="EQ151" s="8">
        <v>132</v>
      </c>
      <c r="ER151" s="8">
        <v>133</v>
      </c>
      <c r="ES151" s="8">
        <v>134</v>
      </c>
      <c r="ET151" s="8">
        <v>135</v>
      </c>
      <c r="EU151" s="8">
        <v>136</v>
      </c>
      <c r="EV151" s="8">
        <v>137</v>
      </c>
      <c r="EW151" s="8">
        <v>138</v>
      </c>
      <c r="EX151" s="8">
        <v>139</v>
      </c>
      <c r="EY151" s="8">
        <v>140</v>
      </c>
      <c r="EZ151" s="8">
        <v>141</v>
      </c>
      <c r="FA151" s="8">
        <v>142</v>
      </c>
      <c r="FB151" s="8">
        <v>143</v>
      </c>
      <c r="FC151" s="8">
        <v>144</v>
      </c>
      <c r="FD151" s="8">
        <v>145</v>
      </c>
      <c r="FE151" s="8">
        <v>146</v>
      </c>
      <c r="FF151" s="8">
        <v>147</v>
      </c>
      <c r="FG151" s="8">
        <v>148</v>
      </c>
      <c r="FH151" s="8">
        <v>149</v>
      </c>
      <c r="FI151" s="8">
        <v>150</v>
      </c>
      <c r="FJ151" s="8">
        <v>151</v>
      </c>
      <c r="FK151" s="8">
        <v>152</v>
      </c>
      <c r="FL151" s="8">
        <v>153</v>
      </c>
      <c r="FM151" s="8">
        <v>154</v>
      </c>
      <c r="FN151" s="8">
        <v>155</v>
      </c>
      <c r="FO151" s="8">
        <v>156</v>
      </c>
      <c r="FP151" s="8">
        <v>157</v>
      </c>
      <c r="FQ151" s="8">
        <v>158</v>
      </c>
      <c r="FR151" s="8">
        <v>159</v>
      </c>
      <c r="FS151" s="8">
        <v>160</v>
      </c>
      <c r="FT151" s="8">
        <v>161</v>
      </c>
      <c r="FU151" s="8">
        <v>162</v>
      </c>
      <c r="FV151" s="8">
        <v>163</v>
      </c>
      <c r="FW151" s="8">
        <v>164</v>
      </c>
      <c r="FX151" s="8">
        <v>165</v>
      </c>
      <c r="FY151" s="8">
        <v>166</v>
      </c>
      <c r="FZ151" s="8">
        <v>167</v>
      </c>
      <c r="GA151" s="8">
        <v>168</v>
      </c>
      <c r="GB151" s="8">
        <v>169</v>
      </c>
      <c r="GC151" s="8">
        <v>170</v>
      </c>
      <c r="GD151" s="8">
        <v>171</v>
      </c>
      <c r="GE151" s="8">
        <v>172</v>
      </c>
      <c r="GF151" s="8">
        <v>173</v>
      </c>
      <c r="GG151" s="8">
        <v>174</v>
      </c>
      <c r="GH151" s="8">
        <v>175</v>
      </c>
      <c r="GI151" s="8">
        <v>176</v>
      </c>
      <c r="GJ151" s="8">
        <v>177</v>
      </c>
      <c r="GK151" s="8">
        <v>178</v>
      </c>
      <c r="GL151" s="8">
        <v>179</v>
      </c>
      <c r="GM151" s="8">
        <v>180</v>
      </c>
      <c r="GN151" s="8">
        <v>181</v>
      </c>
      <c r="GO151" s="8">
        <v>182</v>
      </c>
      <c r="GP151" s="8">
        <v>183</v>
      </c>
      <c r="GQ151" s="8">
        <v>184</v>
      </c>
      <c r="GR151" s="8">
        <v>185</v>
      </c>
      <c r="GS151" s="8">
        <v>186</v>
      </c>
      <c r="GT151" s="8">
        <v>187</v>
      </c>
      <c r="GU151" s="8">
        <v>188</v>
      </c>
      <c r="GV151" s="8">
        <v>189</v>
      </c>
      <c r="GW151" s="8">
        <v>190</v>
      </c>
      <c r="GX151" s="8">
        <v>191</v>
      </c>
      <c r="GY151" s="8">
        <v>192</v>
      </c>
      <c r="GZ151" s="8">
        <v>193</v>
      </c>
      <c r="HA151" s="8">
        <v>194</v>
      </c>
      <c r="HB151" s="8">
        <v>195</v>
      </c>
      <c r="HC151" s="8">
        <v>196</v>
      </c>
      <c r="HD151" s="8">
        <v>197</v>
      </c>
      <c r="HE151" s="8">
        <v>198</v>
      </c>
      <c r="HF151" s="8">
        <v>199</v>
      </c>
      <c r="HG151" s="8">
        <v>200</v>
      </c>
      <c r="HH151" s="8">
        <v>201</v>
      </c>
      <c r="HI151" s="8">
        <v>202</v>
      </c>
      <c r="HJ151" s="8">
        <v>203</v>
      </c>
      <c r="HK151" s="8">
        <v>204</v>
      </c>
      <c r="HL151" s="8">
        <v>205</v>
      </c>
      <c r="HM151" s="8">
        <v>206</v>
      </c>
      <c r="HN151" s="8">
        <v>207</v>
      </c>
      <c r="HO151" s="8">
        <v>208</v>
      </c>
      <c r="HP151" s="8">
        <v>209</v>
      </c>
      <c r="HQ151" s="8">
        <v>210</v>
      </c>
      <c r="HR151" s="8">
        <v>211</v>
      </c>
      <c r="HS151" s="8">
        <v>212</v>
      </c>
      <c r="HT151" s="8">
        <v>213</v>
      </c>
      <c r="HU151" s="8">
        <v>214</v>
      </c>
      <c r="HV151" s="8">
        <v>215</v>
      </c>
      <c r="HW151" s="8">
        <v>216</v>
      </c>
      <c r="HX151" s="8">
        <v>217</v>
      </c>
      <c r="HY151" s="8">
        <v>218</v>
      </c>
      <c r="HZ151" s="8">
        <v>219</v>
      </c>
      <c r="IA151" s="8">
        <v>220</v>
      </c>
      <c r="IB151" s="8">
        <v>221</v>
      </c>
      <c r="IC151" s="8">
        <v>222</v>
      </c>
    </row>
    <row r="152" spans="1:257">
      <c r="A152" s="78"/>
      <c r="B152" s="78"/>
      <c r="C152" s="7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7"/>
      <c r="P152" s="50" t="s">
        <v>44</v>
      </c>
      <c r="Q152" s="50" t="s">
        <v>44</v>
      </c>
      <c r="R152" s="50" t="s">
        <v>44</v>
      </c>
      <c r="S152" s="50" t="s">
        <v>44</v>
      </c>
      <c r="T152" s="50" t="s">
        <v>44</v>
      </c>
      <c r="U152" s="50" t="s">
        <v>44</v>
      </c>
      <c r="V152" s="50" t="s">
        <v>44</v>
      </c>
      <c r="W152" s="50" t="s">
        <v>44</v>
      </c>
      <c r="X152" s="50" t="s">
        <v>44</v>
      </c>
      <c r="Y152" s="50" t="s">
        <v>44</v>
      </c>
      <c r="Z152" s="50" t="s">
        <v>44</v>
      </c>
      <c r="AA152" s="50" t="s">
        <v>44</v>
      </c>
      <c r="AB152" s="50" t="s">
        <v>44</v>
      </c>
      <c r="AC152" s="50" t="s">
        <v>44</v>
      </c>
      <c r="AD152" s="50" t="s">
        <v>44</v>
      </c>
      <c r="AE152" s="50" t="s">
        <v>44</v>
      </c>
      <c r="AF152" s="50" t="s">
        <v>44</v>
      </c>
      <c r="AG152" s="50" t="s">
        <v>44</v>
      </c>
      <c r="AH152" s="50" t="s">
        <v>44</v>
      </c>
      <c r="AI152" s="50" t="s">
        <v>44</v>
      </c>
      <c r="AJ152" s="50" t="s">
        <v>44</v>
      </c>
      <c r="AK152" s="50" t="s">
        <v>44</v>
      </c>
      <c r="AL152" s="50" t="s">
        <v>44</v>
      </c>
      <c r="AM152" s="50" t="s">
        <v>44</v>
      </c>
      <c r="AN152" s="50" t="s">
        <v>44</v>
      </c>
      <c r="AO152" s="50" t="s">
        <v>44</v>
      </c>
      <c r="AP152" s="50" t="s">
        <v>44</v>
      </c>
      <c r="AQ152" s="50" t="s">
        <v>44</v>
      </c>
      <c r="AR152" s="50" t="s">
        <v>44</v>
      </c>
      <c r="AS152" s="50" t="s">
        <v>44</v>
      </c>
      <c r="AT152" s="50" t="s">
        <v>44</v>
      </c>
      <c r="AU152" s="50" t="s">
        <v>44</v>
      </c>
      <c r="AV152" s="50" t="s">
        <v>44</v>
      </c>
      <c r="AW152" s="50" t="s">
        <v>44</v>
      </c>
      <c r="AX152" s="50" t="s">
        <v>44</v>
      </c>
      <c r="AY152" s="50" t="s">
        <v>44</v>
      </c>
      <c r="AZ152" s="50" t="s">
        <v>44</v>
      </c>
      <c r="BA152" s="50" t="s">
        <v>44</v>
      </c>
      <c r="BB152" s="50" t="s">
        <v>44</v>
      </c>
      <c r="BC152" s="50" t="s">
        <v>44</v>
      </c>
      <c r="BD152" s="50" t="s">
        <v>44</v>
      </c>
      <c r="BE152" s="50" t="s">
        <v>44</v>
      </c>
      <c r="BF152" s="50" t="s">
        <v>44</v>
      </c>
      <c r="BG152" s="50" t="s">
        <v>44</v>
      </c>
      <c r="BH152" s="50" t="s">
        <v>44</v>
      </c>
      <c r="BI152" s="50" t="s">
        <v>44</v>
      </c>
      <c r="BJ152" s="50" t="s">
        <v>44</v>
      </c>
      <c r="BK152" s="50" t="s">
        <v>44</v>
      </c>
      <c r="BL152" s="50" t="s">
        <v>44</v>
      </c>
      <c r="BM152" s="50" t="s">
        <v>44</v>
      </c>
      <c r="BN152" s="50" t="s">
        <v>44</v>
      </c>
      <c r="BO152" s="50" t="s">
        <v>44</v>
      </c>
      <c r="BP152" s="50" t="s">
        <v>44</v>
      </c>
      <c r="BQ152" s="50" t="s">
        <v>44</v>
      </c>
      <c r="BR152" s="50" t="s">
        <v>44</v>
      </c>
      <c r="BS152" s="50" t="s">
        <v>44</v>
      </c>
      <c r="BT152" s="50" t="s">
        <v>44</v>
      </c>
      <c r="BU152" s="50" t="s">
        <v>44</v>
      </c>
      <c r="BV152" s="50" t="s">
        <v>44</v>
      </c>
      <c r="BW152" s="50" t="s">
        <v>44</v>
      </c>
      <c r="BX152" s="50" t="s">
        <v>44</v>
      </c>
      <c r="BY152" s="50" t="s">
        <v>44</v>
      </c>
      <c r="BZ152" s="50" t="s">
        <v>44</v>
      </c>
      <c r="CA152" s="50" t="s">
        <v>44</v>
      </c>
      <c r="CB152" s="50" t="s">
        <v>44</v>
      </c>
      <c r="CC152" s="50" t="s">
        <v>44</v>
      </c>
      <c r="CD152" s="50" t="s">
        <v>44</v>
      </c>
      <c r="CE152" s="50" t="s">
        <v>44</v>
      </c>
      <c r="CF152" s="50" t="s">
        <v>44</v>
      </c>
      <c r="CG152" s="50" t="s">
        <v>44</v>
      </c>
      <c r="CH152" s="50" t="s">
        <v>44</v>
      </c>
      <c r="CI152" s="50" t="s">
        <v>44</v>
      </c>
      <c r="CJ152" s="50" t="s">
        <v>44</v>
      </c>
      <c r="CK152" s="50" t="s">
        <v>44</v>
      </c>
      <c r="CL152" s="50" t="s">
        <v>44</v>
      </c>
      <c r="CM152" s="50" t="s">
        <v>44</v>
      </c>
      <c r="CN152" s="50" t="s">
        <v>44</v>
      </c>
      <c r="CO152" s="50" t="s">
        <v>44</v>
      </c>
      <c r="CP152" s="50" t="s">
        <v>44</v>
      </c>
      <c r="CQ152" s="50" t="s">
        <v>44</v>
      </c>
      <c r="CR152" s="50" t="s">
        <v>44</v>
      </c>
      <c r="CS152" s="50" t="s">
        <v>44</v>
      </c>
      <c r="CT152" s="50" t="s">
        <v>44</v>
      </c>
      <c r="CU152" s="50" t="s">
        <v>44</v>
      </c>
      <c r="CV152" s="50" t="s">
        <v>44</v>
      </c>
      <c r="CW152" s="50" t="s">
        <v>44</v>
      </c>
      <c r="CX152" s="50" t="s">
        <v>44</v>
      </c>
      <c r="CY152" s="50" t="s">
        <v>44</v>
      </c>
      <c r="CZ152" s="50" t="s">
        <v>44</v>
      </c>
      <c r="DA152" s="50" t="s">
        <v>44</v>
      </c>
      <c r="DB152" s="50" t="s">
        <v>44</v>
      </c>
      <c r="DC152" s="50" t="s">
        <v>44</v>
      </c>
      <c r="DD152" s="50" t="s">
        <v>44</v>
      </c>
      <c r="DE152" s="50" t="s">
        <v>44</v>
      </c>
      <c r="DF152" s="50" t="s">
        <v>44</v>
      </c>
      <c r="DG152" s="50" t="s">
        <v>44</v>
      </c>
      <c r="DH152" s="50" t="s">
        <v>44</v>
      </c>
      <c r="DI152" s="50" t="s">
        <v>44</v>
      </c>
      <c r="DJ152" s="50" t="s">
        <v>44</v>
      </c>
      <c r="DK152" s="50" t="s">
        <v>44</v>
      </c>
      <c r="DL152" s="50" t="s">
        <v>44</v>
      </c>
      <c r="DM152" s="50" t="s">
        <v>44</v>
      </c>
      <c r="DN152" s="50" t="s">
        <v>44</v>
      </c>
      <c r="DO152" s="50" t="s">
        <v>44</v>
      </c>
      <c r="DP152" s="50" t="s">
        <v>44</v>
      </c>
      <c r="DQ152" s="50" t="s">
        <v>44</v>
      </c>
      <c r="DR152" s="50" t="s">
        <v>44</v>
      </c>
      <c r="DS152" s="50" t="s">
        <v>44</v>
      </c>
      <c r="DT152" s="50" t="s">
        <v>44</v>
      </c>
      <c r="DU152" s="50" t="s">
        <v>44</v>
      </c>
      <c r="DV152" s="50" t="s">
        <v>44</v>
      </c>
      <c r="DW152" s="50" t="s">
        <v>44</v>
      </c>
      <c r="DX152" s="50" t="s">
        <v>44</v>
      </c>
      <c r="DY152" s="50" t="s">
        <v>44</v>
      </c>
      <c r="DZ152" s="50" t="s">
        <v>44</v>
      </c>
      <c r="EA152" s="50" t="s">
        <v>44</v>
      </c>
      <c r="EB152" s="50" t="s">
        <v>44</v>
      </c>
      <c r="EC152" s="50" t="s">
        <v>44</v>
      </c>
      <c r="ED152" s="50" t="s">
        <v>44</v>
      </c>
      <c r="EE152" s="50" t="s">
        <v>44</v>
      </c>
      <c r="EF152" s="50" t="s">
        <v>44</v>
      </c>
      <c r="EG152" s="50" t="s">
        <v>44</v>
      </c>
      <c r="EH152" s="50" t="s">
        <v>44</v>
      </c>
      <c r="EI152" s="50" t="s">
        <v>44</v>
      </c>
      <c r="EJ152" s="50" t="s">
        <v>44</v>
      </c>
      <c r="EK152" s="50" t="s">
        <v>44</v>
      </c>
      <c r="EL152" s="50" t="s">
        <v>44</v>
      </c>
      <c r="EM152" s="50" t="s">
        <v>44</v>
      </c>
      <c r="EN152" s="50" t="s">
        <v>44</v>
      </c>
      <c r="EO152" s="50" t="s">
        <v>44</v>
      </c>
      <c r="EP152" s="50" t="s">
        <v>44</v>
      </c>
      <c r="EQ152" s="50" t="s">
        <v>44</v>
      </c>
      <c r="ER152" s="50" t="s">
        <v>44</v>
      </c>
      <c r="ES152" s="50" t="s">
        <v>44</v>
      </c>
      <c r="ET152" s="50" t="s">
        <v>44</v>
      </c>
      <c r="EU152" s="50" t="s">
        <v>44</v>
      </c>
      <c r="EV152" s="50" t="s">
        <v>44</v>
      </c>
      <c r="EW152" s="50" t="s">
        <v>44</v>
      </c>
      <c r="EX152" s="50" t="s">
        <v>44</v>
      </c>
      <c r="EY152" s="50" t="s">
        <v>44</v>
      </c>
      <c r="EZ152" s="50" t="s">
        <v>44</v>
      </c>
      <c r="FA152" s="50" t="s">
        <v>44</v>
      </c>
      <c r="FB152" s="50" t="s">
        <v>44</v>
      </c>
      <c r="FC152" s="50" t="s">
        <v>44</v>
      </c>
      <c r="FD152" s="50" t="s">
        <v>44</v>
      </c>
      <c r="FE152" s="50" t="s">
        <v>44</v>
      </c>
      <c r="FF152" s="50" t="s">
        <v>44</v>
      </c>
      <c r="FG152" s="50" t="s">
        <v>44</v>
      </c>
      <c r="FH152" s="50" t="s">
        <v>44</v>
      </c>
      <c r="FI152" s="50" t="s">
        <v>44</v>
      </c>
      <c r="FJ152" s="50" t="s">
        <v>44</v>
      </c>
      <c r="FK152" s="50" t="s">
        <v>44</v>
      </c>
      <c r="FL152" s="50" t="s">
        <v>44</v>
      </c>
      <c r="FM152" s="50" t="s">
        <v>44</v>
      </c>
      <c r="FN152" s="50" t="s">
        <v>44</v>
      </c>
      <c r="FO152" s="50" t="s">
        <v>44</v>
      </c>
      <c r="FP152" s="50" t="s">
        <v>44</v>
      </c>
      <c r="FQ152" s="50" t="s">
        <v>44</v>
      </c>
      <c r="FR152" s="50" t="s">
        <v>44</v>
      </c>
      <c r="FS152" s="50" t="s">
        <v>44</v>
      </c>
      <c r="FT152" s="50" t="s">
        <v>44</v>
      </c>
      <c r="FU152" s="50" t="s">
        <v>44</v>
      </c>
      <c r="FV152" s="50" t="s">
        <v>44</v>
      </c>
      <c r="FW152" s="50" t="s">
        <v>44</v>
      </c>
      <c r="FX152" s="50" t="s">
        <v>44</v>
      </c>
      <c r="FY152" s="50" t="s">
        <v>44</v>
      </c>
      <c r="FZ152" s="50" t="s">
        <v>44</v>
      </c>
      <c r="GA152" s="50" t="s">
        <v>44</v>
      </c>
      <c r="GB152" s="50" t="s">
        <v>44</v>
      </c>
      <c r="GC152" s="50" t="s">
        <v>44</v>
      </c>
      <c r="GD152" s="50" t="s">
        <v>44</v>
      </c>
      <c r="GE152" s="50" t="s">
        <v>44</v>
      </c>
      <c r="GF152" s="50" t="s">
        <v>44</v>
      </c>
      <c r="GG152" s="50" t="s">
        <v>44</v>
      </c>
      <c r="GH152" s="50" t="s">
        <v>44</v>
      </c>
      <c r="GI152" s="50" t="s">
        <v>44</v>
      </c>
      <c r="GJ152" s="50" t="s">
        <v>44</v>
      </c>
      <c r="GK152" s="50" t="s">
        <v>44</v>
      </c>
      <c r="GL152" s="50" t="s">
        <v>44</v>
      </c>
      <c r="GM152" s="50" t="s">
        <v>44</v>
      </c>
      <c r="GN152" s="50" t="s">
        <v>44</v>
      </c>
      <c r="GO152" s="50" t="s">
        <v>44</v>
      </c>
      <c r="GP152" s="50" t="s">
        <v>44</v>
      </c>
      <c r="GQ152" s="50" t="s">
        <v>44</v>
      </c>
      <c r="GR152" s="50" t="s">
        <v>44</v>
      </c>
      <c r="GS152" s="50" t="s">
        <v>44</v>
      </c>
      <c r="GT152" s="50" t="s">
        <v>44</v>
      </c>
      <c r="GU152" s="50" t="s">
        <v>44</v>
      </c>
      <c r="GV152" s="50" t="s">
        <v>44</v>
      </c>
      <c r="GW152" s="50" t="s">
        <v>44</v>
      </c>
      <c r="GX152" s="50" t="s">
        <v>44</v>
      </c>
      <c r="GY152" s="50" t="s">
        <v>44</v>
      </c>
      <c r="GZ152" s="50" t="s">
        <v>44</v>
      </c>
      <c r="HA152" s="50" t="s">
        <v>44</v>
      </c>
      <c r="HB152" s="50" t="s">
        <v>44</v>
      </c>
      <c r="HC152" s="50" t="s">
        <v>44</v>
      </c>
      <c r="HD152" s="50" t="s">
        <v>44</v>
      </c>
      <c r="HE152" s="50" t="s">
        <v>44</v>
      </c>
      <c r="HF152" s="50" t="s">
        <v>44</v>
      </c>
      <c r="HG152" s="50" t="s">
        <v>44</v>
      </c>
      <c r="HH152" s="50" t="s">
        <v>44</v>
      </c>
      <c r="HI152" s="50" t="s">
        <v>44</v>
      </c>
      <c r="HJ152" s="50" t="s">
        <v>44</v>
      </c>
      <c r="HK152" s="50" t="s">
        <v>44</v>
      </c>
      <c r="HL152" s="50" t="s">
        <v>44</v>
      </c>
      <c r="HM152" s="50" t="s">
        <v>44</v>
      </c>
      <c r="HN152" s="50" t="s">
        <v>44</v>
      </c>
      <c r="HO152" s="50" t="s">
        <v>44</v>
      </c>
      <c r="HP152" s="50" t="s">
        <v>44</v>
      </c>
      <c r="HQ152" s="50" t="s">
        <v>44</v>
      </c>
      <c r="HR152" s="50" t="s">
        <v>44</v>
      </c>
      <c r="HS152" s="50" t="s">
        <v>44</v>
      </c>
      <c r="HT152" s="50" t="s">
        <v>44</v>
      </c>
      <c r="HU152" s="50" t="s">
        <v>44</v>
      </c>
      <c r="HV152" s="50" t="s">
        <v>44</v>
      </c>
      <c r="HW152" s="50" t="s">
        <v>44</v>
      </c>
      <c r="HX152" s="50" t="s">
        <v>44</v>
      </c>
      <c r="HY152" s="50" t="s">
        <v>44</v>
      </c>
      <c r="HZ152" s="50" t="s">
        <v>44</v>
      </c>
      <c r="IA152" s="50" t="s">
        <v>44</v>
      </c>
      <c r="IB152" s="50" t="s">
        <v>44</v>
      </c>
      <c r="IC152" s="50" t="s">
        <v>44</v>
      </c>
    </row>
    <row r="153" spans="1:257">
      <c r="A153" s="4" t="s">
        <v>522</v>
      </c>
      <c r="B153" s="82" t="str">
        <f t="array" ref="B153">_xlfn.LET(
  _xlpm.dates, _xlfn._xlws.FILTER(P153:HO153, (P155:HO155&lt;&gt;"")+(P157:HO157&lt;&gt;"")),
  _xlpm.numDates, IFERROR(VALUE(_xlpm.dates), _xlpm.dates),
  _xlpm.first, TEXT(MIN(_xlpm.numDates), "m/dd"),
  _xlpm.last, TEXT(MAX(_xlpm.numDates), "m/dd"),
  _xlpm.first &amp; "~" &amp; _xlpm.last
)</f>
        <v>3/28~4/27</v>
      </c>
      <c r="C153" s="7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 t="s">
        <v>522</v>
      </c>
      <c r="P153" s="3">
        <v>46107</v>
      </c>
      <c r="Q153" s="3">
        <v>46108</v>
      </c>
      <c r="R153" s="3">
        <v>46109</v>
      </c>
      <c r="S153" s="3">
        <v>46110</v>
      </c>
      <c r="T153" s="3">
        <v>46111</v>
      </c>
      <c r="U153" s="3">
        <v>46112</v>
      </c>
      <c r="V153" s="3">
        <v>46113</v>
      </c>
      <c r="W153" s="3">
        <v>46114</v>
      </c>
      <c r="X153" s="3">
        <v>46115</v>
      </c>
      <c r="Y153" s="3">
        <v>46116</v>
      </c>
      <c r="Z153" s="3">
        <v>46117</v>
      </c>
      <c r="AA153" s="3">
        <v>46118</v>
      </c>
      <c r="AB153" s="3">
        <v>46119</v>
      </c>
      <c r="AC153" s="3">
        <v>46120</v>
      </c>
      <c r="AD153" s="3">
        <v>46121</v>
      </c>
      <c r="AE153" s="3">
        <v>46122</v>
      </c>
      <c r="AF153" s="3">
        <v>46123</v>
      </c>
      <c r="AG153" s="3">
        <v>46124</v>
      </c>
      <c r="AH153" s="3">
        <v>46125</v>
      </c>
      <c r="AI153" s="3">
        <v>46126</v>
      </c>
      <c r="AJ153" s="3">
        <v>46127</v>
      </c>
      <c r="AK153" s="3">
        <v>46128</v>
      </c>
      <c r="AL153" s="3">
        <v>46129</v>
      </c>
      <c r="AM153" s="3">
        <v>46130</v>
      </c>
      <c r="AN153" s="3">
        <v>46131</v>
      </c>
      <c r="AO153" s="3">
        <v>46132</v>
      </c>
      <c r="AP153" s="3">
        <v>46133</v>
      </c>
      <c r="AQ153" s="3">
        <v>46134</v>
      </c>
      <c r="AR153" s="3">
        <v>46135</v>
      </c>
      <c r="AS153" s="3">
        <v>46136</v>
      </c>
      <c r="AT153" s="3">
        <v>46137</v>
      </c>
      <c r="AU153" s="3">
        <v>46138</v>
      </c>
      <c r="AV153" s="3">
        <v>46139</v>
      </c>
      <c r="AW153" s="3">
        <v>46140</v>
      </c>
      <c r="AX153" s="3">
        <v>46141</v>
      </c>
      <c r="AY153" s="3">
        <v>46142</v>
      </c>
      <c r="AZ153" s="3">
        <v>46143</v>
      </c>
      <c r="BA153" s="3">
        <v>46144</v>
      </c>
      <c r="BB153" s="3">
        <v>46145</v>
      </c>
      <c r="BC153" s="3">
        <v>46146</v>
      </c>
      <c r="BD153" s="3">
        <v>46147</v>
      </c>
      <c r="BE153" s="3">
        <v>46148</v>
      </c>
      <c r="BF153" s="3">
        <v>46149</v>
      </c>
      <c r="BG153" s="3">
        <v>46150</v>
      </c>
      <c r="BH153" s="3">
        <v>46151</v>
      </c>
      <c r="BI153" s="3">
        <v>46152</v>
      </c>
      <c r="BJ153" s="3">
        <v>46153</v>
      </c>
      <c r="BK153" s="3">
        <v>46154</v>
      </c>
      <c r="BL153" s="3">
        <v>46155</v>
      </c>
      <c r="BM153" s="3">
        <v>46156</v>
      </c>
      <c r="BN153" s="3">
        <v>46157</v>
      </c>
      <c r="BO153" s="3">
        <v>46158</v>
      </c>
      <c r="BP153" s="3">
        <v>46159</v>
      </c>
      <c r="BQ153" s="3">
        <v>46160</v>
      </c>
      <c r="BR153" s="3">
        <v>46161</v>
      </c>
      <c r="BS153" s="3">
        <v>46162</v>
      </c>
      <c r="BT153" s="3">
        <v>46163</v>
      </c>
      <c r="BU153" s="3">
        <v>46164</v>
      </c>
      <c r="BV153" s="3">
        <v>46165</v>
      </c>
      <c r="BW153" s="3">
        <v>46166</v>
      </c>
      <c r="BX153" s="3">
        <v>46167</v>
      </c>
      <c r="BY153" s="3">
        <v>46168</v>
      </c>
      <c r="BZ153" s="3">
        <v>46169</v>
      </c>
      <c r="CA153" s="3">
        <v>46170</v>
      </c>
      <c r="CB153" s="3">
        <v>46171</v>
      </c>
      <c r="CC153" s="3">
        <v>46172</v>
      </c>
      <c r="CD153" s="3">
        <v>46173</v>
      </c>
      <c r="CE153" s="3">
        <v>46174</v>
      </c>
      <c r="CF153" s="3">
        <v>46175</v>
      </c>
      <c r="CG153" s="3">
        <v>46176</v>
      </c>
      <c r="CH153" s="3">
        <v>46177</v>
      </c>
      <c r="CI153" s="3">
        <v>46178</v>
      </c>
      <c r="CJ153" s="3">
        <v>46179</v>
      </c>
      <c r="CK153" s="3">
        <v>46180</v>
      </c>
      <c r="CL153" s="3">
        <v>46181</v>
      </c>
      <c r="CM153" s="3">
        <v>46182</v>
      </c>
      <c r="CN153" s="3">
        <v>46183</v>
      </c>
      <c r="CO153" s="3">
        <v>46184</v>
      </c>
      <c r="CP153" s="3">
        <v>46185</v>
      </c>
      <c r="CQ153" s="3">
        <v>46186</v>
      </c>
      <c r="CR153" s="3">
        <v>46187</v>
      </c>
      <c r="CS153" s="3">
        <v>46188</v>
      </c>
      <c r="CT153" s="3">
        <v>46189</v>
      </c>
      <c r="CU153" s="3">
        <v>46190</v>
      </c>
      <c r="CV153" s="3">
        <v>46191</v>
      </c>
      <c r="CW153" s="3">
        <v>46192</v>
      </c>
      <c r="CX153" s="3">
        <v>46193</v>
      </c>
      <c r="CY153" s="3">
        <v>46194</v>
      </c>
      <c r="CZ153" s="3">
        <v>46195</v>
      </c>
      <c r="DA153" s="3">
        <v>46196</v>
      </c>
      <c r="DB153" s="3">
        <v>46197</v>
      </c>
      <c r="DC153" s="3">
        <v>46198</v>
      </c>
      <c r="DD153" s="3">
        <v>46199</v>
      </c>
      <c r="DE153" s="3">
        <v>46200</v>
      </c>
      <c r="DF153" s="3">
        <v>46201</v>
      </c>
      <c r="DG153" s="3">
        <v>46202</v>
      </c>
      <c r="DH153" s="3">
        <v>46203</v>
      </c>
      <c r="DI153" s="3">
        <v>46204</v>
      </c>
      <c r="DJ153" s="3">
        <v>46205</v>
      </c>
      <c r="DK153" s="3">
        <v>46206</v>
      </c>
      <c r="DL153" s="3">
        <v>46207</v>
      </c>
      <c r="DM153" s="3">
        <v>46208</v>
      </c>
      <c r="DN153" s="3">
        <v>46209</v>
      </c>
      <c r="DO153" s="3">
        <v>46210</v>
      </c>
      <c r="DP153" s="3">
        <v>46211</v>
      </c>
      <c r="DQ153" s="3">
        <v>46212</v>
      </c>
      <c r="DR153" s="3">
        <v>46213</v>
      </c>
      <c r="DS153" s="3">
        <v>46214</v>
      </c>
      <c r="DT153" s="3">
        <v>46215</v>
      </c>
      <c r="DU153" s="3">
        <v>46216</v>
      </c>
      <c r="DV153" s="3">
        <v>46217</v>
      </c>
      <c r="DW153" s="3">
        <v>46218</v>
      </c>
      <c r="DX153" s="3">
        <v>46219</v>
      </c>
      <c r="DY153" s="3">
        <v>46220</v>
      </c>
      <c r="DZ153" s="3">
        <v>46221</v>
      </c>
      <c r="EA153" s="3">
        <v>46222</v>
      </c>
      <c r="EB153" s="3">
        <v>46223</v>
      </c>
      <c r="EC153" s="3">
        <v>46224</v>
      </c>
      <c r="ED153" s="3">
        <v>46225</v>
      </c>
      <c r="EE153" s="3">
        <v>46226</v>
      </c>
      <c r="EF153" s="3">
        <v>46227</v>
      </c>
      <c r="EG153" s="3">
        <v>46228</v>
      </c>
      <c r="EH153" s="3">
        <v>46229</v>
      </c>
      <c r="EI153" s="3">
        <v>46230</v>
      </c>
      <c r="EJ153" s="3">
        <v>46231</v>
      </c>
      <c r="EK153" s="3">
        <v>46232</v>
      </c>
      <c r="EL153" s="3">
        <v>46233</v>
      </c>
      <c r="EM153" s="3">
        <v>46234</v>
      </c>
      <c r="EN153" s="3">
        <v>46235</v>
      </c>
      <c r="EO153" s="3">
        <v>46236</v>
      </c>
      <c r="EP153" s="3">
        <v>46237</v>
      </c>
      <c r="EQ153" s="3">
        <v>46238</v>
      </c>
      <c r="ER153" s="3">
        <v>46239</v>
      </c>
      <c r="ES153" s="3">
        <v>46240</v>
      </c>
      <c r="ET153" s="3">
        <v>46241</v>
      </c>
      <c r="EU153" s="3">
        <v>46242</v>
      </c>
      <c r="EV153" s="3">
        <v>46243</v>
      </c>
      <c r="EW153" s="3">
        <v>46244</v>
      </c>
      <c r="EX153" s="3">
        <v>46245</v>
      </c>
      <c r="EY153" s="3">
        <v>46246</v>
      </c>
      <c r="EZ153" s="3">
        <v>46247</v>
      </c>
      <c r="FA153" s="3">
        <v>46248</v>
      </c>
      <c r="FB153" s="3">
        <v>46249</v>
      </c>
      <c r="FC153" s="3">
        <v>46250</v>
      </c>
      <c r="FD153" s="3">
        <v>46251</v>
      </c>
      <c r="FE153" s="3">
        <v>46252</v>
      </c>
      <c r="FF153" s="3">
        <v>46253</v>
      </c>
      <c r="FG153" s="3">
        <v>46254</v>
      </c>
      <c r="FH153" s="3">
        <v>46255</v>
      </c>
      <c r="FI153" s="3">
        <v>46256</v>
      </c>
      <c r="FJ153" s="3">
        <v>46257</v>
      </c>
      <c r="FK153" s="3">
        <v>46258</v>
      </c>
      <c r="FL153" s="3">
        <v>46259</v>
      </c>
      <c r="FM153" s="3">
        <v>46260</v>
      </c>
      <c r="FN153" s="3">
        <v>46261</v>
      </c>
      <c r="FO153" s="3">
        <v>46262</v>
      </c>
      <c r="FP153" s="3">
        <v>46263</v>
      </c>
      <c r="FQ153" s="3">
        <v>46264</v>
      </c>
      <c r="FR153" s="3">
        <v>46265</v>
      </c>
      <c r="FS153" s="3">
        <v>46266</v>
      </c>
      <c r="FT153" s="3">
        <v>46267</v>
      </c>
      <c r="FU153" s="3">
        <v>46268</v>
      </c>
      <c r="FV153" s="3">
        <v>46269</v>
      </c>
      <c r="FW153" s="3">
        <v>46270</v>
      </c>
      <c r="FX153" s="3">
        <v>46271</v>
      </c>
      <c r="FY153" s="3">
        <v>46272</v>
      </c>
      <c r="FZ153" s="3">
        <v>46273</v>
      </c>
      <c r="GA153" s="3">
        <v>46274</v>
      </c>
      <c r="GB153" s="3">
        <v>46275</v>
      </c>
      <c r="GC153" s="3">
        <v>46276</v>
      </c>
      <c r="GD153" s="3">
        <v>46277</v>
      </c>
      <c r="GE153" s="3">
        <v>46278</v>
      </c>
      <c r="GF153" s="3">
        <v>46279</v>
      </c>
      <c r="GG153" s="3">
        <v>46280</v>
      </c>
      <c r="GH153" s="3">
        <v>46281</v>
      </c>
      <c r="GI153" s="3">
        <v>46282</v>
      </c>
      <c r="GJ153" s="3">
        <v>46283</v>
      </c>
      <c r="GK153" s="3">
        <v>46284</v>
      </c>
      <c r="GL153" s="3">
        <v>46285</v>
      </c>
      <c r="GM153" s="3">
        <v>46286</v>
      </c>
      <c r="GN153" s="3">
        <v>46287</v>
      </c>
      <c r="GO153" s="3">
        <v>46288</v>
      </c>
      <c r="GP153" s="3">
        <v>46289</v>
      </c>
      <c r="GQ153" s="3">
        <v>46290</v>
      </c>
      <c r="GR153" s="3">
        <v>46291</v>
      </c>
      <c r="GS153" s="3">
        <v>46292</v>
      </c>
      <c r="GT153" s="3">
        <v>46293</v>
      </c>
      <c r="GU153" s="3">
        <v>46294</v>
      </c>
      <c r="GV153" s="3">
        <v>46295</v>
      </c>
      <c r="GW153" s="3">
        <v>46296</v>
      </c>
      <c r="GX153" s="3">
        <v>46297</v>
      </c>
      <c r="GY153" s="3">
        <v>46298</v>
      </c>
      <c r="GZ153" s="3">
        <v>46299</v>
      </c>
      <c r="HA153" s="3">
        <v>46300</v>
      </c>
      <c r="HB153" s="3">
        <v>46301</v>
      </c>
      <c r="HC153" s="3">
        <v>46302</v>
      </c>
      <c r="HD153" s="3">
        <v>46303</v>
      </c>
      <c r="HE153" s="3">
        <v>46304</v>
      </c>
      <c r="HF153" s="3">
        <v>46305</v>
      </c>
      <c r="HG153" s="3">
        <v>46306</v>
      </c>
      <c r="HH153" s="3">
        <v>46307</v>
      </c>
      <c r="HI153" s="3">
        <v>46308</v>
      </c>
      <c r="HJ153" s="3">
        <v>46309</v>
      </c>
      <c r="HK153" s="3">
        <v>46310</v>
      </c>
      <c r="HL153" s="3">
        <v>46311</v>
      </c>
      <c r="HM153" s="3">
        <v>46312</v>
      </c>
      <c r="HN153" s="3">
        <v>46313</v>
      </c>
      <c r="HO153" s="3">
        <v>46314</v>
      </c>
      <c r="HP153" s="3">
        <v>46315</v>
      </c>
      <c r="HQ153" s="3">
        <v>46316</v>
      </c>
      <c r="HR153" s="3">
        <v>46317</v>
      </c>
      <c r="HS153" s="3">
        <v>46318</v>
      </c>
      <c r="HT153" s="3">
        <v>46319</v>
      </c>
      <c r="HU153" s="3">
        <v>46320</v>
      </c>
      <c r="HV153" s="3">
        <v>46321</v>
      </c>
      <c r="HW153" s="3">
        <v>46322</v>
      </c>
      <c r="HX153" s="3">
        <v>46323</v>
      </c>
      <c r="HY153" s="3">
        <v>46324</v>
      </c>
      <c r="HZ153" s="3">
        <v>46325</v>
      </c>
      <c r="IA153" s="3">
        <v>46326</v>
      </c>
      <c r="IB153" s="3">
        <v>46327</v>
      </c>
      <c r="IC153" s="3">
        <v>46328</v>
      </c>
    </row>
    <row r="154" spans="1:257">
      <c r="A154" s="4" t="s">
        <v>694</v>
      </c>
      <c r="B154" s="82" t="str">
        <f t="array" ref="B154">COLUMNS(_xlfn._xlws.FILTER(P153:HO153, (P155:HO155&lt;&gt;"")+(P157:HO157&lt;&gt;""))) &amp; "場"</f>
        <v>28場</v>
      </c>
      <c r="C154" s="7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 t="s">
        <v>675</v>
      </c>
      <c r="P154" s="3" t="s">
        <v>676</v>
      </c>
      <c r="Q154" s="3" t="s">
        <v>677</v>
      </c>
      <c r="R154" s="3" t="s">
        <v>678</v>
      </c>
      <c r="S154" s="3" t="s">
        <v>679</v>
      </c>
      <c r="T154" s="3" t="s">
        <v>680</v>
      </c>
      <c r="U154" s="3" t="s">
        <v>681</v>
      </c>
      <c r="V154" s="3" t="s">
        <v>682</v>
      </c>
      <c r="W154" s="3" t="s">
        <v>676</v>
      </c>
      <c r="X154" s="3" t="s">
        <v>677</v>
      </c>
      <c r="Y154" s="3" t="s">
        <v>678</v>
      </c>
      <c r="Z154" s="3" t="s">
        <v>679</v>
      </c>
      <c r="AA154" s="3" t="s">
        <v>680</v>
      </c>
      <c r="AB154" s="3" t="s">
        <v>681</v>
      </c>
      <c r="AC154" s="3" t="s">
        <v>682</v>
      </c>
      <c r="AD154" s="3" t="s">
        <v>676</v>
      </c>
      <c r="AE154" s="3" t="s">
        <v>677</v>
      </c>
      <c r="AF154" s="3" t="s">
        <v>678</v>
      </c>
      <c r="AG154" s="3" t="s">
        <v>679</v>
      </c>
      <c r="AH154" s="3" t="s">
        <v>680</v>
      </c>
      <c r="AI154" s="3" t="s">
        <v>681</v>
      </c>
      <c r="AJ154" s="3" t="s">
        <v>682</v>
      </c>
      <c r="AK154" s="3" t="s">
        <v>676</v>
      </c>
      <c r="AL154" s="3" t="s">
        <v>677</v>
      </c>
      <c r="AM154" s="3" t="s">
        <v>678</v>
      </c>
      <c r="AN154" s="3" t="s">
        <v>679</v>
      </c>
      <c r="AO154" s="3" t="s">
        <v>680</v>
      </c>
      <c r="AP154" s="3" t="s">
        <v>681</v>
      </c>
      <c r="AQ154" s="3" t="s">
        <v>682</v>
      </c>
      <c r="AR154" s="3" t="s">
        <v>676</v>
      </c>
      <c r="AS154" s="3" t="s">
        <v>677</v>
      </c>
      <c r="AT154" s="3" t="s">
        <v>678</v>
      </c>
      <c r="AU154" s="3" t="s">
        <v>679</v>
      </c>
      <c r="AV154" s="3" t="s">
        <v>680</v>
      </c>
      <c r="AW154" s="3" t="s">
        <v>681</v>
      </c>
      <c r="AX154" s="3" t="s">
        <v>682</v>
      </c>
      <c r="AY154" s="3" t="s">
        <v>676</v>
      </c>
      <c r="AZ154" s="3" t="s">
        <v>677</v>
      </c>
      <c r="BA154" s="3" t="s">
        <v>678</v>
      </c>
      <c r="BB154" s="3" t="s">
        <v>679</v>
      </c>
      <c r="BC154" s="3" t="s">
        <v>680</v>
      </c>
      <c r="BD154" s="3" t="s">
        <v>681</v>
      </c>
      <c r="BE154" s="3" t="s">
        <v>682</v>
      </c>
      <c r="BF154" s="3" t="s">
        <v>676</v>
      </c>
      <c r="BG154" s="3" t="s">
        <v>677</v>
      </c>
      <c r="BH154" s="3" t="s">
        <v>678</v>
      </c>
      <c r="BI154" s="3" t="s">
        <v>679</v>
      </c>
      <c r="BJ154" s="3" t="s">
        <v>680</v>
      </c>
      <c r="BK154" s="3" t="s">
        <v>681</v>
      </c>
      <c r="BL154" s="3" t="s">
        <v>682</v>
      </c>
      <c r="BM154" s="3" t="s">
        <v>676</v>
      </c>
      <c r="BN154" s="3" t="s">
        <v>677</v>
      </c>
      <c r="BO154" s="3" t="s">
        <v>678</v>
      </c>
      <c r="BP154" s="3" t="s">
        <v>679</v>
      </c>
      <c r="BQ154" s="3" t="s">
        <v>680</v>
      </c>
      <c r="BR154" s="3" t="s">
        <v>681</v>
      </c>
      <c r="BS154" s="3" t="s">
        <v>682</v>
      </c>
      <c r="BT154" s="3" t="s">
        <v>676</v>
      </c>
      <c r="BU154" s="3" t="s">
        <v>677</v>
      </c>
      <c r="BV154" s="3" t="s">
        <v>678</v>
      </c>
      <c r="BW154" s="3" t="s">
        <v>679</v>
      </c>
      <c r="BX154" s="3" t="s">
        <v>680</v>
      </c>
      <c r="BY154" s="3" t="s">
        <v>681</v>
      </c>
      <c r="BZ154" s="3" t="s">
        <v>682</v>
      </c>
      <c r="CA154" s="3" t="s">
        <v>676</v>
      </c>
      <c r="CB154" s="3" t="s">
        <v>677</v>
      </c>
      <c r="CC154" s="3" t="s">
        <v>678</v>
      </c>
      <c r="CD154" s="3" t="s">
        <v>679</v>
      </c>
      <c r="CE154" s="3" t="s">
        <v>680</v>
      </c>
      <c r="CF154" s="3" t="s">
        <v>681</v>
      </c>
      <c r="CG154" s="3" t="s">
        <v>682</v>
      </c>
      <c r="CH154" s="3" t="s">
        <v>676</v>
      </c>
      <c r="CI154" s="3" t="s">
        <v>677</v>
      </c>
      <c r="CJ154" s="3" t="s">
        <v>678</v>
      </c>
      <c r="CK154" s="3" t="s">
        <v>679</v>
      </c>
      <c r="CL154" s="3" t="s">
        <v>680</v>
      </c>
      <c r="CM154" s="3" t="s">
        <v>681</v>
      </c>
      <c r="CN154" s="3" t="s">
        <v>682</v>
      </c>
      <c r="CO154" s="3" t="s">
        <v>676</v>
      </c>
      <c r="CP154" s="3" t="s">
        <v>677</v>
      </c>
      <c r="CQ154" s="3" t="s">
        <v>678</v>
      </c>
      <c r="CR154" s="3" t="s">
        <v>679</v>
      </c>
      <c r="CS154" s="3" t="s">
        <v>680</v>
      </c>
      <c r="CT154" s="3" t="s">
        <v>681</v>
      </c>
      <c r="CU154" s="3" t="s">
        <v>682</v>
      </c>
      <c r="CV154" s="3" t="s">
        <v>676</v>
      </c>
      <c r="CW154" s="3" t="s">
        <v>677</v>
      </c>
      <c r="CX154" s="3" t="s">
        <v>678</v>
      </c>
      <c r="CY154" s="3" t="s">
        <v>679</v>
      </c>
      <c r="CZ154" s="3" t="s">
        <v>680</v>
      </c>
      <c r="DA154" s="3" t="s">
        <v>681</v>
      </c>
      <c r="DB154" s="3" t="s">
        <v>682</v>
      </c>
      <c r="DC154" s="3" t="s">
        <v>676</v>
      </c>
      <c r="DD154" s="3" t="s">
        <v>677</v>
      </c>
      <c r="DE154" s="3" t="s">
        <v>678</v>
      </c>
      <c r="DF154" s="3" t="s">
        <v>679</v>
      </c>
      <c r="DG154" s="3" t="s">
        <v>680</v>
      </c>
      <c r="DH154" s="3" t="s">
        <v>681</v>
      </c>
      <c r="DI154" s="3" t="s">
        <v>682</v>
      </c>
      <c r="DJ154" s="3" t="s">
        <v>676</v>
      </c>
      <c r="DK154" s="3" t="s">
        <v>677</v>
      </c>
      <c r="DL154" s="3" t="s">
        <v>678</v>
      </c>
      <c r="DM154" s="3" t="s">
        <v>679</v>
      </c>
      <c r="DN154" s="3" t="s">
        <v>680</v>
      </c>
      <c r="DO154" s="3" t="s">
        <v>681</v>
      </c>
      <c r="DP154" s="3" t="s">
        <v>682</v>
      </c>
      <c r="DQ154" s="3" t="s">
        <v>676</v>
      </c>
      <c r="DR154" s="3" t="s">
        <v>677</v>
      </c>
      <c r="DS154" s="3" t="s">
        <v>678</v>
      </c>
      <c r="DT154" s="3" t="s">
        <v>679</v>
      </c>
      <c r="DU154" s="3" t="s">
        <v>680</v>
      </c>
      <c r="DV154" s="3" t="s">
        <v>681</v>
      </c>
      <c r="DW154" s="3" t="s">
        <v>682</v>
      </c>
      <c r="DX154" s="3" t="s">
        <v>676</v>
      </c>
      <c r="DY154" s="3" t="s">
        <v>677</v>
      </c>
      <c r="DZ154" s="3" t="s">
        <v>678</v>
      </c>
      <c r="EA154" s="3" t="s">
        <v>679</v>
      </c>
      <c r="EB154" s="3" t="s">
        <v>680</v>
      </c>
      <c r="EC154" s="3" t="s">
        <v>681</v>
      </c>
      <c r="ED154" s="3" t="s">
        <v>682</v>
      </c>
      <c r="EE154" s="3" t="s">
        <v>676</v>
      </c>
      <c r="EF154" s="3" t="s">
        <v>677</v>
      </c>
      <c r="EG154" s="3" t="s">
        <v>678</v>
      </c>
      <c r="EH154" s="3" t="s">
        <v>679</v>
      </c>
      <c r="EI154" s="3" t="s">
        <v>680</v>
      </c>
      <c r="EJ154" s="3" t="s">
        <v>681</v>
      </c>
      <c r="EK154" s="3" t="s">
        <v>682</v>
      </c>
      <c r="EL154" s="3" t="s">
        <v>676</v>
      </c>
      <c r="EM154" s="3" t="s">
        <v>677</v>
      </c>
      <c r="EN154" s="3" t="s">
        <v>678</v>
      </c>
      <c r="EO154" s="3" t="s">
        <v>679</v>
      </c>
      <c r="EP154" s="3" t="s">
        <v>680</v>
      </c>
      <c r="EQ154" s="3" t="s">
        <v>681</v>
      </c>
      <c r="ER154" s="3" t="s">
        <v>682</v>
      </c>
      <c r="ES154" s="3" t="s">
        <v>676</v>
      </c>
      <c r="ET154" s="3" t="s">
        <v>677</v>
      </c>
      <c r="EU154" s="3" t="s">
        <v>678</v>
      </c>
      <c r="EV154" s="3" t="s">
        <v>679</v>
      </c>
      <c r="EW154" s="3" t="s">
        <v>680</v>
      </c>
      <c r="EX154" s="3" t="s">
        <v>681</v>
      </c>
      <c r="EY154" s="3" t="s">
        <v>682</v>
      </c>
      <c r="EZ154" s="3" t="s">
        <v>676</v>
      </c>
      <c r="FA154" s="3" t="s">
        <v>677</v>
      </c>
      <c r="FB154" s="3" t="s">
        <v>678</v>
      </c>
      <c r="FC154" s="3" t="s">
        <v>679</v>
      </c>
      <c r="FD154" s="3" t="s">
        <v>680</v>
      </c>
      <c r="FE154" s="3" t="s">
        <v>681</v>
      </c>
      <c r="FF154" s="3" t="s">
        <v>682</v>
      </c>
      <c r="FG154" s="3" t="s">
        <v>676</v>
      </c>
      <c r="FH154" s="3" t="s">
        <v>677</v>
      </c>
      <c r="FI154" s="3" t="s">
        <v>678</v>
      </c>
      <c r="FJ154" s="3" t="s">
        <v>679</v>
      </c>
      <c r="FK154" s="3" t="s">
        <v>680</v>
      </c>
      <c r="FL154" s="3" t="s">
        <v>681</v>
      </c>
      <c r="FM154" s="3" t="s">
        <v>682</v>
      </c>
      <c r="FN154" s="3" t="s">
        <v>676</v>
      </c>
      <c r="FO154" s="3" t="s">
        <v>677</v>
      </c>
      <c r="FP154" s="3" t="s">
        <v>678</v>
      </c>
      <c r="FQ154" s="3" t="s">
        <v>679</v>
      </c>
      <c r="FR154" s="3" t="s">
        <v>680</v>
      </c>
      <c r="FS154" s="3" t="s">
        <v>681</v>
      </c>
      <c r="FT154" s="3" t="s">
        <v>682</v>
      </c>
      <c r="FU154" s="3" t="s">
        <v>676</v>
      </c>
      <c r="FV154" s="3" t="s">
        <v>677</v>
      </c>
      <c r="FW154" s="3" t="s">
        <v>678</v>
      </c>
      <c r="FX154" s="3" t="s">
        <v>679</v>
      </c>
      <c r="FY154" s="3" t="s">
        <v>680</v>
      </c>
      <c r="FZ154" s="3" t="s">
        <v>681</v>
      </c>
      <c r="GA154" s="3" t="s">
        <v>682</v>
      </c>
      <c r="GB154" s="3" t="s">
        <v>676</v>
      </c>
      <c r="GC154" s="3" t="s">
        <v>677</v>
      </c>
      <c r="GD154" s="3" t="s">
        <v>678</v>
      </c>
      <c r="GE154" s="3" t="s">
        <v>679</v>
      </c>
      <c r="GF154" s="3" t="s">
        <v>680</v>
      </c>
      <c r="GG154" s="3" t="s">
        <v>681</v>
      </c>
      <c r="GH154" s="3" t="s">
        <v>682</v>
      </c>
      <c r="GI154" s="3" t="s">
        <v>676</v>
      </c>
      <c r="GJ154" s="3" t="s">
        <v>677</v>
      </c>
      <c r="GK154" s="3" t="s">
        <v>678</v>
      </c>
      <c r="GL154" s="3" t="s">
        <v>679</v>
      </c>
      <c r="GM154" s="3" t="s">
        <v>680</v>
      </c>
      <c r="GN154" s="3" t="s">
        <v>681</v>
      </c>
      <c r="GO154" s="3" t="s">
        <v>682</v>
      </c>
      <c r="GP154" s="3" t="s">
        <v>676</v>
      </c>
      <c r="GQ154" s="3" t="s">
        <v>677</v>
      </c>
      <c r="GR154" s="3" t="s">
        <v>678</v>
      </c>
      <c r="GS154" s="3" t="s">
        <v>679</v>
      </c>
      <c r="GT154" s="3" t="s">
        <v>680</v>
      </c>
      <c r="GU154" s="3" t="s">
        <v>681</v>
      </c>
      <c r="GV154" s="3" t="s">
        <v>682</v>
      </c>
      <c r="GW154" s="3" t="s">
        <v>676</v>
      </c>
      <c r="GX154" s="3" t="s">
        <v>677</v>
      </c>
      <c r="GY154" s="3" t="s">
        <v>678</v>
      </c>
      <c r="GZ154" s="3" t="s">
        <v>679</v>
      </c>
      <c r="HA154" s="3" t="s">
        <v>680</v>
      </c>
      <c r="HB154" s="3" t="s">
        <v>681</v>
      </c>
      <c r="HC154" s="3" t="s">
        <v>682</v>
      </c>
      <c r="HD154" s="3" t="s">
        <v>676</v>
      </c>
      <c r="HE154" s="3" t="s">
        <v>677</v>
      </c>
      <c r="HF154" s="3" t="s">
        <v>678</v>
      </c>
      <c r="HG154" s="3" t="s">
        <v>679</v>
      </c>
      <c r="HH154" s="3" t="s">
        <v>680</v>
      </c>
      <c r="HI154" s="3" t="s">
        <v>681</v>
      </c>
      <c r="HJ154" s="3" t="s">
        <v>682</v>
      </c>
      <c r="HK154" s="3" t="s">
        <v>676</v>
      </c>
      <c r="HL154" s="3" t="s">
        <v>677</v>
      </c>
      <c r="HM154" s="3" t="s">
        <v>678</v>
      </c>
      <c r="HN154" s="3" t="s">
        <v>679</v>
      </c>
      <c r="HO154" s="3" t="s">
        <v>680</v>
      </c>
      <c r="HP154" s="3" t="s">
        <v>681</v>
      </c>
      <c r="HQ154" s="3" t="s">
        <v>682</v>
      </c>
      <c r="HR154" s="3" t="s">
        <v>676</v>
      </c>
      <c r="HS154" s="3" t="s">
        <v>677</v>
      </c>
      <c r="HT154" s="3" t="s">
        <v>678</v>
      </c>
      <c r="HU154" s="3" t="s">
        <v>679</v>
      </c>
      <c r="HV154" s="3" t="s">
        <v>680</v>
      </c>
      <c r="HW154" s="3" t="s">
        <v>681</v>
      </c>
      <c r="HX154" s="3" t="s">
        <v>682</v>
      </c>
      <c r="HY154" s="3" t="s">
        <v>676</v>
      </c>
      <c r="HZ154" s="3" t="s">
        <v>677</v>
      </c>
      <c r="IA154" s="3" t="s">
        <v>678</v>
      </c>
      <c r="IB154" s="3" t="s">
        <v>679</v>
      </c>
      <c r="IC154" s="3" t="s">
        <v>680</v>
      </c>
    </row>
    <row r="155" spans="1:257">
      <c r="A155" s="82" t="s">
        <v>695</v>
      </c>
      <c r="B155" s="82" t="str">
        <f>COUNTIF(P155:IC155, "W")&amp;"勝"</f>
        <v>19勝</v>
      </c>
      <c r="C155" s="82" t="str">
        <f>COUNTIF(P155:IC155, "L")&amp;"敗"</f>
        <v>9敗</v>
      </c>
      <c r="D155" s="82" t="s">
        <v>696</v>
      </c>
      <c r="E155" s="78"/>
      <c r="F155" s="82" t="s">
        <v>740</v>
      </c>
      <c r="G155" s="78"/>
      <c r="H155" s="78"/>
      <c r="I155" s="78"/>
      <c r="J155" s="78"/>
      <c r="K155" s="78"/>
      <c r="L155" s="78"/>
      <c r="M155" s="82"/>
      <c r="N155" s="78"/>
      <c r="O155" s="1" t="s">
        <v>698</v>
      </c>
      <c r="R155" t="s">
        <v>699</v>
      </c>
      <c r="S155" t="s">
        <v>699</v>
      </c>
      <c r="T155" t="s">
        <v>700</v>
      </c>
      <c r="U155" t="s">
        <v>699</v>
      </c>
      <c r="V155" t="s">
        <v>700</v>
      </c>
      <c r="W155" t="s">
        <v>699</v>
      </c>
      <c r="X155" t="s">
        <v>699</v>
      </c>
      <c r="Y155" t="s">
        <v>699</v>
      </c>
      <c r="Z155" t="s">
        <v>700</v>
      </c>
      <c r="AA155" t="s">
        <v>700</v>
      </c>
      <c r="AB155" t="s">
        <v>700</v>
      </c>
      <c r="AC155" t="s">
        <v>699</v>
      </c>
      <c r="AD155" t="s">
        <v>699</v>
      </c>
      <c r="AF155" t="s">
        <v>699</v>
      </c>
      <c r="AG155" t="s">
        <v>700</v>
      </c>
      <c r="AH155" t="s">
        <v>699</v>
      </c>
      <c r="AI155" t="s">
        <v>700</v>
      </c>
      <c r="AJ155" t="s">
        <v>699</v>
      </c>
      <c r="AK155" t="s">
        <v>699</v>
      </c>
      <c r="AM155" t="s">
        <v>699</v>
      </c>
      <c r="AN155" t="s">
        <v>699</v>
      </c>
      <c r="AO155" t="s">
        <v>699</v>
      </c>
      <c r="AP155" t="s">
        <v>699</v>
      </c>
      <c r="AQ155" t="s">
        <v>700</v>
      </c>
      <c r="AS155" t="s">
        <v>699</v>
      </c>
      <c r="AT155" t="s">
        <v>699</v>
      </c>
      <c r="AU155" t="s">
        <v>700</v>
      </c>
      <c r="AV155" t="s">
        <v>699</v>
      </c>
    </row>
    <row r="156" spans="1:257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1" t="s">
        <v>701</v>
      </c>
    </row>
    <row r="157" spans="1:257">
      <c r="A157" s="82" t="s">
        <v>702</v>
      </c>
      <c r="B157" s="82" t="str">
        <f>COUNTIF(P157:IC157, "O")&amp;"正"</f>
        <v>18正</v>
      </c>
      <c r="C157" s="82" t="str">
        <f>COUNTIF(P157:IC157, "X")&amp;"負"</f>
        <v>10負</v>
      </c>
      <c r="D157" s="82" t="s">
        <v>703</v>
      </c>
      <c r="E157" s="78"/>
      <c r="F157" s="82" t="s">
        <v>741</v>
      </c>
      <c r="G157" s="78"/>
      <c r="H157" s="78"/>
      <c r="I157" s="78"/>
      <c r="J157" s="78"/>
      <c r="K157" s="78"/>
      <c r="L157" s="78"/>
      <c r="M157" s="82"/>
      <c r="N157" s="78"/>
      <c r="O157" s="1" t="s">
        <v>705</v>
      </c>
      <c r="R157" t="s">
        <v>683</v>
      </c>
      <c r="S157" t="s">
        <v>683</v>
      </c>
      <c r="T157" t="s">
        <v>684</v>
      </c>
      <c r="U157" t="s">
        <v>683</v>
      </c>
      <c r="V157" t="s">
        <v>684</v>
      </c>
      <c r="W157" t="s">
        <v>683</v>
      </c>
      <c r="X157" t="s">
        <v>683</v>
      </c>
      <c r="Y157" t="s">
        <v>683</v>
      </c>
      <c r="Z157" t="s">
        <v>684</v>
      </c>
      <c r="AA157" t="s">
        <v>684</v>
      </c>
      <c r="AB157" t="s">
        <v>684</v>
      </c>
      <c r="AC157" t="s">
        <v>683</v>
      </c>
      <c r="AD157" t="s">
        <v>683</v>
      </c>
      <c r="AF157" t="s">
        <v>683</v>
      </c>
      <c r="AG157" t="s">
        <v>684</v>
      </c>
      <c r="AH157" t="s">
        <v>683</v>
      </c>
      <c r="AI157" t="s">
        <v>684</v>
      </c>
      <c r="AJ157" t="s">
        <v>684</v>
      </c>
      <c r="AK157" t="s">
        <v>683</v>
      </c>
      <c r="AM157" t="s">
        <v>683</v>
      </c>
      <c r="AN157" t="s">
        <v>683</v>
      </c>
      <c r="AO157" t="s">
        <v>683</v>
      </c>
      <c r="AP157" t="s">
        <v>683</v>
      </c>
      <c r="AQ157" t="s">
        <v>684</v>
      </c>
      <c r="AS157" t="s">
        <v>683</v>
      </c>
      <c r="AT157" t="s">
        <v>683</v>
      </c>
      <c r="AU157" t="s">
        <v>684</v>
      </c>
      <c r="AV157" t="s">
        <v>683</v>
      </c>
      <c r="IN157" t="str">
        <f ca="1">IFERROR(INDEX($P157:$IC157,1,_xludf.AGGREGATE(14,6,(COLUMN($P157:$IC157)-COLUMN($P157)+1)/($P157:$IC157&lt;&gt;""),1)),"")</f>
        <v/>
      </c>
      <c r="IO157" t="str">
        <f ca="1">IFERROR(INDEX($P157:$IC157,1,_xludf.AGGREGATE(14,6,(COLUMN($P157:$IC157)-COLUMN($P157)+1)/($P157:$IC157&lt;&gt;""),2)),"")</f>
        <v/>
      </c>
      <c r="IP157" t="str">
        <f ca="1">IFERROR(INDEX($P157:$IC157,1,_xludf.AGGREGATE(14,6,(COLUMN($P157:$IC157)-COLUMN($P157)+1)/($P157:$IC157&lt;&gt;""),3)),"")</f>
        <v/>
      </c>
      <c r="IQ157" t="str">
        <f ca="1">IFERROR(INDEX($P157:$IC157,1,_xludf.AGGREGATE(14,6,(COLUMN($P157:$IC157)-COLUMN($P157)+1)/($P157:$IC157&lt;&gt;""),4)),"")</f>
        <v/>
      </c>
      <c r="IR157" t="str">
        <f ca="1">IFERROR(INDEX($P157:$IC157,1,_xludf.AGGREGATE(14,6,(COLUMN($P157:$IC157)-COLUMN($P157)+1)/($P157:$IC157&lt;&gt;""),5)),"")</f>
        <v/>
      </c>
      <c r="IS157" t="str">
        <f ca="1">IFERROR(INDEX($P157:$IC157,1,_xludf.AGGREGATE(14,6,(COLUMN($P157:$IC157)-COLUMN($P157)+1)/($P157:$IC157&lt;&gt;""),6)),"")</f>
        <v/>
      </c>
      <c r="IT157" t="str">
        <f ca="1">IFERROR(INDEX($P157:$IC157,1,_xludf.AGGREGATE(14,6,(COLUMN($P157:$IC157)-COLUMN($P157)+1)/($P157:$IC157&lt;&gt;""),7)),"")</f>
        <v/>
      </c>
      <c r="IU157" t="str">
        <f ca="1">IFERROR(INDEX($P157:$IC157,1,_xludf.AGGREGATE(14,6,(COLUMN($P157:$IC157)-COLUMN($P157)+1)/($P157:$IC157&lt;&gt;""),8)),"")</f>
        <v/>
      </c>
      <c r="IV157" t="str">
        <f ca="1">IFERROR(INDEX($P157:$IC157,1,_xludf.AGGREGATE(14,6,(COLUMN($P157:$IC157)-COLUMN($P157)+1)/($P157:$IC157&lt;&gt;""),9)),"")</f>
        <v/>
      </c>
      <c r="IW157" t="str">
        <f ca="1">IFERROR(INDEX($P157:$IC157,1,_xludf.AGGREGATE(14,6,(COLUMN($P157:$IC157)-COLUMN($P157)+1)/($P157:$IC157&lt;&gt;""),10)),"")</f>
        <v/>
      </c>
    </row>
    <row r="158" spans="1:257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1" t="s">
        <v>706</v>
      </c>
    </row>
    <row r="159" spans="1:257">
      <c r="A159" s="82" t="s">
        <v>707</v>
      </c>
      <c r="B159" s="77"/>
      <c r="C159" s="77"/>
      <c r="D159" s="82" t="s">
        <v>708</v>
      </c>
      <c r="E159" s="78"/>
      <c r="F159" s="82"/>
      <c r="G159" s="78"/>
      <c r="H159" s="78"/>
      <c r="I159" s="78"/>
      <c r="J159" s="78"/>
      <c r="K159" s="78"/>
      <c r="L159" s="78"/>
      <c r="M159" s="82"/>
      <c r="N159" s="78"/>
      <c r="O159" s="1" t="s">
        <v>709</v>
      </c>
    </row>
    <row r="160" spans="1:257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1" t="s">
        <v>710</v>
      </c>
    </row>
    <row r="161" spans="1:257">
      <c r="A161" s="108" t="s">
        <v>30</v>
      </c>
      <c r="B161" s="78"/>
      <c r="C161" s="78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 t="s">
        <v>674</v>
      </c>
      <c r="P161" s="6">
        <v>1</v>
      </c>
      <c r="Q161" s="6">
        <v>2</v>
      </c>
      <c r="R161" s="6">
        <v>3</v>
      </c>
      <c r="S161" s="6">
        <v>4</v>
      </c>
      <c r="T161" s="6">
        <v>5</v>
      </c>
      <c r="U161" s="6">
        <v>6</v>
      </c>
      <c r="V161" s="6">
        <v>7</v>
      </c>
      <c r="W161" s="6">
        <v>8</v>
      </c>
      <c r="X161" s="6">
        <v>9</v>
      </c>
      <c r="Y161" s="6">
        <v>10</v>
      </c>
      <c r="Z161" s="6">
        <v>11</v>
      </c>
      <c r="AA161" s="6">
        <v>12</v>
      </c>
      <c r="AB161" s="6">
        <v>13</v>
      </c>
      <c r="AC161" s="6">
        <v>14</v>
      </c>
      <c r="AD161" s="6">
        <v>15</v>
      </c>
      <c r="AE161" s="6">
        <v>16</v>
      </c>
      <c r="AF161" s="6">
        <v>17</v>
      </c>
      <c r="AG161" s="6">
        <v>18</v>
      </c>
      <c r="AH161" s="6">
        <v>19</v>
      </c>
      <c r="AI161" s="6">
        <v>20</v>
      </c>
      <c r="AJ161" s="6">
        <v>21</v>
      </c>
      <c r="AK161" s="6">
        <v>22</v>
      </c>
      <c r="AL161" s="6">
        <v>23</v>
      </c>
      <c r="AM161" s="6">
        <v>24</v>
      </c>
      <c r="AN161" s="6">
        <v>25</v>
      </c>
      <c r="AO161" s="6">
        <v>26</v>
      </c>
      <c r="AP161" s="6">
        <v>27</v>
      </c>
      <c r="AQ161" s="6">
        <v>28</v>
      </c>
      <c r="AR161" s="6">
        <v>29</v>
      </c>
      <c r="AS161" s="6">
        <v>30</v>
      </c>
      <c r="AT161" s="6">
        <v>31</v>
      </c>
      <c r="AU161" s="6">
        <v>32</v>
      </c>
      <c r="AV161" s="6">
        <v>33</v>
      </c>
      <c r="AW161" s="6">
        <v>34</v>
      </c>
      <c r="AX161" s="6">
        <v>35</v>
      </c>
      <c r="AY161" s="6">
        <v>36</v>
      </c>
      <c r="AZ161" s="6">
        <v>37</v>
      </c>
      <c r="BA161" s="6">
        <v>38</v>
      </c>
      <c r="BB161" s="6">
        <v>39</v>
      </c>
      <c r="BC161" s="6">
        <v>40</v>
      </c>
      <c r="BD161" s="6">
        <v>41</v>
      </c>
      <c r="BE161" s="6">
        <v>42</v>
      </c>
      <c r="BF161" s="6">
        <v>43</v>
      </c>
      <c r="BG161" s="6">
        <v>44</v>
      </c>
      <c r="BH161" s="6">
        <v>45</v>
      </c>
      <c r="BI161" s="6">
        <v>46</v>
      </c>
      <c r="BJ161" s="6">
        <v>47</v>
      </c>
      <c r="BK161" s="6">
        <v>48</v>
      </c>
      <c r="BL161" s="6">
        <v>49</v>
      </c>
      <c r="BM161" s="6">
        <v>50</v>
      </c>
      <c r="BN161" s="6">
        <v>51</v>
      </c>
      <c r="BO161" s="6">
        <v>52</v>
      </c>
      <c r="BP161" s="6">
        <v>53</v>
      </c>
      <c r="BQ161" s="6">
        <v>54</v>
      </c>
      <c r="BR161" s="6">
        <v>55</v>
      </c>
      <c r="BS161" s="6">
        <v>56</v>
      </c>
      <c r="BT161" s="6">
        <v>57</v>
      </c>
      <c r="BU161" s="6">
        <v>58</v>
      </c>
      <c r="BV161" s="6">
        <v>59</v>
      </c>
      <c r="BW161" s="6">
        <v>60</v>
      </c>
      <c r="BX161" s="6">
        <v>61</v>
      </c>
      <c r="BY161" s="6">
        <v>62</v>
      </c>
      <c r="BZ161" s="6">
        <v>63</v>
      </c>
      <c r="CA161" s="6">
        <v>64</v>
      </c>
      <c r="CB161" s="6">
        <v>65</v>
      </c>
      <c r="CC161" s="6">
        <v>66</v>
      </c>
      <c r="CD161" s="6">
        <v>67</v>
      </c>
      <c r="CE161" s="6">
        <v>68</v>
      </c>
      <c r="CF161" s="6">
        <v>69</v>
      </c>
      <c r="CG161" s="6">
        <v>70</v>
      </c>
      <c r="CH161" s="6">
        <v>71</v>
      </c>
      <c r="CI161" s="6">
        <v>72</v>
      </c>
      <c r="CJ161" s="6">
        <v>73</v>
      </c>
      <c r="CK161" s="6">
        <v>74</v>
      </c>
      <c r="CL161" s="6">
        <v>75</v>
      </c>
      <c r="CM161" s="6">
        <v>76</v>
      </c>
      <c r="CN161" s="6">
        <v>77</v>
      </c>
      <c r="CO161" s="6">
        <v>78</v>
      </c>
      <c r="CP161" s="6">
        <v>79</v>
      </c>
      <c r="CQ161" s="6">
        <v>80</v>
      </c>
      <c r="CR161" s="6">
        <v>81</v>
      </c>
      <c r="CS161" s="6">
        <v>82</v>
      </c>
      <c r="CT161" s="6">
        <v>83</v>
      </c>
      <c r="CU161" s="6">
        <v>84</v>
      </c>
      <c r="CV161" s="6">
        <v>85</v>
      </c>
      <c r="CW161" s="6">
        <v>86</v>
      </c>
      <c r="CX161" s="6">
        <v>87</v>
      </c>
      <c r="CY161" s="6">
        <v>88</v>
      </c>
      <c r="CZ161" s="6">
        <v>89</v>
      </c>
      <c r="DA161" s="6">
        <v>90</v>
      </c>
      <c r="DB161" s="6">
        <v>91</v>
      </c>
      <c r="DC161" s="6">
        <v>92</v>
      </c>
      <c r="DD161" s="6">
        <v>93</v>
      </c>
      <c r="DE161" s="6">
        <v>94</v>
      </c>
      <c r="DF161" s="6">
        <v>95</v>
      </c>
      <c r="DG161" s="6">
        <v>96</v>
      </c>
      <c r="DH161" s="6">
        <v>97</v>
      </c>
      <c r="DI161" s="6">
        <v>98</v>
      </c>
      <c r="DJ161" s="6">
        <v>99</v>
      </c>
      <c r="DK161" s="6">
        <v>100</v>
      </c>
      <c r="DL161" s="6">
        <v>101</v>
      </c>
      <c r="DM161" s="6">
        <v>102</v>
      </c>
      <c r="DN161" s="6">
        <v>103</v>
      </c>
      <c r="DO161" s="6">
        <v>104</v>
      </c>
      <c r="DP161" s="6">
        <v>105</v>
      </c>
      <c r="DQ161" s="6">
        <v>106</v>
      </c>
      <c r="DR161" s="6">
        <v>107</v>
      </c>
      <c r="DS161" s="6">
        <v>108</v>
      </c>
      <c r="DT161" s="6">
        <v>109</v>
      </c>
      <c r="DU161" s="6">
        <v>110</v>
      </c>
      <c r="DV161" s="6">
        <v>111</v>
      </c>
      <c r="DW161" s="6">
        <v>112</v>
      </c>
      <c r="DX161" s="6">
        <v>113</v>
      </c>
      <c r="DY161" s="6">
        <v>114</v>
      </c>
      <c r="DZ161" s="6">
        <v>115</v>
      </c>
      <c r="EA161" s="6">
        <v>116</v>
      </c>
      <c r="EB161" s="6">
        <v>117</v>
      </c>
      <c r="EC161" s="6">
        <v>118</v>
      </c>
      <c r="ED161" s="6">
        <v>119</v>
      </c>
      <c r="EE161" s="6">
        <v>120</v>
      </c>
      <c r="EF161" s="6">
        <v>121</v>
      </c>
      <c r="EG161" s="6">
        <v>122</v>
      </c>
      <c r="EH161" s="6">
        <v>123</v>
      </c>
      <c r="EI161" s="6">
        <v>124</v>
      </c>
      <c r="EJ161" s="6">
        <v>125</v>
      </c>
      <c r="EK161" s="6">
        <v>126</v>
      </c>
      <c r="EL161" s="6">
        <v>127</v>
      </c>
      <c r="EM161" s="6">
        <v>128</v>
      </c>
      <c r="EN161" s="6">
        <v>129</v>
      </c>
      <c r="EO161" s="6">
        <v>130</v>
      </c>
      <c r="EP161" s="6">
        <v>131</v>
      </c>
      <c r="EQ161" s="6">
        <v>132</v>
      </c>
      <c r="ER161" s="6">
        <v>133</v>
      </c>
      <c r="ES161" s="6">
        <v>134</v>
      </c>
      <c r="ET161" s="6">
        <v>135</v>
      </c>
      <c r="EU161" s="6">
        <v>136</v>
      </c>
      <c r="EV161" s="6">
        <v>137</v>
      </c>
      <c r="EW161" s="6">
        <v>138</v>
      </c>
      <c r="EX161" s="6">
        <v>139</v>
      </c>
      <c r="EY161" s="6">
        <v>140</v>
      </c>
      <c r="EZ161" s="6">
        <v>141</v>
      </c>
      <c r="FA161" s="6">
        <v>142</v>
      </c>
      <c r="FB161" s="6">
        <v>143</v>
      </c>
      <c r="FC161" s="6">
        <v>144</v>
      </c>
      <c r="FD161" s="6">
        <v>145</v>
      </c>
      <c r="FE161" s="6">
        <v>146</v>
      </c>
      <c r="FF161" s="6">
        <v>147</v>
      </c>
      <c r="FG161" s="6">
        <v>148</v>
      </c>
      <c r="FH161" s="6">
        <v>149</v>
      </c>
      <c r="FI161" s="6">
        <v>150</v>
      </c>
      <c r="FJ161" s="6">
        <v>151</v>
      </c>
      <c r="FK161" s="6">
        <v>152</v>
      </c>
      <c r="FL161" s="6">
        <v>153</v>
      </c>
      <c r="FM161" s="6">
        <v>154</v>
      </c>
      <c r="FN161" s="6">
        <v>155</v>
      </c>
      <c r="FO161" s="6">
        <v>156</v>
      </c>
      <c r="FP161" s="6">
        <v>157</v>
      </c>
      <c r="FQ161" s="6">
        <v>158</v>
      </c>
      <c r="FR161" s="6">
        <v>159</v>
      </c>
      <c r="FS161" s="6">
        <v>160</v>
      </c>
      <c r="FT161" s="6">
        <v>161</v>
      </c>
      <c r="FU161" s="6">
        <v>162</v>
      </c>
      <c r="FV161" s="6">
        <v>163</v>
      </c>
      <c r="FW161" s="6">
        <v>164</v>
      </c>
      <c r="FX161" s="6">
        <v>165</v>
      </c>
      <c r="FY161" s="6">
        <v>166</v>
      </c>
      <c r="FZ161" s="6">
        <v>167</v>
      </c>
      <c r="GA161" s="6">
        <v>168</v>
      </c>
      <c r="GB161" s="6">
        <v>169</v>
      </c>
      <c r="GC161" s="6">
        <v>170</v>
      </c>
      <c r="GD161" s="6">
        <v>171</v>
      </c>
      <c r="GE161" s="6">
        <v>172</v>
      </c>
      <c r="GF161" s="6">
        <v>173</v>
      </c>
      <c r="GG161" s="6">
        <v>174</v>
      </c>
      <c r="GH161" s="6">
        <v>175</v>
      </c>
      <c r="GI161" s="6">
        <v>176</v>
      </c>
      <c r="GJ161" s="6">
        <v>177</v>
      </c>
      <c r="GK161" s="6">
        <v>178</v>
      </c>
      <c r="GL161" s="6">
        <v>179</v>
      </c>
      <c r="GM161" s="6">
        <v>180</v>
      </c>
      <c r="GN161" s="6">
        <v>181</v>
      </c>
      <c r="GO161" s="6">
        <v>182</v>
      </c>
      <c r="GP161" s="6">
        <v>183</v>
      </c>
      <c r="GQ161" s="6">
        <v>184</v>
      </c>
      <c r="GR161" s="6">
        <v>185</v>
      </c>
      <c r="GS161" s="6">
        <v>186</v>
      </c>
      <c r="GT161" s="6">
        <v>187</v>
      </c>
      <c r="GU161" s="6">
        <v>188</v>
      </c>
      <c r="GV161" s="6">
        <v>189</v>
      </c>
      <c r="GW161" s="6">
        <v>190</v>
      </c>
      <c r="GX161" s="6">
        <v>191</v>
      </c>
      <c r="GY161" s="6">
        <v>192</v>
      </c>
      <c r="GZ161" s="6">
        <v>193</v>
      </c>
      <c r="HA161" s="6">
        <v>194</v>
      </c>
      <c r="HB161" s="6">
        <v>195</v>
      </c>
      <c r="HC161" s="6">
        <v>196</v>
      </c>
      <c r="HD161" s="6">
        <v>197</v>
      </c>
      <c r="HE161" s="6">
        <v>198</v>
      </c>
      <c r="HF161" s="6">
        <v>199</v>
      </c>
      <c r="HG161" s="6">
        <v>200</v>
      </c>
      <c r="HH161" s="6">
        <v>201</v>
      </c>
      <c r="HI161" s="6">
        <v>202</v>
      </c>
      <c r="HJ161" s="6">
        <v>203</v>
      </c>
      <c r="HK161" s="6">
        <v>204</v>
      </c>
      <c r="HL161" s="6">
        <v>205</v>
      </c>
      <c r="HM161" s="6">
        <v>206</v>
      </c>
      <c r="HN161" s="6">
        <v>207</v>
      </c>
      <c r="HO161" s="6">
        <v>208</v>
      </c>
      <c r="HP161" s="6">
        <v>209</v>
      </c>
      <c r="HQ161" s="6">
        <v>210</v>
      </c>
      <c r="HR161" s="6">
        <v>211</v>
      </c>
      <c r="HS161" s="6">
        <v>212</v>
      </c>
      <c r="HT161" s="6">
        <v>213</v>
      </c>
      <c r="HU161" s="6">
        <v>214</v>
      </c>
      <c r="HV161" s="6">
        <v>215</v>
      </c>
      <c r="HW161" s="6">
        <v>216</v>
      </c>
      <c r="HX161" s="6">
        <v>217</v>
      </c>
      <c r="HY161" s="6">
        <v>218</v>
      </c>
      <c r="HZ161" s="6">
        <v>219</v>
      </c>
      <c r="IA161" s="6">
        <v>220</v>
      </c>
      <c r="IB161" s="6">
        <v>221</v>
      </c>
      <c r="IC161" s="6">
        <v>222</v>
      </c>
    </row>
    <row r="162" spans="1:257">
      <c r="A162" s="78"/>
      <c r="B162" s="78"/>
      <c r="C162" s="78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5"/>
      <c r="P162" s="51" t="s">
        <v>30</v>
      </c>
      <c r="Q162" s="51" t="s">
        <v>30</v>
      </c>
      <c r="R162" s="51" t="s">
        <v>30</v>
      </c>
      <c r="S162" s="51" t="s">
        <v>30</v>
      </c>
      <c r="T162" s="51" t="s">
        <v>30</v>
      </c>
      <c r="U162" s="51" t="s">
        <v>30</v>
      </c>
      <c r="V162" s="51" t="s">
        <v>30</v>
      </c>
      <c r="W162" s="51" t="s">
        <v>30</v>
      </c>
      <c r="X162" s="51" t="s">
        <v>30</v>
      </c>
      <c r="Y162" s="51" t="s">
        <v>30</v>
      </c>
      <c r="Z162" s="51" t="s">
        <v>30</v>
      </c>
      <c r="AA162" s="51" t="s">
        <v>30</v>
      </c>
      <c r="AB162" s="51" t="s">
        <v>30</v>
      </c>
      <c r="AC162" s="51" t="s">
        <v>30</v>
      </c>
      <c r="AD162" s="51" t="s">
        <v>30</v>
      </c>
      <c r="AE162" s="51" t="s">
        <v>30</v>
      </c>
      <c r="AF162" s="51" t="s">
        <v>30</v>
      </c>
      <c r="AG162" s="51" t="s">
        <v>30</v>
      </c>
      <c r="AH162" s="51" t="s">
        <v>30</v>
      </c>
      <c r="AI162" s="51" t="s">
        <v>30</v>
      </c>
      <c r="AJ162" s="51" t="s">
        <v>30</v>
      </c>
      <c r="AK162" s="51" t="s">
        <v>30</v>
      </c>
      <c r="AL162" s="51" t="s">
        <v>30</v>
      </c>
      <c r="AM162" s="51" t="s">
        <v>30</v>
      </c>
      <c r="AN162" s="51" t="s">
        <v>30</v>
      </c>
      <c r="AO162" s="51" t="s">
        <v>30</v>
      </c>
      <c r="AP162" s="51" t="s">
        <v>30</v>
      </c>
      <c r="AQ162" s="51" t="s">
        <v>30</v>
      </c>
      <c r="AR162" s="51" t="s">
        <v>30</v>
      </c>
      <c r="AS162" s="51" t="s">
        <v>30</v>
      </c>
      <c r="AT162" s="51" t="s">
        <v>30</v>
      </c>
      <c r="AU162" s="51" t="s">
        <v>30</v>
      </c>
      <c r="AV162" s="51" t="s">
        <v>30</v>
      </c>
      <c r="AW162" s="51" t="s">
        <v>30</v>
      </c>
      <c r="AX162" s="51" t="s">
        <v>30</v>
      </c>
      <c r="AY162" s="51" t="s">
        <v>30</v>
      </c>
      <c r="AZ162" s="51" t="s">
        <v>30</v>
      </c>
      <c r="BA162" s="51" t="s">
        <v>30</v>
      </c>
      <c r="BB162" s="51" t="s">
        <v>30</v>
      </c>
      <c r="BC162" s="51" t="s">
        <v>30</v>
      </c>
      <c r="BD162" s="51" t="s">
        <v>30</v>
      </c>
      <c r="BE162" s="51" t="s">
        <v>30</v>
      </c>
      <c r="BF162" s="51" t="s">
        <v>30</v>
      </c>
      <c r="BG162" s="51" t="s">
        <v>30</v>
      </c>
      <c r="BH162" s="51" t="s">
        <v>30</v>
      </c>
      <c r="BI162" s="51" t="s">
        <v>30</v>
      </c>
      <c r="BJ162" s="51" t="s">
        <v>30</v>
      </c>
      <c r="BK162" s="51" t="s">
        <v>30</v>
      </c>
      <c r="BL162" s="51" t="s">
        <v>30</v>
      </c>
      <c r="BM162" s="51" t="s">
        <v>30</v>
      </c>
      <c r="BN162" s="51" t="s">
        <v>30</v>
      </c>
      <c r="BO162" s="51" t="s">
        <v>30</v>
      </c>
      <c r="BP162" s="51" t="s">
        <v>30</v>
      </c>
      <c r="BQ162" s="51" t="s">
        <v>30</v>
      </c>
      <c r="BR162" s="51" t="s">
        <v>30</v>
      </c>
      <c r="BS162" s="51" t="s">
        <v>30</v>
      </c>
      <c r="BT162" s="51" t="s">
        <v>30</v>
      </c>
      <c r="BU162" s="51" t="s">
        <v>30</v>
      </c>
      <c r="BV162" s="51" t="s">
        <v>30</v>
      </c>
      <c r="BW162" s="51" t="s">
        <v>30</v>
      </c>
      <c r="BX162" s="51" t="s">
        <v>30</v>
      </c>
      <c r="BY162" s="51" t="s">
        <v>30</v>
      </c>
      <c r="BZ162" s="51" t="s">
        <v>30</v>
      </c>
      <c r="CA162" s="51" t="s">
        <v>30</v>
      </c>
      <c r="CB162" s="51" t="s">
        <v>30</v>
      </c>
      <c r="CC162" s="51" t="s">
        <v>30</v>
      </c>
      <c r="CD162" s="51" t="s">
        <v>30</v>
      </c>
      <c r="CE162" s="51" t="s">
        <v>30</v>
      </c>
      <c r="CF162" s="51" t="s">
        <v>30</v>
      </c>
      <c r="CG162" s="51" t="s">
        <v>30</v>
      </c>
      <c r="CH162" s="51" t="s">
        <v>30</v>
      </c>
      <c r="CI162" s="51" t="s">
        <v>30</v>
      </c>
      <c r="CJ162" s="51" t="s">
        <v>30</v>
      </c>
      <c r="CK162" s="51" t="s">
        <v>30</v>
      </c>
      <c r="CL162" s="51" t="s">
        <v>30</v>
      </c>
      <c r="CM162" s="51" t="s">
        <v>30</v>
      </c>
      <c r="CN162" s="51" t="s">
        <v>30</v>
      </c>
      <c r="CO162" s="51" t="s">
        <v>30</v>
      </c>
      <c r="CP162" s="51" t="s">
        <v>30</v>
      </c>
      <c r="CQ162" s="51" t="s">
        <v>30</v>
      </c>
      <c r="CR162" s="51" t="s">
        <v>30</v>
      </c>
      <c r="CS162" s="51" t="s">
        <v>30</v>
      </c>
      <c r="CT162" s="51" t="s">
        <v>30</v>
      </c>
      <c r="CU162" s="51" t="s">
        <v>30</v>
      </c>
      <c r="CV162" s="51" t="s">
        <v>30</v>
      </c>
      <c r="CW162" s="51" t="s">
        <v>30</v>
      </c>
      <c r="CX162" s="51" t="s">
        <v>30</v>
      </c>
      <c r="CY162" s="51" t="s">
        <v>30</v>
      </c>
      <c r="CZ162" s="51" t="s">
        <v>30</v>
      </c>
      <c r="DA162" s="51" t="s">
        <v>30</v>
      </c>
      <c r="DB162" s="51" t="s">
        <v>30</v>
      </c>
      <c r="DC162" s="51" t="s">
        <v>30</v>
      </c>
      <c r="DD162" s="51" t="s">
        <v>30</v>
      </c>
      <c r="DE162" s="51" t="s">
        <v>30</v>
      </c>
      <c r="DF162" s="51" t="s">
        <v>30</v>
      </c>
      <c r="DG162" s="51" t="s">
        <v>30</v>
      </c>
      <c r="DH162" s="51" t="s">
        <v>30</v>
      </c>
      <c r="DI162" s="51" t="s">
        <v>30</v>
      </c>
      <c r="DJ162" s="51" t="s">
        <v>30</v>
      </c>
      <c r="DK162" s="51" t="s">
        <v>30</v>
      </c>
      <c r="DL162" s="51" t="s">
        <v>30</v>
      </c>
      <c r="DM162" s="51" t="s">
        <v>30</v>
      </c>
      <c r="DN162" s="51" t="s">
        <v>30</v>
      </c>
      <c r="DO162" s="51" t="s">
        <v>30</v>
      </c>
      <c r="DP162" s="51" t="s">
        <v>30</v>
      </c>
      <c r="DQ162" s="51" t="s">
        <v>30</v>
      </c>
      <c r="DR162" s="51" t="s">
        <v>30</v>
      </c>
      <c r="DS162" s="51" t="s">
        <v>30</v>
      </c>
      <c r="DT162" s="51" t="s">
        <v>30</v>
      </c>
      <c r="DU162" s="51" t="s">
        <v>30</v>
      </c>
      <c r="DV162" s="51" t="s">
        <v>30</v>
      </c>
      <c r="DW162" s="51" t="s">
        <v>30</v>
      </c>
      <c r="DX162" s="51" t="s">
        <v>30</v>
      </c>
      <c r="DY162" s="51" t="s">
        <v>30</v>
      </c>
      <c r="DZ162" s="51" t="s">
        <v>30</v>
      </c>
      <c r="EA162" s="51" t="s">
        <v>30</v>
      </c>
      <c r="EB162" s="51" t="s">
        <v>30</v>
      </c>
      <c r="EC162" s="51" t="s">
        <v>30</v>
      </c>
      <c r="ED162" s="51" t="s">
        <v>30</v>
      </c>
      <c r="EE162" s="51" t="s">
        <v>30</v>
      </c>
      <c r="EF162" s="51" t="s">
        <v>30</v>
      </c>
      <c r="EG162" s="51" t="s">
        <v>30</v>
      </c>
      <c r="EH162" s="51" t="s">
        <v>30</v>
      </c>
      <c r="EI162" s="51" t="s">
        <v>30</v>
      </c>
      <c r="EJ162" s="51" t="s">
        <v>30</v>
      </c>
      <c r="EK162" s="51" t="s">
        <v>30</v>
      </c>
      <c r="EL162" s="51" t="s">
        <v>30</v>
      </c>
      <c r="EM162" s="51" t="s">
        <v>30</v>
      </c>
      <c r="EN162" s="51" t="s">
        <v>30</v>
      </c>
      <c r="EO162" s="51" t="s">
        <v>30</v>
      </c>
      <c r="EP162" s="51" t="s">
        <v>30</v>
      </c>
      <c r="EQ162" s="51" t="s">
        <v>30</v>
      </c>
      <c r="ER162" s="51" t="s">
        <v>30</v>
      </c>
      <c r="ES162" s="51" t="s">
        <v>30</v>
      </c>
      <c r="ET162" s="51" t="s">
        <v>30</v>
      </c>
      <c r="EU162" s="51" t="s">
        <v>30</v>
      </c>
      <c r="EV162" s="51" t="s">
        <v>30</v>
      </c>
      <c r="EW162" s="51" t="s">
        <v>30</v>
      </c>
      <c r="EX162" s="51" t="s">
        <v>30</v>
      </c>
      <c r="EY162" s="51" t="s">
        <v>30</v>
      </c>
      <c r="EZ162" s="51" t="s">
        <v>30</v>
      </c>
      <c r="FA162" s="51" t="s">
        <v>30</v>
      </c>
      <c r="FB162" s="51" t="s">
        <v>30</v>
      </c>
      <c r="FC162" s="51" t="s">
        <v>30</v>
      </c>
      <c r="FD162" s="51" t="s">
        <v>30</v>
      </c>
      <c r="FE162" s="51" t="s">
        <v>30</v>
      </c>
      <c r="FF162" s="51" t="s">
        <v>30</v>
      </c>
      <c r="FG162" s="51" t="s">
        <v>30</v>
      </c>
      <c r="FH162" s="51" t="s">
        <v>30</v>
      </c>
      <c r="FI162" s="51" t="s">
        <v>30</v>
      </c>
      <c r="FJ162" s="51" t="s">
        <v>30</v>
      </c>
      <c r="FK162" s="51" t="s">
        <v>30</v>
      </c>
      <c r="FL162" s="51" t="s">
        <v>30</v>
      </c>
      <c r="FM162" s="51" t="s">
        <v>30</v>
      </c>
      <c r="FN162" s="51" t="s">
        <v>30</v>
      </c>
      <c r="FO162" s="51" t="s">
        <v>30</v>
      </c>
      <c r="FP162" s="51" t="s">
        <v>30</v>
      </c>
      <c r="FQ162" s="51" t="s">
        <v>30</v>
      </c>
      <c r="FR162" s="51" t="s">
        <v>30</v>
      </c>
      <c r="FS162" s="51" t="s">
        <v>30</v>
      </c>
      <c r="FT162" s="51" t="s">
        <v>30</v>
      </c>
      <c r="FU162" s="51" t="s">
        <v>30</v>
      </c>
      <c r="FV162" s="51" t="s">
        <v>30</v>
      </c>
      <c r="FW162" s="51" t="s">
        <v>30</v>
      </c>
      <c r="FX162" s="51" t="s">
        <v>30</v>
      </c>
      <c r="FY162" s="51" t="s">
        <v>30</v>
      </c>
      <c r="FZ162" s="51" t="s">
        <v>30</v>
      </c>
      <c r="GA162" s="51" t="s">
        <v>30</v>
      </c>
      <c r="GB162" s="51" t="s">
        <v>30</v>
      </c>
      <c r="GC162" s="51" t="s">
        <v>30</v>
      </c>
      <c r="GD162" s="51" t="s">
        <v>30</v>
      </c>
      <c r="GE162" s="51" t="s">
        <v>30</v>
      </c>
      <c r="GF162" s="51" t="s">
        <v>30</v>
      </c>
      <c r="GG162" s="51" t="s">
        <v>30</v>
      </c>
      <c r="GH162" s="51" t="s">
        <v>30</v>
      </c>
      <c r="GI162" s="51" t="s">
        <v>30</v>
      </c>
      <c r="GJ162" s="51" t="s">
        <v>30</v>
      </c>
      <c r="GK162" s="51" t="s">
        <v>30</v>
      </c>
      <c r="GL162" s="51" t="s">
        <v>30</v>
      </c>
      <c r="GM162" s="51" t="s">
        <v>30</v>
      </c>
      <c r="GN162" s="51" t="s">
        <v>30</v>
      </c>
      <c r="GO162" s="51" t="s">
        <v>30</v>
      </c>
      <c r="GP162" s="51" t="s">
        <v>30</v>
      </c>
      <c r="GQ162" s="51" t="s">
        <v>30</v>
      </c>
      <c r="GR162" s="51" t="s">
        <v>30</v>
      </c>
      <c r="GS162" s="51" t="s">
        <v>30</v>
      </c>
      <c r="GT162" s="51" t="s">
        <v>30</v>
      </c>
      <c r="GU162" s="51" t="s">
        <v>30</v>
      </c>
      <c r="GV162" s="51" t="s">
        <v>30</v>
      </c>
      <c r="GW162" s="51" t="s">
        <v>30</v>
      </c>
      <c r="GX162" s="51" t="s">
        <v>30</v>
      </c>
      <c r="GY162" s="51" t="s">
        <v>30</v>
      </c>
      <c r="GZ162" s="51" t="s">
        <v>30</v>
      </c>
      <c r="HA162" s="51" t="s">
        <v>30</v>
      </c>
      <c r="HB162" s="51" t="s">
        <v>30</v>
      </c>
      <c r="HC162" s="51" t="s">
        <v>30</v>
      </c>
      <c r="HD162" s="51" t="s">
        <v>30</v>
      </c>
      <c r="HE162" s="51" t="s">
        <v>30</v>
      </c>
      <c r="HF162" s="51" t="s">
        <v>30</v>
      </c>
      <c r="HG162" s="51" t="s">
        <v>30</v>
      </c>
      <c r="HH162" s="51" t="s">
        <v>30</v>
      </c>
      <c r="HI162" s="51" t="s">
        <v>30</v>
      </c>
      <c r="HJ162" s="51" t="s">
        <v>30</v>
      </c>
      <c r="HK162" s="51" t="s">
        <v>30</v>
      </c>
      <c r="HL162" s="51" t="s">
        <v>30</v>
      </c>
      <c r="HM162" s="51" t="s">
        <v>30</v>
      </c>
      <c r="HN162" s="51" t="s">
        <v>30</v>
      </c>
      <c r="HO162" s="51" t="s">
        <v>30</v>
      </c>
      <c r="HP162" s="51" t="s">
        <v>30</v>
      </c>
      <c r="HQ162" s="51" t="s">
        <v>30</v>
      </c>
      <c r="HR162" s="51" t="s">
        <v>30</v>
      </c>
      <c r="HS162" s="51" t="s">
        <v>30</v>
      </c>
      <c r="HT162" s="51" t="s">
        <v>30</v>
      </c>
      <c r="HU162" s="51" t="s">
        <v>30</v>
      </c>
      <c r="HV162" s="51" t="s">
        <v>30</v>
      </c>
      <c r="HW162" s="51" t="s">
        <v>30</v>
      </c>
      <c r="HX162" s="51" t="s">
        <v>30</v>
      </c>
      <c r="HY162" s="51" t="s">
        <v>30</v>
      </c>
      <c r="HZ162" s="51" t="s">
        <v>30</v>
      </c>
      <c r="IA162" s="51" t="s">
        <v>30</v>
      </c>
      <c r="IB162" s="51" t="s">
        <v>30</v>
      </c>
      <c r="IC162" s="51" t="s">
        <v>30</v>
      </c>
    </row>
    <row r="163" spans="1:257">
      <c r="A163" s="4" t="s">
        <v>522</v>
      </c>
      <c r="B163" s="82" t="str">
        <f t="array" ref="B163">_xlfn.LET(
  _xlpm.dates, _xlfn._xlws.FILTER(P163:HO163, (P165:HO165&lt;&gt;"")+(P167:HO167&lt;&gt;"")),
  _xlpm.numDates, IFERROR(VALUE(_xlpm.dates), _xlpm.dates),
  _xlpm.first, TEXT(MIN(_xlpm.numDates), "m/dd"),
  _xlpm.last, TEXT(MAX(_xlpm.numDates), "m/dd"),
  _xlpm.first &amp; "~" &amp; _xlpm.last
)</f>
        <v>3/28~4/27</v>
      </c>
      <c r="C163" s="7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 t="s">
        <v>522</v>
      </c>
      <c r="P163" s="3">
        <v>46107</v>
      </c>
      <c r="Q163" s="3">
        <v>46108</v>
      </c>
      <c r="R163" s="3">
        <v>46109</v>
      </c>
      <c r="S163" s="3">
        <v>46110</v>
      </c>
      <c r="T163" s="3">
        <v>46111</v>
      </c>
      <c r="U163" s="3">
        <v>46112</v>
      </c>
      <c r="V163" s="3">
        <v>46113</v>
      </c>
      <c r="W163" s="3">
        <v>46114</v>
      </c>
      <c r="X163" s="3">
        <v>46115</v>
      </c>
      <c r="Y163" s="3">
        <v>46116</v>
      </c>
      <c r="Z163" s="3">
        <v>46117</v>
      </c>
      <c r="AA163" s="3">
        <v>46118</v>
      </c>
      <c r="AB163" s="3">
        <v>46119</v>
      </c>
      <c r="AC163" s="3">
        <v>46120</v>
      </c>
      <c r="AD163" s="3">
        <v>46121</v>
      </c>
      <c r="AE163" s="3">
        <v>46122</v>
      </c>
      <c r="AF163" s="3">
        <v>46123</v>
      </c>
      <c r="AG163" s="3">
        <v>46124</v>
      </c>
      <c r="AH163" s="3">
        <v>46125</v>
      </c>
      <c r="AI163" s="3">
        <v>46126</v>
      </c>
      <c r="AJ163" s="3">
        <v>46127</v>
      </c>
      <c r="AK163" s="3">
        <v>46128</v>
      </c>
      <c r="AL163" s="3">
        <v>46129</v>
      </c>
      <c r="AM163" s="3">
        <v>46130</v>
      </c>
      <c r="AN163" s="3">
        <v>46131</v>
      </c>
      <c r="AO163" s="3">
        <v>46132</v>
      </c>
      <c r="AP163" s="3">
        <v>46133</v>
      </c>
      <c r="AQ163" s="3">
        <v>46134</v>
      </c>
      <c r="AR163" s="3">
        <v>46135</v>
      </c>
      <c r="AS163" s="3">
        <v>46136</v>
      </c>
      <c r="AT163" s="3">
        <v>46137</v>
      </c>
      <c r="AU163" s="3">
        <v>46138</v>
      </c>
      <c r="AV163" s="3">
        <v>46139</v>
      </c>
      <c r="AW163" s="3">
        <v>46140</v>
      </c>
      <c r="AX163" s="3">
        <v>46141</v>
      </c>
      <c r="AY163" s="3">
        <v>46142</v>
      </c>
      <c r="AZ163" s="3">
        <v>46143</v>
      </c>
      <c r="BA163" s="3">
        <v>46144</v>
      </c>
      <c r="BB163" s="3">
        <v>46145</v>
      </c>
      <c r="BC163" s="3">
        <v>46146</v>
      </c>
      <c r="BD163" s="3">
        <v>46147</v>
      </c>
      <c r="BE163" s="3">
        <v>46148</v>
      </c>
      <c r="BF163" s="3">
        <v>46149</v>
      </c>
      <c r="BG163" s="3">
        <v>46150</v>
      </c>
      <c r="BH163" s="3">
        <v>46151</v>
      </c>
      <c r="BI163" s="3">
        <v>46152</v>
      </c>
      <c r="BJ163" s="3">
        <v>46153</v>
      </c>
      <c r="BK163" s="3">
        <v>46154</v>
      </c>
      <c r="BL163" s="3">
        <v>46155</v>
      </c>
      <c r="BM163" s="3">
        <v>46156</v>
      </c>
      <c r="BN163" s="3">
        <v>46157</v>
      </c>
      <c r="BO163" s="3">
        <v>46158</v>
      </c>
      <c r="BP163" s="3">
        <v>46159</v>
      </c>
      <c r="BQ163" s="3">
        <v>46160</v>
      </c>
      <c r="BR163" s="3">
        <v>46161</v>
      </c>
      <c r="BS163" s="3">
        <v>46162</v>
      </c>
      <c r="BT163" s="3">
        <v>46163</v>
      </c>
      <c r="BU163" s="3">
        <v>46164</v>
      </c>
      <c r="BV163" s="3">
        <v>46165</v>
      </c>
      <c r="BW163" s="3">
        <v>46166</v>
      </c>
      <c r="BX163" s="3">
        <v>46167</v>
      </c>
      <c r="BY163" s="3">
        <v>46168</v>
      </c>
      <c r="BZ163" s="3">
        <v>46169</v>
      </c>
      <c r="CA163" s="3">
        <v>46170</v>
      </c>
      <c r="CB163" s="3">
        <v>46171</v>
      </c>
      <c r="CC163" s="3">
        <v>46172</v>
      </c>
      <c r="CD163" s="3">
        <v>46173</v>
      </c>
      <c r="CE163" s="3">
        <v>46174</v>
      </c>
      <c r="CF163" s="3">
        <v>46175</v>
      </c>
      <c r="CG163" s="3">
        <v>46176</v>
      </c>
      <c r="CH163" s="3">
        <v>46177</v>
      </c>
      <c r="CI163" s="3">
        <v>46178</v>
      </c>
      <c r="CJ163" s="3">
        <v>46179</v>
      </c>
      <c r="CK163" s="3">
        <v>46180</v>
      </c>
      <c r="CL163" s="3">
        <v>46181</v>
      </c>
      <c r="CM163" s="3">
        <v>46182</v>
      </c>
      <c r="CN163" s="3">
        <v>46183</v>
      </c>
      <c r="CO163" s="3">
        <v>46184</v>
      </c>
      <c r="CP163" s="3">
        <v>46185</v>
      </c>
      <c r="CQ163" s="3">
        <v>46186</v>
      </c>
      <c r="CR163" s="3">
        <v>46187</v>
      </c>
      <c r="CS163" s="3">
        <v>46188</v>
      </c>
      <c r="CT163" s="3">
        <v>46189</v>
      </c>
      <c r="CU163" s="3">
        <v>46190</v>
      </c>
      <c r="CV163" s="3">
        <v>46191</v>
      </c>
      <c r="CW163" s="3">
        <v>46192</v>
      </c>
      <c r="CX163" s="3">
        <v>46193</v>
      </c>
      <c r="CY163" s="3">
        <v>46194</v>
      </c>
      <c r="CZ163" s="3">
        <v>46195</v>
      </c>
      <c r="DA163" s="3">
        <v>46196</v>
      </c>
      <c r="DB163" s="3">
        <v>46197</v>
      </c>
      <c r="DC163" s="3">
        <v>46198</v>
      </c>
      <c r="DD163" s="3">
        <v>46199</v>
      </c>
      <c r="DE163" s="3">
        <v>46200</v>
      </c>
      <c r="DF163" s="3">
        <v>46201</v>
      </c>
      <c r="DG163" s="3">
        <v>46202</v>
      </c>
      <c r="DH163" s="3">
        <v>46203</v>
      </c>
      <c r="DI163" s="3">
        <v>46204</v>
      </c>
      <c r="DJ163" s="3">
        <v>46205</v>
      </c>
      <c r="DK163" s="3">
        <v>46206</v>
      </c>
      <c r="DL163" s="3">
        <v>46207</v>
      </c>
      <c r="DM163" s="3">
        <v>46208</v>
      </c>
      <c r="DN163" s="3">
        <v>46209</v>
      </c>
      <c r="DO163" s="3">
        <v>46210</v>
      </c>
      <c r="DP163" s="3">
        <v>46211</v>
      </c>
      <c r="DQ163" s="3">
        <v>46212</v>
      </c>
      <c r="DR163" s="3">
        <v>46213</v>
      </c>
      <c r="DS163" s="3">
        <v>46214</v>
      </c>
      <c r="DT163" s="3">
        <v>46215</v>
      </c>
      <c r="DU163" s="3">
        <v>46216</v>
      </c>
      <c r="DV163" s="3">
        <v>46217</v>
      </c>
      <c r="DW163" s="3">
        <v>46218</v>
      </c>
      <c r="DX163" s="3">
        <v>46219</v>
      </c>
      <c r="DY163" s="3">
        <v>46220</v>
      </c>
      <c r="DZ163" s="3">
        <v>46221</v>
      </c>
      <c r="EA163" s="3">
        <v>46222</v>
      </c>
      <c r="EB163" s="3">
        <v>46223</v>
      </c>
      <c r="EC163" s="3">
        <v>46224</v>
      </c>
      <c r="ED163" s="3">
        <v>46225</v>
      </c>
      <c r="EE163" s="3">
        <v>46226</v>
      </c>
      <c r="EF163" s="3">
        <v>46227</v>
      </c>
      <c r="EG163" s="3">
        <v>46228</v>
      </c>
      <c r="EH163" s="3">
        <v>46229</v>
      </c>
      <c r="EI163" s="3">
        <v>46230</v>
      </c>
      <c r="EJ163" s="3">
        <v>46231</v>
      </c>
      <c r="EK163" s="3">
        <v>46232</v>
      </c>
      <c r="EL163" s="3">
        <v>46233</v>
      </c>
      <c r="EM163" s="3">
        <v>46234</v>
      </c>
      <c r="EN163" s="3">
        <v>46235</v>
      </c>
      <c r="EO163" s="3">
        <v>46236</v>
      </c>
      <c r="EP163" s="3">
        <v>46237</v>
      </c>
      <c r="EQ163" s="3">
        <v>46238</v>
      </c>
      <c r="ER163" s="3">
        <v>46239</v>
      </c>
      <c r="ES163" s="3">
        <v>46240</v>
      </c>
      <c r="ET163" s="3">
        <v>46241</v>
      </c>
      <c r="EU163" s="3">
        <v>46242</v>
      </c>
      <c r="EV163" s="3">
        <v>46243</v>
      </c>
      <c r="EW163" s="3">
        <v>46244</v>
      </c>
      <c r="EX163" s="3">
        <v>46245</v>
      </c>
      <c r="EY163" s="3">
        <v>46246</v>
      </c>
      <c r="EZ163" s="3">
        <v>46247</v>
      </c>
      <c r="FA163" s="3">
        <v>46248</v>
      </c>
      <c r="FB163" s="3">
        <v>46249</v>
      </c>
      <c r="FC163" s="3">
        <v>46250</v>
      </c>
      <c r="FD163" s="3">
        <v>46251</v>
      </c>
      <c r="FE163" s="3">
        <v>46252</v>
      </c>
      <c r="FF163" s="3">
        <v>46253</v>
      </c>
      <c r="FG163" s="3">
        <v>46254</v>
      </c>
      <c r="FH163" s="3">
        <v>46255</v>
      </c>
      <c r="FI163" s="3">
        <v>46256</v>
      </c>
      <c r="FJ163" s="3">
        <v>46257</v>
      </c>
      <c r="FK163" s="3">
        <v>46258</v>
      </c>
      <c r="FL163" s="3">
        <v>46259</v>
      </c>
      <c r="FM163" s="3">
        <v>46260</v>
      </c>
      <c r="FN163" s="3">
        <v>46261</v>
      </c>
      <c r="FO163" s="3">
        <v>46262</v>
      </c>
      <c r="FP163" s="3">
        <v>46263</v>
      </c>
      <c r="FQ163" s="3">
        <v>46264</v>
      </c>
      <c r="FR163" s="3">
        <v>46265</v>
      </c>
      <c r="FS163" s="3">
        <v>46266</v>
      </c>
      <c r="FT163" s="3">
        <v>46267</v>
      </c>
      <c r="FU163" s="3">
        <v>46268</v>
      </c>
      <c r="FV163" s="3">
        <v>46269</v>
      </c>
      <c r="FW163" s="3">
        <v>46270</v>
      </c>
      <c r="FX163" s="3">
        <v>46271</v>
      </c>
      <c r="FY163" s="3">
        <v>46272</v>
      </c>
      <c r="FZ163" s="3">
        <v>46273</v>
      </c>
      <c r="GA163" s="3">
        <v>46274</v>
      </c>
      <c r="GB163" s="3">
        <v>46275</v>
      </c>
      <c r="GC163" s="3">
        <v>46276</v>
      </c>
      <c r="GD163" s="3">
        <v>46277</v>
      </c>
      <c r="GE163" s="3">
        <v>46278</v>
      </c>
      <c r="GF163" s="3">
        <v>46279</v>
      </c>
      <c r="GG163" s="3">
        <v>46280</v>
      </c>
      <c r="GH163" s="3">
        <v>46281</v>
      </c>
      <c r="GI163" s="3">
        <v>46282</v>
      </c>
      <c r="GJ163" s="3">
        <v>46283</v>
      </c>
      <c r="GK163" s="3">
        <v>46284</v>
      </c>
      <c r="GL163" s="3">
        <v>46285</v>
      </c>
      <c r="GM163" s="3">
        <v>46286</v>
      </c>
      <c r="GN163" s="3">
        <v>46287</v>
      </c>
      <c r="GO163" s="3">
        <v>46288</v>
      </c>
      <c r="GP163" s="3">
        <v>46289</v>
      </c>
      <c r="GQ163" s="3">
        <v>46290</v>
      </c>
      <c r="GR163" s="3">
        <v>46291</v>
      </c>
      <c r="GS163" s="3">
        <v>46292</v>
      </c>
      <c r="GT163" s="3">
        <v>46293</v>
      </c>
      <c r="GU163" s="3">
        <v>46294</v>
      </c>
      <c r="GV163" s="3">
        <v>46295</v>
      </c>
      <c r="GW163" s="3">
        <v>46296</v>
      </c>
      <c r="GX163" s="3">
        <v>46297</v>
      </c>
      <c r="GY163" s="3">
        <v>46298</v>
      </c>
      <c r="GZ163" s="3">
        <v>46299</v>
      </c>
      <c r="HA163" s="3">
        <v>46300</v>
      </c>
      <c r="HB163" s="3">
        <v>46301</v>
      </c>
      <c r="HC163" s="3">
        <v>46302</v>
      </c>
      <c r="HD163" s="3">
        <v>46303</v>
      </c>
      <c r="HE163" s="3">
        <v>46304</v>
      </c>
      <c r="HF163" s="3">
        <v>46305</v>
      </c>
      <c r="HG163" s="3">
        <v>46306</v>
      </c>
      <c r="HH163" s="3">
        <v>46307</v>
      </c>
      <c r="HI163" s="3">
        <v>46308</v>
      </c>
      <c r="HJ163" s="3">
        <v>46309</v>
      </c>
      <c r="HK163" s="3">
        <v>46310</v>
      </c>
      <c r="HL163" s="3">
        <v>46311</v>
      </c>
      <c r="HM163" s="3">
        <v>46312</v>
      </c>
      <c r="HN163" s="3">
        <v>46313</v>
      </c>
      <c r="HO163" s="3">
        <v>46314</v>
      </c>
      <c r="HP163" s="3">
        <v>46315</v>
      </c>
      <c r="HQ163" s="3">
        <v>46316</v>
      </c>
      <c r="HR163" s="3">
        <v>46317</v>
      </c>
      <c r="HS163" s="3">
        <v>46318</v>
      </c>
      <c r="HT163" s="3">
        <v>46319</v>
      </c>
      <c r="HU163" s="3">
        <v>46320</v>
      </c>
      <c r="HV163" s="3">
        <v>46321</v>
      </c>
      <c r="HW163" s="3">
        <v>46322</v>
      </c>
      <c r="HX163" s="3">
        <v>46323</v>
      </c>
      <c r="HY163" s="3">
        <v>46324</v>
      </c>
      <c r="HZ163" s="3">
        <v>46325</v>
      </c>
      <c r="IA163" s="3">
        <v>46326</v>
      </c>
      <c r="IB163" s="3">
        <v>46327</v>
      </c>
      <c r="IC163" s="3">
        <v>46328</v>
      </c>
    </row>
    <row r="164" spans="1:257">
      <c r="A164" s="4" t="s">
        <v>694</v>
      </c>
      <c r="B164" s="82" t="str">
        <f t="array" ref="B164">COLUMNS(_xlfn._xlws.FILTER(P163:HO163, (P165:HO165&lt;&gt;"")+(P167:HO167&lt;&gt;""))) &amp; "場"</f>
        <v>27場</v>
      </c>
      <c r="C164" s="7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 t="s">
        <v>675</v>
      </c>
      <c r="P164" s="3" t="s">
        <v>676</v>
      </c>
      <c r="Q164" s="3" t="s">
        <v>677</v>
      </c>
      <c r="R164" s="3" t="s">
        <v>678</v>
      </c>
      <c r="S164" s="3" t="s">
        <v>679</v>
      </c>
      <c r="T164" s="3" t="s">
        <v>680</v>
      </c>
      <c r="U164" s="3" t="s">
        <v>681</v>
      </c>
      <c r="V164" s="3" t="s">
        <v>682</v>
      </c>
      <c r="W164" s="3" t="s">
        <v>676</v>
      </c>
      <c r="X164" s="3" t="s">
        <v>677</v>
      </c>
      <c r="Y164" s="3" t="s">
        <v>678</v>
      </c>
      <c r="Z164" s="3" t="s">
        <v>679</v>
      </c>
      <c r="AA164" s="3" t="s">
        <v>680</v>
      </c>
      <c r="AB164" s="3" t="s">
        <v>681</v>
      </c>
      <c r="AC164" s="3" t="s">
        <v>682</v>
      </c>
      <c r="AD164" s="3" t="s">
        <v>676</v>
      </c>
      <c r="AE164" s="3" t="s">
        <v>677</v>
      </c>
      <c r="AF164" s="3" t="s">
        <v>678</v>
      </c>
      <c r="AG164" s="3" t="s">
        <v>679</v>
      </c>
      <c r="AH164" s="3" t="s">
        <v>680</v>
      </c>
      <c r="AI164" s="3" t="s">
        <v>681</v>
      </c>
      <c r="AJ164" s="3" t="s">
        <v>682</v>
      </c>
      <c r="AK164" s="3" t="s">
        <v>676</v>
      </c>
      <c r="AL164" s="3" t="s">
        <v>677</v>
      </c>
      <c r="AM164" s="3" t="s">
        <v>678</v>
      </c>
      <c r="AN164" s="3" t="s">
        <v>679</v>
      </c>
      <c r="AO164" s="3" t="s">
        <v>680</v>
      </c>
      <c r="AP164" s="3" t="s">
        <v>681</v>
      </c>
      <c r="AQ164" s="3" t="s">
        <v>682</v>
      </c>
      <c r="AR164" s="3" t="s">
        <v>676</v>
      </c>
      <c r="AS164" s="3" t="s">
        <v>677</v>
      </c>
      <c r="AT164" s="3" t="s">
        <v>678</v>
      </c>
      <c r="AU164" s="3" t="s">
        <v>679</v>
      </c>
      <c r="AV164" s="3" t="s">
        <v>680</v>
      </c>
      <c r="AW164" s="3" t="s">
        <v>681</v>
      </c>
      <c r="AX164" s="3" t="s">
        <v>682</v>
      </c>
      <c r="AY164" s="3" t="s">
        <v>676</v>
      </c>
      <c r="AZ164" s="3" t="s">
        <v>677</v>
      </c>
      <c r="BA164" s="3" t="s">
        <v>678</v>
      </c>
      <c r="BB164" s="3" t="s">
        <v>679</v>
      </c>
      <c r="BC164" s="3" t="s">
        <v>680</v>
      </c>
      <c r="BD164" s="3" t="s">
        <v>681</v>
      </c>
      <c r="BE164" s="3" t="s">
        <v>682</v>
      </c>
      <c r="BF164" s="3" t="s">
        <v>676</v>
      </c>
      <c r="BG164" s="3" t="s">
        <v>677</v>
      </c>
      <c r="BH164" s="3" t="s">
        <v>678</v>
      </c>
      <c r="BI164" s="3" t="s">
        <v>679</v>
      </c>
      <c r="BJ164" s="3" t="s">
        <v>680</v>
      </c>
      <c r="BK164" s="3" t="s">
        <v>681</v>
      </c>
      <c r="BL164" s="3" t="s">
        <v>682</v>
      </c>
      <c r="BM164" s="3" t="s">
        <v>676</v>
      </c>
      <c r="BN164" s="3" t="s">
        <v>677</v>
      </c>
      <c r="BO164" s="3" t="s">
        <v>678</v>
      </c>
      <c r="BP164" s="3" t="s">
        <v>679</v>
      </c>
      <c r="BQ164" s="3" t="s">
        <v>680</v>
      </c>
      <c r="BR164" s="3" t="s">
        <v>681</v>
      </c>
      <c r="BS164" s="3" t="s">
        <v>682</v>
      </c>
      <c r="BT164" s="3" t="s">
        <v>676</v>
      </c>
      <c r="BU164" s="3" t="s">
        <v>677</v>
      </c>
      <c r="BV164" s="3" t="s">
        <v>678</v>
      </c>
      <c r="BW164" s="3" t="s">
        <v>679</v>
      </c>
      <c r="BX164" s="3" t="s">
        <v>680</v>
      </c>
      <c r="BY164" s="3" t="s">
        <v>681</v>
      </c>
      <c r="BZ164" s="3" t="s">
        <v>682</v>
      </c>
      <c r="CA164" s="3" t="s">
        <v>676</v>
      </c>
      <c r="CB164" s="3" t="s">
        <v>677</v>
      </c>
      <c r="CC164" s="3" t="s">
        <v>678</v>
      </c>
      <c r="CD164" s="3" t="s">
        <v>679</v>
      </c>
      <c r="CE164" s="3" t="s">
        <v>680</v>
      </c>
      <c r="CF164" s="3" t="s">
        <v>681</v>
      </c>
      <c r="CG164" s="3" t="s">
        <v>682</v>
      </c>
      <c r="CH164" s="3" t="s">
        <v>676</v>
      </c>
      <c r="CI164" s="3" t="s">
        <v>677</v>
      </c>
      <c r="CJ164" s="3" t="s">
        <v>678</v>
      </c>
      <c r="CK164" s="3" t="s">
        <v>679</v>
      </c>
      <c r="CL164" s="3" t="s">
        <v>680</v>
      </c>
      <c r="CM164" s="3" t="s">
        <v>681</v>
      </c>
      <c r="CN164" s="3" t="s">
        <v>682</v>
      </c>
      <c r="CO164" s="3" t="s">
        <v>676</v>
      </c>
      <c r="CP164" s="3" t="s">
        <v>677</v>
      </c>
      <c r="CQ164" s="3" t="s">
        <v>678</v>
      </c>
      <c r="CR164" s="3" t="s">
        <v>679</v>
      </c>
      <c r="CS164" s="3" t="s">
        <v>680</v>
      </c>
      <c r="CT164" s="3" t="s">
        <v>681</v>
      </c>
      <c r="CU164" s="3" t="s">
        <v>682</v>
      </c>
      <c r="CV164" s="3" t="s">
        <v>676</v>
      </c>
      <c r="CW164" s="3" t="s">
        <v>677</v>
      </c>
      <c r="CX164" s="3" t="s">
        <v>678</v>
      </c>
      <c r="CY164" s="3" t="s">
        <v>679</v>
      </c>
      <c r="CZ164" s="3" t="s">
        <v>680</v>
      </c>
      <c r="DA164" s="3" t="s">
        <v>681</v>
      </c>
      <c r="DB164" s="3" t="s">
        <v>682</v>
      </c>
      <c r="DC164" s="3" t="s">
        <v>676</v>
      </c>
      <c r="DD164" s="3" t="s">
        <v>677</v>
      </c>
      <c r="DE164" s="3" t="s">
        <v>678</v>
      </c>
      <c r="DF164" s="3" t="s">
        <v>679</v>
      </c>
      <c r="DG164" s="3" t="s">
        <v>680</v>
      </c>
      <c r="DH164" s="3" t="s">
        <v>681</v>
      </c>
      <c r="DI164" s="3" t="s">
        <v>682</v>
      </c>
      <c r="DJ164" s="3" t="s">
        <v>676</v>
      </c>
      <c r="DK164" s="3" t="s">
        <v>677</v>
      </c>
      <c r="DL164" s="3" t="s">
        <v>678</v>
      </c>
      <c r="DM164" s="3" t="s">
        <v>679</v>
      </c>
      <c r="DN164" s="3" t="s">
        <v>680</v>
      </c>
      <c r="DO164" s="3" t="s">
        <v>681</v>
      </c>
      <c r="DP164" s="3" t="s">
        <v>682</v>
      </c>
      <c r="DQ164" s="3" t="s">
        <v>676</v>
      </c>
      <c r="DR164" s="3" t="s">
        <v>677</v>
      </c>
      <c r="DS164" s="3" t="s">
        <v>678</v>
      </c>
      <c r="DT164" s="3" t="s">
        <v>679</v>
      </c>
      <c r="DU164" s="3" t="s">
        <v>680</v>
      </c>
      <c r="DV164" s="3" t="s">
        <v>681</v>
      </c>
      <c r="DW164" s="3" t="s">
        <v>682</v>
      </c>
      <c r="DX164" s="3" t="s">
        <v>676</v>
      </c>
      <c r="DY164" s="3" t="s">
        <v>677</v>
      </c>
      <c r="DZ164" s="3" t="s">
        <v>678</v>
      </c>
      <c r="EA164" s="3" t="s">
        <v>679</v>
      </c>
      <c r="EB164" s="3" t="s">
        <v>680</v>
      </c>
      <c r="EC164" s="3" t="s">
        <v>681</v>
      </c>
      <c r="ED164" s="3" t="s">
        <v>682</v>
      </c>
      <c r="EE164" s="3" t="s">
        <v>676</v>
      </c>
      <c r="EF164" s="3" t="s">
        <v>677</v>
      </c>
      <c r="EG164" s="3" t="s">
        <v>678</v>
      </c>
      <c r="EH164" s="3" t="s">
        <v>679</v>
      </c>
      <c r="EI164" s="3" t="s">
        <v>680</v>
      </c>
      <c r="EJ164" s="3" t="s">
        <v>681</v>
      </c>
      <c r="EK164" s="3" t="s">
        <v>682</v>
      </c>
      <c r="EL164" s="3" t="s">
        <v>676</v>
      </c>
      <c r="EM164" s="3" t="s">
        <v>677</v>
      </c>
      <c r="EN164" s="3" t="s">
        <v>678</v>
      </c>
      <c r="EO164" s="3" t="s">
        <v>679</v>
      </c>
      <c r="EP164" s="3" t="s">
        <v>680</v>
      </c>
      <c r="EQ164" s="3" t="s">
        <v>681</v>
      </c>
      <c r="ER164" s="3" t="s">
        <v>682</v>
      </c>
      <c r="ES164" s="3" t="s">
        <v>676</v>
      </c>
      <c r="ET164" s="3" t="s">
        <v>677</v>
      </c>
      <c r="EU164" s="3" t="s">
        <v>678</v>
      </c>
      <c r="EV164" s="3" t="s">
        <v>679</v>
      </c>
      <c r="EW164" s="3" t="s">
        <v>680</v>
      </c>
      <c r="EX164" s="3" t="s">
        <v>681</v>
      </c>
      <c r="EY164" s="3" t="s">
        <v>682</v>
      </c>
      <c r="EZ164" s="3" t="s">
        <v>676</v>
      </c>
      <c r="FA164" s="3" t="s">
        <v>677</v>
      </c>
      <c r="FB164" s="3" t="s">
        <v>678</v>
      </c>
      <c r="FC164" s="3" t="s">
        <v>679</v>
      </c>
      <c r="FD164" s="3" t="s">
        <v>680</v>
      </c>
      <c r="FE164" s="3" t="s">
        <v>681</v>
      </c>
      <c r="FF164" s="3" t="s">
        <v>682</v>
      </c>
      <c r="FG164" s="3" t="s">
        <v>676</v>
      </c>
      <c r="FH164" s="3" t="s">
        <v>677</v>
      </c>
      <c r="FI164" s="3" t="s">
        <v>678</v>
      </c>
      <c r="FJ164" s="3" t="s">
        <v>679</v>
      </c>
      <c r="FK164" s="3" t="s">
        <v>680</v>
      </c>
      <c r="FL164" s="3" t="s">
        <v>681</v>
      </c>
      <c r="FM164" s="3" t="s">
        <v>682</v>
      </c>
      <c r="FN164" s="3" t="s">
        <v>676</v>
      </c>
      <c r="FO164" s="3" t="s">
        <v>677</v>
      </c>
      <c r="FP164" s="3" t="s">
        <v>678</v>
      </c>
      <c r="FQ164" s="3" t="s">
        <v>679</v>
      </c>
      <c r="FR164" s="3" t="s">
        <v>680</v>
      </c>
      <c r="FS164" s="3" t="s">
        <v>681</v>
      </c>
      <c r="FT164" s="3" t="s">
        <v>682</v>
      </c>
      <c r="FU164" s="3" t="s">
        <v>676</v>
      </c>
      <c r="FV164" s="3" t="s">
        <v>677</v>
      </c>
      <c r="FW164" s="3" t="s">
        <v>678</v>
      </c>
      <c r="FX164" s="3" t="s">
        <v>679</v>
      </c>
      <c r="FY164" s="3" t="s">
        <v>680</v>
      </c>
      <c r="FZ164" s="3" t="s">
        <v>681</v>
      </c>
      <c r="GA164" s="3" t="s">
        <v>682</v>
      </c>
      <c r="GB164" s="3" t="s">
        <v>676</v>
      </c>
      <c r="GC164" s="3" t="s">
        <v>677</v>
      </c>
      <c r="GD164" s="3" t="s">
        <v>678</v>
      </c>
      <c r="GE164" s="3" t="s">
        <v>679</v>
      </c>
      <c r="GF164" s="3" t="s">
        <v>680</v>
      </c>
      <c r="GG164" s="3" t="s">
        <v>681</v>
      </c>
      <c r="GH164" s="3" t="s">
        <v>682</v>
      </c>
      <c r="GI164" s="3" t="s">
        <v>676</v>
      </c>
      <c r="GJ164" s="3" t="s">
        <v>677</v>
      </c>
      <c r="GK164" s="3" t="s">
        <v>678</v>
      </c>
      <c r="GL164" s="3" t="s">
        <v>679</v>
      </c>
      <c r="GM164" s="3" t="s">
        <v>680</v>
      </c>
      <c r="GN164" s="3" t="s">
        <v>681</v>
      </c>
      <c r="GO164" s="3" t="s">
        <v>682</v>
      </c>
      <c r="GP164" s="3" t="s">
        <v>676</v>
      </c>
      <c r="GQ164" s="3" t="s">
        <v>677</v>
      </c>
      <c r="GR164" s="3" t="s">
        <v>678</v>
      </c>
      <c r="GS164" s="3" t="s">
        <v>679</v>
      </c>
      <c r="GT164" s="3" t="s">
        <v>680</v>
      </c>
      <c r="GU164" s="3" t="s">
        <v>681</v>
      </c>
      <c r="GV164" s="3" t="s">
        <v>682</v>
      </c>
      <c r="GW164" s="3" t="s">
        <v>676</v>
      </c>
      <c r="GX164" s="3" t="s">
        <v>677</v>
      </c>
      <c r="GY164" s="3" t="s">
        <v>678</v>
      </c>
      <c r="GZ164" s="3" t="s">
        <v>679</v>
      </c>
      <c r="HA164" s="3" t="s">
        <v>680</v>
      </c>
      <c r="HB164" s="3" t="s">
        <v>681</v>
      </c>
      <c r="HC164" s="3" t="s">
        <v>682</v>
      </c>
      <c r="HD164" s="3" t="s">
        <v>676</v>
      </c>
      <c r="HE164" s="3" t="s">
        <v>677</v>
      </c>
      <c r="HF164" s="3" t="s">
        <v>678</v>
      </c>
      <c r="HG164" s="3" t="s">
        <v>679</v>
      </c>
      <c r="HH164" s="3" t="s">
        <v>680</v>
      </c>
      <c r="HI164" s="3" t="s">
        <v>681</v>
      </c>
      <c r="HJ164" s="3" t="s">
        <v>682</v>
      </c>
      <c r="HK164" s="3" t="s">
        <v>676</v>
      </c>
      <c r="HL164" s="3" t="s">
        <v>677</v>
      </c>
      <c r="HM164" s="3" t="s">
        <v>678</v>
      </c>
      <c r="HN164" s="3" t="s">
        <v>679</v>
      </c>
      <c r="HO164" s="3" t="s">
        <v>680</v>
      </c>
      <c r="HP164" s="3" t="s">
        <v>681</v>
      </c>
      <c r="HQ164" s="3" t="s">
        <v>682</v>
      </c>
      <c r="HR164" s="3" t="s">
        <v>676</v>
      </c>
      <c r="HS164" s="3" t="s">
        <v>677</v>
      </c>
      <c r="HT164" s="3" t="s">
        <v>678</v>
      </c>
      <c r="HU164" s="3" t="s">
        <v>679</v>
      </c>
      <c r="HV164" s="3" t="s">
        <v>680</v>
      </c>
      <c r="HW164" s="3" t="s">
        <v>681</v>
      </c>
      <c r="HX164" s="3" t="s">
        <v>682</v>
      </c>
      <c r="HY164" s="3" t="s">
        <v>676</v>
      </c>
      <c r="HZ164" s="3" t="s">
        <v>677</v>
      </c>
      <c r="IA164" s="3" t="s">
        <v>678</v>
      </c>
      <c r="IB164" s="3" t="s">
        <v>679</v>
      </c>
      <c r="IC164" s="3" t="s">
        <v>680</v>
      </c>
    </row>
    <row r="165" spans="1:257">
      <c r="A165" s="82" t="s">
        <v>695</v>
      </c>
      <c r="B165" s="82" t="str">
        <f>COUNTIF(P165:IC165, "W")&amp;"勝"</f>
        <v>12勝</v>
      </c>
      <c r="C165" s="82" t="str">
        <f>COUNTIF(P165:IC165, "L")&amp;"敗"</f>
        <v>15敗</v>
      </c>
      <c r="D165" s="82" t="s">
        <v>696</v>
      </c>
      <c r="E165" s="78"/>
      <c r="F165" s="82" t="s">
        <v>742</v>
      </c>
      <c r="G165" s="78"/>
      <c r="H165" s="78"/>
      <c r="I165" s="78"/>
      <c r="J165" s="78"/>
      <c r="K165" s="78"/>
      <c r="L165" s="78"/>
      <c r="M165" s="82"/>
      <c r="N165" s="78"/>
      <c r="O165" s="1" t="s">
        <v>698</v>
      </c>
      <c r="R165" t="s">
        <v>699</v>
      </c>
      <c r="S165" t="s">
        <v>699</v>
      </c>
      <c r="T165" t="s">
        <v>699</v>
      </c>
      <c r="U165" t="s">
        <v>700</v>
      </c>
      <c r="V165" t="s">
        <v>699</v>
      </c>
      <c r="W165" t="s">
        <v>699</v>
      </c>
      <c r="Y165" t="s">
        <v>700</v>
      </c>
      <c r="Z165" t="s">
        <v>700</v>
      </c>
      <c r="AA165" t="s">
        <v>699</v>
      </c>
      <c r="AB165" t="s">
        <v>700</v>
      </c>
      <c r="AC165" t="s">
        <v>700</v>
      </c>
      <c r="AD165" t="s">
        <v>699</v>
      </c>
      <c r="AE165" t="s">
        <v>699</v>
      </c>
      <c r="AF165" t="s">
        <v>700</v>
      </c>
      <c r="AG165" t="s">
        <v>700</v>
      </c>
      <c r="AH165" t="s">
        <v>700</v>
      </c>
      <c r="AI165" t="s">
        <v>699</v>
      </c>
      <c r="AJ165" t="s">
        <v>700</v>
      </c>
      <c r="AK165" t="s">
        <v>700</v>
      </c>
      <c r="AM165" t="s">
        <v>700</v>
      </c>
      <c r="AN165" t="s">
        <v>700</v>
      </c>
      <c r="AO165" t="s">
        <v>699</v>
      </c>
      <c r="AP165" t="s">
        <v>699</v>
      </c>
      <c r="AQ165" t="s">
        <v>700</v>
      </c>
      <c r="AT165" t="s">
        <v>699</v>
      </c>
      <c r="AU165" t="s">
        <v>700</v>
      </c>
      <c r="AV165" t="s">
        <v>700</v>
      </c>
    </row>
    <row r="166" spans="1:257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1" t="s">
        <v>701</v>
      </c>
    </row>
    <row r="167" spans="1:257">
      <c r="A167" s="82" t="s">
        <v>702</v>
      </c>
      <c r="B167" s="82" t="str">
        <f>COUNTIF(P167:IC167, "O")&amp;"正"</f>
        <v>10正</v>
      </c>
      <c r="C167" s="82" t="str">
        <f>COUNTIF(P167:IC167, "X")&amp;"負"</f>
        <v>17負</v>
      </c>
      <c r="D167" s="82" t="s">
        <v>703</v>
      </c>
      <c r="E167" s="78"/>
      <c r="F167" s="82" t="s">
        <v>743</v>
      </c>
      <c r="G167" s="78"/>
      <c r="H167" s="78"/>
      <c r="I167" s="78"/>
      <c r="J167" s="78"/>
      <c r="K167" s="78"/>
      <c r="L167" s="78"/>
      <c r="M167" s="82"/>
      <c r="N167" s="78"/>
      <c r="O167" s="1" t="s">
        <v>705</v>
      </c>
      <c r="R167" t="s">
        <v>684</v>
      </c>
      <c r="S167" t="s">
        <v>684</v>
      </c>
      <c r="T167" t="s">
        <v>684</v>
      </c>
      <c r="U167" t="s">
        <v>684</v>
      </c>
      <c r="V167" t="s">
        <v>683</v>
      </c>
      <c r="W167" t="s">
        <v>683</v>
      </c>
      <c r="Y167" t="s">
        <v>684</v>
      </c>
      <c r="Z167" t="s">
        <v>684</v>
      </c>
      <c r="AA167" t="s">
        <v>683</v>
      </c>
      <c r="AB167" t="s">
        <v>684</v>
      </c>
      <c r="AC167" t="s">
        <v>684</v>
      </c>
      <c r="AD167" t="s">
        <v>683</v>
      </c>
      <c r="AE167" t="s">
        <v>683</v>
      </c>
      <c r="AF167" t="s">
        <v>684</v>
      </c>
      <c r="AG167" t="s">
        <v>684</v>
      </c>
      <c r="AH167" t="s">
        <v>684</v>
      </c>
      <c r="AI167" t="s">
        <v>683</v>
      </c>
      <c r="AJ167" t="s">
        <v>683</v>
      </c>
      <c r="AK167" t="s">
        <v>684</v>
      </c>
      <c r="AM167" t="s">
        <v>684</v>
      </c>
      <c r="AN167" t="s">
        <v>684</v>
      </c>
      <c r="AO167" t="s">
        <v>683</v>
      </c>
      <c r="AP167" t="s">
        <v>683</v>
      </c>
      <c r="AQ167" t="s">
        <v>684</v>
      </c>
      <c r="AT167" t="s">
        <v>683</v>
      </c>
      <c r="AU167" t="s">
        <v>684</v>
      </c>
      <c r="AV167" t="s">
        <v>684</v>
      </c>
      <c r="IN167" t="str">
        <f ca="1">IFERROR(INDEX($P167:$IC167,1,_xludf.AGGREGATE(14,6,(COLUMN($P167:$IC167)-COLUMN($P167)+1)/($P167:$IC167&lt;&gt;""),1)),"")</f>
        <v/>
      </c>
      <c r="IO167" t="str">
        <f ca="1">IFERROR(INDEX($P167:$IC167,1,_xludf.AGGREGATE(14,6,(COLUMN($P167:$IC167)-COLUMN($P167)+1)/($P167:$IC167&lt;&gt;""),2)),"")</f>
        <v/>
      </c>
      <c r="IP167" t="str">
        <f ca="1">IFERROR(INDEX($P167:$IC167,1,_xludf.AGGREGATE(14,6,(COLUMN($P167:$IC167)-COLUMN($P167)+1)/($P167:$IC167&lt;&gt;""),3)),"")</f>
        <v/>
      </c>
      <c r="IQ167" t="str">
        <f ca="1">IFERROR(INDEX($P167:$IC167,1,_xludf.AGGREGATE(14,6,(COLUMN($P167:$IC167)-COLUMN($P167)+1)/($P167:$IC167&lt;&gt;""),4)),"")</f>
        <v/>
      </c>
      <c r="IR167" t="str">
        <f ca="1">IFERROR(INDEX($P167:$IC167,1,_xludf.AGGREGATE(14,6,(COLUMN($P167:$IC167)-COLUMN($P167)+1)/($P167:$IC167&lt;&gt;""),5)),"")</f>
        <v/>
      </c>
      <c r="IS167" t="str">
        <f ca="1">IFERROR(INDEX($P167:$IC167,1,_xludf.AGGREGATE(14,6,(COLUMN($P167:$IC167)-COLUMN($P167)+1)/($P167:$IC167&lt;&gt;""),6)),"")</f>
        <v/>
      </c>
      <c r="IT167" t="str">
        <f ca="1">IFERROR(INDEX($P167:$IC167,1,_xludf.AGGREGATE(14,6,(COLUMN($P167:$IC167)-COLUMN($P167)+1)/($P167:$IC167&lt;&gt;""),7)),"")</f>
        <v/>
      </c>
      <c r="IU167" t="str">
        <f ca="1">IFERROR(INDEX($P167:$IC167,1,_xludf.AGGREGATE(14,6,(COLUMN($P167:$IC167)-COLUMN($P167)+1)/($P167:$IC167&lt;&gt;""),8)),"")</f>
        <v/>
      </c>
      <c r="IV167" t="str">
        <f ca="1">IFERROR(INDEX($P167:$IC167,1,_xludf.AGGREGATE(14,6,(COLUMN($P167:$IC167)-COLUMN($P167)+1)/($P167:$IC167&lt;&gt;""),9)),"")</f>
        <v/>
      </c>
      <c r="IW167" t="str">
        <f ca="1">IFERROR(INDEX($P167:$IC167,1,_xludf.AGGREGATE(14,6,(COLUMN($P167:$IC167)-COLUMN($P167)+1)/($P167:$IC167&lt;&gt;""),10)),"")</f>
        <v/>
      </c>
    </row>
    <row r="168" spans="1:257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1" t="s">
        <v>706</v>
      </c>
    </row>
    <row r="169" spans="1:257">
      <c r="A169" s="82" t="s">
        <v>707</v>
      </c>
      <c r="B169" s="77"/>
      <c r="C169" s="77"/>
      <c r="D169" s="82" t="s">
        <v>708</v>
      </c>
      <c r="E169" s="78"/>
      <c r="F169" s="82"/>
      <c r="G169" s="78"/>
      <c r="H169" s="78"/>
      <c r="I169" s="78"/>
      <c r="J169" s="78"/>
      <c r="K169" s="78"/>
      <c r="L169" s="78"/>
      <c r="M169" s="82"/>
      <c r="N169" s="78"/>
      <c r="O169" s="1" t="s">
        <v>709</v>
      </c>
    </row>
    <row r="170" spans="1:257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1" t="s">
        <v>710</v>
      </c>
    </row>
    <row r="171" spans="1:257">
      <c r="A171" s="109" t="s">
        <v>71</v>
      </c>
      <c r="B171" s="78"/>
      <c r="C171" s="7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 t="s">
        <v>674</v>
      </c>
      <c r="P171" s="8">
        <v>1</v>
      </c>
      <c r="Q171" s="8">
        <v>2</v>
      </c>
      <c r="R171" s="8">
        <v>3</v>
      </c>
      <c r="S171" s="8">
        <v>4</v>
      </c>
      <c r="T171" s="8">
        <v>5</v>
      </c>
      <c r="U171" s="8">
        <v>6</v>
      </c>
      <c r="V171" s="8">
        <v>7</v>
      </c>
      <c r="W171" s="8">
        <v>8</v>
      </c>
      <c r="X171" s="8">
        <v>9</v>
      </c>
      <c r="Y171" s="8">
        <v>10</v>
      </c>
      <c r="Z171" s="8">
        <v>11</v>
      </c>
      <c r="AA171" s="8">
        <v>12</v>
      </c>
      <c r="AB171" s="8">
        <v>13</v>
      </c>
      <c r="AC171" s="8">
        <v>14</v>
      </c>
      <c r="AD171" s="8">
        <v>15</v>
      </c>
      <c r="AE171" s="8">
        <v>16</v>
      </c>
      <c r="AF171" s="8">
        <v>17</v>
      </c>
      <c r="AG171" s="8">
        <v>18</v>
      </c>
      <c r="AH171" s="8">
        <v>19</v>
      </c>
      <c r="AI171" s="8">
        <v>20</v>
      </c>
      <c r="AJ171" s="8">
        <v>21</v>
      </c>
      <c r="AK171" s="8">
        <v>22</v>
      </c>
      <c r="AL171" s="8">
        <v>23</v>
      </c>
      <c r="AM171" s="8">
        <v>24</v>
      </c>
      <c r="AN171" s="8">
        <v>25</v>
      </c>
      <c r="AO171" s="8">
        <v>26</v>
      </c>
      <c r="AP171" s="8">
        <v>27</v>
      </c>
      <c r="AQ171" s="8">
        <v>28</v>
      </c>
      <c r="AR171" s="8">
        <v>29</v>
      </c>
      <c r="AS171" s="8">
        <v>30</v>
      </c>
      <c r="AT171" s="8">
        <v>31</v>
      </c>
      <c r="AU171" s="8">
        <v>32</v>
      </c>
      <c r="AV171" s="8">
        <v>33</v>
      </c>
      <c r="AW171" s="8">
        <v>34</v>
      </c>
      <c r="AX171" s="8">
        <v>35</v>
      </c>
      <c r="AY171" s="8">
        <v>36</v>
      </c>
      <c r="AZ171" s="8">
        <v>37</v>
      </c>
      <c r="BA171" s="8">
        <v>38</v>
      </c>
      <c r="BB171" s="8">
        <v>39</v>
      </c>
      <c r="BC171" s="8">
        <v>40</v>
      </c>
      <c r="BD171" s="8">
        <v>41</v>
      </c>
      <c r="BE171" s="8">
        <v>42</v>
      </c>
      <c r="BF171" s="8">
        <v>43</v>
      </c>
      <c r="BG171" s="8">
        <v>44</v>
      </c>
      <c r="BH171" s="8">
        <v>45</v>
      </c>
      <c r="BI171" s="8">
        <v>46</v>
      </c>
      <c r="BJ171" s="8">
        <v>47</v>
      </c>
      <c r="BK171" s="8">
        <v>48</v>
      </c>
      <c r="BL171" s="8">
        <v>49</v>
      </c>
      <c r="BM171" s="8">
        <v>50</v>
      </c>
      <c r="BN171" s="8">
        <v>51</v>
      </c>
      <c r="BO171" s="8">
        <v>52</v>
      </c>
      <c r="BP171" s="8">
        <v>53</v>
      </c>
      <c r="BQ171" s="8">
        <v>54</v>
      </c>
      <c r="BR171" s="8">
        <v>55</v>
      </c>
      <c r="BS171" s="8">
        <v>56</v>
      </c>
      <c r="BT171" s="8">
        <v>57</v>
      </c>
      <c r="BU171" s="8">
        <v>58</v>
      </c>
      <c r="BV171" s="8">
        <v>59</v>
      </c>
      <c r="BW171" s="8">
        <v>60</v>
      </c>
      <c r="BX171" s="8">
        <v>61</v>
      </c>
      <c r="BY171" s="8">
        <v>62</v>
      </c>
      <c r="BZ171" s="8">
        <v>63</v>
      </c>
      <c r="CA171" s="8">
        <v>64</v>
      </c>
      <c r="CB171" s="8">
        <v>65</v>
      </c>
      <c r="CC171" s="8">
        <v>66</v>
      </c>
      <c r="CD171" s="8">
        <v>67</v>
      </c>
      <c r="CE171" s="8">
        <v>68</v>
      </c>
      <c r="CF171" s="8">
        <v>69</v>
      </c>
      <c r="CG171" s="8">
        <v>70</v>
      </c>
      <c r="CH171" s="8">
        <v>71</v>
      </c>
      <c r="CI171" s="8">
        <v>72</v>
      </c>
      <c r="CJ171" s="8">
        <v>73</v>
      </c>
      <c r="CK171" s="8">
        <v>74</v>
      </c>
      <c r="CL171" s="8">
        <v>75</v>
      </c>
      <c r="CM171" s="8">
        <v>76</v>
      </c>
      <c r="CN171" s="8">
        <v>77</v>
      </c>
      <c r="CO171" s="8">
        <v>78</v>
      </c>
      <c r="CP171" s="8">
        <v>79</v>
      </c>
      <c r="CQ171" s="8">
        <v>80</v>
      </c>
      <c r="CR171" s="8">
        <v>81</v>
      </c>
      <c r="CS171" s="8">
        <v>82</v>
      </c>
      <c r="CT171" s="8">
        <v>83</v>
      </c>
      <c r="CU171" s="8">
        <v>84</v>
      </c>
      <c r="CV171" s="8">
        <v>85</v>
      </c>
      <c r="CW171" s="8">
        <v>86</v>
      </c>
      <c r="CX171" s="8">
        <v>87</v>
      </c>
      <c r="CY171" s="8">
        <v>88</v>
      </c>
      <c r="CZ171" s="8">
        <v>89</v>
      </c>
      <c r="DA171" s="8">
        <v>90</v>
      </c>
      <c r="DB171" s="8">
        <v>91</v>
      </c>
      <c r="DC171" s="8">
        <v>92</v>
      </c>
      <c r="DD171" s="8">
        <v>93</v>
      </c>
      <c r="DE171" s="8">
        <v>94</v>
      </c>
      <c r="DF171" s="8">
        <v>95</v>
      </c>
      <c r="DG171" s="8">
        <v>96</v>
      </c>
      <c r="DH171" s="8">
        <v>97</v>
      </c>
      <c r="DI171" s="8">
        <v>98</v>
      </c>
      <c r="DJ171" s="8">
        <v>99</v>
      </c>
      <c r="DK171" s="8">
        <v>100</v>
      </c>
      <c r="DL171" s="8">
        <v>101</v>
      </c>
      <c r="DM171" s="8">
        <v>102</v>
      </c>
      <c r="DN171" s="8">
        <v>103</v>
      </c>
      <c r="DO171" s="8">
        <v>104</v>
      </c>
      <c r="DP171" s="8">
        <v>105</v>
      </c>
      <c r="DQ171" s="8">
        <v>106</v>
      </c>
      <c r="DR171" s="8">
        <v>107</v>
      </c>
      <c r="DS171" s="8">
        <v>108</v>
      </c>
      <c r="DT171" s="8">
        <v>109</v>
      </c>
      <c r="DU171" s="8">
        <v>110</v>
      </c>
      <c r="DV171" s="8">
        <v>111</v>
      </c>
      <c r="DW171" s="8">
        <v>112</v>
      </c>
      <c r="DX171" s="8">
        <v>113</v>
      </c>
      <c r="DY171" s="8">
        <v>114</v>
      </c>
      <c r="DZ171" s="8">
        <v>115</v>
      </c>
      <c r="EA171" s="8">
        <v>116</v>
      </c>
      <c r="EB171" s="8">
        <v>117</v>
      </c>
      <c r="EC171" s="8">
        <v>118</v>
      </c>
      <c r="ED171" s="8">
        <v>119</v>
      </c>
      <c r="EE171" s="8">
        <v>120</v>
      </c>
      <c r="EF171" s="8">
        <v>121</v>
      </c>
      <c r="EG171" s="8">
        <v>122</v>
      </c>
      <c r="EH171" s="8">
        <v>123</v>
      </c>
      <c r="EI171" s="8">
        <v>124</v>
      </c>
      <c r="EJ171" s="8">
        <v>125</v>
      </c>
      <c r="EK171" s="8">
        <v>126</v>
      </c>
      <c r="EL171" s="8">
        <v>127</v>
      </c>
      <c r="EM171" s="8">
        <v>128</v>
      </c>
      <c r="EN171" s="8">
        <v>129</v>
      </c>
      <c r="EO171" s="8">
        <v>130</v>
      </c>
      <c r="EP171" s="8">
        <v>131</v>
      </c>
      <c r="EQ171" s="8">
        <v>132</v>
      </c>
      <c r="ER171" s="8">
        <v>133</v>
      </c>
      <c r="ES171" s="8">
        <v>134</v>
      </c>
      <c r="ET171" s="8">
        <v>135</v>
      </c>
      <c r="EU171" s="8">
        <v>136</v>
      </c>
      <c r="EV171" s="8">
        <v>137</v>
      </c>
      <c r="EW171" s="8">
        <v>138</v>
      </c>
      <c r="EX171" s="8">
        <v>139</v>
      </c>
      <c r="EY171" s="8">
        <v>140</v>
      </c>
      <c r="EZ171" s="8">
        <v>141</v>
      </c>
      <c r="FA171" s="8">
        <v>142</v>
      </c>
      <c r="FB171" s="8">
        <v>143</v>
      </c>
      <c r="FC171" s="8">
        <v>144</v>
      </c>
      <c r="FD171" s="8">
        <v>145</v>
      </c>
      <c r="FE171" s="8">
        <v>146</v>
      </c>
      <c r="FF171" s="8">
        <v>147</v>
      </c>
      <c r="FG171" s="8">
        <v>148</v>
      </c>
      <c r="FH171" s="8">
        <v>149</v>
      </c>
      <c r="FI171" s="8">
        <v>150</v>
      </c>
      <c r="FJ171" s="8">
        <v>151</v>
      </c>
      <c r="FK171" s="8">
        <v>152</v>
      </c>
      <c r="FL171" s="8">
        <v>153</v>
      </c>
      <c r="FM171" s="8">
        <v>154</v>
      </c>
      <c r="FN171" s="8">
        <v>155</v>
      </c>
      <c r="FO171" s="8">
        <v>156</v>
      </c>
      <c r="FP171" s="8">
        <v>157</v>
      </c>
      <c r="FQ171" s="8">
        <v>158</v>
      </c>
      <c r="FR171" s="8">
        <v>159</v>
      </c>
      <c r="FS171" s="8">
        <v>160</v>
      </c>
      <c r="FT171" s="8">
        <v>161</v>
      </c>
      <c r="FU171" s="8">
        <v>162</v>
      </c>
      <c r="FV171" s="8">
        <v>163</v>
      </c>
      <c r="FW171" s="8">
        <v>164</v>
      </c>
      <c r="FX171" s="8">
        <v>165</v>
      </c>
      <c r="FY171" s="8">
        <v>166</v>
      </c>
      <c r="FZ171" s="8">
        <v>167</v>
      </c>
      <c r="GA171" s="8">
        <v>168</v>
      </c>
      <c r="GB171" s="8">
        <v>169</v>
      </c>
      <c r="GC171" s="8">
        <v>170</v>
      </c>
      <c r="GD171" s="8">
        <v>171</v>
      </c>
      <c r="GE171" s="8">
        <v>172</v>
      </c>
      <c r="GF171" s="8">
        <v>173</v>
      </c>
      <c r="GG171" s="8">
        <v>174</v>
      </c>
      <c r="GH171" s="8">
        <v>175</v>
      </c>
      <c r="GI171" s="8">
        <v>176</v>
      </c>
      <c r="GJ171" s="8">
        <v>177</v>
      </c>
      <c r="GK171" s="8">
        <v>178</v>
      </c>
      <c r="GL171" s="8">
        <v>179</v>
      </c>
      <c r="GM171" s="8">
        <v>180</v>
      </c>
      <c r="GN171" s="8">
        <v>181</v>
      </c>
      <c r="GO171" s="8">
        <v>182</v>
      </c>
      <c r="GP171" s="8">
        <v>183</v>
      </c>
      <c r="GQ171" s="8">
        <v>184</v>
      </c>
      <c r="GR171" s="8">
        <v>185</v>
      </c>
      <c r="GS171" s="8">
        <v>186</v>
      </c>
      <c r="GT171" s="8">
        <v>187</v>
      </c>
      <c r="GU171" s="8">
        <v>188</v>
      </c>
      <c r="GV171" s="8">
        <v>189</v>
      </c>
      <c r="GW171" s="8">
        <v>190</v>
      </c>
      <c r="GX171" s="8">
        <v>191</v>
      </c>
      <c r="GY171" s="8">
        <v>192</v>
      </c>
      <c r="GZ171" s="8">
        <v>193</v>
      </c>
      <c r="HA171" s="8">
        <v>194</v>
      </c>
      <c r="HB171" s="8">
        <v>195</v>
      </c>
      <c r="HC171" s="8">
        <v>196</v>
      </c>
      <c r="HD171" s="8">
        <v>197</v>
      </c>
      <c r="HE171" s="8">
        <v>198</v>
      </c>
      <c r="HF171" s="8">
        <v>199</v>
      </c>
      <c r="HG171" s="8">
        <v>200</v>
      </c>
      <c r="HH171" s="8">
        <v>201</v>
      </c>
      <c r="HI171" s="8">
        <v>202</v>
      </c>
      <c r="HJ171" s="8">
        <v>203</v>
      </c>
      <c r="HK171" s="8">
        <v>204</v>
      </c>
      <c r="HL171" s="8">
        <v>205</v>
      </c>
      <c r="HM171" s="8">
        <v>206</v>
      </c>
      <c r="HN171" s="8">
        <v>207</v>
      </c>
      <c r="HO171" s="8">
        <v>208</v>
      </c>
      <c r="HP171" s="8">
        <v>209</v>
      </c>
      <c r="HQ171" s="8">
        <v>210</v>
      </c>
      <c r="HR171" s="8">
        <v>211</v>
      </c>
      <c r="HS171" s="8">
        <v>212</v>
      </c>
      <c r="HT171" s="8">
        <v>213</v>
      </c>
      <c r="HU171" s="8">
        <v>214</v>
      </c>
      <c r="HV171" s="8">
        <v>215</v>
      </c>
      <c r="HW171" s="8">
        <v>216</v>
      </c>
      <c r="HX171" s="8">
        <v>217</v>
      </c>
      <c r="HY171" s="8">
        <v>218</v>
      </c>
      <c r="HZ171" s="8">
        <v>219</v>
      </c>
      <c r="IA171" s="8">
        <v>220</v>
      </c>
      <c r="IB171" s="8">
        <v>221</v>
      </c>
      <c r="IC171" s="8">
        <v>222</v>
      </c>
    </row>
    <row r="172" spans="1:257">
      <c r="A172" s="78"/>
      <c r="B172" s="78"/>
      <c r="C172" s="7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7"/>
      <c r="P172" s="50" t="s">
        <v>71</v>
      </c>
      <c r="Q172" s="50" t="s">
        <v>71</v>
      </c>
      <c r="R172" s="50" t="s">
        <v>71</v>
      </c>
      <c r="S172" s="50" t="s">
        <v>71</v>
      </c>
      <c r="T172" s="50" t="s">
        <v>71</v>
      </c>
      <c r="U172" s="50" t="s">
        <v>71</v>
      </c>
      <c r="V172" s="50" t="s">
        <v>71</v>
      </c>
      <c r="W172" s="50" t="s">
        <v>71</v>
      </c>
      <c r="X172" s="50" t="s">
        <v>71</v>
      </c>
      <c r="Y172" s="50" t="s">
        <v>71</v>
      </c>
      <c r="Z172" s="50" t="s">
        <v>71</v>
      </c>
      <c r="AA172" s="50" t="s">
        <v>71</v>
      </c>
      <c r="AB172" s="50" t="s">
        <v>71</v>
      </c>
      <c r="AC172" s="50" t="s">
        <v>71</v>
      </c>
      <c r="AD172" s="50" t="s">
        <v>71</v>
      </c>
      <c r="AE172" s="50" t="s">
        <v>71</v>
      </c>
      <c r="AF172" s="50" t="s">
        <v>71</v>
      </c>
      <c r="AG172" s="50" t="s">
        <v>71</v>
      </c>
      <c r="AH172" s="50" t="s">
        <v>71</v>
      </c>
      <c r="AI172" s="50" t="s">
        <v>71</v>
      </c>
      <c r="AJ172" s="50" t="s">
        <v>71</v>
      </c>
      <c r="AK172" s="50" t="s">
        <v>71</v>
      </c>
      <c r="AL172" s="50" t="s">
        <v>71</v>
      </c>
      <c r="AM172" s="50" t="s">
        <v>71</v>
      </c>
      <c r="AN172" s="50" t="s">
        <v>71</v>
      </c>
      <c r="AO172" s="50" t="s">
        <v>71</v>
      </c>
      <c r="AP172" s="50" t="s">
        <v>71</v>
      </c>
      <c r="AQ172" s="50" t="s">
        <v>71</v>
      </c>
      <c r="AR172" s="50" t="s">
        <v>71</v>
      </c>
      <c r="AS172" s="50" t="s">
        <v>71</v>
      </c>
      <c r="AT172" s="50" t="s">
        <v>71</v>
      </c>
      <c r="AU172" s="50" t="s">
        <v>71</v>
      </c>
      <c r="AV172" s="50" t="s">
        <v>71</v>
      </c>
      <c r="AW172" s="50" t="s">
        <v>71</v>
      </c>
      <c r="AX172" s="50" t="s">
        <v>71</v>
      </c>
      <c r="AY172" s="50" t="s">
        <v>71</v>
      </c>
      <c r="AZ172" s="50" t="s">
        <v>71</v>
      </c>
      <c r="BA172" s="50" t="s">
        <v>71</v>
      </c>
      <c r="BB172" s="50" t="s">
        <v>71</v>
      </c>
      <c r="BC172" s="50" t="s">
        <v>71</v>
      </c>
      <c r="BD172" s="50" t="s">
        <v>71</v>
      </c>
      <c r="BE172" s="50" t="s">
        <v>71</v>
      </c>
      <c r="BF172" s="50" t="s">
        <v>71</v>
      </c>
      <c r="BG172" s="50" t="s">
        <v>71</v>
      </c>
      <c r="BH172" s="50" t="s">
        <v>71</v>
      </c>
      <c r="BI172" s="50" t="s">
        <v>71</v>
      </c>
      <c r="BJ172" s="50" t="s">
        <v>71</v>
      </c>
      <c r="BK172" s="50" t="s">
        <v>71</v>
      </c>
      <c r="BL172" s="50" t="s">
        <v>71</v>
      </c>
      <c r="BM172" s="50" t="s">
        <v>71</v>
      </c>
      <c r="BN172" s="50" t="s">
        <v>71</v>
      </c>
      <c r="BO172" s="50" t="s">
        <v>71</v>
      </c>
      <c r="BP172" s="50" t="s">
        <v>71</v>
      </c>
      <c r="BQ172" s="50" t="s">
        <v>71</v>
      </c>
      <c r="BR172" s="50" t="s">
        <v>71</v>
      </c>
      <c r="BS172" s="50" t="s">
        <v>71</v>
      </c>
      <c r="BT172" s="50" t="s">
        <v>71</v>
      </c>
      <c r="BU172" s="50" t="s">
        <v>71</v>
      </c>
      <c r="BV172" s="50" t="s">
        <v>71</v>
      </c>
      <c r="BW172" s="50" t="s">
        <v>71</v>
      </c>
      <c r="BX172" s="50" t="s">
        <v>71</v>
      </c>
      <c r="BY172" s="50" t="s">
        <v>71</v>
      </c>
      <c r="BZ172" s="50" t="s">
        <v>71</v>
      </c>
      <c r="CA172" s="50" t="s">
        <v>71</v>
      </c>
      <c r="CB172" s="50" t="s">
        <v>71</v>
      </c>
      <c r="CC172" s="50" t="s">
        <v>71</v>
      </c>
      <c r="CD172" s="50" t="s">
        <v>71</v>
      </c>
      <c r="CE172" s="50" t="s">
        <v>71</v>
      </c>
      <c r="CF172" s="50" t="s">
        <v>71</v>
      </c>
      <c r="CG172" s="50" t="s">
        <v>71</v>
      </c>
      <c r="CH172" s="50" t="s">
        <v>71</v>
      </c>
      <c r="CI172" s="50" t="s">
        <v>71</v>
      </c>
      <c r="CJ172" s="50" t="s">
        <v>71</v>
      </c>
      <c r="CK172" s="50" t="s">
        <v>71</v>
      </c>
      <c r="CL172" s="50" t="s">
        <v>71</v>
      </c>
      <c r="CM172" s="50" t="s">
        <v>71</v>
      </c>
      <c r="CN172" s="50" t="s">
        <v>71</v>
      </c>
      <c r="CO172" s="50" t="s">
        <v>71</v>
      </c>
      <c r="CP172" s="50" t="s">
        <v>71</v>
      </c>
      <c r="CQ172" s="50" t="s">
        <v>71</v>
      </c>
      <c r="CR172" s="50" t="s">
        <v>71</v>
      </c>
      <c r="CS172" s="50" t="s">
        <v>71</v>
      </c>
      <c r="CT172" s="50" t="s">
        <v>71</v>
      </c>
      <c r="CU172" s="50" t="s">
        <v>71</v>
      </c>
      <c r="CV172" s="50" t="s">
        <v>71</v>
      </c>
      <c r="CW172" s="50" t="s">
        <v>71</v>
      </c>
      <c r="CX172" s="50" t="s">
        <v>71</v>
      </c>
      <c r="CY172" s="50" t="s">
        <v>71</v>
      </c>
      <c r="CZ172" s="50" t="s">
        <v>71</v>
      </c>
      <c r="DA172" s="50" t="s">
        <v>71</v>
      </c>
      <c r="DB172" s="50" t="s">
        <v>71</v>
      </c>
      <c r="DC172" s="50" t="s">
        <v>71</v>
      </c>
      <c r="DD172" s="50" t="s">
        <v>71</v>
      </c>
      <c r="DE172" s="50" t="s">
        <v>71</v>
      </c>
      <c r="DF172" s="50" t="s">
        <v>71</v>
      </c>
      <c r="DG172" s="50" t="s">
        <v>71</v>
      </c>
      <c r="DH172" s="50" t="s">
        <v>71</v>
      </c>
      <c r="DI172" s="50" t="s">
        <v>71</v>
      </c>
      <c r="DJ172" s="50" t="s">
        <v>71</v>
      </c>
      <c r="DK172" s="50" t="s">
        <v>71</v>
      </c>
      <c r="DL172" s="50" t="s">
        <v>71</v>
      </c>
      <c r="DM172" s="50" t="s">
        <v>71</v>
      </c>
      <c r="DN172" s="50" t="s">
        <v>71</v>
      </c>
      <c r="DO172" s="50" t="s">
        <v>71</v>
      </c>
      <c r="DP172" s="50" t="s">
        <v>71</v>
      </c>
      <c r="DQ172" s="50" t="s">
        <v>71</v>
      </c>
      <c r="DR172" s="50" t="s">
        <v>71</v>
      </c>
      <c r="DS172" s="50" t="s">
        <v>71</v>
      </c>
      <c r="DT172" s="50" t="s">
        <v>71</v>
      </c>
      <c r="DU172" s="50" t="s">
        <v>71</v>
      </c>
      <c r="DV172" s="50" t="s">
        <v>71</v>
      </c>
      <c r="DW172" s="50" t="s">
        <v>71</v>
      </c>
      <c r="DX172" s="50" t="s">
        <v>71</v>
      </c>
      <c r="DY172" s="50" t="s">
        <v>71</v>
      </c>
      <c r="DZ172" s="50" t="s">
        <v>71</v>
      </c>
      <c r="EA172" s="50" t="s">
        <v>71</v>
      </c>
      <c r="EB172" s="50" t="s">
        <v>71</v>
      </c>
      <c r="EC172" s="50" t="s">
        <v>71</v>
      </c>
      <c r="ED172" s="50" t="s">
        <v>71</v>
      </c>
      <c r="EE172" s="50" t="s">
        <v>71</v>
      </c>
      <c r="EF172" s="50" t="s">
        <v>71</v>
      </c>
      <c r="EG172" s="50" t="s">
        <v>71</v>
      </c>
      <c r="EH172" s="50" t="s">
        <v>71</v>
      </c>
      <c r="EI172" s="50" t="s">
        <v>71</v>
      </c>
      <c r="EJ172" s="50" t="s">
        <v>71</v>
      </c>
      <c r="EK172" s="50" t="s">
        <v>71</v>
      </c>
      <c r="EL172" s="50" t="s">
        <v>71</v>
      </c>
      <c r="EM172" s="50" t="s">
        <v>71</v>
      </c>
      <c r="EN172" s="50" t="s">
        <v>71</v>
      </c>
      <c r="EO172" s="50" t="s">
        <v>71</v>
      </c>
      <c r="EP172" s="50" t="s">
        <v>71</v>
      </c>
      <c r="EQ172" s="50" t="s">
        <v>71</v>
      </c>
      <c r="ER172" s="50" t="s">
        <v>71</v>
      </c>
      <c r="ES172" s="50" t="s">
        <v>71</v>
      </c>
      <c r="ET172" s="50" t="s">
        <v>71</v>
      </c>
      <c r="EU172" s="50" t="s">
        <v>71</v>
      </c>
      <c r="EV172" s="50" t="s">
        <v>71</v>
      </c>
      <c r="EW172" s="50" t="s">
        <v>71</v>
      </c>
      <c r="EX172" s="50" t="s">
        <v>71</v>
      </c>
      <c r="EY172" s="50" t="s">
        <v>71</v>
      </c>
      <c r="EZ172" s="50" t="s">
        <v>71</v>
      </c>
      <c r="FA172" s="50" t="s">
        <v>71</v>
      </c>
      <c r="FB172" s="50" t="s">
        <v>71</v>
      </c>
      <c r="FC172" s="50" t="s">
        <v>71</v>
      </c>
      <c r="FD172" s="50" t="s">
        <v>71</v>
      </c>
      <c r="FE172" s="50" t="s">
        <v>71</v>
      </c>
      <c r="FF172" s="50" t="s">
        <v>71</v>
      </c>
      <c r="FG172" s="50" t="s">
        <v>71</v>
      </c>
      <c r="FH172" s="50" t="s">
        <v>71</v>
      </c>
      <c r="FI172" s="50" t="s">
        <v>71</v>
      </c>
      <c r="FJ172" s="50" t="s">
        <v>71</v>
      </c>
      <c r="FK172" s="50" t="s">
        <v>71</v>
      </c>
      <c r="FL172" s="50" t="s">
        <v>71</v>
      </c>
      <c r="FM172" s="50" t="s">
        <v>71</v>
      </c>
      <c r="FN172" s="50" t="s">
        <v>71</v>
      </c>
      <c r="FO172" s="50" t="s">
        <v>71</v>
      </c>
      <c r="FP172" s="50" t="s">
        <v>71</v>
      </c>
      <c r="FQ172" s="50" t="s">
        <v>71</v>
      </c>
      <c r="FR172" s="50" t="s">
        <v>71</v>
      </c>
      <c r="FS172" s="50" t="s">
        <v>71</v>
      </c>
      <c r="FT172" s="50" t="s">
        <v>71</v>
      </c>
      <c r="FU172" s="50" t="s">
        <v>71</v>
      </c>
      <c r="FV172" s="50" t="s">
        <v>71</v>
      </c>
      <c r="FW172" s="50" t="s">
        <v>71</v>
      </c>
      <c r="FX172" s="50" t="s">
        <v>71</v>
      </c>
      <c r="FY172" s="50" t="s">
        <v>71</v>
      </c>
      <c r="FZ172" s="50" t="s">
        <v>71</v>
      </c>
      <c r="GA172" s="50" t="s">
        <v>71</v>
      </c>
      <c r="GB172" s="50" t="s">
        <v>71</v>
      </c>
      <c r="GC172" s="50" t="s">
        <v>71</v>
      </c>
      <c r="GD172" s="50" t="s">
        <v>71</v>
      </c>
      <c r="GE172" s="50" t="s">
        <v>71</v>
      </c>
      <c r="GF172" s="50" t="s">
        <v>71</v>
      </c>
      <c r="GG172" s="50" t="s">
        <v>71</v>
      </c>
      <c r="GH172" s="50" t="s">
        <v>71</v>
      </c>
      <c r="GI172" s="50" t="s">
        <v>71</v>
      </c>
      <c r="GJ172" s="50" t="s">
        <v>71</v>
      </c>
      <c r="GK172" s="50" t="s">
        <v>71</v>
      </c>
      <c r="GL172" s="50" t="s">
        <v>71</v>
      </c>
      <c r="GM172" s="50" t="s">
        <v>71</v>
      </c>
      <c r="GN172" s="50" t="s">
        <v>71</v>
      </c>
      <c r="GO172" s="50" t="s">
        <v>71</v>
      </c>
      <c r="GP172" s="50" t="s">
        <v>71</v>
      </c>
      <c r="GQ172" s="50" t="s">
        <v>71</v>
      </c>
      <c r="GR172" s="50" t="s">
        <v>71</v>
      </c>
      <c r="GS172" s="50" t="s">
        <v>71</v>
      </c>
      <c r="GT172" s="50" t="s">
        <v>71</v>
      </c>
      <c r="GU172" s="50" t="s">
        <v>71</v>
      </c>
      <c r="GV172" s="50" t="s">
        <v>71</v>
      </c>
      <c r="GW172" s="50" t="s">
        <v>71</v>
      </c>
      <c r="GX172" s="50" t="s">
        <v>71</v>
      </c>
      <c r="GY172" s="50" t="s">
        <v>71</v>
      </c>
      <c r="GZ172" s="50" t="s">
        <v>71</v>
      </c>
      <c r="HA172" s="50" t="s">
        <v>71</v>
      </c>
      <c r="HB172" s="50" t="s">
        <v>71</v>
      </c>
      <c r="HC172" s="50" t="s">
        <v>71</v>
      </c>
      <c r="HD172" s="50" t="s">
        <v>71</v>
      </c>
      <c r="HE172" s="50" t="s">
        <v>71</v>
      </c>
      <c r="HF172" s="50" t="s">
        <v>71</v>
      </c>
      <c r="HG172" s="50" t="s">
        <v>71</v>
      </c>
      <c r="HH172" s="50" t="s">
        <v>71</v>
      </c>
      <c r="HI172" s="50" t="s">
        <v>71</v>
      </c>
      <c r="HJ172" s="50" t="s">
        <v>71</v>
      </c>
      <c r="HK172" s="50" t="s">
        <v>71</v>
      </c>
      <c r="HL172" s="50" t="s">
        <v>71</v>
      </c>
      <c r="HM172" s="50" t="s">
        <v>71</v>
      </c>
      <c r="HN172" s="50" t="s">
        <v>71</v>
      </c>
      <c r="HO172" s="50" t="s">
        <v>71</v>
      </c>
      <c r="HP172" s="50" t="s">
        <v>71</v>
      </c>
      <c r="HQ172" s="50" t="s">
        <v>71</v>
      </c>
      <c r="HR172" s="50" t="s">
        <v>71</v>
      </c>
      <c r="HS172" s="50" t="s">
        <v>71</v>
      </c>
      <c r="HT172" s="50" t="s">
        <v>71</v>
      </c>
      <c r="HU172" s="50" t="s">
        <v>71</v>
      </c>
      <c r="HV172" s="50" t="s">
        <v>71</v>
      </c>
      <c r="HW172" s="50" t="s">
        <v>71</v>
      </c>
      <c r="HX172" s="50" t="s">
        <v>71</v>
      </c>
      <c r="HY172" s="50" t="s">
        <v>71</v>
      </c>
      <c r="HZ172" s="50" t="s">
        <v>71</v>
      </c>
      <c r="IA172" s="50" t="s">
        <v>71</v>
      </c>
      <c r="IB172" s="50" t="s">
        <v>71</v>
      </c>
      <c r="IC172" s="50" t="s">
        <v>71</v>
      </c>
    </row>
    <row r="173" spans="1:257">
      <c r="A173" s="4" t="s">
        <v>522</v>
      </c>
      <c r="B173" s="82" t="str">
        <f t="array" ref="B173">_xlfn.LET(
  _xlpm.dates, _xlfn._xlws.FILTER(P173:HO173, (P175:HO175&lt;&gt;"")+(P177:HO177&lt;&gt;"")),
  _xlpm.numDates, IFERROR(VALUE(_xlpm.dates), _xlpm.dates),
  _xlpm.first, TEXT(MIN(_xlpm.numDates), "m/dd"),
  _xlpm.last, TEXT(MAX(_xlpm.numDates), "m/dd"),
  _xlpm.first &amp; "~" &amp; _xlpm.last
)</f>
        <v>3/27~4/27</v>
      </c>
      <c r="C173" s="7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 t="s">
        <v>522</v>
      </c>
      <c r="P173" s="3">
        <v>46107</v>
      </c>
      <c r="Q173" s="3">
        <v>46108</v>
      </c>
      <c r="R173" s="3">
        <v>46109</v>
      </c>
      <c r="S173" s="3">
        <v>46110</v>
      </c>
      <c r="T173" s="3">
        <v>46111</v>
      </c>
      <c r="U173" s="3">
        <v>46112</v>
      </c>
      <c r="V173" s="3">
        <v>46113</v>
      </c>
      <c r="W173" s="3">
        <v>46114</v>
      </c>
      <c r="X173" s="3">
        <v>46115</v>
      </c>
      <c r="Y173" s="3">
        <v>46116</v>
      </c>
      <c r="Z173" s="3">
        <v>46117</v>
      </c>
      <c r="AA173" s="3">
        <v>46118</v>
      </c>
      <c r="AB173" s="3">
        <v>46119</v>
      </c>
      <c r="AC173" s="3">
        <v>46120</v>
      </c>
      <c r="AD173" s="3">
        <v>46121</v>
      </c>
      <c r="AE173" s="3">
        <v>46122</v>
      </c>
      <c r="AF173" s="3">
        <v>46123</v>
      </c>
      <c r="AG173" s="3">
        <v>46124</v>
      </c>
      <c r="AH173" s="3">
        <v>46125</v>
      </c>
      <c r="AI173" s="3">
        <v>46126</v>
      </c>
      <c r="AJ173" s="3">
        <v>46127</v>
      </c>
      <c r="AK173" s="3">
        <v>46128</v>
      </c>
      <c r="AL173" s="3">
        <v>46129</v>
      </c>
      <c r="AM173" s="3">
        <v>46130</v>
      </c>
      <c r="AN173" s="3">
        <v>46131</v>
      </c>
      <c r="AO173" s="3">
        <v>46132</v>
      </c>
      <c r="AP173" s="3">
        <v>46133</v>
      </c>
      <c r="AQ173" s="3">
        <v>46134</v>
      </c>
      <c r="AR173" s="3">
        <v>46135</v>
      </c>
      <c r="AS173" s="3">
        <v>46136</v>
      </c>
      <c r="AT173" s="3">
        <v>46137</v>
      </c>
      <c r="AU173" s="3">
        <v>46138</v>
      </c>
      <c r="AV173" s="3">
        <v>46139</v>
      </c>
      <c r="AW173" s="3">
        <v>46140</v>
      </c>
      <c r="AX173" s="3">
        <v>46141</v>
      </c>
      <c r="AY173" s="3">
        <v>46142</v>
      </c>
      <c r="AZ173" s="3">
        <v>46143</v>
      </c>
      <c r="BA173" s="3">
        <v>46144</v>
      </c>
      <c r="BB173" s="3">
        <v>46145</v>
      </c>
      <c r="BC173" s="3">
        <v>46146</v>
      </c>
      <c r="BD173" s="3">
        <v>46147</v>
      </c>
      <c r="BE173" s="3">
        <v>46148</v>
      </c>
      <c r="BF173" s="3">
        <v>46149</v>
      </c>
      <c r="BG173" s="3">
        <v>46150</v>
      </c>
      <c r="BH173" s="3">
        <v>46151</v>
      </c>
      <c r="BI173" s="3">
        <v>46152</v>
      </c>
      <c r="BJ173" s="3">
        <v>46153</v>
      </c>
      <c r="BK173" s="3">
        <v>46154</v>
      </c>
      <c r="BL173" s="3">
        <v>46155</v>
      </c>
      <c r="BM173" s="3">
        <v>46156</v>
      </c>
      <c r="BN173" s="3">
        <v>46157</v>
      </c>
      <c r="BO173" s="3">
        <v>46158</v>
      </c>
      <c r="BP173" s="3">
        <v>46159</v>
      </c>
      <c r="BQ173" s="3">
        <v>46160</v>
      </c>
      <c r="BR173" s="3">
        <v>46161</v>
      </c>
      <c r="BS173" s="3">
        <v>46162</v>
      </c>
      <c r="BT173" s="3">
        <v>46163</v>
      </c>
      <c r="BU173" s="3">
        <v>46164</v>
      </c>
      <c r="BV173" s="3">
        <v>46165</v>
      </c>
      <c r="BW173" s="3">
        <v>46166</v>
      </c>
      <c r="BX173" s="3">
        <v>46167</v>
      </c>
      <c r="BY173" s="3">
        <v>46168</v>
      </c>
      <c r="BZ173" s="3">
        <v>46169</v>
      </c>
      <c r="CA173" s="3">
        <v>46170</v>
      </c>
      <c r="CB173" s="3">
        <v>46171</v>
      </c>
      <c r="CC173" s="3">
        <v>46172</v>
      </c>
      <c r="CD173" s="3">
        <v>46173</v>
      </c>
      <c r="CE173" s="3">
        <v>46174</v>
      </c>
      <c r="CF173" s="3">
        <v>46175</v>
      </c>
      <c r="CG173" s="3">
        <v>46176</v>
      </c>
      <c r="CH173" s="3">
        <v>46177</v>
      </c>
      <c r="CI173" s="3">
        <v>46178</v>
      </c>
      <c r="CJ173" s="3">
        <v>46179</v>
      </c>
      <c r="CK173" s="3">
        <v>46180</v>
      </c>
      <c r="CL173" s="3">
        <v>46181</v>
      </c>
      <c r="CM173" s="3">
        <v>46182</v>
      </c>
      <c r="CN173" s="3">
        <v>46183</v>
      </c>
      <c r="CO173" s="3">
        <v>46184</v>
      </c>
      <c r="CP173" s="3">
        <v>46185</v>
      </c>
      <c r="CQ173" s="3">
        <v>46186</v>
      </c>
      <c r="CR173" s="3">
        <v>46187</v>
      </c>
      <c r="CS173" s="3">
        <v>46188</v>
      </c>
      <c r="CT173" s="3">
        <v>46189</v>
      </c>
      <c r="CU173" s="3">
        <v>46190</v>
      </c>
      <c r="CV173" s="3">
        <v>46191</v>
      </c>
      <c r="CW173" s="3">
        <v>46192</v>
      </c>
      <c r="CX173" s="3">
        <v>46193</v>
      </c>
      <c r="CY173" s="3">
        <v>46194</v>
      </c>
      <c r="CZ173" s="3">
        <v>46195</v>
      </c>
      <c r="DA173" s="3">
        <v>46196</v>
      </c>
      <c r="DB173" s="3">
        <v>46197</v>
      </c>
      <c r="DC173" s="3">
        <v>46198</v>
      </c>
      <c r="DD173" s="3">
        <v>46199</v>
      </c>
      <c r="DE173" s="3">
        <v>46200</v>
      </c>
      <c r="DF173" s="3">
        <v>46201</v>
      </c>
      <c r="DG173" s="3">
        <v>46202</v>
      </c>
      <c r="DH173" s="3">
        <v>46203</v>
      </c>
      <c r="DI173" s="3">
        <v>46204</v>
      </c>
      <c r="DJ173" s="3">
        <v>46205</v>
      </c>
      <c r="DK173" s="3">
        <v>46206</v>
      </c>
      <c r="DL173" s="3">
        <v>46207</v>
      </c>
      <c r="DM173" s="3">
        <v>46208</v>
      </c>
      <c r="DN173" s="3">
        <v>46209</v>
      </c>
      <c r="DO173" s="3">
        <v>46210</v>
      </c>
      <c r="DP173" s="3">
        <v>46211</v>
      </c>
      <c r="DQ173" s="3">
        <v>46212</v>
      </c>
      <c r="DR173" s="3">
        <v>46213</v>
      </c>
      <c r="DS173" s="3">
        <v>46214</v>
      </c>
      <c r="DT173" s="3">
        <v>46215</v>
      </c>
      <c r="DU173" s="3">
        <v>46216</v>
      </c>
      <c r="DV173" s="3">
        <v>46217</v>
      </c>
      <c r="DW173" s="3">
        <v>46218</v>
      </c>
      <c r="DX173" s="3">
        <v>46219</v>
      </c>
      <c r="DY173" s="3">
        <v>46220</v>
      </c>
      <c r="DZ173" s="3">
        <v>46221</v>
      </c>
      <c r="EA173" s="3">
        <v>46222</v>
      </c>
      <c r="EB173" s="3">
        <v>46223</v>
      </c>
      <c r="EC173" s="3">
        <v>46224</v>
      </c>
      <c r="ED173" s="3">
        <v>46225</v>
      </c>
      <c r="EE173" s="3">
        <v>46226</v>
      </c>
      <c r="EF173" s="3">
        <v>46227</v>
      </c>
      <c r="EG173" s="3">
        <v>46228</v>
      </c>
      <c r="EH173" s="3">
        <v>46229</v>
      </c>
      <c r="EI173" s="3">
        <v>46230</v>
      </c>
      <c r="EJ173" s="3">
        <v>46231</v>
      </c>
      <c r="EK173" s="3">
        <v>46232</v>
      </c>
      <c r="EL173" s="3">
        <v>46233</v>
      </c>
      <c r="EM173" s="3">
        <v>46234</v>
      </c>
      <c r="EN173" s="3">
        <v>46235</v>
      </c>
      <c r="EO173" s="3">
        <v>46236</v>
      </c>
      <c r="EP173" s="3">
        <v>46237</v>
      </c>
      <c r="EQ173" s="3">
        <v>46238</v>
      </c>
      <c r="ER173" s="3">
        <v>46239</v>
      </c>
      <c r="ES173" s="3">
        <v>46240</v>
      </c>
      <c r="ET173" s="3">
        <v>46241</v>
      </c>
      <c r="EU173" s="3">
        <v>46242</v>
      </c>
      <c r="EV173" s="3">
        <v>46243</v>
      </c>
      <c r="EW173" s="3">
        <v>46244</v>
      </c>
      <c r="EX173" s="3">
        <v>46245</v>
      </c>
      <c r="EY173" s="3">
        <v>46246</v>
      </c>
      <c r="EZ173" s="3">
        <v>46247</v>
      </c>
      <c r="FA173" s="3">
        <v>46248</v>
      </c>
      <c r="FB173" s="3">
        <v>46249</v>
      </c>
      <c r="FC173" s="3">
        <v>46250</v>
      </c>
      <c r="FD173" s="3">
        <v>46251</v>
      </c>
      <c r="FE173" s="3">
        <v>46252</v>
      </c>
      <c r="FF173" s="3">
        <v>46253</v>
      </c>
      <c r="FG173" s="3">
        <v>46254</v>
      </c>
      <c r="FH173" s="3">
        <v>46255</v>
      </c>
      <c r="FI173" s="3">
        <v>46256</v>
      </c>
      <c r="FJ173" s="3">
        <v>46257</v>
      </c>
      <c r="FK173" s="3">
        <v>46258</v>
      </c>
      <c r="FL173" s="3">
        <v>46259</v>
      </c>
      <c r="FM173" s="3">
        <v>46260</v>
      </c>
      <c r="FN173" s="3">
        <v>46261</v>
      </c>
      <c r="FO173" s="3">
        <v>46262</v>
      </c>
      <c r="FP173" s="3">
        <v>46263</v>
      </c>
      <c r="FQ173" s="3">
        <v>46264</v>
      </c>
      <c r="FR173" s="3">
        <v>46265</v>
      </c>
      <c r="FS173" s="3">
        <v>46266</v>
      </c>
      <c r="FT173" s="3">
        <v>46267</v>
      </c>
      <c r="FU173" s="3">
        <v>46268</v>
      </c>
      <c r="FV173" s="3">
        <v>46269</v>
      </c>
      <c r="FW173" s="3">
        <v>46270</v>
      </c>
      <c r="FX173" s="3">
        <v>46271</v>
      </c>
      <c r="FY173" s="3">
        <v>46272</v>
      </c>
      <c r="FZ173" s="3">
        <v>46273</v>
      </c>
      <c r="GA173" s="3">
        <v>46274</v>
      </c>
      <c r="GB173" s="3">
        <v>46275</v>
      </c>
      <c r="GC173" s="3">
        <v>46276</v>
      </c>
      <c r="GD173" s="3">
        <v>46277</v>
      </c>
      <c r="GE173" s="3">
        <v>46278</v>
      </c>
      <c r="GF173" s="3">
        <v>46279</v>
      </c>
      <c r="GG173" s="3">
        <v>46280</v>
      </c>
      <c r="GH173" s="3">
        <v>46281</v>
      </c>
      <c r="GI173" s="3">
        <v>46282</v>
      </c>
      <c r="GJ173" s="3">
        <v>46283</v>
      </c>
      <c r="GK173" s="3">
        <v>46284</v>
      </c>
      <c r="GL173" s="3">
        <v>46285</v>
      </c>
      <c r="GM173" s="3">
        <v>46286</v>
      </c>
      <c r="GN173" s="3">
        <v>46287</v>
      </c>
      <c r="GO173" s="3">
        <v>46288</v>
      </c>
      <c r="GP173" s="3">
        <v>46289</v>
      </c>
      <c r="GQ173" s="3">
        <v>46290</v>
      </c>
      <c r="GR173" s="3">
        <v>46291</v>
      </c>
      <c r="GS173" s="3">
        <v>46292</v>
      </c>
      <c r="GT173" s="3">
        <v>46293</v>
      </c>
      <c r="GU173" s="3">
        <v>46294</v>
      </c>
      <c r="GV173" s="3">
        <v>46295</v>
      </c>
      <c r="GW173" s="3">
        <v>46296</v>
      </c>
      <c r="GX173" s="3">
        <v>46297</v>
      </c>
      <c r="GY173" s="3">
        <v>46298</v>
      </c>
      <c r="GZ173" s="3">
        <v>46299</v>
      </c>
      <c r="HA173" s="3">
        <v>46300</v>
      </c>
      <c r="HB173" s="3">
        <v>46301</v>
      </c>
      <c r="HC173" s="3">
        <v>46302</v>
      </c>
      <c r="HD173" s="3">
        <v>46303</v>
      </c>
      <c r="HE173" s="3">
        <v>46304</v>
      </c>
      <c r="HF173" s="3">
        <v>46305</v>
      </c>
      <c r="HG173" s="3">
        <v>46306</v>
      </c>
      <c r="HH173" s="3">
        <v>46307</v>
      </c>
      <c r="HI173" s="3">
        <v>46308</v>
      </c>
      <c r="HJ173" s="3">
        <v>46309</v>
      </c>
      <c r="HK173" s="3">
        <v>46310</v>
      </c>
      <c r="HL173" s="3">
        <v>46311</v>
      </c>
      <c r="HM173" s="3">
        <v>46312</v>
      </c>
      <c r="HN173" s="3">
        <v>46313</v>
      </c>
      <c r="HO173" s="3">
        <v>46314</v>
      </c>
      <c r="HP173" s="3">
        <v>46315</v>
      </c>
      <c r="HQ173" s="3">
        <v>46316</v>
      </c>
      <c r="HR173" s="3">
        <v>46317</v>
      </c>
      <c r="HS173" s="3">
        <v>46318</v>
      </c>
      <c r="HT173" s="3">
        <v>46319</v>
      </c>
      <c r="HU173" s="3">
        <v>46320</v>
      </c>
      <c r="HV173" s="3">
        <v>46321</v>
      </c>
      <c r="HW173" s="3">
        <v>46322</v>
      </c>
      <c r="HX173" s="3">
        <v>46323</v>
      </c>
      <c r="HY173" s="3">
        <v>46324</v>
      </c>
      <c r="HZ173" s="3">
        <v>46325</v>
      </c>
      <c r="IA173" s="3">
        <v>46326</v>
      </c>
      <c r="IB173" s="3">
        <v>46327</v>
      </c>
      <c r="IC173" s="3">
        <v>46328</v>
      </c>
    </row>
    <row r="174" spans="1:257">
      <c r="A174" s="4" t="s">
        <v>694</v>
      </c>
      <c r="B174" s="82" t="str">
        <f t="array" ref="B174">COLUMNS(_xlfn._xlws.FILTER(P173:HO173, (P175:HO175&lt;&gt;"")+(P177:HO177&lt;&gt;""))) &amp; "場"</f>
        <v>26場</v>
      </c>
      <c r="C174" s="7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 t="s">
        <v>675</v>
      </c>
      <c r="P174" s="3" t="s">
        <v>676</v>
      </c>
      <c r="Q174" s="3" t="s">
        <v>677</v>
      </c>
      <c r="R174" s="3" t="s">
        <v>678</v>
      </c>
      <c r="S174" s="3" t="s">
        <v>679</v>
      </c>
      <c r="T174" s="3" t="s">
        <v>680</v>
      </c>
      <c r="U174" s="3" t="s">
        <v>681</v>
      </c>
      <c r="V174" s="3" t="s">
        <v>682</v>
      </c>
      <c r="W174" s="3" t="s">
        <v>676</v>
      </c>
      <c r="X174" s="3" t="s">
        <v>677</v>
      </c>
      <c r="Y174" s="3" t="s">
        <v>678</v>
      </c>
      <c r="Z174" s="3" t="s">
        <v>679</v>
      </c>
      <c r="AA174" s="3" t="s">
        <v>680</v>
      </c>
      <c r="AB174" s="3" t="s">
        <v>681</v>
      </c>
      <c r="AC174" s="3" t="s">
        <v>682</v>
      </c>
      <c r="AD174" s="3" t="s">
        <v>676</v>
      </c>
      <c r="AE174" s="3" t="s">
        <v>677</v>
      </c>
      <c r="AF174" s="3" t="s">
        <v>678</v>
      </c>
      <c r="AG174" s="3" t="s">
        <v>679</v>
      </c>
      <c r="AH174" s="3" t="s">
        <v>680</v>
      </c>
      <c r="AI174" s="3" t="s">
        <v>681</v>
      </c>
      <c r="AJ174" s="3" t="s">
        <v>682</v>
      </c>
      <c r="AK174" s="3" t="s">
        <v>676</v>
      </c>
      <c r="AL174" s="3" t="s">
        <v>677</v>
      </c>
      <c r="AM174" s="3" t="s">
        <v>678</v>
      </c>
      <c r="AN174" s="3" t="s">
        <v>679</v>
      </c>
      <c r="AO174" s="3" t="s">
        <v>680</v>
      </c>
      <c r="AP174" s="3" t="s">
        <v>681</v>
      </c>
      <c r="AQ174" s="3" t="s">
        <v>682</v>
      </c>
      <c r="AR174" s="3" t="s">
        <v>676</v>
      </c>
      <c r="AS174" s="3" t="s">
        <v>677</v>
      </c>
      <c r="AT174" s="3" t="s">
        <v>678</v>
      </c>
      <c r="AU174" s="3" t="s">
        <v>679</v>
      </c>
      <c r="AV174" s="3" t="s">
        <v>680</v>
      </c>
      <c r="AW174" s="3" t="s">
        <v>681</v>
      </c>
      <c r="AX174" s="3" t="s">
        <v>682</v>
      </c>
      <c r="AY174" s="3" t="s">
        <v>676</v>
      </c>
      <c r="AZ174" s="3" t="s">
        <v>677</v>
      </c>
      <c r="BA174" s="3" t="s">
        <v>678</v>
      </c>
      <c r="BB174" s="3" t="s">
        <v>679</v>
      </c>
      <c r="BC174" s="3" t="s">
        <v>680</v>
      </c>
      <c r="BD174" s="3" t="s">
        <v>681</v>
      </c>
      <c r="BE174" s="3" t="s">
        <v>682</v>
      </c>
      <c r="BF174" s="3" t="s">
        <v>676</v>
      </c>
      <c r="BG174" s="3" t="s">
        <v>677</v>
      </c>
      <c r="BH174" s="3" t="s">
        <v>678</v>
      </c>
      <c r="BI174" s="3" t="s">
        <v>679</v>
      </c>
      <c r="BJ174" s="3" t="s">
        <v>680</v>
      </c>
      <c r="BK174" s="3" t="s">
        <v>681</v>
      </c>
      <c r="BL174" s="3" t="s">
        <v>682</v>
      </c>
      <c r="BM174" s="3" t="s">
        <v>676</v>
      </c>
      <c r="BN174" s="3" t="s">
        <v>677</v>
      </c>
      <c r="BO174" s="3" t="s">
        <v>678</v>
      </c>
      <c r="BP174" s="3" t="s">
        <v>679</v>
      </c>
      <c r="BQ174" s="3" t="s">
        <v>680</v>
      </c>
      <c r="BR174" s="3" t="s">
        <v>681</v>
      </c>
      <c r="BS174" s="3" t="s">
        <v>682</v>
      </c>
      <c r="BT174" s="3" t="s">
        <v>676</v>
      </c>
      <c r="BU174" s="3" t="s">
        <v>677</v>
      </c>
      <c r="BV174" s="3" t="s">
        <v>678</v>
      </c>
      <c r="BW174" s="3" t="s">
        <v>679</v>
      </c>
      <c r="BX174" s="3" t="s">
        <v>680</v>
      </c>
      <c r="BY174" s="3" t="s">
        <v>681</v>
      </c>
      <c r="BZ174" s="3" t="s">
        <v>682</v>
      </c>
      <c r="CA174" s="3" t="s">
        <v>676</v>
      </c>
      <c r="CB174" s="3" t="s">
        <v>677</v>
      </c>
      <c r="CC174" s="3" t="s">
        <v>678</v>
      </c>
      <c r="CD174" s="3" t="s">
        <v>679</v>
      </c>
      <c r="CE174" s="3" t="s">
        <v>680</v>
      </c>
      <c r="CF174" s="3" t="s">
        <v>681</v>
      </c>
      <c r="CG174" s="3" t="s">
        <v>682</v>
      </c>
      <c r="CH174" s="3" t="s">
        <v>676</v>
      </c>
      <c r="CI174" s="3" t="s">
        <v>677</v>
      </c>
      <c r="CJ174" s="3" t="s">
        <v>678</v>
      </c>
      <c r="CK174" s="3" t="s">
        <v>679</v>
      </c>
      <c r="CL174" s="3" t="s">
        <v>680</v>
      </c>
      <c r="CM174" s="3" t="s">
        <v>681</v>
      </c>
      <c r="CN174" s="3" t="s">
        <v>682</v>
      </c>
      <c r="CO174" s="3" t="s">
        <v>676</v>
      </c>
      <c r="CP174" s="3" t="s">
        <v>677</v>
      </c>
      <c r="CQ174" s="3" t="s">
        <v>678</v>
      </c>
      <c r="CR174" s="3" t="s">
        <v>679</v>
      </c>
      <c r="CS174" s="3" t="s">
        <v>680</v>
      </c>
      <c r="CT174" s="3" t="s">
        <v>681</v>
      </c>
      <c r="CU174" s="3" t="s">
        <v>682</v>
      </c>
      <c r="CV174" s="3" t="s">
        <v>676</v>
      </c>
      <c r="CW174" s="3" t="s">
        <v>677</v>
      </c>
      <c r="CX174" s="3" t="s">
        <v>678</v>
      </c>
      <c r="CY174" s="3" t="s">
        <v>679</v>
      </c>
      <c r="CZ174" s="3" t="s">
        <v>680</v>
      </c>
      <c r="DA174" s="3" t="s">
        <v>681</v>
      </c>
      <c r="DB174" s="3" t="s">
        <v>682</v>
      </c>
      <c r="DC174" s="3" t="s">
        <v>676</v>
      </c>
      <c r="DD174" s="3" t="s">
        <v>677</v>
      </c>
      <c r="DE174" s="3" t="s">
        <v>678</v>
      </c>
      <c r="DF174" s="3" t="s">
        <v>679</v>
      </c>
      <c r="DG174" s="3" t="s">
        <v>680</v>
      </c>
      <c r="DH174" s="3" t="s">
        <v>681</v>
      </c>
      <c r="DI174" s="3" t="s">
        <v>682</v>
      </c>
      <c r="DJ174" s="3" t="s">
        <v>676</v>
      </c>
      <c r="DK174" s="3" t="s">
        <v>677</v>
      </c>
      <c r="DL174" s="3" t="s">
        <v>678</v>
      </c>
      <c r="DM174" s="3" t="s">
        <v>679</v>
      </c>
      <c r="DN174" s="3" t="s">
        <v>680</v>
      </c>
      <c r="DO174" s="3" t="s">
        <v>681</v>
      </c>
      <c r="DP174" s="3" t="s">
        <v>682</v>
      </c>
      <c r="DQ174" s="3" t="s">
        <v>676</v>
      </c>
      <c r="DR174" s="3" t="s">
        <v>677</v>
      </c>
      <c r="DS174" s="3" t="s">
        <v>678</v>
      </c>
      <c r="DT174" s="3" t="s">
        <v>679</v>
      </c>
      <c r="DU174" s="3" t="s">
        <v>680</v>
      </c>
      <c r="DV174" s="3" t="s">
        <v>681</v>
      </c>
      <c r="DW174" s="3" t="s">
        <v>682</v>
      </c>
      <c r="DX174" s="3" t="s">
        <v>676</v>
      </c>
      <c r="DY174" s="3" t="s">
        <v>677</v>
      </c>
      <c r="DZ174" s="3" t="s">
        <v>678</v>
      </c>
      <c r="EA174" s="3" t="s">
        <v>679</v>
      </c>
      <c r="EB174" s="3" t="s">
        <v>680</v>
      </c>
      <c r="EC174" s="3" t="s">
        <v>681</v>
      </c>
      <c r="ED174" s="3" t="s">
        <v>682</v>
      </c>
      <c r="EE174" s="3" t="s">
        <v>676</v>
      </c>
      <c r="EF174" s="3" t="s">
        <v>677</v>
      </c>
      <c r="EG174" s="3" t="s">
        <v>678</v>
      </c>
      <c r="EH174" s="3" t="s">
        <v>679</v>
      </c>
      <c r="EI174" s="3" t="s">
        <v>680</v>
      </c>
      <c r="EJ174" s="3" t="s">
        <v>681</v>
      </c>
      <c r="EK174" s="3" t="s">
        <v>682</v>
      </c>
      <c r="EL174" s="3" t="s">
        <v>676</v>
      </c>
      <c r="EM174" s="3" t="s">
        <v>677</v>
      </c>
      <c r="EN174" s="3" t="s">
        <v>678</v>
      </c>
      <c r="EO174" s="3" t="s">
        <v>679</v>
      </c>
      <c r="EP174" s="3" t="s">
        <v>680</v>
      </c>
      <c r="EQ174" s="3" t="s">
        <v>681</v>
      </c>
      <c r="ER174" s="3" t="s">
        <v>682</v>
      </c>
      <c r="ES174" s="3" t="s">
        <v>676</v>
      </c>
      <c r="ET174" s="3" t="s">
        <v>677</v>
      </c>
      <c r="EU174" s="3" t="s">
        <v>678</v>
      </c>
      <c r="EV174" s="3" t="s">
        <v>679</v>
      </c>
      <c r="EW174" s="3" t="s">
        <v>680</v>
      </c>
      <c r="EX174" s="3" t="s">
        <v>681</v>
      </c>
      <c r="EY174" s="3" t="s">
        <v>682</v>
      </c>
      <c r="EZ174" s="3" t="s">
        <v>676</v>
      </c>
      <c r="FA174" s="3" t="s">
        <v>677</v>
      </c>
      <c r="FB174" s="3" t="s">
        <v>678</v>
      </c>
      <c r="FC174" s="3" t="s">
        <v>679</v>
      </c>
      <c r="FD174" s="3" t="s">
        <v>680</v>
      </c>
      <c r="FE174" s="3" t="s">
        <v>681</v>
      </c>
      <c r="FF174" s="3" t="s">
        <v>682</v>
      </c>
      <c r="FG174" s="3" t="s">
        <v>676</v>
      </c>
      <c r="FH174" s="3" t="s">
        <v>677</v>
      </c>
      <c r="FI174" s="3" t="s">
        <v>678</v>
      </c>
      <c r="FJ174" s="3" t="s">
        <v>679</v>
      </c>
      <c r="FK174" s="3" t="s">
        <v>680</v>
      </c>
      <c r="FL174" s="3" t="s">
        <v>681</v>
      </c>
      <c r="FM174" s="3" t="s">
        <v>682</v>
      </c>
      <c r="FN174" s="3" t="s">
        <v>676</v>
      </c>
      <c r="FO174" s="3" t="s">
        <v>677</v>
      </c>
      <c r="FP174" s="3" t="s">
        <v>678</v>
      </c>
      <c r="FQ174" s="3" t="s">
        <v>679</v>
      </c>
      <c r="FR174" s="3" t="s">
        <v>680</v>
      </c>
      <c r="FS174" s="3" t="s">
        <v>681</v>
      </c>
      <c r="FT174" s="3" t="s">
        <v>682</v>
      </c>
      <c r="FU174" s="3" t="s">
        <v>676</v>
      </c>
      <c r="FV174" s="3" t="s">
        <v>677</v>
      </c>
      <c r="FW174" s="3" t="s">
        <v>678</v>
      </c>
      <c r="FX174" s="3" t="s">
        <v>679</v>
      </c>
      <c r="FY174" s="3" t="s">
        <v>680</v>
      </c>
      <c r="FZ174" s="3" t="s">
        <v>681</v>
      </c>
      <c r="GA174" s="3" t="s">
        <v>682</v>
      </c>
      <c r="GB174" s="3" t="s">
        <v>676</v>
      </c>
      <c r="GC174" s="3" t="s">
        <v>677</v>
      </c>
      <c r="GD174" s="3" t="s">
        <v>678</v>
      </c>
      <c r="GE174" s="3" t="s">
        <v>679</v>
      </c>
      <c r="GF174" s="3" t="s">
        <v>680</v>
      </c>
      <c r="GG174" s="3" t="s">
        <v>681</v>
      </c>
      <c r="GH174" s="3" t="s">
        <v>682</v>
      </c>
      <c r="GI174" s="3" t="s">
        <v>676</v>
      </c>
      <c r="GJ174" s="3" t="s">
        <v>677</v>
      </c>
      <c r="GK174" s="3" t="s">
        <v>678</v>
      </c>
      <c r="GL174" s="3" t="s">
        <v>679</v>
      </c>
      <c r="GM174" s="3" t="s">
        <v>680</v>
      </c>
      <c r="GN174" s="3" t="s">
        <v>681</v>
      </c>
      <c r="GO174" s="3" t="s">
        <v>682</v>
      </c>
      <c r="GP174" s="3" t="s">
        <v>676</v>
      </c>
      <c r="GQ174" s="3" t="s">
        <v>677</v>
      </c>
      <c r="GR174" s="3" t="s">
        <v>678</v>
      </c>
      <c r="GS174" s="3" t="s">
        <v>679</v>
      </c>
      <c r="GT174" s="3" t="s">
        <v>680</v>
      </c>
      <c r="GU174" s="3" t="s">
        <v>681</v>
      </c>
      <c r="GV174" s="3" t="s">
        <v>682</v>
      </c>
      <c r="GW174" s="3" t="s">
        <v>676</v>
      </c>
      <c r="GX174" s="3" t="s">
        <v>677</v>
      </c>
      <c r="GY174" s="3" t="s">
        <v>678</v>
      </c>
      <c r="GZ174" s="3" t="s">
        <v>679</v>
      </c>
      <c r="HA174" s="3" t="s">
        <v>680</v>
      </c>
      <c r="HB174" s="3" t="s">
        <v>681</v>
      </c>
      <c r="HC174" s="3" t="s">
        <v>682</v>
      </c>
      <c r="HD174" s="3" t="s">
        <v>676</v>
      </c>
      <c r="HE174" s="3" t="s">
        <v>677</v>
      </c>
      <c r="HF174" s="3" t="s">
        <v>678</v>
      </c>
      <c r="HG174" s="3" t="s">
        <v>679</v>
      </c>
      <c r="HH174" s="3" t="s">
        <v>680</v>
      </c>
      <c r="HI174" s="3" t="s">
        <v>681</v>
      </c>
      <c r="HJ174" s="3" t="s">
        <v>682</v>
      </c>
      <c r="HK174" s="3" t="s">
        <v>676</v>
      </c>
      <c r="HL174" s="3" t="s">
        <v>677</v>
      </c>
      <c r="HM174" s="3" t="s">
        <v>678</v>
      </c>
      <c r="HN174" s="3" t="s">
        <v>679</v>
      </c>
      <c r="HO174" s="3" t="s">
        <v>680</v>
      </c>
      <c r="HP174" s="3" t="s">
        <v>681</v>
      </c>
      <c r="HQ174" s="3" t="s">
        <v>682</v>
      </c>
      <c r="HR174" s="3" t="s">
        <v>676</v>
      </c>
      <c r="HS174" s="3" t="s">
        <v>677</v>
      </c>
      <c r="HT174" s="3" t="s">
        <v>678</v>
      </c>
      <c r="HU174" s="3" t="s">
        <v>679</v>
      </c>
      <c r="HV174" s="3" t="s">
        <v>680</v>
      </c>
      <c r="HW174" s="3" t="s">
        <v>681</v>
      </c>
      <c r="HX174" s="3" t="s">
        <v>682</v>
      </c>
      <c r="HY174" s="3" t="s">
        <v>676</v>
      </c>
      <c r="HZ174" s="3" t="s">
        <v>677</v>
      </c>
      <c r="IA174" s="3" t="s">
        <v>678</v>
      </c>
      <c r="IB174" s="3" t="s">
        <v>679</v>
      </c>
      <c r="IC174" s="3" t="s">
        <v>680</v>
      </c>
    </row>
    <row r="175" spans="1:257">
      <c r="A175" s="82" t="s">
        <v>695</v>
      </c>
      <c r="B175" s="82" t="str">
        <f>COUNTIF(P175:IC175, "W")&amp;"勝"</f>
        <v>8勝</v>
      </c>
      <c r="C175" s="82" t="str">
        <f>COUNTIF(P175:IC175, "L")&amp;"敗"</f>
        <v>18敗</v>
      </c>
      <c r="D175" s="82" t="s">
        <v>696</v>
      </c>
      <c r="E175" s="78"/>
      <c r="F175" s="82" t="s">
        <v>744</v>
      </c>
      <c r="G175" s="78"/>
      <c r="H175" s="78"/>
      <c r="I175" s="78"/>
      <c r="J175" s="78"/>
      <c r="K175" s="78"/>
      <c r="L175" s="78"/>
      <c r="M175" s="82"/>
      <c r="N175" s="78"/>
      <c r="O175" s="1" t="s">
        <v>698</v>
      </c>
      <c r="Q175" t="s">
        <v>699</v>
      </c>
      <c r="S175" t="s">
        <v>699</v>
      </c>
      <c r="T175" t="s">
        <v>700</v>
      </c>
      <c r="U175" t="s">
        <v>699</v>
      </c>
      <c r="V175" t="s">
        <v>700</v>
      </c>
      <c r="W175" t="s">
        <v>700</v>
      </c>
      <c r="X175" t="s">
        <v>700</v>
      </c>
      <c r="Y175" t="s">
        <v>699</v>
      </c>
      <c r="Z175" t="s">
        <v>699</v>
      </c>
      <c r="AA175" t="s">
        <v>699</v>
      </c>
      <c r="AC175" t="s">
        <v>699</v>
      </c>
      <c r="AD175" t="s">
        <v>700</v>
      </c>
      <c r="AE175" t="s">
        <v>700</v>
      </c>
      <c r="AF175" t="s">
        <v>700</v>
      </c>
      <c r="AG175" t="s">
        <v>700</v>
      </c>
      <c r="AH175" t="s">
        <v>700</v>
      </c>
      <c r="AI175" t="s">
        <v>700</v>
      </c>
      <c r="AJ175" t="s">
        <v>700</v>
      </c>
      <c r="AK175" t="s">
        <v>700</v>
      </c>
      <c r="AM175" t="s">
        <v>700</v>
      </c>
      <c r="AN175" t="s">
        <v>700</v>
      </c>
      <c r="AO175" t="s">
        <v>700</v>
      </c>
      <c r="AQ175" t="s">
        <v>700</v>
      </c>
      <c r="AS175" t="s">
        <v>699</v>
      </c>
      <c r="AT175" t="s">
        <v>700</v>
      </c>
      <c r="AV175" t="s">
        <v>700</v>
      </c>
    </row>
    <row r="176" spans="1:257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1" t="s">
        <v>701</v>
      </c>
    </row>
    <row r="177" spans="1:257">
      <c r="A177" s="82" t="s">
        <v>702</v>
      </c>
      <c r="B177" s="82" t="str">
        <f>COUNTIF(P177:IC177, "O")&amp;"正"</f>
        <v>9正</v>
      </c>
      <c r="C177" s="82" t="str">
        <f>COUNTIF(P177:IC177, "X")&amp;"負"</f>
        <v>17負</v>
      </c>
      <c r="D177" s="82" t="s">
        <v>703</v>
      </c>
      <c r="E177" s="78"/>
      <c r="F177" s="82" t="s">
        <v>745</v>
      </c>
      <c r="G177" s="78"/>
      <c r="H177" s="78"/>
      <c r="I177" s="78"/>
      <c r="J177" s="78"/>
      <c r="K177" s="78"/>
      <c r="L177" s="78"/>
      <c r="M177" s="82"/>
      <c r="N177" s="78"/>
      <c r="O177" s="1" t="s">
        <v>705</v>
      </c>
      <c r="Q177" t="s">
        <v>683</v>
      </c>
      <c r="S177" t="s">
        <v>683</v>
      </c>
      <c r="T177" t="s">
        <v>684</v>
      </c>
      <c r="U177" t="s">
        <v>683</v>
      </c>
      <c r="V177" t="s">
        <v>684</v>
      </c>
      <c r="W177" t="s">
        <v>684</v>
      </c>
      <c r="X177" t="s">
        <v>684</v>
      </c>
      <c r="Y177" t="s">
        <v>683</v>
      </c>
      <c r="Z177" t="s">
        <v>683</v>
      </c>
      <c r="AA177" t="s">
        <v>683</v>
      </c>
      <c r="AC177" t="s">
        <v>683</v>
      </c>
      <c r="AD177" t="s">
        <v>684</v>
      </c>
      <c r="AE177" t="s">
        <v>684</v>
      </c>
      <c r="AF177" t="s">
        <v>684</v>
      </c>
      <c r="AG177" t="s">
        <v>684</v>
      </c>
      <c r="AH177" t="s">
        <v>684</v>
      </c>
      <c r="AI177" t="s">
        <v>684</v>
      </c>
      <c r="AJ177" t="s">
        <v>683</v>
      </c>
      <c r="AK177" t="s">
        <v>684</v>
      </c>
      <c r="AM177" t="s">
        <v>684</v>
      </c>
      <c r="AN177" t="s">
        <v>684</v>
      </c>
      <c r="AO177" t="s">
        <v>684</v>
      </c>
      <c r="AQ177" t="s">
        <v>684</v>
      </c>
      <c r="AS177" t="s">
        <v>683</v>
      </c>
      <c r="AT177" t="s">
        <v>684</v>
      </c>
      <c r="AV177" t="s">
        <v>684</v>
      </c>
      <c r="IN177" t="str">
        <f ca="1">IFERROR(INDEX($P177:$IC177,1,_xludf.AGGREGATE(14,6,(COLUMN($P177:$IC177)-COLUMN($P177)+1)/($P177:$IC177&lt;&gt;""),1)),"")</f>
        <v/>
      </c>
      <c r="IO177" t="str">
        <f ca="1">IFERROR(INDEX($P177:$IC177,1,_xludf.AGGREGATE(14,6,(COLUMN($P177:$IC177)-COLUMN($P177)+1)/($P177:$IC177&lt;&gt;""),2)),"")</f>
        <v/>
      </c>
      <c r="IP177" t="str">
        <f ca="1">IFERROR(INDEX($P177:$IC177,1,_xludf.AGGREGATE(14,6,(COLUMN($P177:$IC177)-COLUMN($P177)+1)/($P177:$IC177&lt;&gt;""),3)),"")</f>
        <v/>
      </c>
      <c r="IQ177" t="str">
        <f ca="1">IFERROR(INDEX($P177:$IC177,1,_xludf.AGGREGATE(14,6,(COLUMN($P177:$IC177)-COLUMN($P177)+1)/($P177:$IC177&lt;&gt;""),4)),"")</f>
        <v/>
      </c>
      <c r="IR177" t="str">
        <f ca="1">IFERROR(INDEX($P177:$IC177,1,_xludf.AGGREGATE(14,6,(COLUMN($P177:$IC177)-COLUMN($P177)+1)/($P177:$IC177&lt;&gt;""),5)),"")</f>
        <v/>
      </c>
      <c r="IS177" t="str">
        <f ca="1">IFERROR(INDEX($P177:$IC177,1,_xludf.AGGREGATE(14,6,(COLUMN($P177:$IC177)-COLUMN($P177)+1)/($P177:$IC177&lt;&gt;""),6)),"")</f>
        <v/>
      </c>
      <c r="IT177" t="str">
        <f ca="1">IFERROR(INDEX($P177:$IC177,1,_xludf.AGGREGATE(14,6,(COLUMN($P177:$IC177)-COLUMN($P177)+1)/($P177:$IC177&lt;&gt;""),7)),"")</f>
        <v/>
      </c>
      <c r="IU177" t="str">
        <f ca="1">IFERROR(INDEX($P177:$IC177,1,_xludf.AGGREGATE(14,6,(COLUMN($P177:$IC177)-COLUMN($P177)+1)/($P177:$IC177&lt;&gt;""),8)),"")</f>
        <v/>
      </c>
      <c r="IV177" t="str">
        <f ca="1">IFERROR(INDEX($P177:$IC177,1,_xludf.AGGREGATE(14,6,(COLUMN($P177:$IC177)-COLUMN($P177)+1)/($P177:$IC177&lt;&gt;""),9)),"")</f>
        <v/>
      </c>
      <c r="IW177" t="str">
        <f ca="1">IFERROR(INDEX($P177:$IC177,1,_xludf.AGGREGATE(14,6,(COLUMN($P177:$IC177)-COLUMN($P177)+1)/($P177:$IC177&lt;&gt;""),10)),"")</f>
        <v/>
      </c>
    </row>
    <row r="178" spans="1:257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1" t="s">
        <v>706</v>
      </c>
    </row>
    <row r="179" spans="1:257">
      <c r="A179" s="82" t="s">
        <v>707</v>
      </c>
      <c r="B179" s="77"/>
      <c r="C179" s="77"/>
      <c r="D179" s="82" t="s">
        <v>708</v>
      </c>
      <c r="E179" s="78"/>
      <c r="F179" s="82"/>
      <c r="G179" s="78"/>
      <c r="H179" s="78"/>
      <c r="I179" s="78"/>
      <c r="J179" s="78"/>
      <c r="K179" s="78"/>
      <c r="L179" s="78"/>
      <c r="M179" s="82"/>
      <c r="N179" s="78"/>
      <c r="O179" s="1" t="s">
        <v>709</v>
      </c>
    </row>
    <row r="180" spans="1:257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1" t="s">
        <v>710</v>
      </c>
    </row>
    <row r="181" spans="1:257">
      <c r="A181" s="108" t="s">
        <v>14</v>
      </c>
      <c r="B181" s="78"/>
      <c r="C181" s="78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 t="s">
        <v>674</v>
      </c>
      <c r="P181" s="6">
        <v>1</v>
      </c>
      <c r="Q181" s="6">
        <v>2</v>
      </c>
      <c r="R181" s="6">
        <v>3</v>
      </c>
      <c r="S181" s="6">
        <v>4</v>
      </c>
      <c r="T181" s="6">
        <v>5</v>
      </c>
      <c r="U181" s="6">
        <v>6</v>
      </c>
      <c r="V181" s="6">
        <v>7</v>
      </c>
      <c r="W181" s="6">
        <v>8</v>
      </c>
      <c r="X181" s="6">
        <v>9</v>
      </c>
      <c r="Y181" s="6">
        <v>10</v>
      </c>
      <c r="Z181" s="6">
        <v>11</v>
      </c>
      <c r="AA181" s="6">
        <v>12</v>
      </c>
      <c r="AB181" s="6">
        <v>13</v>
      </c>
      <c r="AC181" s="6">
        <v>14</v>
      </c>
      <c r="AD181" s="6">
        <v>15</v>
      </c>
      <c r="AE181" s="6">
        <v>16</v>
      </c>
      <c r="AF181" s="6">
        <v>17</v>
      </c>
      <c r="AG181" s="6">
        <v>18</v>
      </c>
      <c r="AH181" s="6">
        <v>19</v>
      </c>
      <c r="AI181" s="6">
        <v>20</v>
      </c>
      <c r="AJ181" s="6">
        <v>21</v>
      </c>
      <c r="AK181" s="6">
        <v>22</v>
      </c>
      <c r="AL181" s="6">
        <v>23</v>
      </c>
      <c r="AM181" s="6">
        <v>24</v>
      </c>
      <c r="AN181" s="6">
        <v>25</v>
      </c>
      <c r="AO181" s="6">
        <v>26</v>
      </c>
      <c r="AP181" s="6">
        <v>27</v>
      </c>
      <c r="AQ181" s="6">
        <v>28</v>
      </c>
      <c r="AR181" s="6">
        <v>29</v>
      </c>
      <c r="AS181" s="6">
        <v>30</v>
      </c>
      <c r="AT181" s="6">
        <v>31</v>
      </c>
      <c r="AU181" s="6">
        <v>32</v>
      </c>
      <c r="AV181" s="6">
        <v>33</v>
      </c>
      <c r="AW181" s="6">
        <v>34</v>
      </c>
      <c r="AX181" s="6">
        <v>35</v>
      </c>
      <c r="AY181" s="6">
        <v>36</v>
      </c>
      <c r="AZ181" s="6">
        <v>37</v>
      </c>
      <c r="BA181" s="6">
        <v>38</v>
      </c>
      <c r="BB181" s="6">
        <v>39</v>
      </c>
      <c r="BC181" s="6">
        <v>40</v>
      </c>
      <c r="BD181" s="6">
        <v>41</v>
      </c>
      <c r="BE181" s="6">
        <v>42</v>
      </c>
      <c r="BF181" s="6">
        <v>43</v>
      </c>
      <c r="BG181" s="6">
        <v>44</v>
      </c>
      <c r="BH181" s="6">
        <v>45</v>
      </c>
      <c r="BI181" s="6">
        <v>46</v>
      </c>
      <c r="BJ181" s="6">
        <v>47</v>
      </c>
      <c r="BK181" s="6">
        <v>48</v>
      </c>
      <c r="BL181" s="6">
        <v>49</v>
      </c>
      <c r="BM181" s="6">
        <v>50</v>
      </c>
      <c r="BN181" s="6">
        <v>51</v>
      </c>
      <c r="BO181" s="6">
        <v>52</v>
      </c>
      <c r="BP181" s="6">
        <v>53</v>
      </c>
      <c r="BQ181" s="6">
        <v>54</v>
      </c>
      <c r="BR181" s="6">
        <v>55</v>
      </c>
      <c r="BS181" s="6">
        <v>56</v>
      </c>
      <c r="BT181" s="6">
        <v>57</v>
      </c>
      <c r="BU181" s="6">
        <v>58</v>
      </c>
      <c r="BV181" s="6">
        <v>59</v>
      </c>
      <c r="BW181" s="6">
        <v>60</v>
      </c>
      <c r="BX181" s="6">
        <v>61</v>
      </c>
      <c r="BY181" s="6">
        <v>62</v>
      </c>
      <c r="BZ181" s="6">
        <v>63</v>
      </c>
      <c r="CA181" s="6">
        <v>64</v>
      </c>
      <c r="CB181" s="6">
        <v>65</v>
      </c>
      <c r="CC181" s="6">
        <v>66</v>
      </c>
      <c r="CD181" s="6">
        <v>67</v>
      </c>
      <c r="CE181" s="6">
        <v>68</v>
      </c>
      <c r="CF181" s="6">
        <v>69</v>
      </c>
      <c r="CG181" s="6">
        <v>70</v>
      </c>
      <c r="CH181" s="6">
        <v>71</v>
      </c>
      <c r="CI181" s="6">
        <v>72</v>
      </c>
      <c r="CJ181" s="6">
        <v>73</v>
      </c>
      <c r="CK181" s="6">
        <v>74</v>
      </c>
      <c r="CL181" s="6">
        <v>75</v>
      </c>
      <c r="CM181" s="6">
        <v>76</v>
      </c>
      <c r="CN181" s="6">
        <v>77</v>
      </c>
      <c r="CO181" s="6">
        <v>78</v>
      </c>
      <c r="CP181" s="6">
        <v>79</v>
      </c>
      <c r="CQ181" s="6">
        <v>80</v>
      </c>
      <c r="CR181" s="6">
        <v>81</v>
      </c>
      <c r="CS181" s="6">
        <v>82</v>
      </c>
      <c r="CT181" s="6">
        <v>83</v>
      </c>
      <c r="CU181" s="6">
        <v>84</v>
      </c>
      <c r="CV181" s="6">
        <v>85</v>
      </c>
      <c r="CW181" s="6">
        <v>86</v>
      </c>
      <c r="CX181" s="6">
        <v>87</v>
      </c>
      <c r="CY181" s="6">
        <v>88</v>
      </c>
      <c r="CZ181" s="6">
        <v>89</v>
      </c>
      <c r="DA181" s="6">
        <v>90</v>
      </c>
      <c r="DB181" s="6">
        <v>91</v>
      </c>
      <c r="DC181" s="6">
        <v>92</v>
      </c>
      <c r="DD181" s="6">
        <v>93</v>
      </c>
      <c r="DE181" s="6">
        <v>94</v>
      </c>
      <c r="DF181" s="6">
        <v>95</v>
      </c>
      <c r="DG181" s="6">
        <v>96</v>
      </c>
      <c r="DH181" s="6">
        <v>97</v>
      </c>
      <c r="DI181" s="6">
        <v>98</v>
      </c>
      <c r="DJ181" s="6">
        <v>99</v>
      </c>
      <c r="DK181" s="6">
        <v>100</v>
      </c>
      <c r="DL181" s="6">
        <v>101</v>
      </c>
      <c r="DM181" s="6">
        <v>102</v>
      </c>
      <c r="DN181" s="6">
        <v>103</v>
      </c>
      <c r="DO181" s="6">
        <v>104</v>
      </c>
      <c r="DP181" s="6">
        <v>105</v>
      </c>
      <c r="DQ181" s="6">
        <v>106</v>
      </c>
      <c r="DR181" s="6">
        <v>107</v>
      </c>
      <c r="DS181" s="6">
        <v>108</v>
      </c>
      <c r="DT181" s="6">
        <v>109</v>
      </c>
      <c r="DU181" s="6">
        <v>110</v>
      </c>
      <c r="DV181" s="6">
        <v>111</v>
      </c>
      <c r="DW181" s="6">
        <v>112</v>
      </c>
      <c r="DX181" s="6">
        <v>113</v>
      </c>
      <c r="DY181" s="6">
        <v>114</v>
      </c>
      <c r="DZ181" s="6">
        <v>115</v>
      </c>
      <c r="EA181" s="6">
        <v>116</v>
      </c>
      <c r="EB181" s="6">
        <v>117</v>
      </c>
      <c r="EC181" s="6">
        <v>118</v>
      </c>
      <c r="ED181" s="6">
        <v>119</v>
      </c>
      <c r="EE181" s="6">
        <v>120</v>
      </c>
      <c r="EF181" s="6">
        <v>121</v>
      </c>
      <c r="EG181" s="6">
        <v>122</v>
      </c>
      <c r="EH181" s="6">
        <v>123</v>
      </c>
      <c r="EI181" s="6">
        <v>124</v>
      </c>
      <c r="EJ181" s="6">
        <v>125</v>
      </c>
      <c r="EK181" s="6">
        <v>126</v>
      </c>
      <c r="EL181" s="6">
        <v>127</v>
      </c>
      <c r="EM181" s="6">
        <v>128</v>
      </c>
      <c r="EN181" s="6">
        <v>129</v>
      </c>
      <c r="EO181" s="6">
        <v>130</v>
      </c>
      <c r="EP181" s="6">
        <v>131</v>
      </c>
      <c r="EQ181" s="6">
        <v>132</v>
      </c>
      <c r="ER181" s="6">
        <v>133</v>
      </c>
      <c r="ES181" s="6">
        <v>134</v>
      </c>
      <c r="ET181" s="6">
        <v>135</v>
      </c>
      <c r="EU181" s="6">
        <v>136</v>
      </c>
      <c r="EV181" s="6">
        <v>137</v>
      </c>
      <c r="EW181" s="6">
        <v>138</v>
      </c>
      <c r="EX181" s="6">
        <v>139</v>
      </c>
      <c r="EY181" s="6">
        <v>140</v>
      </c>
      <c r="EZ181" s="6">
        <v>141</v>
      </c>
      <c r="FA181" s="6">
        <v>142</v>
      </c>
      <c r="FB181" s="6">
        <v>143</v>
      </c>
      <c r="FC181" s="6">
        <v>144</v>
      </c>
      <c r="FD181" s="6">
        <v>145</v>
      </c>
      <c r="FE181" s="6">
        <v>146</v>
      </c>
      <c r="FF181" s="6">
        <v>147</v>
      </c>
      <c r="FG181" s="6">
        <v>148</v>
      </c>
      <c r="FH181" s="6">
        <v>149</v>
      </c>
      <c r="FI181" s="6">
        <v>150</v>
      </c>
      <c r="FJ181" s="6">
        <v>151</v>
      </c>
      <c r="FK181" s="6">
        <v>152</v>
      </c>
      <c r="FL181" s="6">
        <v>153</v>
      </c>
      <c r="FM181" s="6">
        <v>154</v>
      </c>
      <c r="FN181" s="6">
        <v>155</v>
      </c>
      <c r="FO181" s="6">
        <v>156</v>
      </c>
      <c r="FP181" s="6">
        <v>157</v>
      </c>
      <c r="FQ181" s="6">
        <v>158</v>
      </c>
      <c r="FR181" s="6">
        <v>159</v>
      </c>
      <c r="FS181" s="6">
        <v>160</v>
      </c>
      <c r="FT181" s="6">
        <v>161</v>
      </c>
      <c r="FU181" s="6">
        <v>162</v>
      </c>
      <c r="FV181" s="6">
        <v>163</v>
      </c>
      <c r="FW181" s="6">
        <v>164</v>
      </c>
      <c r="FX181" s="6">
        <v>165</v>
      </c>
      <c r="FY181" s="6">
        <v>166</v>
      </c>
      <c r="FZ181" s="6">
        <v>167</v>
      </c>
      <c r="GA181" s="6">
        <v>168</v>
      </c>
      <c r="GB181" s="6">
        <v>169</v>
      </c>
      <c r="GC181" s="6">
        <v>170</v>
      </c>
      <c r="GD181" s="6">
        <v>171</v>
      </c>
      <c r="GE181" s="6">
        <v>172</v>
      </c>
      <c r="GF181" s="6">
        <v>173</v>
      </c>
      <c r="GG181" s="6">
        <v>174</v>
      </c>
      <c r="GH181" s="6">
        <v>175</v>
      </c>
      <c r="GI181" s="6">
        <v>176</v>
      </c>
      <c r="GJ181" s="6">
        <v>177</v>
      </c>
      <c r="GK181" s="6">
        <v>178</v>
      </c>
      <c r="GL181" s="6">
        <v>179</v>
      </c>
      <c r="GM181" s="6">
        <v>180</v>
      </c>
      <c r="GN181" s="6">
        <v>181</v>
      </c>
      <c r="GO181" s="6">
        <v>182</v>
      </c>
      <c r="GP181" s="6">
        <v>183</v>
      </c>
      <c r="GQ181" s="6">
        <v>184</v>
      </c>
      <c r="GR181" s="6">
        <v>185</v>
      </c>
      <c r="GS181" s="6">
        <v>186</v>
      </c>
      <c r="GT181" s="6">
        <v>187</v>
      </c>
      <c r="GU181" s="6">
        <v>188</v>
      </c>
      <c r="GV181" s="6">
        <v>189</v>
      </c>
      <c r="GW181" s="6">
        <v>190</v>
      </c>
      <c r="GX181" s="6">
        <v>191</v>
      </c>
      <c r="GY181" s="6">
        <v>192</v>
      </c>
      <c r="GZ181" s="6">
        <v>193</v>
      </c>
      <c r="HA181" s="6">
        <v>194</v>
      </c>
      <c r="HB181" s="6">
        <v>195</v>
      </c>
      <c r="HC181" s="6">
        <v>196</v>
      </c>
      <c r="HD181" s="6">
        <v>197</v>
      </c>
      <c r="HE181" s="6">
        <v>198</v>
      </c>
      <c r="HF181" s="6">
        <v>199</v>
      </c>
      <c r="HG181" s="6">
        <v>200</v>
      </c>
      <c r="HH181" s="6">
        <v>201</v>
      </c>
      <c r="HI181" s="6">
        <v>202</v>
      </c>
      <c r="HJ181" s="6">
        <v>203</v>
      </c>
      <c r="HK181" s="6">
        <v>204</v>
      </c>
      <c r="HL181" s="6">
        <v>205</v>
      </c>
      <c r="HM181" s="6">
        <v>206</v>
      </c>
      <c r="HN181" s="6">
        <v>207</v>
      </c>
      <c r="HO181" s="6">
        <v>208</v>
      </c>
      <c r="HP181" s="6">
        <v>209</v>
      </c>
      <c r="HQ181" s="6">
        <v>210</v>
      </c>
      <c r="HR181" s="6">
        <v>211</v>
      </c>
      <c r="HS181" s="6">
        <v>212</v>
      </c>
      <c r="HT181" s="6">
        <v>213</v>
      </c>
      <c r="HU181" s="6">
        <v>214</v>
      </c>
      <c r="HV181" s="6">
        <v>215</v>
      </c>
      <c r="HW181" s="6">
        <v>216</v>
      </c>
      <c r="HX181" s="6">
        <v>217</v>
      </c>
      <c r="HY181" s="6">
        <v>218</v>
      </c>
      <c r="HZ181" s="6">
        <v>219</v>
      </c>
      <c r="IA181" s="6">
        <v>220</v>
      </c>
      <c r="IB181" s="6">
        <v>221</v>
      </c>
      <c r="IC181" s="6">
        <v>222</v>
      </c>
    </row>
    <row r="182" spans="1:257">
      <c r="A182" s="78"/>
      <c r="B182" s="78"/>
      <c r="C182" s="78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5"/>
      <c r="P182" s="51" t="s">
        <v>14</v>
      </c>
      <c r="Q182" s="51" t="s">
        <v>14</v>
      </c>
      <c r="R182" s="51" t="s">
        <v>14</v>
      </c>
      <c r="S182" s="51" t="s">
        <v>14</v>
      </c>
      <c r="T182" s="51" t="s">
        <v>14</v>
      </c>
      <c r="U182" s="51" t="s">
        <v>14</v>
      </c>
      <c r="V182" s="51" t="s">
        <v>14</v>
      </c>
      <c r="W182" s="51" t="s">
        <v>14</v>
      </c>
      <c r="X182" s="51" t="s">
        <v>14</v>
      </c>
      <c r="Y182" s="51" t="s">
        <v>14</v>
      </c>
      <c r="Z182" s="51" t="s">
        <v>14</v>
      </c>
      <c r="AA182" s="51" t="s">
        <v>14</v>
      </c>
      <c r="AB182" s="51" t="s">
        <v>14</v>
      </c>
      <c r="AC182" s="51" t="s">
        <v>14</v>
      </c>
      <c r="AD182" s="51" t="s">
        <v>14</v>
      </c>
      <c r="AE182" s="51" t="s">
        <v>14</v>
      </c>
      <c r="AF182" s="51" t="s">
        <v>14</v>
      </c>
      <c r="AG182" s="51" t="s">
        <v>14</v>
      </c>
      <c r="AH182" s="51" t="s">
        <v>14</v>
      </c>
      <c r="AI182" s="51" t="s">
        <v>14</v>
      </c>
      <c r="AJ182" s="51" t="s">
        <v>14</v>
      </c>
      <c r="AK182" s="51" t="s">
        <v>14</v>
      </c>
      <c r="AL182" s="51" t="s">
        <v>14</v>
      </c>
      <c r="AM182" s="51" t="s">
        <v>14</v>
      </c>
      <c r="AN182" s="51" t="s">
        <v>14</v>
      </c>
      <c r="AO182" s="51" t="s">
        <v>14</v>
      </c>
      <c r="AP182" s="51" t="s">
        <v>14</v>
      </c>
      <c r="AQ182" s="51" t="s">
        <v>14</v>
      </c>
      <c r="AR182" s="51" t="s">
        <v>14</v>
      </c>
      <c r="AS182" s="51" t="s">
        <v>14</v>
      </c>
      <c r="AT182" s="51" t="s">
        <v>14</v>
      </c>
      <c r="AU182" s="51" t="s">
        <v>14</v>
      </c>
      <c r="AV182" s="51" t="s">
        <v>14</v>
      </c>
      <c r="AW182" s="51" t="s">
        <v>14</v>
      </c>
      <c r="AX182" s="51" t="s">
        <v>14</v>
      </c>
      <c r="AY182" s="51" t="s">
        <v>14</v>
      </c>
      <c r="AZ182" s="51" t="s">
        <v>14</v>
      </c>
      <c r="BA182" s="51" t="s">
        <v>14</v>
      </c>
      <c r="BB182" s="51" t="s">
        <v>14</v>
      </c>
      <c r="BC182" s="51" t="s">
        <v>14</v>
      </c>
      <c r="BD182" s="51" t="s">
        <v>14</v>
      </c>
      <c r="BE182" s="51" t="s">
        <v>14</v>
      </c>
      <c r="BF182" s="51" t="s">
        <v>14</v>
      </c>
      <c r="BG182" s="51" t="s">
        <v>14</v>
      </c>
      <c r="BH182" s="51" t="s">
        <v>14</v>
      </c>
      <c r="BI182" s="51" t="s">
        <v>14</v>
      </c>
      <c r="BJ182" s="51" t="s">
        <v>14</v>
      </c>
      <c r="BK182" s="51" t="s">
        <v>14</v>
      </c>
      <c r="BL182" s="51" t="s">
        <v>14</v>
      </c>
      <c r="BM182" s="51" t="s">
        <v>14</v>
      </c>
      <c r="BN182" s="51" t="s">
        <v>14</v>
      </c>
      <c r="BO182" s="51" t="s">
        <v>14</v>
      </c>
      <c r="BP182" s="51" t="s">
        <v>14</v>
      </c>
      <c r="BQ182" s="51" t="s">
        <v>14</v>
      </c>
      <c r="BR182" s="51" t="s">
        <v>14</v>
      </c>
      <c r="BS182" s="51" t="s">
        <v>14</v>
      </c>
      <c r="BT182" s="51" t="s">
        <v>14</v>
      </c>
      <c r="BU182" s="51" t="s">
        <v>14</v>
      </c>
      <c r="BV182" s="51" t="s">
        <v>14</v>
      </c>
      <c r="BW182" s="51" t="s">
        <v>14</v>
      </c>
      <c r="BX182" s="51" t="s">
        <v>14</v>
      </c>
      <c r="BY182" s="51" t="s">
        <v>14</v>
      </c>
      <c r="BZ182" s="51" t="s">
        <v>14</v>
      </c>
      <c r="CA182" s="51" t="s">
        <v>14</v>
      </c>
      <c r="CB182" s="51" t="s">
        <v>14</v>
      </c>
      <c r="CC182" s="51" t="s">
        <v>14</v>
      </c>
      <c r="CD182" s="51" t="s">
        <v>14</v>
      </c>
      <c r="CE182" s="51" t="s">
        <v>14</v>
      </c>
      <c r="CF182" s="51" t="s">
        <v>14</v>
      </c>
      <c r="CG182" s="51" t="s">
        <v>14</v>
      </c>
      <c r="CH182" s="51" t="s">
        <v>14</v>
      </c>
      <c r="CI182" s="51" t="s">
        <v>14</v>
      </c>
      <c r="CJ182" s="51" t="s">
        <v>14</v>
      </c>
      <c r="CK182" s="51" t="s">
        <v>14</v>
      </c>
      <c r="CL182" s="51" t="s">
        <v>14</v>
      </c>
      <c r="CM182" s="51" t="s">
        <v>14</v>
      </c>
      <c r="CN182" s="51" t="s">
        <v>14</v>
      </c>
      <c r="CO182" s="51" t="s">
        <v>14</v>
      </c>
      <c r="CP182" s="51" t="s">
        <v>14</v>
      </c>
      <c r="CQ182" s="51" t="s">
        <v>14</v>
      </c>
      <c r="CR182" s="51" t="s">
        <v>14</v>
      </c>
      <c r="CS182" s="51" t="s">
        <v>14</v>
      </c>
      <c r="CT182" s="51" t="s">
        <v>14</v>
      </c>
      <c r="CU182" s="51" t="s">
        <v>14</v>
      </c>
      <c r="CV182" s="51" t="s">
        <v>14</v>
      </c>
      <c r="CW182" s="51" t="s">
        <v>14</v>
      </c>
      <c r="CX182" s="51" t="s">
        <v>14</v>
      </c>
      <c r="CY182" s="51" t="s">
        <v>14</v>
      </c>
      <c r="CZ182" s="51" t="s">
        <v>14</v>
      </c>
      <c r="DA182" s="51" t="s">
        <v>14</v>
      </c>
      <c r="DB182" s="51" t="s">
        <v>14</v>
      </c>
      <c r="DC182" s="51" t="s">
        <v>14</v>
      </c>
      <c r="DD182" s="51" t="s">
        <v>14</v>
      </c>
      <c r="DE182" s="51" t="s">
        <v>14</v>
      </c>
      <c r="DF182" s="51" t="s">
        <v>14</v>
      </c>
      <c r="DG182" s="51" t="s">
        <v>14</v>
      </c>
      <c r="DH182" s="51" t="s">
        <v>14</v>
      </c>
      <c r="DI182" s="51" t="s">
        <v>14</v>
      </c>
      <c r="DJ182" s="51" t="s">
        <v>14</v>
      </c>
      <c r="DK182" s="51" t="s">
        <v>14</v>
      </c>
      <c r="DL182" s="51" t="s">
        <v>14</v>
      </c>
      <c r="DM182" s="51" t="s">
        <v>14</v>
      </c>
      <c r="DN182" s="51" t="s">
        <v>14</v>
      </c>
      <c r="DO182" s="51" t="s">
        <v>14</v>
      </c>
      <c r="DP182" s="51" t="s">
        <v>14</v>
      </c>
      <c r="DQ182" s="51" t="s">
        <v>14</v>
      </c>
      <c r="DR182" s="51" t="s">
        <v>14</v>
      </c>
      <c r="DS182" s="51" t="s">
        <v>14</v>
      </c>
      <c r="DT182" s="51" t="s">
        <v>14</v>
      </c>
      <c r="DU182" s="51" t="s">
        <v>14</v>
      </c>
      <c r="DV182" s="51" t="s">
        <v>14</v>
      </c>
      <c r="DW182" s="51" t="s">
        <v>14</v>
      </c>
      <c r="DX182" s="51" t="s">
        <v>14</v>
      </c>
      <c r="DY182" s="51" t="s">
        <v>14</v>
      </c>
      <c r="DZ182" s="51" t="s">
        <v>14</v>
      </c>
      <c r="EA182" s="51" t="s">
        <v>14</v>
      </c>
      <c r="EB182" s="51" t="s">
        <v>14</v>
      </c>
      <c r="EC182" s="51" t="s">
        <v>14</v>
      </c>
      <c r="ED182" s="51" t="s">
        <v>14</v>
      </c>
      <c r="EE182" s="51" t="s">
        <v>14</v>
      </c>
      <c r="EF182" s="51" t="s">
        <v>14</v>
      </c>
      <c r="EG182" s="51" t="s">
        <v>14</v>
      </c>
      <c r="EH182" s="51" t="s">
        <v>14</v>
      </c>
      <c r="EI182" s="51" t="s">
        <v>14</v>
      </c>
      <c r="EJ182" s="51" t="s">
        <v>14</v>
      </c>
      <c r="EK182" s="51" t="s">
        <v>14</v>
      </c>
      <c r="EL182" s="51" t="s">
        <v>14</v>
      </c>
      <c r="EM182" s="51" t="s">
        <v>14</v>
      </c>
      <c r="EN182" s="51" t="s">
        <v>14</v>
      </c>
      <c r="EO182" s="51" t="s">
        <v>14</v>
      </c>
      <c r="EP182" s="51" t="s">
        <v>14</v>
      </c>
      <c r="EQ182" s="51" t="s">
        <v>14</v>
      </c>
      <c r="ER182" s="51" t="s">
        <v>14</v>
      </c>
      <c r="ES182" s="51" t="s">
        <v>14</v>
      </c>
      <c r="ET182" s="51" t="s">
        <v>14</v>
      </c>
      <c r="EU182" s="51" t="s">
        <v>14</v>
      </c>
      <c r="EV182" s="51" t="s">
        <v>14</v>
      </c>
      <c r="EW182" s="51" t="s">
        <v>14</v>
      </c>
      <c r="EX182" s="51" t="s">
        <v>14</v>
      </c>
      <c r="EY182" s="51" t="s">
        <v>14</v>
      </c>
      <c r="EZ182" s="51" t="s">
        <v>14</v>
      </c>
      <c r="FA182" s="51" t="s">
        <v>14</v>
      </c>
      <c r="FB182" s="51" t="s">
        <v>14</v>
      </c>
      <c r="FC182" s="51" t="s">
        <v>14</v>
      </c>
      <c r="FD182" s="51" t="s">
        <v>14</v>
      </c>
      <c r="FE182" s="51" t="s">
        <v>14</v>
      </c>
      <c r="FF182" s="51" t="s">
        <v>14</v>
      </c>
      <c r="FG182" s="51" t="s">
        <v>14</v>
      </c>
      <c r="FH182" s="51" t="s">
        <v>14</v>
      </c>
      <c r="FI182" s="51" t="s">
        <v>14</v>
      </c>
      <c r="FJ182" s="51" t="s">
        <v>14</v>
      </c>
      <c r="FK182" s="51" t="s">
        <v>14</v>
      </c>
      <c r="FL182" s="51" t="s">
        <v>14</v>
      </c>
      <c r="FM182" s="51" t="s">
        <v>14</v>
      </c>
      <c r="FN182" s="51" t="s">
        <v>14</v>
      </c>
      <c r="FO182" s="51" t="s">
        <v>14</v>
      </c>
      <c r="FP182" s="51" t="s">
        <v>14</v>
      </c>
      <c r="FQ182" s="51" t="s">
        <v>14</v>
      </c>
      <c r="FR182" s="51" t="s">
        <v>14</v>
      </c>
      <c r="FS182" s="51" t="s">
        <v>14</v>
      </c>
      <c r="FT182" s="51" t="s">
        <v>14</v>
      </c>
      <c r="FU182" s="51" t="s">
        <v>14</v>
      </c>
      <c r="FV182" s="51" t="s">
        <v>14</v>
      </c>
      <c r="FW182" s="51" t="s">
        <v>14</v>
      </c>
      <c r="FX182" s="51" t="s">
        <v>14</v>
      </c>
      <c r="FY182" s="51" t="s">
        <v>14</v>
      </c>
      <c r="FZ182" s="51" t="s">
        <v>14</v>
      </c>
      <c r="GA182" s="51" t="s">
        <v>14</v>
      </c>
      <c r="GB182" s="51" t="s">
        <v>14</v>
      </c>
      <c r="GC182" s="51" t="s">
        <v>14</v>
      </c>
      <c r="GD182" s="51" t="s">
        <v>14</v>
      </c>
      <c r="GE182" s="51" t="s">
        <v>14</v>
      </c>
      <c r="GF182" s="51" t="s">
        <v>14</v>
      </c>
      <c r="GG182" s="51" t="s">
        <v>14</v>
      </c>
      <c r="GH182" s="51" t="s">
        <v>14</v>
      </c>
      <c r="GI182" s="51" t="s">
        <v>14</v>
      </c>
      <c r="GJ182" s="51" t="s">
        <v>14</v>
      </c>
      <c r="GK182" s="51" t="s">
        <v>14</v>
      </c>
      <c r="GL182" s="51" t="s">
        <v>14</v>
      </c>
      <c r="GM182" s="51" t="s">
        <v>14</v>
      </c>
      <c r="GN182" s="51" t="s">
        <v>14</v>
      </c>
      <c r="GO182" s="51" t="s">
        <v>14</v>
      </c>
      <c r="GP182" s="51" t="s">
        <v>14</v>
      </c>
      <c r="GQ182" s="51" t="s">
        <v>14</v>
      </c>
      <c r="GR182" s="51" t="s">
        <v>14</v>
      </c>
      <c r="GS182" s="51" t="s">
        <v>14</v>
      </c>
      <c r="GT182" s="51" t="s">
        <v>14</v>
      </c>
      <c r="GU182" s="51" t="s">
        <v>14</v>
      </c>
      <c r="GV182" s="51" t="s">
        <v>14</v>
      </c>
      <c r="GW182" s="51" t="s">
        <v>14</v>
      </c>
      <c r="GX182" s="51" t="s">
        <v>14</v>
      </c>
      <c r="GY182" s="51" t="s">
        <v>14</v>
      </c>
      <c r="GZ182" s="51" t="s">
        <v>14</v>
      </c>
      <c r="HA182" s="51" t="s">
        <v>14</v>
      </c>
      <c r="HB182" s="51" t="s">
        <v>14</v>
      </c>
      <c r="HC182" s="51" t="s">
        <v>14</v>
      </c>
      <c r="HD182" s="51" t="s">
        <v>14</v>
      </c>
      <c r="HE182" s="51" t="s">
        <v>14</v>
      </c>
      <c r="HF182" s="51" t="s">
        <v>14</v>
      </c>
      <c r="HG182" s="51" t="s">
        <v>14</v>
      </c>
      <c r="HH182" s="51" t="s">
        <v>14</v>
      </c>
      <c r="HI182" s="51" t="s">
        <v>14</v>
      </c>
      <c r="HJ182" s="51" t="s">
        <v>14</v>
      </c>
      <c r="HK182" s="51" t="s">
        <v>14</v>
      </c>
      <c r="HL182" s="51" t="s">
        <v>14</v>
      </c>
      <c r="HM182" s="51" t="s">
        <v>14</v>
      </c>
      <c r="HN182" s="51" t="s">
        <v>14</v>
      </c>
      <c r="HO182" s="51" t="s">
        <v>14</v>
      </c>
      <c r="HP182" s="51" t="s">
        <v>14</v>
      </c>
      <c r="HQ182" s="51" t="s">
        <v>14</v>
      </c>
      <c r="HR182" s="51" t="s">
        <v>14</v>
      </c>
      <c r="HS182" s="51" t="s">
        <v>14</v>
      </c>
      <c r="HT182" s="51" t="s">
        <v>14</v>
      </c>
      <c r="HU182" s="51" t="s">
        <v>14</v>
      </c>
      <c r="HV182" s="51" t="s">
        <v>14</v>
      </c>
      <c r="HW182" s="51" t="s">
        <v>14</v>
      </c>
      <c r="HX182" s="51" t="s">
        <v>14</v>
      </c>
      <c r="HY182" s="51" t="s">
        <v>14</v>
      </c>
      <c r="HZ182" s="51" t="s">
        <v>14</v>
      </c>
      <c r="IA182" s="51" t="s">
        <v>14</v>
      </c>
      <c r="IB182" s="51" t="s">
        <v>14</v>
      </c>
      <c r="IC182" s="51" t="s">
        <v>14</v>
      </c>
    </row>
    <row r="183" spans="1:257">
      <c r="A183" s="4" t="s">
        <v>522</v>
      </c>
      <c r="B183" s="82" t="str">
        <f t="array" ref="B183">_xlfn.LET(
  _xlpm.dates, _xlfn._xlws.FILTER(P183:HO183, (P185:HO185&lt;&gt;"")+(P187:HO187&lt;&gt;"")),
  _xlpm.numDates, IFERROR(VALUE(_xlpm.dates), _xlpm.dates),
  _xlpm.first, TEXT(MIN(_xlpm.numDates), "m/dd"),
  _xlpm.last, TEXT(MAX(_xlpm.numDates), "m/dd"),
  _xlpm.first &amp; "~" &amp; _xlpm.last
)</f>
        <v>3/27~4/27</v>
      </c>
      <c r="C183" s="7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 t="s">
        <v>522</v>
      </c>
      <c r="P183" s="3">
        <v>46107</v>
      </c>
      <c r="Q183" s="3">
        <v>46108</v>
      </c>
      <c r="R183" s="3">
        <v>46109</v>
      </c>
      <c r="S183" s="3">
        <v>46110</v>
      </c>
      <c r="T183" s="3">
        <v>46111</v>
      </c>
      <c r="U183" s="3">
        <v>46112</v>
      </c>
      <c r="V183" s="3">
        <v>46113</v>
      </c>
      <c r="W183" s="3">
        <v>46114</v>
      </c>
      <c r="X183" s="3">
        <v>46115</v>
      </c>
      <c r="Y183" s="3">
        <v>46116</v>
      </c>
      <c r="Z183" s="3">
        <v>46117</v>
      </c>
      <c r="AA183" s="3">
        <v>46118</v>
      </c>
      <c r="AB183" s="3">
        <v>46119</v>
      </c>
      <c r="AC183" s="3">
        <v>46120</v>
      </c>
      <c r="AD183" s="3">
        <v>46121</v>
      </c>
      <c r="AE183" s="3">
        <v>46122</v>
      </c>
      <c r="AF183" s="3">
        <v>46123</v>
      </c>
      <c r="AG183" s="3">
        <v>46124</v>
      </c>
      <c r="AH183" s="3">
        <v>46125</v>
      </c>
      <c r="AI183" s="3">
        <v>46126</v>
      </c>
      <c r="AJ183" s="3">
        <v>46127</v>
      </c>
      <c r="AK183" s="3">
        <v>46128</v>
      </c>
      <c r="AL183" s="3">
        <v>46129</v>
      </c>
      <c r="AM183" s="3">
        <v>46130</v>
      </c>
      <c r="AN183" s="3">
        <v>46131</v>
      </c>
      <c r="AO183" s="3">
        <v>46132</v>
      </c>
      <c r="AP183" s="3">
        <v>46133</v>
      </c>
      <c r="AQ183" s="3">
        <v>46134</v>
      </c>
      <c r="AR183" s="3">
        <v>46135</v>
      </c>
      <c r="AS183" s="3">
        <v>46136</v>
      </c>
      <c r="AT183" s="3">
        <v>46137</v>
      </c>
      <c r="AU183" s="3">
        <v>46138</v>
      </c>
      <c r="AV183" s="3">
        <v>46139</v>
      </c>
      <c r="AW183" s="3">
        <v>46140</v>
      </c>
      <c r="AX183" s="3">
        <v>46141</v>
      </c>
      <c r="AY183" s="3">
        <v>46142</v>
      </c>
      <c r="AZ183" s="3">
        <v>46143</v>
      </c>
      <c r="BA183" s="3">
        <v>46144</v>
      </c>
      <c r="BB183" s="3">
        <v>46145</v>
      </c>
      <c r="BC183" s="3">
        <v>46146</v>
      </c>
      <c r="BD183" s="3">
        <v>46147</v>
      </c>
      <c r="BE183" s="3">
        <v>46148</v>
      </c>
      <c r="BF183" s="3">
        <v>46149</v>
      </c>
      <c r="BG183" s="3">
        <v>46150</v>
      </c>
      <c r="BH183" s="3">
        <v>46151</v>
      </c>
      <c r="BI183" s="3">
        <v>46152</v>
      </c>
      <c r="BJ183" s="3">
        <v>46153</v>
      </c>
      <c r="BK183" s="3">
        <v>46154</v>
      </c>
      <c r="BL183" s="3">
        <v>46155</v>
      </c>
      <c r="BM183" s="3">
        <v>46156</v>
      </c>
      <c r="BN183" s="3">
        <v>46157</v>
      </c>
      <c r="BO183" s="3">
        <v>46158</v>
      </c>
      <c r="BP183" s="3">
        <v>46159</v>
      </c>
      <c r="BQ183" s="3">
        <v>46160</v>
      </c>
      <c r="BR183" s="3">
        <v>46161</v>
      </c>
      <c r="BS183" s="3">
        <v>46162</v>
      </c>
      <c r="BT183" s="3">
        <v>46163</v>
      </c>
      <c r="BU183" s="3">
        <v>46164</v>
      </c>
      <c r="BV183" s="3">
        <v>46165</v>
      </c>
      <c r="BW183" s="3">
        <v>46166</v>
      </c>
      <c r="BX183" s="3">
        <v>46167</v>
      </c>
      <c r="BY183" s="3">
        <v>46168</v>
      </c>
      <c r="BZ183" s="3">
        <v>46169</v>
      </c>
      <c r="CA183" s="3">
        <v>46170</v>
      </c>
      <c r="CB183" s="3">
        <v>46171</v>
      </c>
      <c r="CC183" s="3">
        <v>46172</v>
      </c>
      <c r="CD183" s="3">
        <v>46173</v>
      </c>
      <c r="CE183" s="3">
        <v>46174</v>
      </c>
      <c r="CF183" s="3">
        <v>46175</v>
      </c>
      <c r="CG183" s="3">
        <v>46176</v>
      </c>
      <c r="CH183" s="3">
        <v>46177</v>
      </c>
      <c r="CI183" s="3">
        <v>46178</v>
      </c>
      <c r="CJ183" s="3">
        <v>46179</v>
      </c>
      <c r="CK183" s="3">
        <v>46180</v>
      </c>
      <c r="CL183" s="3">
        <v>46181</v>
      </c>
      <c r="CM183" s="3">
        <v>46182</v>
      </c>
      <c r="CN183" s="3">
        <v>46183</v>
      </c>
      <c r="CO183" s="3">
        <v>46184</v>
      </c>
      <c r="CP183" s="3">
        <v>46185</v>
      </c>
      <c r="CQ183" s="3">
        <v>46186</v>
      </c>
      <c r="CR183" s="3">
        <v>46187</v>
      </c>
      <c r="CS183" s="3">
        <v>46188</v>
      </c>
      <c r="CT183" s="3">
        <v>46189</v>
      </c>
      <c r="CU183" s="3">
        <v>46190</v>
      </c>
      <c r="CV183" s="3">
        <v>46191</v>
      </c>
      <c r="CW183" s="3">
        <v>46192</v>
      </c>
      <c r="CX183" s="3">
        <v>46193</v>
      </c>
      <c r="CY183" s="3">
        <v>46194</v>
      </c>
      <c r="CZ183" s="3">
        <v>46195</v>
      </c>
      <c r="DA183" s="3">
        <v>46196</v>
      </c>
      <c r="DB183" s="3">
        <v>46197</v>
      </c>
      <c r="DC183" s="3">
        <v>46198</v>
      </c>
      <c r="DD183" s="3">
        <v>46199</v>
      </c>
      <c r="DE183" s="3">
        <v>46200</v>
      </c>
      <c r="DF183" s="3">
        <v>46201</v>
      </c>
      <c r="DG183" s="3">
        <v>46202</v>
      </c>
      <c r="DH183" s="3">
        <v>46203</v>
      </c>
      <c r="DI183" s="3">
        <v>46204</v>
      </c>
      <c r="DJ183" s="3">
        <v>46205</v>
      </c>
      <c r="DK183" s="3">
        <v>46206</v>
      </c>
      <c r="DL183" s="3">
        <v>46207</v>
      </c>
      <c r="DM183" s="3">
        <v>46208</v>
      </c>
      <c r="DN183" s="3">
        <v>46209</v>
      </c>
      <c r="DO183" s="3">
        <v>46210</v>
      </c>
      <c r="DP183" s="3">
        <v>46211</v>
      </c>
      <c r="DQ183" s="3">
        <v>46212</v>
      </c>
      <c r="DR183" s="3">
        <v>46213</v>
      </c>
      <c r="DS183" s="3">
        <v>46214</v>
      </c>
      <c r="DT183" s="3">
        <v>46215</v>
      </c>
      <c r="DU183" s="3">
        <v>46216</v>
      </c>
      <c r="DV183" s="3">
        <v>46217</v>
      </c>
      <c r="DW183" s="3">
        <v>46218</v>
      </c>
      <c r="DX183" s="3">
        <v>46219</v>
      </c>
      <c r="DY183" s="3">
        <v>46220</v>
      </c>
      <c r="DZ183" s="3">
        <v>46221</v>
      </c>
      <c r="EA183" s="3">
        <v>46222</v>
      </c>
      <c r="EB183" s="3">
        <v>46223</v>
      </c>
      <c r="EC183" s="3">
        <v>46224</v>
      </c>
      <c r="ED183" s="3">
        <v>46225</v>
      </c>
      <c r="EE183" s="3">
        <v>46226</v>
      </c>
      <c r="EF183" s="3">
        <v>46227</v>
      </c>
      <c r="EG183" s="3">
        <v>46228</v>
      </c>
      <c r="EH183" s="3">
        <v>46229</v>
      </c>
      <c r="EI183" s="3">
        <v>46230</v>
      </c>
      <c r="EJ183" s="3">
        <v>46231</v>
      </c>
      <c r="EK183" s="3">
        <v>46232</v>
      </c>
      <c r="EL183" s="3">
        <v>46233</v>
      </c>
      <c r="EM183" s="3">
        <v>46234</v>
      </c>
      <c r="EN183" s="3">
        <v>46235</v>
      </c>
      <c r="EO183" s="3">
        <v>46236</v>
      </c>
      <c r="EP183" s="3">
        <v>46237</v>
      </c>
      <c r="EQ183" s="3">
        <v>46238</v>
      </c>
      <c r="ER183" s="3">
        <v>46239</v>
      </c>
      <c r="ES183" s="3">
        <v>46240</v>
      </c>
      <c r="ET183" s="3">
        <v>46241</v>
      </c>
      <c r="EU183" s="3">
        <v>46242</v>
      </c>
      <c r="EV183" s="3">
        <v>46243</v>
      </c>
      <c r="EW183" s="3">
        <v>46244</v>
      </c>
      <c r="EX183" s="3">
        <v>46245</v>
      </c>
      <c r="EY183" s="3">
        <v>46246</v>
      </c>
      <c r="EZ183" s="3">
        <v>46247</v>
      </c>
      <c r="FA183" s="3">
        <v>46248</v>
      </c>
      <c r="FB183" s="3">
        <v>46249</v>
      </c>
      <c r="FC183" s="3">
        <v>46250</v>
      </c>
      <c r="FD183" s="3">
        <v>46251</v>
      </c>
      <c r="FE183" s="3">
        <v>46252</v>
      </c>
      <c r="FF183" s="3">
        <v>46253</v>
      </c>
      <c r="FG183" s="3">
        <v>46254</v>
      </c>
      <c r="FH183" s="3">
        <v>46255</v>
      </c>
      <c r="FI183" s="3">
        <v>46256</v>
      </c>
      <c r="FJ183" s="3">
        <v>46257</v>
      </c>
      <c r="FK183" s="3">
        <v>46258</v>
      </c>
      <c r="FL183" s="3">
        <v>46259</v>
      </c>
      <c r="FM183" s="3">
        <v>46260</v>
      </c>
      <c r="FN183" s="3">
        <v>46261</v>
      </c>
      <c r="FO183" s="3">
        <v>46262</v>
      </c>
      <c r="FP183" s="3">
        <v>46263</v>
      </c>
      <c r="FQ183" s="3">
        <v>46264</v>
      </c>
      <c r="FR183" s="3">
        <v>46265</v>
      </c>
      <c r="FS183" s="3">
        <v>46266</v>
      </c>
      <c r="FT183" s="3">
        <v>46267</v>
      </c>
      <c r="FU183" s="3">
        <v>46268</v>
      </c>
      <c r="FV183" s="3">
        <v>46269</v>
      </c>
      <c r="FW183" s="3">
        <v>46270</v>
      </c>
      <c r="FX183" s="3">
        <v>46271</v>
      </c>
      <c r="FY183" s="3">
        <v>46272</v>
      </c>
      <c r="FZ183" s="3">
        <v>46273</v>
      </c>
      <c r="GA183" s="3">
        <v>46274</v>
      </c>
      <c r="GB183" s="3">
        <v>46275</v>
      </c>
      <c r="GC183" s="3">
        <v>46276</v>
      </c>
      <c r="GD183" s="3">
        <v>46277</v>
      </c>
      <c r="GE183" s="3">
        <v>46278</v>
      </c>
      <c r="GF183" s="3">
        <v>46279</v>
      </c>
      <c r="GG183" s="3">
        <v>46280</v>
      </c>
      <c r="GH183" s="3">
        <v>46281</v>
      </c>
      <c r="GI183" s="3">
        <v>46282</v>
      </c>
      <c r="GJ183" s="3">
        <v>46283</v>
      </c>
      <c r="GK183" s="3">
        <v>46284</v>
      </c>
      <c r="GL183" s="3">
        <v>46285</v>
      </c>
      <c r="GM183" s="3">
        <v>46286</v>
      </c>
      <c r="GN183" s="3">
        <v>46287</v>
      </c>
      <c r="GO183" s="3">
        <v>46288</v>
      </c>
      <c r="GP183" s="3">
        <v>46289</v>
      </c>
      <c r="GQ183" s="3">
        <v>46290</v>
      </c>
      <c r="GR183" s="3">
        <v>46291</v>
      </c>
      <c r="GS183" s="3">
        <v>46292</v>
      </c>
      <c r="GT183" s="3">
        <v>46293</v>
      </c>
      <c r="GU183" s="3">
        <v>46294</v>
      </c>
      <c r="GV183" s="3">
        <v>46295</v>
      </c>
      <c r="GW183" s="3">
        <v>46296</v>
      </c>
      <c r="GX183" s="3">
        <v>46297</v>
      </c>
      <c r="GY183" s="3">
        <v>46298</v>
      </c>
      <c r="GZ183" s="3">
        <v>46299</v>
      </c>
      <c r="HA183" s="3">
        <v>46300</v>
      </c>
      <c r="HB183" s="3">
        <v>46301</v>
      </c>
      <c r="HC183" s="3">
        <v>46302</v>
      </c>
      <c r="HD183" s="3">
        <v>46303</v>
      </c>
      <c r="HE183" s="3">
        <v>46304</v>
      </c>
      <c r="HF183" s="3">
        <v>46305</v>
      </c>
      <c r="HG183" s="3">
        <v>46306</v>
      </c>
      <c r="HH183" s="3">
        <v>46307</v>
      </c>
      <c r="HI183" s="3">
        <v>46308</v>
      </c>
      <c r="HJ183" s="3">
        <v>46309</v>
      </c>
      <c r="HK183" s="3">
        <v>46310</v>
      </c>
      <c r="HL183" s="3">
        <v>46311</v>
      </c>
      <c r="HM183" s="3">
        <v>46312</v>
      </c>
      <c r="HN183" s="3">
        <v>46313</v>
      </c>
      <c r="HO183" s="3">
        <v>46314</v>
      </c>
      <c r="HP183" s="3">
        <v>46315</v>
      </c>
      <c r="HQ183" s="3">
        <v>46316</v>
      </c>
      <c r="HR183" s="3">
        <v>46317</v>
      </c>
      <c r="HS183" s="3">
        <v>46318</v>
      </c>
      <c r="HT183" s="3">
        <v>46319</v>
      </c>
      <c r="HU183" s="3">
        <v>46320</v>
      </c>
      <c r="HV183" s="3">
        <v>46321</v>
      </c>
      <c r="HW183" s="3">
        <v>46322</v>
      </c>
      <c r="HX183" s="3">
        <v>46323</v>
      </c>
      <c r="HY183" s="3">
        <v>46324</v>
      </c>
      <c r="HZ183" s="3">
        <v>46325</v>
      </c>
      <c r="IA183" s="3">
        <v>46326</v>
      </c>
      <c r="IB183" s="3">
        <v>46327</v>
      </c>
      <c r="IC183" s="3">
        <v>46328</v>
      </c>
    </row>
    <row r="184" spans="1:257">
      <c r="A184" s="4" t="s">
        <v>694</v>
      </c>
      <c r="B184" s="82" t="str">
        <f t="array" ref="B184">COLUMNS(_xlfn._xlws.FILTER(P183:HO183, (P185:HO185&lt;&gt;"")+(P187:HO187&lt;&gt;""))) &amp; "場"</f>
        <v>27場</v>
      </c>
      <c r="C184" s="7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 t="s">
        <v>675</v>
      </c>
      <c r="P184" s="3" t="s">
        <v>676</v>
      </c>
      <c r="Q184" s="3" t="s">
        <v>677</v>
      </c>
      <c r="R184" s="3" t="s">
        <v>678</v>
      </c>
      <c r="S184" s="3" t="s">
        <v>679</v>
      </c>
      <c r="T184" s="3" t="s">
        <v>680</v>
      </c>
      <c r="U184" s="3" t="s">
        <v>681</v>
      </c>
      <c r="V184" s="3" t="s">
        <v>682</v>
      </c>
      <c r="W184" s="3" t="s">
        <v>676</v>
      </c>
      <c r="X184" s="3" t="s">
        <v>677</v>
      </c>
      <c r="Y184" s="3" t="s">
        <v>678</v>
      </c>
      <c r="Z184" s="3" t="s">
        <v>679</v>
      </c>
      <c r="AA184" s="3" t="s">
        <v>680</v>
      </c>
      <c r="AB184" s="3" t="s">
        <v>681</v>
      </c>
      <c r="AC184" s="3" t="s">
        <v>682</v>
      </c>
      <c r="AD184" s="3" t="s">
        <v>676</v>
      </c>
      <c r="AE184" s="3" t="s">
        <v>677</v>
      </c>
      <c r="AF184" s="3" t="s">
        <v>678</v>
      </c>
      <c r="AG184" s="3" t="s">
        <v>679</v>
      </c>
      <c r="AH184" s="3" t="s">
        <v>680</v>
      </c>
      <c r="AI184" s="3" t="s">
        <v>681</v>
      </c>
      <c r="AJ184" s="3" t="s">
        <v>682</v>
      </c>
      <c r="AK184" s="3" t="s">
        <v>676</v>
      </c>
      <c r="AL184" s="3" t="s">
        <v>677</v>
      </c>
      <c r="AM184" s="3" t="s">
        <v>678</v>
      </c>
      <c r="AN184" s="3" t="s">
        <v>679</v>
      </c>
      <c r="AO184" s="3" t="s">
        <v>680</v>
      </c>
      <c r="AP184" s="3" t="s">
        <v>681</v>
      </c>
      <c r="AQ184" s="3" t="s">
        <v>682</v>
      </c>
      <c r="AR184" s="3" t="s">
        <v>676</v>
      </c>
      <c r="AS184" s="3" t="s">
        <v>677</v>
      </c>
      <c r="AT184" s="3" t="s">
        <v>678</v>
      </c>
      <c r="AU184" s="3" t="s">
        <v>679</v>
      </c>
      <c r="AV184" s="3" t="s">
        <v>680</v>
      </c>
      <c r="AW184" s="3" t="s">
        <v>681</v>
      </c>
      <c r="AX184" s="3" t="s">
        <v>682</v>
      </c>
      <c r="AY184" s="3" t="s">
        <v>676</v>
      </c>
      <c r="AZ184" s="3" t="s">
        <v>677</v>
      </c>
      <c r="BA184" s="3" t="s">
        <v>678</v>
      </c>
      <c r="BB184" s="3" t="s">
        <v>679</v>
      </c>
      <c r="BC184" s="3" t="s">
        <v>680</v>
      </c>
      <c r="BD184" s="3" t="s">
        <v>681</v>
      </c>
      <c r="BE184" s="3" t="s">
        <v>682</v>
      </c>
      <c r="BF184" s="3" t="s">
        <v>676</v>
      </c>
      <c r="BG184" s="3" t="s">
        <v>677</v>
      </c>
      <c r="BH184" s="3" t="s">
        <v>678</v>
      </c>
      <c r="BI184" s="3" t="s">
        <v>679</v>
      </c>
      <c r="BJ184" s="3" t="s">
        <v>680</v>
      </c>
      <c r="BK184" s="3" t="s">
        <v>681</v>
      </c>
      <c r="BL184" s="3" t="s">
        <v>682</v>
      </c>
      <c r="BM184" s="3" t="s">
        <v>676</v>
      </c>
      <c r="BN184" s="3" t="s">
        <v>677</v>
      </c>
      <c r="BO184" s="3" t="s">
        <v>678</v>
      </c>
      <c r="BP184" s="3" t="s">
        <v>679</v>
      </c>
      <c r="BQ184" s="3" t="s">
        <v>680</v>
      </c>
      <c r="BR184" s="3" t="s">
        <v>681</v>
      </c>
      <c r="BS184" s="3" t="s">
        <v>682</v>
      </c>
      <c r="BT184" s="3" t="s">
        <v>676</v>
      </c>
      <c r="BU184" s="3" t="s">
        <v>677</v>
      </c>
      <c r="BV184" s="3" t="s">
        <v>678</v>
      </c>
      <c r="BW184" s="3" t="s">
        <v>679</v>
      </c>
      <c r="BX184" s="3" t="s">
        <v>680</v>
      </c>
      <c r="BY184" s="3" t="s">
        <v>681</v>
      </c>
      <c r="BZ184" s="3" t="s">
        <v>682</v>
      </c>
      <c r="CA184" s="3" t="s">
        <v>676</v>
      </c>
      <c r="CB184" s="3" t="s">
        <v>677</v>
      </c>
      <c r="CC184" s="3" t="s">
        <v>678</v>
      </c>
      <c r="CD184" s="3" t="s">
        <v>679</v>
      </c>
      <c r="CE184" s="3" t="s">
        <v>680</v>
      </c>
      <c r="CF184" s="3" t="s">
        <v>681</v>
      </c>
      <c r="CG184" s="3" t="s">
        <v>682</v>
      </c>
      <c r="CH184" s="3" t="s">
        <v>676</v>
      </c>
      <c r="CI184" s="3" t="s">
        <v>677</v>
      </c>
      <c r="CJ184" s="3" t="s">
        <v>678</v>
      </c>
      <c r="CK184" s="3" t="s">
        <v>679</v>
      </c>
      <c r="CL184" s="3" t="s">
        <v>680</v>
      </c>
      <c r="CM184" s="3" t="s">
        <v>681</v>
      </c>
      <c r="CN184" s="3" t="s">
        <v>682</v>
      </c>
      <c r="CO184" s="3" t="s">
        <v>676</v>
      </c>
      <c r="CP184" s="3" t="s">
        <v>677</v>
      </c>
      <c r="CQ184" s="3" t="s">
        <v>678</v>
      </c>
      <c r="CR184" s="3" t="s">
        <v>679</v>
      </c>
      <c r="CS184" s="3" t="s">
        <v>680</v>
      </c>
      <c r="CT184" s="3" t="s">
        <v>681</v>
      </c>
      <c r="CU184" s="3" t="s">
        <v>682</v>
      </c>
      <c r="CV184" s="3" t="s">
        <v>676</v>
      </c>
      <c r="CW184" s="3" t="s">
        <v>677</v>
      </c>
      <c r="CX184" s="3" t="s">
        <v>678</v>
      </c>
      <c r="CY184" s="3" t="s">
        <v>679</v>
      </c>
      <c r="CZ184" s="3" t="s">
        <v>680</v>
      </c>
      <c r="DA184" s="3" t="s">
        <v>681</v>
      </c>
      <c r="DB184" s="3" t="s">
        <v>682</v>
      </c>
      <c r="DC184" s="3" t="s">
        <v>676</v>
      </c>
      <c r="DD184" s="3" t="s">
        <v>677</v>
      </c>
      <c r="DE184" s="3" t="s">
        <v>678</v>
      </c>
      <c r="DF184" s="3" t="s">
        <v>679</v>
      </c>
      <c r="DG184" s="3" t="s">
        <v>680</v>
      </c>
      <c r="DH184" s="3" t="s">
        <v>681</v>
      </c>
      <c r="DI184" s="3" t="s">
        <v>682</v>
      </c>
      <c r="DJ184" s="3" t="s">
        <v>676</v>
      </c>
      <c r="DK184" s="3" t="s">
        <v>677</v>
      </c>
      <c r="DL184" s="3" t="s">
        <v>678</v>
      </c>
      <c r="DM184" s="3" t="s">
        <v>679</v>
      </c>
      <c r="DN184" s="3" t="s">
        <v>680</v>
      </c>
      <c r="DO184" s="3" t="s">
        <v>681</v>
      </c>
      <c r="DP184" s="3" t="s">
        <v>682</v>
      </c>
      <c r="DQ184" s="3" t="s">
        <v>676</v>
      </c>
      <c r="DR184" s="3" t="s">
        <v>677</v>
      </c>
      <c r="DS184" s="3" t="s">
        <v>678</v>
      </c>
      <c r="DT184" s="3" t="s">
        <v>679</v>
      </c>
      <c r="DU184" s="3" t="s">
        <v>680</v>
      </c>
      <c r="DV184" s="3" t="s">
        <v>681</v>
      </c>
      <c r="DW184" s="3" t="s">
        <v>682</v>
      </c>
      <c r="DX184" s="3" t="s">
        <v>676</v>
      </c>
      <c r="DY184" s="3" t="s">
        <v>677</v>
      </c>
      <c r="DZ184" s="3" t="s">
        <v>678</v>
      </c>
      <c r="EA184" s="3" t="s">
        <v>679</v>
      </c>
      <c r="EB184" s="3" t="s">
        <v>680</v>
      </c>
      <c r="EC184" s="3" t="s">
        <v>681</v>
      </c>
      <c r="ED184" s="3" t="s">
        <v>682</v>
      </c>
      <c r="EE184" s="3" t="s">
        <v>676</v>
      </c>
      <c r="EF184" s="3" t="s">
        <v>677</v>
      </c>
      <c r="EG184" s="3" t="s">
        <v>678</v>
      </c>
      <c r="EH184" s="3" t="s">
        <v>679</v>
      </c>
      <c r="EI184" s="3" t="s">
        <v>680</v>
      </c>
      <c r="EJ184" s="3" t="s">
        <v>681</v>
      </c>
      <c r="EK184" s="3" t="s">
        <v>682</v>
      </c>
      <c r="EL184" s="3" t="s">
        <v>676</v>
      </c>
      <c r="EM184" s="3" t="s">
        <v>677</v>
      </c>
      <c r="EN184" s="3" t="s">
        <v>678</v>
      </c>
      <c r="EO184" s="3" t="s">
        <v>679</v>
      </c>
      <c r="EP184" s="3" t="s">
        <v>680</v>
      </c>
      <c r="EQ184" s="3" t="s">
        <v>681</v>
      </c>
      <c r="ER184" s="3" t="s">
        <v>682</v>
      </c>
      <c r="ES184" s="3" t="s">
        <v>676</v>
      </c>
      <c r="ET184" s="3" t="s">
        <v>677</v>
      </c>
      <c r="EU184" s="3" t="s">
        <v>678</v>
      </c>
      <c r="EV184" s="3" t="s">
        <v>679</v>
      </c>
      <c r="EW184" s="3" t="s">
        <v>680</v>
      </c>
      <c r="EX184" s="3" t="s">
        <v>681</v>
      </c>
      <c r="EY184" s="3" t="s">
        <v>682</v>
      </c>
      <c r="EZ184" s="3" t="s">
        <v>676</v>
      </c>
      <c r="FA184" s="3" t="s">
        <v>677</v>
      </c>
      <c r="FB184" s="3" t="s">
        <v>678</v>
      </c>
      <c r="FC184" s="3" t="s">
        <v>679</v>
      </c>
      <c r="FD184" s="3" t="s">
        <v>680</v>
      </c>
      <c r="FE184" s="3" t="s">
        <v>681</v>
      </c>
      <c r="FF184" s="3" t="s">
        <v>682</v>
      </c>
      <c r="FG184" s="3" t="s">
        <v>676</v>
      </c>
      <c r="FH184" s="3" t="s">
        <v>677</v>
      </c>
      <c r="FI184" s="3" t="s">
        <v>678</v>
      </c>
      <c r="FJ184" s="3" t="s">
        <v>679</v>
      </c>
      <c r="FK184" s="3" t="s">
        <v>680</v>
      </c>
      <c r="FL184" s="3" t="s">
        <v>681</v>
      </c>
      <c r="FM184" s="3" t="s">
        <v>682</v>
      </c>
      <c r="FN184" s="3" t="s">
        <v>676</v>
      </c>
      <c r="FO184" s="3" t="s">
        <v>677</v>
      </c>
      <c r="FP184" s="3" t="s">
        <v>678</v>
      </c>
      <c r="FQ184" s="3" t="s">
        <v>679</v>
      </c>
      <c r="FR184" s="3" t="s">
        <v>680</v>
      </c>
      <c r="FS184" s="3" t="s">
        <v>681</v>
      </c>
      <c r="FT184" s="3" t="s">
        <v>682</v>
      </c>
      <c r="FU184" s="3" t="s">
        <v>676</v>
      </c>
      <c r="FV184" s="3" t="s">
        <v>677</v>
      </c>
      <c r="FW184" s="3" t="s">
        <v>678</v>
      </c>
      <c r="FX184" s="3" t="s">
        <v>679</v>
      </c>
      <c r="FY184" s="3" t="s">
        <v>680</v>
      </c>
      <c r="FZ184" s="3" t="s">
        <v>681</v>
      </c>
      <c r="GA184" s="3" t="s">
        <v>682</v>
      </c>
      <c r="GB184" s="3" t="s">
        <v>676</v>
      </c>
      <c r="GC184" s="3" t="s">
        <v>677</v>
      </c>
      <c r="GD184" s="3" t="s">
        <v>678</v>
      </c>
      <c r="GE184" s="3" t="s">
        <v>679</v>
      </c>
      <c r="GF184" s="3" t="s">
        <v>680</v>
      </c>
      <c r="GG184" s="3" t="s">
        <v>681</v>
      </c>
      <c r="GH184" s="3" t="s">
        <v>682</v>
      </c>
      <c r="GI184" s="3" t="s">
        <v>676</v>
      </c>
      <c r="GJ184" s="3" t="s">
        <v>677</v>
      </c>
      <c r="GK184" s="3" t="s">
        <v>678</v>
      </c>
      <c r="GL184" s="3" t="s">
        <v>679</v>
      </c>
      <c r="GM184" s="3" t="s">
        <v>680</v>
      </c>
      <c r="GN184" s="3" t="s">
        <v>681</v>
      </c>
      <c r="GO184" s="3" t="s">
        <v>682</v>
      </c>
      <c r="GP184" s="3" t="s">
        <v>676</v>
      </c>
      <c r="GQ184" s="3" t="s">
        <v>677</v>
      </c>
      <c r="GR184" s="3" t="s">
        <v>678</v>
      </c>
      <c r="GS184" s="3" t="s">
        <v>679</v>
      </c>
      <c r="GT184" s="3" t="s">
        <v>680</v>
      </c>
      <c r="GU184" s="3" t="s">
        <v>681</v>
      </c>
      <c r="GV184" s="3" t="s">
        <v>682</v>
      </c>
      <c r="GW184" s="3" t="s">
        <v>676</v>
      </c>
      <c r="GX184" s="3" t="s">
        <v>677</v>
      </c>
      <c r="GY184" s="3" t="s">
        <v>678</v>
      </c>
      <c r="GZ184" s="3" t="s">
        <v>679</v>
      </c>
      <c r="HA184" s="3" t="s">
        <v>680</v>
      </c>
      <c r="HB184" s="3" t="s">
        <v>681</v>
      </c>
      <c r="HC184" s="3" t="s">
        <v>682</v>
      </c>
      <c r="HD184" s="3" t="s">
        <v>676</v>
      </c>
      <c r="HE184" s="3" t="s">
        <v>677</v>
      </c>
      <c r="HF184" s="3" t="s">
        <v>678</v>
      </c>
      <c r="HG184" s="3" t="s">
        <v>679</v>
      </c>
      <c r="HH184" s="3" t="s">
        <v>680</v>
      </c>
      <c r="HI184" s="3" t="s">
        <v>681</v>
      </c>
      <c r="HJ184" s="3" t="s">
        <v>682</v>
      </c>
      <c r="HK184" s="3" t="s">
        <v>676</v>
      </c>
      <c r="HL184" s="3" t="s">
        <v>677</v>
      </c>
      <c r="HM184" s="3" t="s">
        <v>678</v>
      </c>
      <c r="HN184" s="3" t="s">
        <v>679</v>
      </c>
      <c r="HO184" s="3" t="s">
        <v>680</v>
      </c>
      <c r="HP184" s="3" t="s">
        <v>681</v>
      </c>
      <c r="HQ184" s="3" t="s">
        <v>682</v>
      </c>
      <c r="HR184" s="3" t="s">
        <v>676</v>
      </c>
      <c r="HS184" s="3" t="s">
        <v>677</v>
      </c>
      <c r="HT184" s="3" t="s">
        <v>678</v>
      </c>
      <c r="HU184" s="3" t="s">
        <v>679</v>
      </c>
      <c r="HV184" s="3" t="s">
        <v>680</v>
      </c>
      <c r="HW184" s="3" t="s">
        <v>681</v>
      </c>
      <c r="HX184" s="3" t="s">
        <v>682</v>
      </c>
      <c r="HY184" s="3" t="s">
        <v>676</v>
      </c>
      <c r="HZ184" s="3" t="s">
        <v>677</v>
      </c>
      <c r="IA184" s="3" t="s">
        <v>678</v>
      </c>
      <c r="IB184" s="3" t="s">
        <v>679</v>
      </c>
      <c r="IC184" s="3" t="s">
        <v>680</v>
      </c>
    </row>
    <row r="185" spans="1:257">
      <c r="A185" s="82" t="s">
        <v>695</v>
      </c>
      <c r="B185" s="82" t="str">
        <f>COUNTIF(P185:IC185, "W")&amp;"勝"</f>
        <v>9勝</v>
      </c>
      <c r="C185" s="82" t="str">
        <f>COUNTIF(P185:IC185, "L")&amp;"敗"</f>
        <v>18敗</v>
      </c>
      <c r="D185" s="82" t="s">
        <v>696</v>
      </c>
      <c r="E185" s="78"/>
      <c r="F185" s="82" t="s">
        <v>746</v>
      </c>
      <c r="G185" s="78"/>
      <c r="H185" s="78"/>
      <c r="I185" s="78"/>
      <c r="J185" s="78"/>
      <c r="K185" s="78"/>
      <c r="L185" s="78"/>
      <c r="M185" s="82"/>
      <c r="N185" s="78"/>
      <c r="O185" s="1" t="s">
        <v>698</v>
      </c>
      <c r="Q185" t="s">
        <v>699</v>
      </c>
      <c r="S185" t="s">
        <v>700</v>
      </c>
      <c r="T185" t="s">
        <v>700</v>
      </c>
      <c r="U185" t="s">
        <v>700</v>
      </c>
      <c r="V185" t="s">
        <v>699</v>
      </c>
      <c r="W185" t="s">
        <v>699</v>
      </c>
      <c r="Y185" t="s">
        <v>699</v>
      </c>
      <c r="Z185" t="s">
        <v>699</v>
      </c>
      <c r="AA185" t="s">
        <v>700</v>
      </c>
      <c r="AB185" t="s">
        <v>699</v>
      </c>
      <c r="AC185" t="s">
        <v>700</v>
      </c>
      <c r="AD185" t="s">
        <v>700</v>
      </c>
      <c r="AF185" t="s">
        <v>700</v>
      </c>
      <c r="AG185" t="s">
        <v>699</v>
      </c>
      <c r="AH185" t="s">
        <v>700</v>
      </c>
      <c r="AI185" t="s">
        <v>699</v>
      </c>
      <c r="AJ185" t="s">
        <v>700</v>
      </c>
      <c r="AK185" t="s">
        <v>700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S185" t="s">
        <v>700</v>
      </c>
      <c r="AT185" t="s">
        <v>700</v>
      </c>
      <c r="AU185" t="s">
        <v>699</v>
      </c>
      <c r="AV185" t="s">
        <v>700</v>
      </c>
    </row>
    <row r="186" spans="1:257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1" t="s">
        <v>701</v>
      </c>
    </row>
    <row r="187" spans="1:257">
      <c r="A187" s="82" t="s">
        <v>702</v>
      </c>
      <c r="B187" s="82" t="str">
        <f>COUNTIF(P187:IC187, "O")&amp;"正"</f>
        <v>6正</v>
      </c>
      <c r="C187" s="82" t="str">
        <f>COUNTIF(P187:IC187, "X")&amp;"負"</f>
        <v>21負</v>
      </c>
      <c r="D187" s="82" t="s">
        <v>703</v>
      </c>
      <c r="E187" s="78"/>
      <c r="F187" s="82" t="s">
        <v>747</v>
      </c>
      <c r="G187" s="78"/>
      <c r="H187" s="78"/>
      <c r="I187" s="78"/>
      <c r="J187" s="78"/>
      <c r="K187" s="78"/>
      <c r="L187" s="78"/>
      <c r="M187" s="82"/>
      <c r="N187" s="78"/>
      <c r="O187" s="1" t="s">
        <v>705</v>
      </c>
      <c r="Q187" t="s">
        <v>683</v>
      </c>
      <c r="S187" t="s">
        <v>684</v>
      </c>
      <c r="T187" t="s">
        <v>684</v>
      </c>
      <c r="U187" t="s">
        <v>684</v>
      </c>
      <c r="V187" t="s">
        <v>684</v>
      </c>
      <c r="W187" t="s">
        <v>684</v>
      </c>
      <c r="Y187" t="s">
        <v>683</v>
      </c>
      <c r="Z187" t="s">
        <v>684</v>
      </c>
      <c r="AA187" t="s">
        <v>684</v>
      </c>
      <c r="AB187" t="s">
        <v>683</v>
      </c>
      <c r="AC187" t="s">
        <v>684</v>
      </c>
      <c r="AD187" t="s">
        <v>684</v>
      </c>
      <c r="AF187" t="s">
        <v>684</v>
      </c>
      <c r="AG187" t="s">
        <v>683</v>
      </c>
      <c r="AH187" t="s">
        <v>684</v>
      </c>
      <c r="AI187" t="s">
        <v>683</v>
      </c>
      <c r="AJ187" t="s">
        <v>684</v>
      </c>
      <c r="AK187" t="s">
        <v>684</v>
      </c>
      <c r="AM187" t="s">
        <v>684</v>
      </c>
      <c r="AN187" t="s">
        <v>684</v>
      </c>
      <c r="AO187" t="s">
        <v>684</v>
      </c>
      <c r="AP187" t="s">
        <v>684</v>
      </c>
      <c r="AQ187" t="s">
        <v>684</v>
      </c>
      <c r="AS187" t="s">
        <v>684</v>
      </c>
      <c r="AT187" t="s">
        <v>684</v>
      </c>
      <c r="AU187" t="s">
        <v>683</v>
      </c>
      <c r="AV187" t="s">
        <v>684</v>
      </c>
      <c r="IN187" t="str">
        <f ca="1">IFERROR(INDEX($P187:$IC187,1,_xludf.AGGREGATE(14,6,(COLUMN($P187:$IC187)-COLUMN($P187)+1)/($P187:$IC187&lt;&gt;""),1)),"")</f>
        <v/>
      </c>
      <c r="IO187" t="str">
        <f ca="1">IFERROR(INDEX($P187:$IC187,1,_xludf.AGGREGATE(14,6,(COLUMN($P187:$IC187)-COLUMN($P187)+1)/($P187:$IC187&lt;&gt;""),2)),"")</f>
        <v/>
      </c>
      <c r="IP187" t="str">
        <f ca="1">IFERROR(INDEX($P187:$IC187,1,_xludf.AGGREGATE(14,6,(COLUMN($P187:$IC187)-COLUMN($P187)+1)/($P187:$IC187&lt;&gt;""),3)),"")</f>
        <v/>
      </c>
      <c r="IQ187" t="str">
        <f ca="1">IFERROR(INDEX($P187:$IC187,1,_xludf.AGGREGATE(14,6,(COLUMN($P187:$IC187)-COLUMN($P187)+1)/($P187:$IC187&lt;&gt;""),4)),"")</f>
        <v/>
      </c>
      <c r="IR187" t="str">
        <f ca="1">IFERROR(INDEX($P187:$IC187,1,_xludf.AGGREGATE(14,6,(COLUMN($P187:$IC187)-COLUMN($P187)+1)/($P187:$IC187&lt;&gt;""),5)),"")</f>
        <v/>
      </c>
      <c r="IS187" t="str">
        <f ca="1">IFERROR(INDEX($P187:$IC187,1,_xludf.AGGREGATE(14,6,(COLUMN($P187:$IC187)-COLUMN($P187)+1)/($P187:$IC187&lt;&gt;""),6)),"")</f>
        <v/>
      </c>
      <c r="IT187" t="str">
        <f ca="1">IFERROR(INDEX($P187:$IC187,1,_xludf.AGGREGATE(14,6,(COLUMN($P187:$IC187)-COLUMN($P187)+1)/($P187:$IC187&lt;&gt;""),7)),"")</f>
        <v/>
      </c>
      <c r="IU187" t="str">
        <f ca="1">IFERROR(INDEX($P187:$IC187,1,_xludf.AGGREGATE(14,6,(COLUMN($P187:$IC187)-COLUMN($P187)+1)/($P187:$IC187&lt;&gt;""),8)),"")</f>
        <v/>
      </c>
      <c r="IV187" t="str">
        <f ca="1">IFERROR(INDEX($P187:$IC187,1,_xludf.AGGREGATE(14,6,(COLUMN($P187:$IC187)-COLUMN($P187)+1)/($P187:$IC187&lt;&gt;""),9)),"")</f>
        <v/>
      </c>
      <c r="IW187" t="str">
        <f ca="1">IFERROR(INDEX($P187:$IC187,1,_xludf.AGGREGATE(14,6,(COLUMN($P187:$IC187)-COLUMN($P187)+1)/($P187:$IC187&lt;&gt;""),10)),"")</f>
        <v/>
      </c>
    </row>
    <row r="188" spans="1:257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1" t="s">
        <v>706</v>
      </c>
    </row>
    <row r="189" spans="1:257">
      <c r="A189" s="82" t="s">
        <v>707</v>
      </c>
      <c r="B189" s="77"/>
      <c r="C189" s="77"/>
      <c r="D189" s="82" t="s">
        <v>708</v>
      </c>
      <c r="E189" s="78"/>
      <c r="F189" s="82"/>
      <c r="G189" s="78"/>
      <c r="H189" s="78"/>
      <c r="I189" s="78"/>
      <c r="J189" s="78"/>
      <c r="K189" s="78"/>
      <c r="L189" s="78"/>
      <c r="M189" s="82"/>
      <c r="N189" s="78"/>
      <c r="O189" s="1" t="s">
        <v>709</v>
      </c>
    </row>
    <row r="190" spans="1:257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1" t="s">
        <v>710</v>
      </c>
    </row>
    <row r="191" spans="1:257">
      <c r="A191" s="109" t="s">
        <v>76</v>
      </c>
      <c r="B191" s="78"/>
      <c r="C191" s="7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 t="s">
        <v>674</v>
      </c>
      <c r="P191" s="8">
        <v>1</v>
      </c>
      <c r="Q191" s="8">
        <v>2</v>
      </c>
      <c r="R191" s="8">
        <v>3</v>
      </c>
      <c r="S191" s="8">
        <v>4</v>
      </c>
      <c r="T191" s="8">
        <v>5</v>
      </c>
      <c r="U191" s="8">
        <v>6</v>
      </c>
      <c r="V191" s="8">
        <v>7</v>
      </c>
      <c r="W191" s="8">
        <v>8</v>
      </c>
      <c r="X191" s="8">
        <v>9</v>
      </c>
      <c r="Y191" s="8">
        <v>10</v>
      </c>
      <c r="Z191" s="8">
        <v>11</v>
      </c>
      <c r="AA191" s="8">
        <v>12</v>
      </c>
      <c r="AB191" s="8">
        <v>13</v>
      </c>
      <c r="AC191" s="8">
        <v>14</v>
      </c>
      <c r="AD191" s="8">
        <v>15</v>
      </c>
      <c r="AE191" s="8">
        <v>16</v>
      </c>
      <c r="AF191" s="8">
        <v>17</v>
      </c>
      <c r="AG191" s="8">
        <v>18</v>
      </c>
      <c r="AH191" s="8">
        <v>19</v>
      </c>
      <c r="AI191" s="8">
        <v>20</v>
      </c>
      <c r="AJ191" s="8">
        <v>21</v>
      </c>
      <c r="AK191" s="8">
        <v>22</v>
      </c>
      <c r="AL191" s="8">
        <v>23</v>
      </c>
      <c r="AM191" s="8">
        <v>24</v>
      </c>
      <c r="AN191" s="8">
        <v>25</v>
      </c>
      <c r="AO191" s="8">
        <v>26</v>
      </c>
      <c r="AP191" s="8">
        <v>27</v>
      </c>
      <c r="AQ191" s="8">
        <v>28</v>
      </c>
      <c r="AR191" s="8">
        <v>29</v>
      </c>
      <c r="AS191" s="8">
        <v>30</v>
      </c>
      <c r="AT191" s="8">
        <v>31</v>
      </c>
      <c r="AU191" s="8">
        <v>32</v>
      </c>
      <c r="AV191" s="8">
        <v>33</v>
      </c>
      <c r="AW191" s="8">
        <v>34</v>
      </c>
      <c r="AX191" s="8">
        <v>35</v>
      </c>
      <c r="AY191" s="8">
        <v>36</v>
      </c>
      <c r="AZ191" s="8">
        <v>37</v>
      </c>
      <c r="BA191" s="8">
        <v>38</v>
      </c>
      <c r="BB191" s="8">
        <v>39</v>
      </c>
      <c r="BC191" s="8">
        <v>40</v>
      </c>
      <c r="BD191" s="8">
        <v>41</v>
      </c>
      <c r="BE191" s="8">
        <v>42</v>
      </c>
      <c r="BF191" s="8">
        <v>43</v>
      </c>
      <c r="BG191" s="8">
        <v>44</v>
      </c>
      <c r="BH191" s="8">
        <v>45</v>
      </c>
      <c r="BI191" s="8">
        <v>46</v>
      </c>
      <c r="BJ191" s="8">
        <v>47</v>
      </c>
      <c r="BK191" s="8">
        <v>48</v>
      </c>
      <c r="BL191" s="8">
        <v>49</v>
      </c>
      <c r="BM191" s="8">
        <v>50</v>
      </c>
      <c r="BN191" s="8">
        <v>51</v>
      </c>
      <c r="BO191" s="8">
        <v>52</v>
      </c>
      <c r="BP191" s="8">
        <v>53</v>
      </c>
      <c r="BQ191" s="8">
        <v>54</v>
      </c>
      <c r="BR191" s="8">
        <v>55</v>
      </c>
      <c r="BS191" s="8">
        <v>56</v>
      </c>
      <c r="BT191" s="8">
        <v>57</v>
      </c>
      <c r="BU191" s="8">
        <v>58</v>
      </c>
      <c r="BV191" s="8">
        <v>59</v>
      </c>
      <c r="BW191" s="8">
        <v>60</v>
      </c>
      <c r="BX191" s="8">
        <v>61</v>
      </c>
      <c r="BY191" s="8">
        <v>62</v>
      </c>
      <c r="BZ191" s="8">
        <v>63</v>
      </c>
      <c r="CA191" s="8">
        <v>64</v>
      </c>
      <c r="CB191" s="8">
        <v>65</v>
      </c>
      <c r="CC191" s="8">
        <v>66</v>
      </c>
      <c r="CD191" s="8">
        <v>67</v>
      </c>
      <c r="CE191" s="8">
        <v>68</v>
      </c>
      <c r="CF191" s="8">
        <v>69</v>
      </c>
      <c r="CG191" s="8">
        <v>70</v>
      </c>
      <c r="CH191" s="8">
        <v>71</v>
      </c>
      <c r="CI191" s="8">
        <v>72</v>
      </c>
      <c r="CJ191" s="8">
        <v>73</v>
      </c>
      <c r="CK191" s="8">
        <v>74</v>
      </c>
      <c r="CL191" s="8">
        <v>75</v>
      </c>
      <c r="CM191" s="8">
        <v>76</v>
      </c>
      <c r="CN191" s="8">
        <v>77</v>
      </c>
      <c r="CO191" s="8">
        <v>78</v>
      </c>
      <c r="CP191" s="8">
        <v>79</v>
      </c>
      <c r="CQ191" s="8">
        <v>80</v>
      </c>
      <c r="CR191" s="8">
        <v>81</v>
      </c>
      <c r="CS191" s="8">
        <v>82</v>
      </c>
      <c r="CT191" s="8">
        <v>83</v>
      </c>
      <c r="CU191" s="8">
        <v>84</v>
      </c>
      <c r="CV191" s="8">
        <v>85</v>
      </c>
      <c r="CW191" s="8">
        <v>86</v>
      </c>
      <c r="CX191" s="8">
        <v>87</v>
      </c>
      <c r="CY191" s="8">
        <v>88</v>
      </c>
      <c r="CZ191" s="8">
        <v>89</v>
      </c>
      <c r="DA191" s="8">
        <v>90</v>
      </c>
      <c r="DB191" s="8">
        <v>91</v>
      </c>
      <c r="DC191" s="8">
        <v>92</v>
      </c>
      <c r="DD191" s="8">
        <v>93</v>
      </c>
      <c r="DE191" s="8">
        <v>94</v>
      </c>
      <c r="DF191" s="8">
        <v>95</v>
      </c>
      <c r="DG191" s="8">
        <v>96</v>
      </c>
      <c r="DH191" s="8">
        <v>97</v>
      </c>
      <c r="DI191" s="8">
        <v>98</v>
      </c>
      <c r="DJ191" s="8">
        <v>99</v>
      </c>
      <c r="DK191" s="8">
        <v>100</v>
      </c>
      <c r="DL191" s="8">
        <v>101</v>
      </c>
      <c r="DM191" s="8">
        <v>102</v>
      </c>
      <c r="DN191" s="8">
        <v>103</v>
      </c>
      <c r="DO191" s="8">
        <v>104</v>
      </c>
      <c r="DP191" s="8">
        <v>105</v>
      </c>
      <c r="DQ191" s="8">
        <v>106</v>
      </c>
      <c r="DR191" s="8">
        <v>107</v>
      </c>
      <c r="DS191" s="8">
        <v>108</v>
      </c>
      <c r="DT191" s="8">
        <v>109</v>
      </c>
      <c r="DU191" s="8">
        <v>110</v>
      </c>
      <c r="DV191" s="8">
        <v>111</v>
      </c>
      <c r="DW191" s="8">
        <v>112</v>
      </c>
      <c r="DX191" s="8">
        <v>113</v>
      </c>
      <c r="DY191" s="8">
        <v>114</v>
      </c>
      <c r="DZ191" s="8">
        <v>115</v>
      </c>
      <c r="EA191" s="8">
        <v>116</v>
      </c>
      <c r="EB191" s="8">
        <v>117</v>
      </c>
      <c r="EC191" s="8">
        <v>118</v>
      </c>
      <c r="ED191" s="8">
        <v>119</v>
      </c>
      <c r="EE191" s="8">
        <v>120</v>
      </c>
      <c r="EF191" s="8">
        <v>121</v>
      </c>
      <c r="EG191" s="8">
        <v>122</v>
      </c>
      <c r="EH191" s="8">
        <v>123</v>
      </c>
      <c r="EI191" s="8">
        <v>124</v>
      </c>
      <c r="EJ191" s="8">
        <v>125</v>
      </c>
      <c r="EK191" s="8">
        <v>126</v>
      </c>
      <c r="EL191" s="8">
        <v>127</v>
      </c>
      <c r="EM191" s="8">
        <v>128</v>
      </c>
      <c r="EN191" s="8">
        <v>129</v>
      </c>
      <c r="EO191" s="8">
        <v>130</v>
      </c>
      <c r="EP191" s="8">
        <v>131</v>
      </c>
      <c r="EQ191" s="8">
        <v>132</v>
      </c>
      <c r="ER191" s="8">
        <v>133</v>
      </c>
      <c r="ES191" s="8">
        <v>134</v>
      </c>
      <c r="ET191" s="8">
        <v>135</v>
      </c>
      <c r="EU191" s="8">
        <v>136</v>
      </c>
      <c r="EV191" s="8">
        <v>137</v>
      </c>
      <c r="EW191" s="8">
        <v>138</v>
      </c>
      <c r="EX191" s="8">
        <v>139</v>
      </c>
      <c r="EY191" s="8">
        <v>140</v>
      </c>
      <c r="EZ191" s="8">
        <v>141</v>
      </c>
      <c r="FA191" s="8">
        <v>142</v>
      </c>
      <c r="FB191" s="8">
        <v>143</v>
      </c>
      <c r="FC191" s="8">
        <v>144</v>
      </c>
      <c r="FD191" s="8">
        <v>145</v>
      </c>
      <c r="FE191" s="8">
        <v>146</v>
      </c>
      <c r="FF191" s="8">
        <v>147</v>
      </c>
      <c r="FG191" s="8">
        <v>148</v>
      </c>
      <c r="FH191" s="8">
        <v>149</v>
      </c>
      <c r="FI191" s="8">
        <v>150</v>
      </c>
      <c r="FJ191" s="8">
        <v>151</v>
      </c>
      <c r="FK191" s="8">
        <v>152</v>
      </c>
      <c r="FL191" s="8">
        <v>153</v>
      </c>
      <c r="FM191" s="8">
        <v>154</v>
      </c>
      <c r="FN191" s="8">
        <v>155</v>
      </c>
      <c r="FO191" s="8">
        <v>156</v>
      </c>
      <c r="FP191" s="8">
        <v>157</v>
      </c>
      <c r="FQ191" s="8">
        <v>158</v>
      </c>
      <c r="FR191" s="8">
        <v>159</v>
      </c>
      <c r="FS191" s="8">
        <v>160</v>
      </c>
      <c r="FT191" s="8">
        <v>161</v>
      </c>
      <c r="FU191" s="8">
        <v>162</v>
      </c>
      <c r="FV191" s="8">
        <v>163</v>
      </c>
      <c r="FW191" s="8">
        <v>164</v>
      </c>
      <c r="FX191" s="8">
        <v>165</v>
      </c>
      <c r="FY191" s="8">
        <v>166</v>
      </c>
      <c r="FZ191" s="8">
        <v>167</v>
      </c>
      <c r="GA191" s="8">
        <v>168</v>
      </c>
      <c r="GB191" s="8">
        <v>169</v>
      </c>
      <c r="GC191" s="8">
        <v>170</v>
      </c>
      <c r="GD191" s="8">
        <v>171</v>
      </c>
      <c r="GE191" s="8">
        <v>172</v>
      </c>
      <c r="GF191" s="8">
        <v>173</v>
      </c>
      <c r="GG191" s="8">
        <v>174</v>
      </c>
      <c r="GH191" s="8">
        <v>175</v>
      </c>
      <c r="GI191" s="8">
        <v>176</v>
      </c>
      <c r="GJ191" s="8">
        <v>177</v>
      </c>
      <c r="GK191" s="8">
        <v>178</v>
      </c>
      <c r="GL191" s="8">
        <v>179</v>
      </c>
      <c r="GM191" s="8">
        <v>180</v>
      </c>
      <c r="GN191" s="8">
        <v>181</v>
      </c>
      <c r="GO191" s="8">
        <v>182</v>
      </c>
      <c r="GP191" s="8">
        <v>183</v>
      </c>
      <c r="GQ191" s="8">
        <v>184</v>
      </c>
      <c r="GR191" s="8">
        <v>185</v>
      </c>
      <c r="GS191" s="8">
        <v>186</v>
      </c>
      <c r="GT191" s="8">
        <v>187</v>
      </c>
      <c r="GU191" s="8">
        <v>188</v>
      </c>
      <c r="GV191" s="8">
        <v>189</v>
      </c>
      <c r="GW191" s="8">
        <v>190</v>
      </c>
      <c r="GX191" s="8">
        <v>191</v>
      </c>
      <c r="GY191" s="8">
        <v>192</v>
      </c>
      <c r="GZ191" s="8">
        <v>193</v>
      </c>
      <c r="HA191" s="8">
        <v>194</v>
      </c>
      <c r="HB191" s="8">
        <v>195</v>
      </c>
      <c r="HC191" s="8">
        <v>196</v>
      </c>
      <c r="HD191" s="8">
        <v>197</v>
      </c>
      <c r="HE191" s="8">
        <v>198</v>
      </c>
      <c r="HF191" s="8">
        <v>199</v>
      </c>
      <c r="HG191" s="8">
        <v>200</v>
      </c>
      <c r="HH191" s="8">
        <v>201</v>
      </c>
      <c r="HI191" s="8">
        <v>202</v>
      </c>
      <c r="HJ191" s="8">
        <v>203</v>
      </c>
      <c r="HK191" s="8">
        <v>204</v>
      </c>
      <c r="HL191" s="8">
        <v>205</v>
      </c>
      <c r="HM191" s="8">
        <v>206</v>
      </c>
      <c r="HN191" s="8">
        <v>207</v>
      </c>
      <c r="HO191" s="8">
        <v>208</v>
      </c>
      <c r="HP191" s="8">
        <v>209</v>
      </c>
      <c r="HQ191" s="8">
        <v>210</v>
      </c>
      <c r="HR191" s="8">
        <v>211</v>
      </c>
      <c r="HS191" s="8">
        <v>212</v>
      </c>
      <c r="HT191" s="8">
        <v>213</v>
      </c>
      <c r="HU191" s="8">
        <v>214</v>
      </c>
      <c r="HV191" s="8">
        <v>215</v>
      </c>
      <c r="HW191" s="8">
        <v>216</v>
      </c>
      <c r="HX191" s="8">
        <v>217</v>
      </c>
      <c r="HY191" s="8">
        <v>218</v>
      </c>
      <c r="HZ191" s="8">
        <v>219</v>
      </c>
      <c r="IA191" s="8">
        <v>220</v>
      </c>
      <c r="IB191" s="8">
        <v>221</v>
      </c>
      <c r="IC191" s="8">
        <v>222</v>
      </c>
    </row>
    <row r="192" spans="1:257">
      <c r="A192" s="78"/>
      <c r="B192" s="78"/>
      <c r="C192" s="7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7"/>
      <c r="P192" s="50" t="s">
        <v>76</v>
      </c>
      <c r="Q192" s="50" t="s">
        <v>76</v>
      </c>
      <c r="R192" s="50" t="s">
        <v>76</v>
      </c>
      <c r="S192" s="50" t="s">
        <v>76</v>
      </c>
      <c r="T192" s="50" t="s">
        <v>76</v>
      </c>
      <c r="U192" s="50" t="s">
        <v>76</v>
      </c>
      <c r="V192" s="50" t="s">
        <v>76</v>
      </c>
      <c r="W192" s="50" t="s">
        <v>76</v>
      </c>
      <c r="X192" s="50" t="s">
        <v>76</v>
      </c>
      <c r="Y192" s="50" t="s">
        <v>76</v>
      </c>
      <c r="Z192" s="50" t="s">
        <v>76</v>
      </c>
      <c r="AA192" s="50" t="s">
        <v>76</v>
      </c>
      <c r="AB192" s="50" t="s">
        <v>76</v>
      </c>
      <c r="AC192" s="50" t="s">
        <v>76</v>
      </c>
      <c r="AD192" s="50" t="s">
        <v>76</v>
      </c>
      <c r="AE192" s="50" t="s">
        <v>76</v>
      </c>
      <c r="AF192" s="50" t="s">
        <v>76</v>
      </c>
      <c r="AG192" s="50" t="s">
        <v>76</v>
      </c>
      <c r="AH192" s="50" t="s">
        <v>76</v>
      </c>
      <c r="AI192" s="50" t="s">
        <v>76</v>
      </c>
      <c r="AJ192" s="50" t="s">
        <v>76</v>
      </c>
      <c r="AK192" s="50" t="s">
        <v>76</v>
      </c>
      <c r="AL192" s="50" t="s">
        <v>76</v>
      </c>
      <c r="AM192" s="50" t="s">
        <v>76</v>
      </c>
      <c r="AN192" s="50" t="s">
        <v>76</v>
      </c>
      <c r="AO192" s="50" t="s">
        <v>76</v>
      </c>
      <c r="AP192" s="50" t="s">
        <v>76</v>
      </c>
      <c r="AQ192" s="50" t="s">
        <v>76</v>
      </c>
      <c r="AR192" s="50" t="s">
        <v>76</v>
      </c>
      <c r="AS192" s="50" t="s">
        <v>76</v>
      </c>
      <c r="AT192" s="50" t="s">
        <v>76</v>
      </c>
      <c r="AU192" s="50" t="s">
        <v>76</v>
      </c>
      <c r="AV192" s="50" t="s">
        <v>76</v>
      </c>
      <c r="AW192" s="50" t="s">
        <v>76</v>
      </c>
      <c r="AX192" s="50" t="s">
        <v>76</v>
      </c>
      <c r="AY192" s="50" t="s">
        <v>76</v>
      </c>
      <c r="AZ192" s="50" t="s">
        <v>76</v>
      </c>
      <c r="BA192" s="50" t="s">
        <v>76</v>
      </c>
      <c r="BB192" s="50" t="s">
        <v>76</v>
      </c>
      <c r="BC192" s="50" t="s">
        <v>76</v>
      </c>
      <c r="BD192" s="50" t="s">
        <v>76</v>
      </c>
      <c r="BE192" s="50" t="s">
        <v>76</v>
      </c>
      <c r="BF192" s="50" t="s">
        <v>76</v>
      </c>
      <c r="BG192" s="50" t="s">
        <v>76</v>
      </c>
      <c r="BH192" s="50" t="s">
        <v>76</v>
      </c>
      <c r="BI192" s="50" t="s">
        <v>76</v>
      </c>
      <c r="BJ192" s="50" t="s">
        <v>76</v>
      </c>
      <c r="BK192" s="50" t="s">
        <v>76</v>
      </c>
      <c r="BL192" s="50" t="s">
        <v>76</v>
      </c>
      <c r="BM192" s="50" t="s">
        <v>76</v>
      </c>
      <c r="BN192" s="50" t="s">
        <v>76</v>
      </c>
      <c r="BO192" s="50" t="s">
        <v>76</v>
      </c>
      <c r="BP192" s="50" t="s">
        <v>76</v>
      </c>
      <c r="BQ192" s="50" t="s">
        <v>76</v>
      </c>
      <c r="BR192" s="50" t="s">
        <v>76</v>
      </c>
      <c r="BS192" s="50" t="s">
        <v>76</v>
      </c>
      <c r="BT192" s="50" t="s">
        <v>76</v>
      </c>
      <c r="BU192" s="50" t="s">
        <v>76</v>
      </c>
      <c r="BV192" s="50" t="s">
        <v>76</v>
      </c>
      <c r="BW192" s="50" t="s">
        <v>76</v>
      </c>
      <c r="BX192" s="50" t="s">
        <v>76</v>
      </c>
      <c r="BY192" s="50" t="s">
        <v>76</v>
      </c>
      <c r="BZ192" s="50" t="s">
        <v>76</v>
      </c>
      <c r="CA192" s="50" t="s">
        <v>76</v>
      </c>
      <c r="CB192" s="50" t="s">
        <v>76</v>
      </c>
      <c r="CC192" s="50" t="s">
        <v>76</v>
      </c>
      <c r="CD192" s="50" t="s">
        <v>76</v>
      </c>
      <c r="CE192" s="50" t="s">
        <v>76</v>
      </c>
      <c r="CF192" s="50" t="s">
        <v>76</v>
      </c>
      <c r="CG192" s="50" t="s">
        <v>76</v>
      </c>
      <c r="CH192" s="50" t="s">
        <v>76</v>
      </c>
      <c r="CI192" s="50" t="s">
        <v>76</v>
      </c>
      <c r="CJ192" s="50" t="s">
        <v>76</v>
      </c>
      <c r="CK192" s="50" t="s">
        <v>76</v>
      </c>
      <c r="CL192" s="50" t="s">
        <v>76</v>
      </c>
      <c r="CM192" s="50" t="s">
        <v>76</v>
      </c>
      <c r="CN192" s="50" t="s">
        <v>76</v>
      </c>
      <c r="CO192" s="50" t="s">
        <v>76</v>
      </c>
      <c r="CP192" s="50" t="s">
        <v>76</v>
      </c>
      <c r="CQ192" s="50" t="s">
        <v>76</v>
      </c>
      <c r="CR192" s="50" t="s">
        <v>76</v>
      </c>
      <c r="CS192" s="50" t="s">
        <v>76</v>
      </c>
      <c r="CT192" s="50" t="s">
        <v>76</v>
      </c>
      <c r="CU192" s="50" t="s">
        <v>76</v>
      </c>
      <c r="CV192" s="50" t="s">
        <v>76</v>
      </c>
      <c r="CW192" s="50" t="s">
        <v>76</v>
      </c>
      <c r="CX192" s="50" t="s">
        <v>76</v>
      </c>
      <c r="CY192" s="50" t="s">
        <v>76</v>
      </c>
      <c r="CZ192" s="50" t="s">
        <v>76</v>
      </c>
      <c r="DA192" s="50" t="s">
        <v>76</v>
      </c>
      <c r="DB192" s="50" t="s">
        <v>76</v>
      </c>
      <c r="DC192" s="50" t="s">
        <v>76</v>
      </c>
      <c r="DD192" s="50" t="s">
        <v>76</v>
      </c>
      <c r="DE192" s="50" t="s">
        <v>76</v>
      </c>
      <c r="DF192" s="50" t="s">
        <v>76</v>
      </c>
      <c r="DG192" s="50" t="s">
        <v>76</v>
      </c>
      <c r="DH192" s="50" t="s">
        <v>76</v>
      </c>
      <c r="DI192" s="50" t="s">
        <v>76</v>
      </c>
      <c r="DJ192" s="50" t="s">
        <v>76</v>
      </c>
      <c r="DK192" s="50" t="s">
        <v>76</v>
      </c>
      <c r="DL192" s="50" t="s">
        <v>76</v>
      </c>
      <c r="DM192" s="50" t="s">
        <v>76</v>
      </c>
      <c r="DN192" s="50" t="s">
        <v>76</v>
      </c>
      <c r="DO192" s="50" t="s">
        <v>76</v>
      </c>
      <c r="DP192" s="50" t="s">
        <v>76</v>
      </c>
      <c r="DQ192" s="50" t="s">
        <v>76</v>
      </c>
      <c r="DR192" s="50" t="s">
        <v>76</v>
      </c>
      <c r="DS192" s="50" t="s">
        <v>76</v>
      </c>
      <c r="DT192" s="50" t="s">
        <v>76</v>
      </c>
      <c r="DU192" s="50" t="s">
        <v>76</v>
      </c>
      <c r="DV192" s="50" t="s">
        <v>76</v>
      </c>
      <c r="DW192" s="50" t="s">
        <v>76</v>
      </c>
      <c r="DX192" s="50" t="s">
        <v>76</v>
      </c>
      <c r="DY192" s="50" t="s">
        <v>76</v>
      </c>
      <c r="DZ192" s="50" t="s">
        <v>76</v>
      </c>
      <c r="EA192" s="50" t="s">
        <v>76</v>
      </c>
      <c r="EB192" s="50" t="s">
        <v>76</v>
      </c>
      <c r="EC192" s="50" t="s">
        <v>76</v>
      </c>
      <c r="ED192" s="50" t="s">
        <v>76</v>
      </c>
      <c r="EE192" s="50" t="s">
        <v>76</v>
      </c>
      <c r="EF192" s="50" t="s">
        <v>76</v>
      </c>
      <c r="EG192" s="50" t="s">
        <v>76</v>
      </c>
      <c r="EH192" s="50" t="s">
        <v>76</v>
      </c>
      <c r="EI192" s="50" t="s">
        <v>76</v>
      </c>
      <c r="EJ192" s="50" t="s">
        <v>76</v>
      </c>
      <c r="EK192" s="50" t="s">
        <v>76</v>
      </c>
      <c r="EL192" s="50" t="s">
        <v>76</v>
      </c>
      <c r="EM192" s="50" t="s">
        <v>76</v>
      </c>
      <c r="EN192" s="50" t="s">
        <v>76</v>
      </c>
      <c r="EO192" s="50" t="s">
        <v>76</v>
      </c>
      <c r="EP192" s="50" t="s">
        <v>76</v>
      </c>
      <c r="EQ192" s="50" t="s">
        <v>76</v>
      </c>
      <c r="ER192" s="50" t="s">
        <v>76</v>
      </c>
      <c r="ES192" s="50" t="s">
        <v>76</v>
      </c>
      <c r="ET192" s="50" t="s">
        <v>76</v>
      </c>
      <c r="EU192" s="50" t="s">
        <v>76</v>
      </c>
      <c r="EV192" s="50" t="s">
        <v>76</v>
      </c>
      <c r="EW192" s="50" t="s">
        <v>76</v>
      </c>
      <c r="EX192" s="50" t="s">
        <v>76</v>
      </c>
      <c r="EY192" s="50" t="s">
        <v>76</v>
      </c>
      <c r="EZ192" s="50" t="s">
        <v>76</v>
      </c>
      <c r="FA192" s="50" t="s">
        <v>76</v>
      </c>
      <c r="FB192" s="50" t="s">
        <v>76</v>
      </c>
      <c r="FC192" s="50" t="s">
        <v>76</v>
      </c>
      <c r="FD192" s="50" t="s">
        <v>76</v>
      </c>
      <c r="FE192" s="50" t="s">
        <v>76</v>
      </c>
      <c r="FF192" s="50" t="s">
        <v>76</v>
      </c>
      <c r="FG192" s="50" t="s">
        <v>76</v>
      </c>
      <c r="FH192" s="50" t="s">
        <v>76</v>
      </c>
      <c r="FI192" s="50" t="s">
        <v>76</v>
      </c>
      <c r="FJ192" s="50" t="s">
        <v>76</v>
      </c>
      <c r="FK192" s="50" t="s">
        <v>76</v>
      </c>
      <c r="FL192" s="50" t="s">
        <v>76</v>
      </c>
      <c r="FM192" s="50" t="s">
        <v>76</v>
      </c>
      <c r="FN192" s="50" t="s">
        <v>76</v>
      </c>
      <c r="FO192" s="50" t="s">
        <v>76</v>
      </c>
      <c r="FP192" s="50" t="s">
        <v>76</v>
      </c>
      <c r="FQ192" s="50" t="s">
        <v>76</v>
      </c>
      <c r="FR192" s="50" t="s">
        <v>76</v>
      </c>
      <c r="FS192" s="50" t="s">
        <v>76</v>
      </c>
      <c r="FT192" s="50" t="s">
        <v>76</v>
      </c>
      <c r="FU192" s="50" t="s">
        <v>76</v>
      </c>
      <c r="FV192" s="50" t="s">
        <v>76</v>
      </c>
      <c r="FW192" s="50" t="s">
        <v>76</v>
      </c>
      <c r="FX192" s="50" t="s">
        <v>76</v>
      </c>
      <c r="FY192" s="50" t="s">
        <v>76</v>
      </c>
      <c r="FZ192" s="50" t="s">
        <v>76</v>
      </c>
      <c r="GA192" s="50" t="s">
        <v>76</v>
      </c>
      <c r="GB192" s="50" t="s">
        <v>76</v>
      </c>
      <c r="GC192" s="50" t="s">
        <v>76</v>
      </c>
      <c r="GD192" s="50" t="s">
        <v>76</v>
      </c>
      <c r="GE192" s="50" t="s">
        <v>76</v>
      </c>
      <c r="GF192" s="50" t="s">
        <v>76</v>
      </c>
      <c r="GG192" s="50" t="s">
        <v>76</v>
      </c>
      <c r="GH192" s="50" t="s">
        <v>76</v>
      </c>
      <c r="GI192" s="50" t="s">
        <v>76</v>
      </c>
      <c r="GJ192" s="50" t="s">
        <v>76</v>
      </c>
      <c r="GK192" s="50" t="s">
        <v>76</v>
      </c>
      <c r="GL192" s="50" t="s">
        <v>76</v>
      </c>
      <c r="GM192" s="50" t="s">
        <v>76</v>
      </c>
      <c r="GN192" s="50" t="s">
        <v>76</v>
      </c>
      <c r="GO192" s="50" t="s">
        <v>76</v>
      </c>
      <c r="GP192" s="50" t="s">
        <v>76</v>
      </c>
      <c r="GQ192" s="50" t="s">
        <v>76</v>
      </c>
      <c r="GR192" s="50" t="s">
        <v>76</v>
      </c>
      <c r="GS192" s="50" t="s">
        <v>76</v>
      </c>
      <c r="GT192" s="50" t="s">
        <v>76</v>
      </c>
      <c r="GU192" s="50" t="s">
        <v>76</v>
      </c>
      <c r="GV192" s="50" t="s">
        <v>76</v>
      </c>
      <c r="GW192" s="50" t="s">
        <v>76</v>
      </c>
      <c r="GX192" s="50" t="s">
        <v>76</v>
      </c>
      <c r="GY192" s="50" t="s">
        <v>76</v>
      </c>
      <c r="GZ192" s="50" t="s">
        <v>76</v>
      </c>
      <c r="HA192" s="50" t="s">
        <v>76</v>
      </c>
      <c r="HB192" s="50" t="s">
        <v>76</v>
      </c>
      <c r="HC192" s="50" t="s">
        <v>76</v>
      </c>
      <c r="HD192" s="50" t="s">
        <v>76</v>
      </c>
      <c r="HE192" s="50" t="s">
        <v>76</v>
      </c>
      <c r="HF192" s="50" t="s">
        <v>76</v>
      </c>
      <c r="HG192" s="50" t="s">
        <v>76</v>
      </c>
      <c r="HH192" s="50" t="s">
        <v>76</v>
      </c>
      <c r="HI192" s="50" t="s">
        <v>76</v>
      </c>
      <c r="HJ192" s="50" t="s">
        <v>76</v>
      </c>
      <c r="HK192" s="50" t="s">
        <v>76</v>
      </c>
      <c r="HL192" s="50" t="s">
        <v>76</v>
      </c>
      <c r="HM192" s="50" t="s">
        <v>76</v>
      </c>
      <c r="HN192" s="50" t="s">
        <v>76</v>
      </c>
      <c r="HO192" s="50" t="s">
        <v>76</v>
      </c>
      <c r="HP192" s="50" t="s">
        <v>76</v>
      </c>
      <c r="HQ192" s="50" t="s">
        <v>76</v>
      </c>
      <c r="HR192" s="50" t="s">
        <v>76</v>
      </c>
      <c r="HS192" s="50" t="s">
        <v>76</v>
      </c>
      <c r="HT192" s="50" t="s">
        <v>76</v>
      </c>
      <c r="HU192" s="50" t="s">
        <v>76</v>
      </c>
      <c r="HV192" s="50" t="s">
        <v>76</v>
      </c>
      <c r="HW192" s="50" t="s">
        <v>76</v>
      </c>
      <c r="HX192" s="50" t="s">
        <v>76</v>
      </c>
      <c r="HY192" s="50" t="s">
        <v>76</v>
      </c>
      <c r="HZ192" s="50" t="s">
        <v>76</v>
      </c>
      <c r="IA192" s="50" t="s">
        <v>76</v>
      </c>
      <c r="IB192" s="50" t="s">
        <v>76</v>
      </c>
      <c r="IC192" s="50" t="s">
        <v>76</v>
      </c>
    </row>
    <row r="193" spans="1:257">
      <c r="A193" s="4" t="s">
        <v>522</v>
      </c>
      <c r="B193" s="82" t="str">
        <f t="array" ref="B193">_xlfn.LET(
  _xlpm.dates, _xlfn._xlws.FILTER(P193:HO193, (P195:HO195&lt;&gt;"")+(P197:HO197&lt;&gt;"")),
  _xlpm.numDates, IFERROR(VALUE(_xlpm.dates), _xlpm.dates),
  _xlpm.first, TEXT(MIN(_xlpm.numDates), "m/dd"),
  _xlpm.last, TEXT(MAX(_xlpm.numDates), "m/dd"),
  _xlpm.first &amp; "~" &amp; _xlpm.last
)</f>
        <v>3/27~4/27</v>
      </c>
      <c r="C193" s="7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 t="s">
        <v>522</v>
      </c>
      <c r="P193" s="3">
        <v>46107</v>
      </c>
      <c r="Q193" s="3">
        <v>46108</v>
      </c>
      <c r="R193" s="3">
        <v>46109</v>
      </c>
      <c r="S193" s="3">
        <v>46110</v>
      </c>
      <c r="T193" s="3">
        <v>46111</v>
      </c>
      <c r="U193" s="3">
        <v>46112</v>
      </c>
      <c r="V193" s="3">
        <v>46113</v>
      </c>
      <c r="W193" s="3">
        <v>46114</v>
      </c>
      <c r="X193" s="3">
        <v>46115</v>
      </c>
      <c r="Y193" s="3">
        <v>46116</v>
      </c>
      <c r="Z193" s="3">
        <v>46117</v>
      </c>
      <c r="AA193" s="3">
        <v>46118</v>
      </c>
      <c r="AB193" s="3">
        <v>46119</v>
      </c>
      <c r="AC193" s="3">
        <v>46120</v>
      </c>
      <c r="AD193" s="3">
        <v>46121</v>
      </c>
      <c r="AE193" s="3">
        <v>46122</v>
      </c>
      <c r="AF193" s="3">
        <v>46123</v>
      </c>
      <c r="AG193" s="3">
        <v>46124</v>
      </c>
      <c r="AH193" s="3">
        <v>46125</v>
      </c>
      <c r="AI193" s="3">
        <v>46126</v>
      </c>
      <c r="AJ193" s="3">
        <v>46127</v>
      </c>
      <c r="AK193" s="3">
        <v>46128</v>
      </c>
      <c r="AL193" s="3">
        <v>46129</v>
      </c>
      <c r="AM193" s="3">
        <v>46130</v>
      </c>
      <c r="AN193" s="3">
        <v>46131</v>
      </c>
      <c r="AO193" s="3">
        <v>46132</v>
      </c>
      <c r="AP193" s="3">
        <v>46133</v>
      </c>
      <c r="AQ193" s="3">
        <v>46134</v>
      </c>
      <c r="AR193" s="3">
        <v>46135</v>
      </c>
      <c r="AS193" s="3">
        <v>46136</v>
      </c>
      <c r="AT193" s="3">
        <v>46137</v>
      </c>
      <c r="AU193" s="3">
        <v>46138</v>
      </c>
      <c r="AV193" s="3">
        <v>46139</v>
      </c>
      <c r="AW193" s="3">
        <v>46140</v>
      </c>
      <c r="AX193" s="3">
        <v>46141</v>
      </c>
      <c r="AY193" s="3">
        <v>46142</v>
      </c>
      <c r="AZ193" s="3">
        <v>46143</v>
      </c>
      <c r="BA193" s="3">
        <v>46144</v>
      </c>
      <c r="BB193" s="3">
        <v>46145</v>
      </c>
      <c r="BC193" s="3">
        <v>46146</v>
      </c>
      <c r="BD193" s="3">
        <v>46147</v>
      </c>
      <c r="BE193" s="3">
        <v>46148</v>
      </c>
      <c r="BF193" s="3">
        <v>46149</v>
      </c>
      <c r="BG193" s="3">
        <v>46150</v>
      </c>
      <c r="BH193" s="3">
        <v>46151</v>
      </c>
      <c r="BI193" s="3">
        <v>46152</v>
      </c>
      <c r="BJ193" s="3">
        <v>46153</v>
      </c>
      <c r="BK193" s="3">
        <v>46154</v>
      </c>
      <c r="BL193" s="3">
        <v>46155</v>
      </c>
      <c r="BM193" s="3">
        <v>46156</v>
      </c>
      <c r="BN193" s="3">
        <v>46157</v>
      </c>
      <c r="BO193" s="3">
        <v>46158</v>
      </c>
      <c r="BP193" s="3">
        <v>46159</v>
      </c>
      <c r="BQ193" s="3">
        <v>46160</v>
      </c>
      <c r="BR193" s="3">
        <v>46161</v>
      </c>
      <c r="BS193" s="3">
        <v>46162</v>
      </c>
      <c r="BT193" s="3">
        <v>46163</v>
      </c>
      <c r="BU193" s="3">
        <v>46164</v>
      </c>
      <c r="BV193" s="3">
        <v>46165</v>
      </c>
      <c r="BW193" s="3">
        <v>46166</v>
      </c>
      <c r="BX193" s="3">
        <v>46167</v>
      </c>
      <c r="BY193" s="3">
        <v>46168</v>
      </c>
      <c r="BZ193" s="3">
        <v>46169</v>
      </c>
      <c r="CA193" s="3">
        <v>46170</v>
      </c>
      <c r="CB193" s="3">
        <v>46171</v>
      </c>
      <c r="CC193" s="3">
        <v>46172</v>
      </c>
      <c r="CD193" s="3">
        <v>46173</v>
      </c>
      <c r="CE193" s="3">
        <v>46174</v>
      </c>
      <c r="CF193" s="3">
        <v>46175</v>
      </c>
      <c r="CG193" s="3">
        <v>46176</v>
      </c>
      <c r="CH193" s="3">
        <v>46177</v>
      </c>
      <c r="CI193" s="3">
        <v>46178</v>
      </c>
      <c r="CJ193" s="3">
        <v>46179</v>
      </c>
      <c r="CK193" s="3">
        <v>46180</v>
      </c>
      <c r="CL193" s="3">
        <v>46181</v>
      </c>
      <c r="CM193" s="3">
        <v>46182</v>
      </c>
      <c r="CN193" s="3">
        <v>46183</v>
      </c>
      <c r="CO193" s="3">
        <v>46184</v>
      </c>
      <c r="CP193" s="3">
        <v>46185</v>
      </c>
      <c r="CQ193" s="3">
        <v>46186</v>
      </c>
      <c r="CR193" s="3">
        <v>46187</v>
      </c>
      <c r="CS193" s="3">
        <v>46188</v>
      </c>
      <c r="CT193" s="3">
        <v>46189</v>
      </c>
      <c r="CU193" s="3">
        <v>46190</v>
      </c>
      <c r="CV193" s="3">
        <v>46191</v>
      </c>
      <c r="CW193" s="3">
        <v>46192</v>
      </c>
      <c r="CX193" s="3">
        <v>46193</v>
      </c>
      <c r="CY193" s="3">
        <v>46194</v>
      </c>
      <c r="CZ193" s="3">
        <v>46195</v>
      </c>
      <c r="DA193" s="3">
        <v>46196</v>
      </c>
      <c r="DB193" s="3">
        <v>46197</v>
      </c>
      <c r="DC193" s="3">
        <v>46198</v>
      </c>
      <c r="DD193" s="3">
        <v>46199</v>
      </c>
      <c r="DE193" s="3">
        <v>46200</v>
      </c>
      <c r="DF193" s="3">
        <v>46201</v>
      </c>
      <c r="DG193" s="3">
        <v>46202</v>
      </c>
      <c r="DH193" s="3">
        <v>46203</v>
      </c>
      <c r="DI193" s="3">
        <v>46204</v>
      </c>
      <c r="DJ193" s="3">
        <v>46205</v>
      </c>
      <c r="DK193" s="3">
        <v>46206</v>
      </c>
      <c r="DL193" s="3">
        <v>46207</v>
      </c>
      <c r="DM193" s="3">
        <v>46208</v>
      </c>
      <c r="DN193" s="3">
        <v>46209</v>
      </c>
      <c r="DO193" s="3">
        <v>46210</v>
      </c>
      <c r="DP193" s="3">
        <v>46211</v>
      </c>
      <c r="DQ193" s="3">
        <v>46212</v>
      </c>
      <c r="DR193" s="3">
        <v>46213</v>
      </c>
      <c r="DS193" s="3">
        <v>46214</v>
      </c>
      <c r="DT193" s="3">
        <v>46215</v>
      </c>
      <c r="DU193" s="3">
        <v>46216</v>
      </c>
      <c r="DV193" s="3">
        <v>46217</v>
      </c>
      <c r="DW193" s="3">
        <v>46218</v>
      </c>
      <c r="DX193" s="3">
        <v>46219</v>
      </c>
      <c r="DY193" s="3">
        <v>46220</v>
      </c>
      <c r="DZ193" s="3">
        <v>46221</v>
      </c>
      <c r="EA193" s="3">
        <v>46222</v>
      </c>
      <c r="EB193" s="3">
        <v>46223</v>
      </c>
      <c r="EC193" s="3">
        <v>46224</v>
      </c>
      <c r="ED193" s="3">
        <v>46225</v>
      </c>
      <c r="EE193" s="3">
        <v>46226</v>
      </c>
      <c r="EF193" s="3">
        <v>46227</v>
      </c>
      <c r="EG193" s="3">
        <v>46228</v>
      </c>
      <c r="EH193" s="3">
        <v>46229</v>
      </c>
      <c r="EI193" s="3">
        <v>46230</v>
      </c>
      <c r="EJ193" s="3">
        <v>46231</v>
      </c>
      <c r="EK193" s="3">
        <v>46232</v>
      </c>
      <c r="EL193" s="3">
        <v>46233</v>
      </c>
      <c r="EM193" s="3">
        <v>46234</v>
      </c>
      <c r="EN193" s="3">
        <v>46235</v>
      </c>
      <c r="EO193" s="3">
        <v>46236</v>
      </c>
      <c r="EP193" s="3">
        <v>46237</v>
      </c>
      <c r="EQ193" s="3">
        <v>46238</v>
      </c>
      <c r="ER193" s="3">
        <v>46239</v>
      </c>
      <c r="ES193" s="3">
        <v>46240</v>
      </c>
      <c r="ET193" s="3">
        <v>46241</v>
      </c>
      <c r="EU193" s="3">
        <v>46242</v>
      </c>
      <c r="EV193" s="3">
        <v>46243</v>
      </c>
      <c r="EW193" s="3">
        <v>46244</v>
      </c>
      <c r="EX193" s="3">
        <v>46245</v>
      </c>
      <c r="EY193" s="3">
        <v>46246</v>
      </c>
      <c r="EZ193" s="3">
        <v>46247</v>
      </c>
      <c r="FA193" s="3">
        <v>46248</v>
      </c>
      <c r="FB193" s="3">
        <v>46249</v>
      </c>
      <c r="FC193" s="3">
        <v>46250</v>
      </c>
      <c r="FD193" s="3">
        <v>46251</v>
      </c>
      <c r="FE193" s="3">
        <v>46252</v>
      </c>
      <c r="FF193" s="3">
        <v>46253</v>
      </c>
      <c r="FG193" s="3">
        <v>46254</v>
      </c>
      <c r="FH193" s="3">
        <v>46255</v>
      </c>
      <c r="FI193" s="3">
        <v>46256</v>
      </c>
      <c r="FJ193" s="3">
        <v>46257</v>
      </c>
      <c r="FK193" s="3">
        <v>46258</v>
      </c>
      <c r="FL193" s="3">
        <v>46259</v>
      </c>
      <c r="FM193" s="3">
        <v>46260</v>
      </c>
      <c r="FN193" s="3">
        <v>46261</v>
      </c>
      <c r="FO193" s="3">
        <v>46262</v>
      </c>
      <c r="FP193" s="3">
        <v>46263</v>
      </c>
      <c r="FQ193" s="3">
        <v>46264</v>
      </c>
      <c r="FR193" s="3">
        <v>46265</v>
      </c>
      <c r="FS193" s="3">
        <v>46266</v>
      </c>
      <c r="FT193" s="3">
        <v>46267</v>
      </c>
      <c r="FU193" s="3">
        <v>46268</v>
      </c>
      <c r="FV193" s="3">
        <v>46269</v>
      </c>
      <c r="FW193" s="3">
        <v>46270</v>
      </c>
      <c r="FX193" s="3">
        <v>46271</v>
      </c>
      <c r="FY193" s="3">
        <v>46272</v>
      </c>
      <c r="FZ193" s="3">
        <v>46273</v>
      </c>
      <c r="GA193" s="3">
        <v>46274</v>
      </c>
      <c r="GB193" s="3">
        <v>46275</v>
      </c>
      <c r="GC193" s="3">
        <v>46276</v>
      </c>
      <c r="GD193" s="3">
        <v>46277</v>
      </c>
      <c r="GE193" s="3">
        <v>46278</v>
      </c>
      <c r="GF193" s="3">
        <v>46279</v>
      </c>
      <c r="GG193" s="3">
        <v>46280</v>
      </c>
      <c r="GH193" s="3">
        <v>46281</v>
      </c>
      <c r="GI193" s="3">
        <v>46282</v>
      </c>
      <c r="GJ193" s="3">
        <v>46283</v>
      </c>
      <c r="GK193" s="3">
        <v>46284</v>
      </c>
      <c r="GL193" s="3">
        <v>46285</v>
      </c>
      <c r="GM193" s="3">
        <v>46286</v>
      </c>
      <c r="GN193" s="3">
        <v>46287</v>
      </c>
      <c r="GO193" s="3">
        <v>46288</v>
      </c>
      <c r="GP193" s="3">
        <v>46289</v>
      </c>
      <c r="GQ193" s="3">
        <v>46290</v>
      </c>
      <c r="GR193" s="3">
        <v>46291</v>
      </c>
      <c r="GS193" s="3">
        <v>46292</v>
      </c>
      <c r="GT193" s="3">
        <v>46293</v>
      </c>
      <c r="GU193" s="3">
        <v>46294</v>
      </c>
      <c r="GV193" s="3">
        <v>46295</v>
      </c>
      <c r="GW193" s="3">
        <v>46296</v>
      </c>
      <c r="GX193" s="3">
        <v>46297</v>
      </c>
      <c r="GY193" s="3">
        <v>46298</v>
      </c>
      <c r="GZ193" s="3">
        <v>46299</v>
      </c>
      <c r="HA193" s="3">
        <v>46300</v>
      </c>
      <c r="HB193" s="3">
        <v>46301</v>
      </c>
      <c r="HC193" s="3">
        <v>46302</v>
      </c>
      <c r="HD193" s="3">
        <v>46303</v>
      </c>
      <c r="HE193" s="3">
        <v>46304</v>
      </c>
      <c r="HF193" s="3">
        <v>46305</v>
      </c>
      <c r="HG193" s="3">
        <v>46306</v>
      </c>
      <c r="HH193" s="3">
        <v>46307</v>
      </c>
      <c r="HI193" s="3">
        <v>46308</v>
      </c>
      <c r="HJ193" s="3">
        <v>46309</v>
      </c>
      <c r="HK193" s="3">
        <v>46310</v>
      </c>
      <c r="HL193" s="3">
        <v>46311</v>
      </c>
      <c r="HM193" s="3">
        <v>46312</v>
      </c>
      <c r="HN193" s="3">
        <v>46313</v>
      </c>
      <c r="HO193" s="3">
        <v>46314</v>
      </c>
      <c r="HP193" s="3">
        <v>46315</v>
      </c>
      <c r="HQ193" s="3">
        <v>46316</v>
      </c>
      <c r="HR193" s="3">
        <v>46317</v>
      </c>
      <c r="HS193" s="3">
        <v>46318</v>
      </c>
      <c r="HT193" s="3">
        <v>46319</v>
      </c>
      <c r="HU193" s="3">
        <v>46320</v>
      </c>
      <c r="HV193" s="3">
        <v>46321</v>
      </c>
      <c r="HW193" s="3">
        <v>46322</v>
      </c>
      <c r="HX193" s="3">
        <v>46323</v>
      </c>
      <c r="HY193" s="3">
        <v>46324</v>
      </c>
      <c r="HZ193" s="3">
        <v>46325</v>
      </c>
      <c r="IA193" s="3">
        <v>46326</v>
      </c>
      <c r="IB193" s="3">
        <v>46327</v>
      </c>
      <c r="IC193" s="3">
        <v>46328</v>
      </c>
    </row>
    <row r="194" spans="1:257">
      <c r="A194" s="4" t="s">
        <v>694</v>
      </c>
      <c r="B194" s="82" t="str">
        <f t="array" ref="B194">COLUMNS(_xlfn._xlws.FILTER(P193:HO193, (P195:HO195&lt;&gt;"")+(P197:HO197&lt;&gt;""))) &amp; "場"</f>
        <v>28場</v>
      </c>
      <c r="C194" s="7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 t="s">
        <v>675</v>
      </c>
      <c r="P194" s="3" t="s">
        <v>676</v>
      </c>
      <c r="Q194" s="3" t="s">
        <v>677</v>
      </c>
      <c r="R194" s="3" t="s">
        <v>678</v>
      </c>
      <c r="S194" s="3" t="s">
        <v>679</v>
      </c>
      <c r="T194" s="3" t="s">
        <v>680</v>
      </c>
      <c r="U194" s="3" t="s">
        <v>681</v>
      </c>
      <c r="V194" s="3" t="s">
        <v>682</v>
      </c>
      <c r="W194" s="3" t="s">
        <v>676</v>
      </c>
      <c r="X194" s="3" t="s">
        <v>677</v>
      </c>
      <c r="Y194" s="3" t="s">
        <v>678</v>
      </c>
      <c r="Z194" s="3" t="s">
        <v>679</v>
      </c>
      <c r="AA194" s="3" t="s">
        <v>680</v>
      </c>
      <c r="AB194" s="3" t="s">
        <v>681</v>
      </c>
      <c r="AC194" s="3" t="s">
        <v>682</v>
      </c>
      <c r="AD194" s="3" t="s">
        <v>676</v>
      </c>
      <c r="AE194" s="3" t="s">
        <v>677</v>
      </c>
      <c r="AF194" s="3" t="s">
        <v>678</v>
      </c>
      <c r="AG194" s="3" t="s">
        <v>679</v>
      </c>
      <c r="AH194" s="3" t="s">
        <v>680</v>
      </c>
      <c r="AI194" s="3" t="s">
        <v>681</v>
      </c>
      <c r="AJ194" s="3" t="s">
        <v>682</v>
      </c>
      <c r="AK194" s="3" t="s">
        <v>676</v>
      </c>
      <c r="AL194" s="3" t="s">
        <v>677</v>
      </c>
      <c r="AM194" s="3" t="s">
        <v>678</v>
      </c>
      <c r="AN194" s="3" t="s">
        <v>679</v>
      </c>
      <c r="AO194" s="3" t="s">
        <v>680</v>
      </c>
      <c r="AP194" s="3" t="s">
        <v>681</v>
      </c>
      <c r="AQ194" s="3" t="s">
        <v>682</v>
      </c>
      <c r="AR194" s="3" t="s">
        <v>676</v>
      </c>
      <c r="AS194" s="3" t="s">
        <v>677</v>
      </c>
      <c r="AT194" s="3" t="s">
        <v>678</v>
      </c>
      <c r="AU194" s="3" t="s">
        <v>679</v>
      </c>
      <c r="AV194" s="3" t="s">
        <v>680</v>
      </c>
      <c r="AW194" s="3" t="s">
        <v>681</v>
      </c>
      <c r="AX194" s="3" t="s">
        <v>682</v>
      </c>
      <c r="AY194" s="3" t="s">
        <v>676</v>
      </c>
      <c r="AZ194" s="3" t="s">
        <v>677</v>
      </c>
      <c r="BA194" s="3" t="s">
        <v>678</v>
      </c>
      <c r="BB194" s="3" t="s">
        <v>679</v>
      </c>
      <c r="BC194" s="3" t="s">
        <v>680</v>
      </c>
      <c r="BD194" s="3" t="s">
        <v>681</v>
      </c>
      <c r="BE194" s="3" t="s">
        <v>682</v>
      </c>
      <c r="BF194" s="3" t="s">
        <v>676</v>
      </c>
      <c r="BG194" s="3" t="s">
        <v>677</v>
      </c>
      <c r="BH194" s="3" t="s">
        <v>678</v>
      </c>
      <c r="BI194" s="3" t="s">
        <v>679</v>
      </c>
      <c r="BJ194" s="3" t="s">
        <v>680</v>
      </c>
      <c r="BK194" s="3" t="s">
        <v>681</v>
      </c>
      <c r="BL194" s="3" t="s">
        <v>682</v>
      </c>
      <c r="BM194" s="3" t="s">
        <v>676</v>
      </c>
      <c r="BN194" s="3" t="s">
        <v>677</v>
      </c>
      <c r="BO194" s="3" t="s">
        <v>678</v>
      </c>
      <c r="BP194" s="3" t="s">
        <v>679</v>
      </c>
      <c r="BQ194" s="3" t="s">
        <v>680</v>
      </c>
      <c r="BR194" s="3" t="s">
        <v>681</v>
      </c>
      <c r="BS194" s="3" t="s">
        <v>682</v>
      </c>
      <c r="BT194" s="3" t="s">
        <v>676</v>
      </c>
      <c r="BU194" s="3" t="s">
        <v>677</v>
      </c>
      <c r="BV194" s="3" t="s">
        <v>678</v>
      </c>
      <c r="BW194" s="3" t="s">
        <v>679</v>
      </c>
      <c r="BX194" s="3" t="s">
        <v>680</v>
      </c>
      <c r="BY194" s="3" t="s">
        <v>681</v>
      </c>
      <c r="BZ194" s="3" t="s">
        <v>682</v>
      </c>
      <c r="CA194" s="3" t="s">
        <v>676</v>
      </c>
      <c r="CB194" s="3" t="s">
        <v>677</v>
      </c>
      <c r="CC194" s="3" t="s">
        <v>678</v>
      </c>
      <c r="CD194" s="3" t="s">
        <v>679</v>
      </c>
      <c r="CE194" s="3" t="s">
        <v>680</v>
      </c>
      <c r="CF194" s="3" t="s">
        <v>681</v>
      </c>
      <c r="CG194" s="3" t="s">
        <v>682</v>
      </c>
      <c r="CH194" s="3" t="s">
        <v>676</v>
      </c>
      <c r="CI194" s="3" t="s">
        <v>677</v>
      </c>
      <c r="CJ194" s="3" t="s">
        <v>678</v>
      </c>
      <c r="CK194" s="3" t="s">
        <v>679</v>
      </c>
      <c r="CL194" s="3" t="s">
        <v>680</v>
      </c>
      <c r="CM194" s="3" t="s">
        <v>681</v>
      </c>
      <c r="CN194" s="3" t="s">
        <v>682</v>
      </c>
      <c r="CO194" s="3" t="s">
        <v>676</v>
      </c>
      <c r="CP194" s="3" t="s">
        <v>677</v>
      </c>
      <c r="CQ194" s="3" t="s">
        <v>678</v>
      </c>
      <c r="CR194" s="3" t="s">
        <v>679</v>
      </c>
      <c r="CS194" s="3" t="s">
        <v>680</v>
      </c>
      <c r="CT194" s="3" t="s">
        <v>681</v>
      </c>
      <c r="CU194" s="3" t="s">
        <v>682</v>
      </c>
      <c r="CV194" s="3" t="s">
        <v>676</v>
      </c>
      <c r="CW194" s="3" t="s">
        <v>677</v>
      </c>
      <c r="CX194" s="3" t="s">
        <v>678</v>
      </c>
      <c r="CY194" s="3" t="s">
        <v>679</v>
      </c>
      <c r="CZ194" s="3" t="s">
        <v>680</v>
      </c>
      <c r="DA194" s="3" t="s">
        <v>681</v>
      </c>
      <c r="DB194" s="3" t="s">
        <v>682</v>
      </c>
      <c r="DC194" s="3" t="s">
        <v>676</v>
      </c>
      <c r="DD194" s="3" t="s">
        <v>677</v>
      </c>
      <c r="DE194" s="3" t="s">
        <v>678</v>
      </c>
      <c r="DF194" s="3" t="s">
        <v>679</v>
      </c>
      <c r="DG194" s="3" t="s">
        <v>680</v>
      </c>
      <c r="DH194" s="3" t="s">
        <v>681</v>
      </c>
      <c r="DI194" s="3" t="s">
        <v>682</v>
      </c>
      <c r="DJ194" s="3" t="s">
        <v>676</v>
      </c>
      <c r="DK194" s="3" t="s">
        <v>677</v>
      </c>
      <c r="DL194" s="3" t="s">
        <v>678</v>
      </c>
      <c r="DM194" s="3" t="s">
        <v>679</v>
      </c>
      <c r="DN194" s="3" t="s">
        <v>680</v>
      </c>
      <c r="DO194" s="3" t="s">
        <v>681</v>
      </c>
      <c r="DP194" s="3" t="s">
        <v>682</v>
      </c>
      <c r="DQ194" s="3" t="s">
        <v>676</v>
      </c>
      <c r="DR194" s="3" t="s">
        <v>677</v>
      </c>
      <c r="DS194" s="3" t="s">
        <v>678</v>
      </c>
      <c r="DT194" s="3" t="s">
        <v>679</v>
      </c>
      <c r="DU194" s="3" t="s">
        <v>680</v>
      </c>
      <c r="DV194" s="3" t="s">
        <v>681</v>
      </c>
      <c r="DW194" s="3" t="s">
        <v>682</v>
      </c>
      <c r="DX194" s="3" t="s">
        <v>676</v>
      </c>
      <c r="DY194" s="3" t="s">
        <v>677</v>
      </c>
      <c r="DZ194" s="3" t="s">
        <v>678</v>
      </c>
      <c r="EA194" s="3" t="s">
        <v>679</v>
      </c>
      <c r="EB194" s="3" t="s">
        <v>680</v>
      </c>
      <c r="EC194" s="3" t="s">
        <v>681</v>
      </c>
      <c r="ED194" s="3" t="s">
        <v>682</v>
      </c>
      <c r="EE194" s="3" t="s">
        <v>676</v>
      </c>
      <c r="EF194" s="3" t="s">
        <v>677</v>
      </c>
      <c r="EG194" s="3" t="s">
        <v>678</v>
      </c>
      <c r="EH194" s="3" t="s">
        <v>679</v>
      </c>
      <c r="EI194" s="3" t="s">
        <v>680</v>
      </c>
      <c r="EJ194" s="3" t="s">
        <v>681</v>
      </c>
      <c r="EK194" s="3" t="s">
        <v>682</v>
      </c>
      <c r="EL194" s="3" t="s">
        <v>676</v>
      </c>
      <c r="EM194" s="3" t="s">
        <v>677</v>
      </c>
      <c r="EN194" s="3" t="s">
        <v>678</v>
      </c>
      <c r="EO194" s="3" t="s">
        <v>679</v>
      </c>
      <c r="EP194" s="3" t="s">
        <v>680</v>
      </c>
      <c r="EQ194" s="3" t="s">
        <v>681</v>
      </c>
      <c r="ER194" s="3" t="s">
        <v>682</v>
      </c>
      <c r="ES194" s="3" t="s">
        <v>676</v>
      </c>
      <c r="ET194" s="3" t="s">
        <v>677</v>
      </c>
      <c r="EU194" s="3" t="s">
        <v>678</v>
      </c>
      <c r="EV194" s="3" t="s">
        <v>679</v>
      </c>
      <c r="EW194" s="3" t="s">
        <v>680</v>
      </c>
      <c r="EX194" s="3" t="s">
        <v>681</v>
      </c>
      <c r="EY194" s="3" t="s">
        <v>682</v>
      </c>
      <c r="EZ194" s="3" t="s">
        <v>676</v>
      </c>
      <c r="FA194" s="3" t="s">
        <v>677</v>
      </c>
      <c r="FB194" s="3" t="s">
        <v>678</v>
      </c>
      <c r="FC194" s="3" t="s">
        <v>679</v>
      </c>
      <c r="FD194" s="3" t="s">
        <v>680</v>
      </c>
      <c r="FE194" s="3" t="s">
        <v>681</v>
      </c>
      <c r="FF194" s="3" t="s">
        <v>682</v>
      </c>
      <c r="FG194" s="3" t="s">
        <v>676</v>
      </c>
      <c r="FH194" s="3" t="s">
        <v>677</v>
      </c>
      <c r="FI194" s="3" t="s">
        <v>678</v>
      </c>
      <c r="FJ194" s="3" t="s">
        <v>679</v>
      </c>
      <c r="FK194" s="3" t="s">
        <v>680</v>
      </c>
      <c r="FL194" s="3" t="s">
        <v>681</v>
      </c>
      <c r="FM194" s="3" t="s">
        <v>682</v>
      </c>
      <c r="FN194" s="3" t="s">
        <v>676</v>
      </c>
      <c r="FO194" s="3" t="s">
        <v>677</v>
      </c>
      <c r="FP194" s="3" t="s">
        <v>678</v>
      </c>
      <c r="FQ194" s="3" t="s">
        <v>679</v>
      </c>
      <c r="FR194" s="3" t="s">
        <v>680</v>
      </c>
      <c r="FS194" s="3" t="s">
        <v>681</v>
      </c>
      <c r="FT194" s="3" t="s">
        <v>682</v>
      </c>
      <c r="FU194" s="3" t="s">
        <v>676</v>
      </c>
      <c r="FV194" s="3" t="s">
        <v>677</v>
      </c>
      <c r="FW194" s="3" t="s">
        <v>678</v>
      </c>
      <c r="FX194" s="3" t="s">
        <v>679</v>
      </c>
      <c r="FY194" s="3" t="s">
        <v>680</v>
      </c>
      <c r="FZ194" s="3" t="s">
        <v>681</v>
      </c>
      <c r="GA194" s="3" t="s">
        <v>682</v>
      </c>
      <c r="GB194" s="3" t="s">
        <v>676</v>
      </c>
      <c r="GC194" s="3" t="s">
        <v>677</v>
      </c>
      <c r="GD194" s="3" t="s">
        <v>678</v>
      </c>
      <c r="GE194" s="3" t="s">
        <v>679</v>
      </c>
      <c r="GF194" s="3" t="s">
        <v>680</v>
      </c>
      <c r="GG194" s="3" t="s">
        <v>681</v>
      </c>
      <c r="GH194" s="3" t="s">
        <v>682</v>
      </c>
      <c r="GI194" s="3" t="s">
        <v>676</v>
      </c>
      <c r="GJ194" s="3" t="s">
        <v>677</v>
      </c>
      <c r="GK194" s="3" t="s">
        <v>678</v>
      </c>
      <c r="GL194" s="3" t="s">
        <v>679</v>
      </c>
      <c r="GM194" s="3" t="s">
        <v>680</v>
      </c>
      <c r="GN194" s="3" t="s">
        <v>681</v>
      </c>
      <c r="GO194" s="3" t="s">
        <v>682</v>
      </c>
      <c r="GP194" s="3" t="s">
        <v>676</v>
      </c>
      <c r="GQ194" s="3" t="s">
        <v>677</v>
      </c>
      <c r="GR194" s="3" t="s">
        <v>678</v>
      </c>
      <c r="GS194" s="3" t="s">
        <v>679</v>
      </c>
      <c r="GT194" s="3" t="s">
        <v>680</v>
      </c>
      <c r="GU194" s="3" t="s">
        <v>681</v>
      </c>
      <c r="GV194" s="3" t="s">
        <v>682</v>
      </c>
      <c r="GW194" s="3" t="s">
        <v>676</v>
      </c>
      <c r="GX194" s="3" t="s">
        <v>677</v>
      </c>
      <c r="GY194" s="3" t="s">
        <v>678</v>
      </c>
      <c r="GZ194" s="3" t="s">
        <v>679</v>
      </c>
      <c r="HA194" s="3" t="s">
        <v>680</v>
      </c>
      <c r="HB194" s="3" t="s">
        <v>681</v>
      </c>
      <c r="HC194" s="3" t="s">
        <v>682</v>
      </c>
      <c r="HD194" s="3" t="s">
        <v>676</v>
      </c>
      <c r="HE194" s="3" t="s">
        <v>677</v>
      </c>
      <c r="HF194" s="3" t="s">
        <v>678</v>
      </c>
      <c r="HG194" s="3" t="s">
        <v>679</v>
      </c>
      <c r="HH194" s="3" t="s">
        <v>680</v>
      </c>
      <c r="HI194" s="3" t="s">
        <v>681</v>
      </c>
      <c r="HJ194" s="3" t="s">
        <v>682</v>
      </c>
      <c r="HK194" s="3" t="s">
        <v>676</v>
      </c>
      <c r="HL194" s="3" t="s">
        <v>677</v>
      </c>
      <c r="HM194" s="3" t="s">
        <v>678</v>
      </c>
      <c r="HN194" s="3" t="s">
        <v>679</v>
      </c>
      <c r="HO194" s="3" t="s">
        <v>680</v>
      </c>
      <c r="HP194" s="3" t="s">
        <v>681</v>
      </c>
      <c r="HQ194" s="3" t="s">
        <v>682</v>
      </c>
      <c r="HR194" s="3" t="s">
        <v>676</v>
      </c>
      <c r="HS194" s="3" t="s">
        <v>677</v>
      </c>
      <c r="HT194" s="3" t="s">
        <v>678</v>
      </c>
      <c r="HU194" s="3" t="s">
        <v>679</v>
      </c>
      <c r="HV194" s="3" t="s">
        <v>680</v>
      </c>
      <c r="HW194" s="3" t="s">
        <v>681</v>
      </c>
      <c r="HX194" s="3" t="s">
        <v>682</v>
      </c>
      <c r="HY194" s="3" t="s">
        <v>676</v>
      </c>
      <c r="HZ194" s="3" t="s">
        <v>677</v>
      </c>
      <c r="IA194" s="3" t="s">
        <v>678</v>
      </c>
      <c r="IB194" s="3" t="s">
        <v>679</v>
      </c>
      <c r="IC194" s="3" t="s">
        <v>680</v>
      </c>
    </row>
    <row r="195" spans="1:257">
      <c r="A195" s="82" t="s">
        <v>695</v>
      </c>
      <c r="B195" s="82" t="str">
        <f>COUNTIF(P195:IC195, "W")&amp;"勝"</f>
        <v>13勝</v>
      </c>
      <c r="C195" s="82" t="str">
        <f>COUNTIF(P195:IC195, "L")&amp;"敗"</f>
        <v>15敗</v>
      </c>
      <c r="D195" s="82" t="s">
        <v>696</v>
      </c>
      <c r="E195" s="78"/>
      <c r="F195" s="82" t="s">
        <v>748</v>
      </c>
      <c r="G195" s="78"/>
      <c r="H195" s="78"/>
      <c r="I195" s="78"/>
      <c r="J195" s="78"/>
      <c r="K195" s="78"/>
      <c r="L195" s="78"/>
      <c r="M195" s="82"/>
      <c r="N195" s="78"/>
      <c r="O195" s="1" t="s">
        <v>698</v>
      </c>
      <c r="Q195" t="s">
        <v>699</v>
      </c>
      <c r="S195" t="s">
        <v>700</v>
      </c>
      <c r="T195" t="s">
        <v>699</v>
      </c>
      <c r="U195" t="s">
        <v>699</v>
      </c>
      <c r="V195" t="s">
        <v>700</v>
      </c>
      <c r="W195" t="s">
        <v>700</v>
      </c>
      <c r="Y195" t="s">
        <v>700</v>
      </c>
      <c r="Z195" t="s">
        <v>700</v>
      </c>
      <c r="AA195" t="s">
        <v>700</v>
      </c>
      <c r="AB195" t="s">
        <v>699</v>
      </c>
      <c r="AC195" t="s">
        <v>700</v>
      </c>
      <c r="AD195" t="s">
        <v>700</v>
      </c>
      <c r="AF195" t="s">
        <v>699</v>
      </c>
      <c r="AG195" t="s">
        <v>699</v>
      </c>
      <c r="AH195" t="s">
        <v>699</v>
      </c>
      <c r="AI195" t="s">
        <v>700</v>
      </c>
      <c r="AJ195" t="s">
        <v>699</v>
      </c>
      <c r="AK195" t="s">
        <v>700</v>
      </c>
      <c r="AL195" t="s">
        <v>699</v>
      </c>
      <c r="AM195" t="s">
        <v>700</v>
      </c>
      <c r="AN195" t="s">
        <v>700</v>
      </c>
      <c r="AO195" t="s">
        <v>699</v>
      </c>
      <c r="AP195" t="s">
        <v>700</v>
      </c>
      <c r="AQ195" t="s">
        <v>699</v>
      </c>
      <c r="AS195" t="s">
        <v>700</v>
      </c>
      <c r="AT195" t="s">
        <v>700</v>
      </c>
      <c r="AU195" t="s">
        <v>699</v>
      </c>
      <c r="AV195" t="s">
        <v>699</v>
      </c>
    </row>
    <row r="196" spans="1:257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1" t="s">
        <v>701</v>
      </c>
    </row>
    <row r="197" spans="1:257">
      <c r="A197" s="82" t="s">
        <v>702</v>
      </c>
      <c r="B197" s="82" t="str">
        <f>COUNTIF(P197:IC197, "O")&amp;"正"</f>
        <v>15正</v>
      </c>
      <c r="C197" s="82" t="str">
        <f>COUNTIF(P197:IC197, "X")&amp;"負"</f>
        <v>13負</v>
      </c>
      <c r="D197" s="82" t="s">
        <v>703</v>
      </c>
      <c r="E197" s="78"/>
      <c r="F197" s="82" t="s">
        <v>749</v>
      </c>
      <c r="G197" s="78"/>
      <c r="H197" s="78"/>
      <c r="I197" s="78"/>
      <c r="J197" s="78"/>
      <c r="K197" s="78"/>
      <c r="L197" s="78"/>
      <c r="M197" s="82"/>
      <c r="N197" s="78"/>
      <c r="O197" s="1" t="s">
        <v>705</v>
      </c>
      <c r="Q197" t="s">
        <v>683</v>
      </c>
      <c r="S197" t="s">
        <v>684</v>
      </c>
      <c r="T197" t="s">
        <v>683</v>
      </c>
      <c r="U197" t="s">
        <v>683</v>
      </c>
      <c r="V197" t="s">
        <v>683</v>
      </c>
      <c r="W197" t="s">
        <v>683</v>
      </c>
      <c r="Y197" t="s">
        <v>684</v>
      </c>
      <c r="Z197" t="s">
        <v>684</v>
      </c>
      <c r="AA197" t="s">
        <v>684</v>
      </c>
      <c r="AB197" t="s">
        <v>683</v>
      </c>
      <c r="AC197" t="s">
        <v>684</v>
      </c>
      <c r="AD197" t="s">
        <v>684</v>
      </c>
      <c r="AF197" t="s">
        <v>683</v>
      </c>
      <c r="AG197" t="s">
        <v>683</v>
      </c>
      <c r="AH197" t="s">
        <v>683</v>
      </c>
      <c r="AI197" t="s">
        <v>684</v>
      </c>
      <c r="AJ197" t="s">
        <v>683</v>
      </c>
      <c r="AK197" t="s">
        <v>684</v>
      </c>
      <c r="AL197" t="s">
        <v>683</v>
      </c>
      <c r="AM197" t="s">
        <v>684</v>
      </c>
      <c r="AN197" t="s">
        <v>684</v>
      </c>
      <c r="AO197" t="s">
        <v>683</v>
      </c>
      <c r="AP197" t="s">
        <v>684</v>
      </c>
      <c r="AQ197" t="s">
        <v>683</v>
      </c>
      <c r="AS197" t="s">
        <v>684</v>
      </c>
      <c r="AT197" t="s">
        <v>684</v>
      </c>
      <c r="AU197" t="s">
        <v>683</v>
      </c>
      <c r="AV197" t="s">
        <v>683</v>
      </c>
      <c r="IN197" t="str">
        <f ca="1">IFERROR(INDEX($P197:$IC197,1,_xludf.AGGREGATE(14,6,(COLUMN($P197:$IC197)-COLUMN($P197)+1)/($P197:$IC197&lt;&gt;""),1)),"")</f>
        <v/>
      </c>
      <c r="IO197" t="str">
        <f ca="1">IFERROR(INDEX($P197:$IC197,1,_xludf.AGGREGATE(14,6,(COLUMN($P197:$IC197)-COLUMN($P197)+1)/($P197:$IC197&lt;&gt;""),2)),"")</f>
        <v/>
      </c>
      <c r="IP197" t="str">
        <f ca="1">IFERROR(INDEX($P197:$IC197,1,_xludf.AGGREGATE(14,6,(COLUMN($P197:$IC197)-COLUMN($P197)+1)/($P197:$IC197&lt;&gt;""),3)),"")</f>
        <v/>
      </c>
      <c r="IQ197" t="str">
        <f ca="1">IFERROR(INDEX($P197:$IC197,1,_xludf.AGGREGATE(14,6,(COLUMN($P197:$IC197)-COLUMN($P197)+1)/($P197:$IC197&lt;&gt;""),4)),"")</f>
        <v/>
      </c>
      <c r="IR197" t="str">
        <f ca="1">IFERROR(INDEX($P197:$IC197,1,_xludf.AGGREGATE(14,6,(COLUMN($P197:$IC197)-COLUMN($P197)+1)/($P197:$IC197&lt;&gt;""),5)),"")</f>
        <v/>
      </c>
      <c r="IS197" t="str">
        <f ca="1">IFERROR(INDEX($P197:$IC197,1,_xludf.AGGREGATE(14,6,(COLUMN($P197:$IC197)-COLUMN($P197)+1)/($P197:$IC197&lt;&gt;""),6)),"")</f>
        <v/>
      </c>
      <c r="IT197" t="str">
        <f ca="1">IFERROR(INDEX($P197:$IC197,1,_xludf.AGGREGATE(14,6,(COLUMN($P197:$IC197)-COLUMN($P197)+1)/($P197:$IC197&lt;&gt;""),7)),"")</f>
        <v/>
      </c>
      <c r="IU197" t="str">
        <f ca="1">IFERROR(INDEX($P197:$IC197,1,_xludf.AGGREGATE(14,6,(COLUMN($P197:$IC197)-COLUMN($P197)+1)/($P197:$IC197&lt;&gt;""),8)),"")</f>
        <v/>
      </c>
      <c r="IV197" t="str">
        <f ca="1">IFERROR(INDEX($P197:$IC197,1,_xludf.AGGREGATE(14,6,(COLUMN($P197:$IC197)-COLUMN($P197)+1)/($P197:$IC197&lt;&gt;""),9)),"")</f>
        <v/>
      </c>
      <c r="IW197" t="str">
        <f ca="1">IFERROR(INDEX($P197:$IC197,1,_xludf.AGGREGATE(14,6,(COLUMN($P197:$IC197)-COLUMN($P197)+1)/($P197:$IC197&lt;&gt;""),10)),"")</f>
        <v/>
      </c>
    </row>
    <row r="198" spans="1:257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1" t="s">
        <v>706</v>
      </c>
    </row>
    <row r="199" spans="1:257">
      <c r="A199" s="82" t="s">
        <v>707</v>
      </c>
      <c r="B199" s="77"/>
      <c r="C199" s="77"/>
      <c r="D199" s="82" t="s">
        <v>708</v>
      </c>
      <c r="E199" s="78"/>
      <c r="F199" s="82"/>
      <c r="G199" s="78"/>
      <c r="H199" s="78"/>
      <c r="I199" s="78"/>
      <c r="J199" s="78"/>
      <c r="K199" s="78"/>
      <c r="L199" s="78"/>
      <c r="M199" s="82"/>
      <c r="N199" s="78"/>
      <c r="O199" s="1" t="s">
        <v>709</v>
      </c>
    </row>
    <row r="200" spans="1:257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1" t="s">
        <v>710</v>
      </c>
    </row>
    <row r="201" spans="1:257">
      <c r="A201" s="108" t="s">
        <v>41</v>
      </c>
      <c r="B201" s="78"/>
      <c r="C201" s="78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 t="s">
        <v>674</v>
      </c>
      <c r="P201" s="6">
        <v>1</v>
      </c>
      <c r="Q201" s="6">
        <v>2</v>
      </c>
      <c r="R201" s="6">
        <v>3</v>
      </c>
      <c r="S201" s="6">
        <v>4</v>
      </c>
      <c r="T201" s="6">
        <v>5</v>
      </c>
      <c r="U201" s="6">
        <v>6</v>
      </c>
      <c r="V201" s="6">
        <v>7</v>
      </c>
      <c r="W201" s="6">
        <v>8</v>
      </c>
      <c r="X201" s="6">
        <v>9</v>
      </c>
      <c r="Y201" s="6">
        <v>10</v>
      </c>
      <c r="Z201" s="6">
        <v>11</v>
      </c>
      <c r="AA201" s="6">
        <v>12</v>
      </c>
      <c r="AB201" s="6">
        <v>13</v>
      </c>
      <c r="AC201" s="6">
        <v>14</v>
      </c>
      <c r="AD201" s="6">
        <v>15</v>
      </c>
      <c r="AE201" s="6">
        <v>16</v>
      </c>
      <c r="AF201" s="6">
        <v>17</v>
      </c>
      <c r="AG201" s="6">
        <v>18</v>
      </c>
      <c r="AH201" s="6">
        <v>19</v>
      </c>
      <c r="AI201" s="6">
        <v>20</v>
      </c>
      <c r="AJ201" s="6">
        <v>21</v>
      </c>
      <c r="AK201" s="6">
        <v>22</v>
      </c>
      <c r="AL201" s="6">
        <v>23</v>
      </c>
      <c r="AM201" s="6">
        <v>24</v>
      </c>
      <c r="AN201" s="6">
        <v>25</v>
      </c>
      <c r="AO201" s="6">
        <v>26</v>
      </c>
      <c r="AP201" s="6">
        <v>27</v>
      </c>
      <c r="AQ201" s="6">
        <v>28</v>
      </c>
      <c r="AR201" s="6">
        <v>29</v>
      </c>
      <c r="AS201" s="6">
        <v>30</v>
      </c>
      <c r="AT201" s="6">
        <v>31</v>
      </c>
      <c r="AU201" s="6">
        <v>32</v>
      </c>
      <c r="AV201" s="6">
        <v>33</v>
      </c>
      <c r="AW201" s="6">
        <v>34</v>
      </c>
      <c r="AX201" s="6">
        <v>35</v>
      </c>
      <c r="AY201" s="6">
        <v>36</v>
      </c>
      <c r="AZ201" s="6">
        <v>37</v>
      </c>
      <c r="BA201" s="6">
        <v>38</v>
      </c>
      <c r="BB201" s="6">
        <v>39</v>
      </c>
      <c r="BC201" s="6">
        <v>40</v>
      </c>
      <c r="BD201" s="6">
        <v>41</v>
      </c>
      <c r="BE201" s="6">
        <v>42</v>
      </c>
      <c r="BF201" s="6">
        <v>43</v>
      </c>
      <c r="BG201" s="6">
        <v>44</v>
      </c>
      <c r="BH201" s="6">
        <v>45</v>
      </c>
      <c r="BI201" s="6">
        <v>46</v>
      </c>
      <c r="BJ201" s="6">
        <v>47</v>
      </c>
      <c r="BK201" s="6">
        <v>48</v>
      </c>
      <c r="BL201" s="6">
        <v>49</v>
      </c>
      <c r="BM201" s="6">
        <v>50</v>
      </c>
      <c r="BN201" s="6">
        <v>51</v>
      </c>
      <c r="BO201" s="6">
        <v>52</v>
      </c>
      <c r="BP201" s="6">
        <v>53</v>
      </c>
      <c r="BQ201" s="6">
        <v>54</v>
      </c>
      <c r="BR201" s="6">
        <v>55</v>
      </c>
      <c r="BS201" s="6">
        <v>56</v>
      </c>
      <c r="BT201" s="6">
        <v>57</v>
      </c>
      <c r="BU201" s="6">
        <v>58</v>
      </c>
      <c r="BV201" s="6">
        <v>59</v>
      </c>
      <c r="BW201" s="6">
        <v>60</v>
      </c>
      <c r="BX201" s="6">
        <v>61</v>
      </c>
      <c r="BY201" s="6">
        <v>62</v>
      </c>
      <c r="BZ201" s="6">
        <v>63</v>
      </c>
      <c r="CA201" s="6">
        <v>64</v>
      </c>
      <c r="CB201" s="6">
        <v>65</v>
      </c>
      <c r="CC201" s="6">
        <v>66</v>
      </c>
      <c r="CD201" s="6">
        <v>67</v>
      </c>
      <c r="CE201" s="6">
        <v>68</v>
      </c>
      <c r="CF201" s="6">
        <v>69</v>
      </c>
      <c r="CG201" s="6">
        <v>70</v>
      </c>
      <c r="CH201" s="6">
        <v>71</v>
      </c>
      <c r="CI201" s="6">
        <v>72</v>
      </c>
      <c r="CJ201" s="6">
        <v>73</v>
      </c>
      <c r="CK201" s="6">
        <v>74</v>
      </c>
      <c r="CL201" s="6">
        <v>75</v>
      </c>
      <c r="CM201" s="6">
        <v>76</v>
      </c>
      <c r="CN201" s="6">
        <v>77</v>
      </c>
      <c r="CO201" s="6">
        <v>78</v>
      </c>
      <c r="CP201" s="6">
        <v>79</v>
      </c>
      <c r="CQ201" s="6">
        <v>80</v>
      </c>
      <c r="CR201" s="6">
        <v>81</v>
      </c>
      <c r="CS201" s="6">
        <v>82</v>
      </c>
      <c r="CT201" s="6">
        <v>83</v>
      </c>
      <c r="CU201" s="6">
        <v>84</v>
      </c>
      <c r="CV201" s="6">
        <v>85</v>
      </c>
      <c r="CW201" s="6">
        <v>86</v>
      </c>
      <c r="CX201" s="6">
        <v>87</v>
      </c>
      <c r="CY201" s="6">
        <v>88</v>
      </c>
      <c r="CZ201" s="6">
        <v>89</v>
      </c>
      <c r="DA201" s="6">
        <v>90</v>
      </c>
      <c r="DB201" s="6">
        <v>91</v>
      </c>
      <c r="DC201" s="6">
        <v>92</v>
      </c>
      <c r="DD201" s="6">
        <v>93</v>
      </c>
      <c r="DE201" s="6">
        <v>94</v>
      </c>
      <c r="DF201" s="6">
        <v>95</v>
      </c>
      <c r="DG201" s="6">
        <v>96</v>
      </c>
      <c r="DH201" s="6">
        <v>97</v>
      </c>
      <c r="DI201" s="6">
        <v>98</v>
      </c>
      <c r="DJ201" s="6">
        <v>99</v>
      </c>
      <c r="DK201" s="6">
        <v>100</v>
      </c>
      <c r="DL201" s="6">
        <v>101</v>
      </c>
      <c r="DM201" s="6">
        <v>102</v>
      </c>
      <c r="DN201" s="6">
        <v>103</v>
      </c>
      <c r="DO201" s="6">
        <v>104</v>
      </c>
      <c r="DP201" s="6">
        <v>105</v>
      </c>
      <c r="DQ201" s="6">
        <v>106</v>
      </c>
      <c r="DR201" s="6">
        <v>107</v>
      </c>
      <c r="DS201" s="6">
        <v>108</v>
      </c>
      <c r="DT201" s="6">
        <v>109</v>
      </c>
      <c r="DU201" s="6">
        <v>110</v>
      </c>
      <c r="DV201" s="6">
        <v>111</v>
      </c>
      <c r="DW201" s="6">
        <v>112</v>
      </c>
      <c r="DX201" s="6">
        <v>113</v>
      </c>
      <c r="DY201" s="6">
        <v>114</v>
      </c>
      <c r="DZ201" s="6">
        <v>115</v>
      </c>
      <c r="EA201" s="6">
        <v>116</v>
      </c>
      <c r="EB201" s="6">
        <v>117</v>
      </c>
      <c r="EC201" s="6">
        <v>118</v>
      </c>
      <c r="ED201" s="6">
        <v>119</v>
      </c>
      <c r="EE201" s="6">
        <v>120</v>
      </c>
      <c r="EF201" s="6">
        <v>121</v>
      </c>
      <c r="EG201" s="6">
        <v>122</v>
      </c>
      <c r="EH201" s="6">
        <v>123</v>
      </c>
      <c r="EI201" s="6">
        <v>124</v>
      </c>
      <c r="EJ201" s="6">
        <v>125</v>
      </c>
      <c r="EK201" s="6">
        <v>126</v>
      </c>
      <c r="EL201" s="6">
        <v>127</v>
      </c>
      <c r="EM201" s="6">
        <v>128</v>
      </c>
      <c r="EN201" s="6">
        <v>129</v>
      </c>
      <c r="EO201" s="6">
        <v>130</v>
      </c>
      <c r="EP201" s="6">
        <v>131</v>
      </c>
      <c r="EQ201" s="6">
        <v>132</v>
      </c>
      <c r="ER201" s="6">
        <v>133</v>
      </c>
      <c r="ES201" s="6">
        <v>134</v>
      </c>
      <c r="ET201" s="6">
        <v>135</v>
      </c>
      <c r="EU201" s="6">
        <v>136</v>
      </c>
      <c r="EV201" s="6">
        <v>137</v>
      </c>
      <c r="EW201" s="6">
        <v>138</v>
      </c>
      <c r="EX201" s="6">
        <v>139</v>
      </c>
      <c r="EY201" s="6">
        <v>140</v>
      </c>
      <c r="EZ201" s="6">
        <v>141</v>
      </c>
      <c r="FA201" s="6">
        <v>142</v>
      </c>
      <c r="FB201" s="6">
        <v>143</v>
      </c>
      <c r="FC201" s="6">
        <v>144</v>
      </c>
      <c r="FD201" s="6">
        <v>145</v>
      </c>
      <c r="FE201" s="6">
        <v>146</v>
      </c>
      <c r="FF201" s="6">
        <v>147</v>
      </c>
      <c r="FG201" s="6">
        <v>148</v>
      </c>
      <c r="FH201" s="6">
        <v>149</v>
      </c>
      <c r="FI201" s="6">
        <v>150</v>
      </c>
      <c r="FJ201" s="6">
        <v>151</v>
      </c>
      <c r="FK201" s="6">
        <v>152</v>
      </c>
      <c r="FL201" s="6">
        <v>153</v>
      </c>
      <c r="FM201" s="6">
        <v>154</v>
      </c>
      <c r="FN201" s="6">
        <v>155</v>
      </c>
      <c r="FO201" s="6">
        <v>156</v>
      </c>
      <c r="FP201" s="6">
        <v>157</v>
      </c>
      <c r="FQ201" s="6">
        <v>158</v>
      </c>
      <c r="FR201" s="6">
        <v>159</v>
      </c>
      <c r="FS201" s="6">
        <v>160</v>
      </c>
      <c r="FT201" s="6">
        <v>161</v>
      </c>
      <c r="FU201" s="6">
        <v>162</v>
      </c>
      <c r="FV201" s="6">
        <v>163</v>
      </c>
      <c r="FW201" s="6">
        <v>164</v>
      </c>
      <c r="FX201" s="6">
        <v>165</v>
      </c>
      <c r="FY201" s="6">
        <v>166</v>
      </c>
      <c r="FZ201" s="6">
        <v>167</v>
      </c>
      <c r="GA201" s="6">
        <v>168</v>
      </c>
      <c r="GB201" s="6">
        <v>169</v>
      </c>
      <c r="GC201" s="6">
        <v>170</v>
      </c>
      <c r="GD201" s="6">
        <v>171</v>
      </c>
      <c r="GE201" s="6">
        <v>172</v>
      </c>
      <c r="GF201" s="6">
        <v>173</v>
      </c>
      <c r="GG201" s="6">
        <v>174</v>
      </c>
      <c r="GH201" s="6">
        <v>175</v>
      </c>
      <c r="GI201" s="6">
        <v>176</v>
      </c>
      <c r="GJ201" s="6">
        <v>177</v>
      </c>
      <c r="GK201" s="6">
        <v>178</v>
      </c>
      <c r="GL201" s="6">
        <v>179</v>
      </c>
      <c r="GM201" s="6">
        <v>180</v>
      </c>
      <c r="GN201" s="6">
        <v>181</v>
      </c>
      <c r="GO201" s="6">
        <v>182</v>
      </c>
      <c r="GP201" s="6">
        <v>183</v>
      </c>
      <c r="GQ201" s="6">
        <v>184</v>
      </c>
      <c r="GR201" s="6">
        <v>185</v>
      </c>
      <c r="GS201" s="6">
        <v>186</v>
      </c>
      <c r="GT201" s="6">
        <v>187</v>
      </c>
      <c r="GU201" s="6">
        <v>188</v>
      </c>
      <c r="GV201" s="6">
        <v>189</v>
      </c>
      <c r="GW201" s="6">
        <v>190</v>
      </c>
      <c r="GX201" s="6">
        <v>191</v>
      </c>
      <c r="GY201" s="6">
        <v>192</v>
      </c>
      <c r="GZ201" s="6">
        <v>193</v>
      </c>
      <c r="HA201" s="6">
        <v>194</v>
      </c>
      <c r="HB201" s="6">
        <v>195</v>
      </c>
      <c r="HC201" s="6">
        <v>196</v>
      </c>
      <c r="HD201" s="6">
        <v>197</v>
      </c>
      <c r="HE201" s="6">
        <v>198</v>
      </c>
      <c r="HF201" s="6">
        <v>199</v>
      </c>
      <c r="HG201" s="6">
        <v>200</v>
      </c>
      <c r="HH201" s="6">
        <v>201</v>
      </c>
      <c r="HI201" s="6">
        <v>202</v>
      </c>
      <c r="HJ201" s="6">
        <v>203</v>
      </c>
      <c r="HK201" s="6">
        <v>204</v>
      </c>
      <c r="HL201" s="6">
        <v>205</v>
      </c>
      <c r="HM201" s="6">
        <v>206</v>
      </c>
      <c r="HN201" s="6">
        <v>207</v>
      </c>
      <c r="HO201" s="6">
        <v>208</v>
      </c>
      <c r="HP201" s="6">
        <v>209</v>
      </c>
      <c r="HQ201" s="6">
        <v>210</v>
      </c>
      <c r="HR201" s="6">
        <v>211</v>
      </c>
      <c r="HS201" s="6">
        <v>212</v>
      </c>
      <c r="HT201" s="6">
        <v>213</v>
      </c>
      <c r="HU201" s="6">
        <v>214</v>
      </c>
      <c r="HV201" s="6">
        <v>215</v>
      </c>
      <c r="HW201" s="6">
        <v>216</v>
      </c>
      <c r="HX201" s="6">
        <v>217</v>
      </c>
      <c r="HY201" s="6">
        <v>218</v>
      </c>
      <c r="HZ201" s="6">
        <v>219</v>
      </c>
      <c r="IA201" s="6">
        <v>220</v>
      </c>
      <c r="IB201" s="6">
        <v>221</v>
      </c>
      <c r="IC201" s="6">
        <v>222</v>
      </c>
    </row>
    <row r="202" spans="1:257">
      <c r="A202" s="78"/>
      <c r="B202" s="78"/>
      <c r="C202" s="78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5"/>
      <c r="P202" s="51" t="s">
        <v>41</v>
      </c>
      <c r="Q202" s="51" t="s">
        <v>41</v>
      </c>
      <c r="R202" s="51" t="s">
        <v>41</v>
      </c>
      <c r="S202" s="51" t="s">
        <v>41</v>
      </c>
      <c r="T202" s="51" t="s">
        <v>41</v>
      </c>
      <c r="U202" s="51" t="s">
        <v>41</v>
      </c>
      <c r="V202" s="51" t="s">
        <v>41</v>
      </c>
      <c r="W202" s="51" t="s">
        <v>41</v>
      </c>
      <c r="X202" s="51" t="s">
        <v>41</v>
      </c>
      <c r="Y202" s="51" t="s">
        <v>41</v>
      </c>
      <c r="Z202" s="51" t="s">
        <v>41</v>
      </c>
      <c r="AA202" s="51" t="s">
        <v>41</v>
      </c>
      <c r="AB202" s="51" t="s">
        <v>41</v>
      </c>
      <c r="AC202" s="51" t="s">
        <v>41</v>
      </c>
      <c r="AD202" s="51" t="s">
        <v>41</v>
      </c>
      <c r="AE202" s="51" t="s">
        <v>41</v>
      </c>
      <c r="AF202" s="51" t="s">
        <v>41</v>
      </c>
      <c r="AG202" s="51" t="s">
        <v>41</v>
      </c>
      <c r="AH202" s="51" t="s">
        <v>41</v>
      </c>
      <c r="AI202" s="51" t="s">
        <v>41</v>
      </c>
      <c r="AJ202" s="51" t="s">
        <v>41</v>
      </c>
      <c r="AK202" s="51" t="s">
        <v>41</v>
      </c>
      <c r="AL202" s="51" t="s">
        <v>41</v>
      </c>
      <c r="AM202" s="51" t="s">
        <v>41</v>
      </c>
      <c r="AN202" s="51" t="s">
        <v>41</v>
      </c>
      <c r="AO202" s="51" t="s">
        <v>41</v>
      </c>
      <c r="AP202" s="51" t="s">
        <v>41</v>
      </c>
      <c r="AQ202" s="51" t="s">
        <v>41</v>
      </c>
      <c r="AR202" s="51" t="s">
        <v>41</v>
      </c>
      <c r="AS202" s="51" t="s">
        <v>41</v>
      </c>
      <c r="AT202" s="51" t="s">
        <v>41</v>
      </c>
      <c r="AU202" s="51" t="s">
        <v>41</v>
      </c>
      <c r="AV202" s="51" t="s">
        <v>41</v>
      </c>
      <c r="AW202" s="51" t="s">
        <v>41</v>
      </c>
      <c r="AX202" s="51" t="s">
        <v>41</v>
      </c>
      <c r="AY202" s="51" t="s">
        <v>41</v>
      </c>
      <c r="AZ202" s="51" t="s">
        <v>41</v>
      </c>
      <c r="BA202" s="51" t="s">
        <v>41</v>
      </c>
      <c r="BB202" s="51" t="s">
        <v>41</v>
      </c>
      <c r="BC202" s="51" t="s">
        <v>41</v>
      </c>
      <c r="BD202" s="51" t="s">
        <v>41</v>
      </c>
      <c r="BE202" s="51" t="s">
        <v>41</v>
      </c>
      <c r="BF202" s="51" t="s">
        <v>41</v>
      </c>
      <c r="BG202" s="51" t="s">
        <v>41</v>
      </c>
      <c r="BH202" s="51" t="s">
        <v>41</v>
      </c>
      <c r="BI202" s="51" t="s">
        <v>41</v>
      </c>
      <c r="BJ202" s="51" t="s">
        <v>41</v>
      </c>
      <c r="BK202" s="51" t="s">
        <v>41</v>
      </c>
      <c r="BL202" s="51" t="s">
        <v>41</v>
      </c>
      <c r="BM202" s="51" t="s">
        <v>41</v>
      </c>
      <c r="BN202" s="51" t="s">
        <v>41</v>
      </c>
      <c r="BO202" s="51" t="s">
        <v>41</v>
      </c>
      <c r="BP202" s="51" t="s">
        <v>41</v>
      </c>
      <c r="BQ202" s="51" t="s">
        <v>41</v>
      </c>
      <c r="BR202" s="51" t="s">
        <v>41</v>
      </c>
      <c r="BS202" s="51" t="s">
        <v>41</v>
      </c>
      <c r="BT202" s="51" t="s">
        <v>41</v>
      </c>
      <c r="BU202" s="51" t="s">
        <v>41</v>
      </c>
      <c r="BV202" s="51" t="s">
        <v>41</v>
      </c>
      <c r="BW202" s="51" t="s">
        <v>41</v>
      </c>
      <c r="BX202" s="51" t="s">
        <v>41</v>
      </c>
      <c r="BY202" s="51" t="s">
        <v>41</v>
      </c>
      <c r="BZ202" s="51" t="s">
        <v>41</v>
      </c>
      <c r="CA202" s="51" t="s">
        <v>41</v>
      </c>
      <c r="CB202" s="51" t="s">
        <v>41</v>
      </c>
      <c r="CC202" s="51" t="s">
        <v>41</v>
      </c>
      <c r="CD202" s="51" t="s">
        <v>41</v>
      </c>
      <c r="CE202" s="51" t="s">
        <v>41</v>
      </c>
      <c r="CF202" s="51" t="s">
        <v>41</v>
      </c>
      <c r="CG202" s="51" t="s">
        <v>41</v>
      </c>
      <c r="CH202" s="51" t="s">
        <v>41</v>
      </c>
      <c r="CI202" s="51" t="s">
        <v>41</v>
      </c>
      <c r="CJ202" s="51" t="s">
        <v>41</v>
      </c>
      <c r="CK202" s="51" t="s">
        <v>41</v>
      </c>
      <c r="CL202" s="51" t="s">
        <v>41</v>
      </c>
      <c r="CM202" s="51" t="s">
        <v>41</v>
      </c>
      <c r="CN202" s="51" t="s">
        <v>41</v>
      </c>
      <c r="CO202" s="51" t="s">
        <v>41</v>
      </c>
      <c r="CP202" s="51" t="s">
        <v>41</v>
      </c>
      <c r="CQ202" s="51" t="s">
        <v>41</v>
      </c>
      <c r="CR202" s="51" t="s">
        <v>41</v>
      </c>
      <c r="CS202" s="51" t="s">
        <v>41</v>
      </c>
      <c r="CT202" s="51" t="s">
        <v>41</v>
      </c>
      <c r="CU202" s="51" t="s">
        <v>41</v>
      </c>
      <c r="CV202" s="51" t="s">
        <v>41</v>
      </c>
      <c r="CW202" s="51" t="s">
        <v>41</v>
      </c>
      <c r="CX202" s="51" t="s">
        <v>41</v>
      </c>
      <c r="CY202" s="51" t="s">
        <v>41</v>
      </c>
      <c r="CZ202" s="51" t="s">
        <v>41</v>
      </c>
      <c r="DA202" s="51" t="s">
        <v>41</v>
      </c>
      <c r="DB202" s="51" t="s">
        <v>41</v>
      </c>
      <c r="DC202" s="51" t="s">
        <v>41</v>
      </c>
      <c r="DD202" s="51" t="s">
        <v>41</v>
      </c>
      <c r="DE202" s="51" t="s">
        <v>41</v>
      </c>
      <c r="DF202" s="51" t="s">
        <v>41</v>
      </c>
      <c r="DG202" s="51" t="s">
        <v>41</v>
      </c>
      <c r="DH202" s="51" t="s">
        <v>41</v>
      </c>
      <c r="DI202" s="51" t="s">
        <v>41</v>
      </c>
      <c r="DJ202" s="51" t="s">
        <v>41</v>
      </c>
      <c r="DK202" s="51" t="s">
        <v>41</v>
      </c>
      <c r="DL202" s="51" t="s">
        <v>41</v>
      </c>
      <c r="DM202" s="51" t="s">
        <v>41</v>
      </c>
      <c r="DN202" s="51" t="s">
        <v>41</v>
      </c>
      <c r="DO202" s="51" t="s">
        <v>41</v>
      </c>
      <c r="DP202" s="51" t="s">
        <v>41</v>
      </c>
      <c r="DQ202" s="51" t="s">
        <v>41</v>
      </c>
      <c r="DR202" s="51" t="s">
        <v>41</v>
      </c>
      <c r="DS202" s="51" t="s">
        <v>41</v>
      </c>
      <c r="DT202" s="51" t="s">
        <v>41</v>
      </c>
      <c r="DU202" s="51" t="s">
        <v>41</v>
      </c>
      <c r="DV202" s="51" t="s">
        <v>41</v>
      </c>
      <c r="DW202" s="51" t="s">
        <v>41</v>
      </c>
      <c r="DX202" s="51" t="s">
        <v>41</v>
      </c>
      <c r="DY202" s="51" t="s">
        <v>41</v>
      </c>
      <c r="DZ202" s="51" t="s">
        <v>41</v>
      </c>
      <c r="EA202" s="51" t="s">
        <v>41</v>
      </c>
      <c r="EB202" s="51" t="s">
        <v>41</v>
      </c>
      <c r="EC202" s="51" t="s">
        <v>41</v>
      </c>
      <c r="ED202" s="51" t="s">
        <v>41</v>
      </c>
      <c r="EE202" s="51" t="s">
        <v>41</v>
      </c>
      <c r="EF202" s="51" t="s">
        <v>41</v>
      </c>
      <c r="EG202" s="51" t="s">
        <v>41</v>
      </c>
      <c r="EH202" s="51" t="s">
        <v>41</v>
      </c>
      <c r="EI202" s="51" t="s">
        <v>41</v>
      </c>
      <c r="EJ202" s="51" t="s">
        <v>41</v>
      </c>
      <c r="EK202" s="51" t="s">
        <v>41</v>
      </c>
      <c r="EL202" s="51" t="s">
        <v>41</v>
      </c>
      <c r="EM202" s="51" t="s">
        <v>41</v>
      </c>
      <c r="EN202" s="51" t="s">
        <v>41</v>
      </c>
      <c r="EO202" s="51" t="s">
        <v>41</v>
      </c>
      <c r="EP202" s="51" t="s">
        <v>41</v>
      </c>
      <c r="EQ202" s="51" t="s">
        <v>41</v>
      </c>
      <c r="ER202" s="51" t="s">
        <v>41</v>
      </c>
      <c r="ES202" s="51" t="s">
        <v>41</v>
      </c>
      <c r="ET202" s="51" t="s">
        <v>41</v>
      </c>
      <c r="EU202" s="51" t="s">
        <v>41</v>
      </c>
      <c r="EV202" s="51" t="s">
        <v>41</v>
      </c>
      <c r="EW202" s="51" t="s">
        <v>41</v>
      </c>
      <c r="EX202" s="51" t="s">
        <v>41</v>
      </c>
      <c r="EY202" s="51" t="s">
        <v>41</v>
      </c>
      <c r="EZ202" s="51" t="s">
        <v>41</v>
      </c>
      <c r="FA202" s="51" t="s">
        <v>41</v>
      </c>
      <c r="FB202" s="51" t="s">
        <v>41</v>
      </c>
      <c r="FC202" s="51" t="s">
        <v>41</v>
      </c>
      <c r="FD202" s="51" t="s">
        <v>41</v>
      </c>
      <c r="FE202" s="51" t="s">
        <v>41</v>
      </c>
      <c r="FF202" s="51" t="s">
        <v>41</v>
      </c>
      <c r="FG202" s="51" t="s">
        <v>41</v>
      </c>
      <c r="FH202" s="51" t="s">
        <v>41</v>
      </c>
      <c r="FI202" s="51" t="s">
        <v>41</v>
      </c>
      <c r="FJ202" s="51" t="s">
        <v>41</v>
      </c>
      <c r="FK202" s="51" t="s">
        <v>41</v>
      </c>
      <c r="FL202" s="51" t="s">
        <v>41</v>
      </c>
      <c r="FM202" s="51" t="s">
        <v>41</v>
      </c>
      <c r="FN202" s="51" t="s">
        <v>41</v>
      </c>
      <c r="FO202" s="51" t="s">
        <v>41</v>
      </c>
      <c r="FP202" s="51" t="s">
        <v>41</v>
      </c>
      <c r="FQ202" s="51" t="s">
        <v>41</v>
      </c>
      <c r="FR202" s="51" t="s">
        <v>41</v>
      </c>
      <c r="FS202" s="51" t="s">
        <v>41</v>
      </c>
      <c r="FT202" s="51" t="s">
        <v>41</v>
      </c>
      <c r="FU202" s="51" t="s">
        <v>41</v>
      </c>
      <c r="FV202" s="51" t="s">
        <v>41</v>
      </c>
      <c r="FW202" s="51" t="s">
        <v>41</v>
      </c>
      <c r="FX202" s="51" t="s">
        <v>41</v>
      </c>
      <c r="FY202" s="51" t="s">
        <v>41</v>
      </c>
      <c r="FZ202" s="51" t="s">
        <v>41</v>
      </c>
      <c r="GA202" s="51" t="s">
        <v>41</v>
      </c>
      <c r="GB202" s="51" t="s">
        <v>41</v>
      </c>
      <c r="GC202" s="51" t="s">
        <v>41</v>
      </c>
      <c r="GD202" s="51" t="s">
        <v>41</v>
      </c>
      <c r="GE202" s="51" t="s">
        <v>41</v>
      </c>
      <c r="GF202" s="51" t="s">
        <v>41</v>
      </c>
      <c r="GG202" s="51" t="s">
        <v>41</v>
      </c>
      <c r="GH202" s="51" t="s">
        <v>41</v>
      </c>
      <c r="GI202" s="51" t="s">
        <v>41</v>
      </c>
      <c r="GJ202" s="51" t="s">
        <v>41</v>
      </c>
      <c r="GK202" s="51" t="s">
        <v>41</v>
      </c>
      <c r="GL202" s="51" t="s">
        <v>41</v>
      </c>
      <c r="GM202" s="51" t="s">
        <v>41</v>
      </c>
      <c r="GN202" s="51" t="s">
        <v>41</v>
      </c>
      <c r="GO202" s="51" t="s">
        <v>41</v>
      </c>
      <c r="GP202" s="51" t="s">
        <v>41</v>
      </c>
      <c r="GQ202" s="51" t="s">
        <v>41</v>
      </c>
      <c r="GR202" s="51" t="s">
        <v>41</v>
      </c>
      <c r="GS202" s="51" t="s">
        <v>41</v>
      </c>
      <c r="GT202" s="51" t="s">
        <v>41</v>
      </c>
      <c r="GU202" s="51" t="s">
        <v>41</v>
      </c>
      <c r="GV202" s="51" t="s">
        <v>41</v>
      </c>
      <c r="GW202" s="51" t="s">
        <v>41</v>
      </c>
      <c r="GX202" s="51" t="s">
        <v>41</v>
      </c>
      <c r="GY202" s="51" t="s">
        <v>41</v>
      </c>
      <c r="GZ202" s="51" t="s">
        <v>41</v>
      </c>
      <c r="HA202" s="51" t="s">
        <v>41</v>
      </c>
      <c r="HB202" s="51" t="s">
        <v>41</v>
      </c>
      <c r="HC202" s="51" t="s">
        <v>41</v>
      </c>
      <c r="HD202" s="51" t="s">
        <v>41</v>
      </c>
      <c r="HE202" s="51" t="s">
        <v>41</v>
      </c>
      <c r="HF202" s="51" t="s">
        <v>41</v>
      </c>
      <c r="HG202" s="51" t="s">
        <v>41</v>
      </c>
      <c r="HH202" s="51" t="s">
        <v>41</v>
      </c>
      <c r="HI202" s="51" t="s">
        <v>41</v>
      </c>
      <c r="HJ202" s="51" t="s">
        <v>41</v>
      </c>
      <c r="HK202" s="51" t="s">
        <v>41</v>
      </c>
      <c r="HL202" s="51" t="s">
        <v>41</v>
      </c>
      <c r="HM202" s="51" t="s">
        <v>41</v>
      </c>
      <c r="HN202" s="51" t="s">
        <v>41</v>
      </c>
      <c r="HO202" s="51" t="s">
        <v>41</v>
      </c>
      <c r="HP202" s="51" t="s">
        <v>41</v>
      </c>
      <c r="HQ202" s="51" t="s">
        <v>41</v>
      </c>
      <c r="HR202" s="51" t="s">
        <v>41</v>
      </c>
      <c r="HS202" s="51" t="s">
        <v>41</v>
      </c>
      <c r="HT202" s="51" t="s">
        <v>41</v>
      </c>
      <c r="HU202" s="51" t="s">
        <v>41</v>
      </c>
      <c r="HV202" s="51" t="s">
        <v>41</v>
      </c>
      <c r="HW202" s="51" t="s">
        <v>41</v>
      </c>
      <c r="HX202" s="51" t="s">
        <v>41</v>
      </c>
      <c r="HY202" s="51" t="s">
        <v>41</v>
      </c>
      <c r="HZ202" s="51" t="s">
        <v>41</v>
      </c>
      <c r="IA202" s="51" t="s">
        <v>41</v>
      </c>
      <c r="IB202" s="51" t="s">
        <v>41</v>
      </c>
      <c r="IC202" s="51" t="s">
        <v>41</v>
      </c>
    </row>
    <row r="203" spans="1:257">
      <c r="A203" s="4" t="s">
        <v>522</v>
      </c>
      <c r="B203" s="82" t="str">
        <f t="array" ref="B203">_xlfn.LET(
  _xlpm.dates, _xlfn._xlws.FILTER(P203:HO203, (P205:HO205&lt;&gt;"")+(P207:HO207&lt;&gt;"")),
  _xlpm.numDates, IFERROR(VALUE(_xlpm.dates), _xlpm.dates),
  _xlpm.first, TEXT(MIN(_xlpm.numDates), "m/dd"),
  _xlpm.last, TEXT(MAX(_xlpm.numDates), "m/dd"),
  _xlpm.first &amp; "~" &amp; _xlpm.last
)</f>
        <v>3/27~4/27</v>
      </c>
      <c r="C203" s="7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 t="s">
        <v>522</v>
      </c>
      <c r="P203" s="3">
        <v>46107</v>
      </c>
      <c r="Q203" s="3">
        <v>46108</v>
      </c>
      <c r="R203" s="3">
        <v>46109</v>
      </c>
      <c r="S203" s="3">
        <v>46110</v>
      </c>
      <c r="T203" s="3">
        <v>46111</v>
      </c>
      <c r="U203" s="3">
        <v>46112</v>
      </c>
      <c r="V203" s="3">
        <v>46113</v>
      </c>
      <c r="W203" s="3">
        <v>46114</v>
      </c>
      <c r="X203" s="3">
        <v>46115</v>
      </c>
      <c r="Y203" s="3">
        <v>46116</v>
      </c>
      <c r="Z203" s="3">
        <v>46117</v>
      </c>
      <c r="AA203" s="3">
        <v>46118</v>
      </c>
      <c r="AB203" s="3">
        <v>46119</v>
      </c>
      <c r="AC203" s="3">
        <v>46120</v>
      </c>
      <c r="AD203" s="3">
        <v>46121</v>
      </c>
      <c r="AE203" s="3">
        <v>46122</v>
      </c>
      <c r="AF203" s="3">
        <v>46123</v>
      </c>
      <c r="AG203" s="3">
        <v>46124</v>
      </c>
      <c r="AH203" s="3">
        <v>46125</v>
      </c>
      <c r="AI203" s="3">
        <v>46126</v>
      </c>
      <c r="AJ203" s="3">
        <v>46127</v>
      </c>
      <c r="AK203" s="3">
        <v>46128</v>
      </c>
      <c r="AL203" s="3">
        <v>46129</v>
      </c>
      <c r="AM203" s="3">
        <v>46130</v>
      </c>
      <c r="AN203" s="3">
        <v>46131</v>
      </c>
      <c r="AO203" s="3">
        <v>46132</v>
      </c>
      <c r="AP203" s="3">
        <v>46133</v>
      </c>
      <c r="AQ203" s="3">
        <v>46134</v>
      </c>
      <c r="AR203" s="3">
        <v>46135</v>
      </c>
      <c r="AS203" s="3">
        <v>46136</v>
      </c>
      <c r="AT203" s="3">
        <v>46137</v>
      </c>
      <c r="AU203" s="3">
        <v>46138</v>
      </c>
      <c r="AV203" s="3">
        <v>46139</v>
      </c>
      <c r="AW203" s="3">
        <v>46140</v>
      </c>
      <c r="AX203" s="3">
        <v>46141</v>
      </c>
      <c r="AY203" s="3">
        <v>46142</v>
      </c>
      <c r="AZ203" s="3">
        <v>46143</v>
      </c>
      <c r="BA203" s="3">
        <v>46144</v>
      </c>
      <c r="BB203" s="3">
        <v>46145</v>
      </c>
      <c r="BC203" s="3">
        <v>46146</v>
      </c>
      <c r="BD203" s="3">
        <v>46147</v>
      </c>
      <c r="BE203" s="3">
        <v>46148</v>
      </c>
      <c r="BF203" s="3">
        <v>46149</v>
      </c>
      <c r="BG203" s="3">
        <v>46150</v>
      </c>
      <c r="BH203" s="3">
        <v>46151</v>
      </c>
      <c r="BI203" s="3">
        <v>46152</v>
      </c>
      <c r="BJ203" s="3">
        <v>46153</v>
      </c>
      <c r="BK203" s="3">
        <v>46154</v>
      </c>
      <c r="BL203" s="3">
        <v>46155</v>
      </c>
      <c r="BM203" s="3">
        <v>46156</v>
      </c>
      <c r="BN203" s="3">
        <v>46157</v>
      </c>
      <c r="BO203" s="3">
        <v>46158</v>
      </c>
      <c r="BP203" s="3">
        <v>46159</v>
      </c>
      <c r="BQ203" s="3">
        <v>46160</v>
      </c>
      <c r="BR203" s="3">
        <v>46161</v>
      </c>
      <c r="BS203" s="3">
        <v>46162</v>
      </c>
      <c r="BT203" s="3">
        <v>46163</v>
      </c>
      <c r="BU203" s="3">
        <v>46164</v>
      </c>
      <c r="BV203" s="3">
        <v>46165</v>
      </c>
      <c r="BW203" s="3">
        <v>46166</v>
      </c>
      <c r="BX203" s="3">
        <v>46167</v>
      </c>
      <c r="BY203" s="3">
        <v>46168</v>
      </c>
      <c r="BZ203" s="3">
        <v>46169</v>
      </c>
      <c r="CA203" s="3">
        <v>46170</v>
      </c>
      <c r="CB203" s="3">
        <v>46171</v>
      </c>
      <c r="CC203" s="3">
        <v>46172</v>
      </c>
      <c r="CD203" s="3">
        <v>46173</v>
      </c>
      <c r="CE203" s="3">
        <v>46174</v>
      </c>
      <c r="CF203" s="3">
        <v>46175</v>
      </c>
      <c r="CG203" s="3">
        <v>46176</v>
      </c>
      <c r="CH203" s="3">
        <v>46177</v>
      </c>
      <c r="CI203" s="3">
        <v>46178</v>
      </c>
      <c r="CJ203" s="3">
        <v>46179</v>
      </c>
      <c r="CK203" s="3">
        <v>46180</v>
      </c>
      <c r="CL203" s="3">
        <v>46181</v>
      </c>
      <c r="CM203" s="3">
        <v>46182</v>
      </c>
      <c r="CN203" s="3">
        <v>46183</v>
      </c>
      <c r="CO203" s="3">
        <v>46184</v>
      </c>
      <c r="CP203" s="3">
        <v>46185</v>
      </c>
      <c r="CQ203" s="3">
        <v>46186</v>
      </c>
      <c r="CR203" s="3">
        <v>46187</v>
      </c>
      <c r="CS203" s="3">
        <v>46188</v>
      </c>
      <c r="CT203" s="3">
        <v>46189</v>
      </c>
      <c r="CU203" s="3">
        <v>46190</v>
      </c>
      <c r="CV203" s="3">
        <v>46191</v>
      </c>
      <c r="CW203" s="3">
        <v>46192</v>
      </c>
      <c r="CX203" s="3">
        <v>46193</v>
      </c>
      <c r="CY203" s="3">
        <v>46194</v>
      </c>
      <c r="CZ203" s="3">
        <v>46195</v>
      </c>
      <c r="DA203" s="3">
        <v>46196</v>
      </c>
      <c r="DB203" s="3">
        <v>46197</v>
      </c>
      <c r="DC203" s="3">
        <v>46198</v>
      </c>
      <c r="DD203" s="3">
        <v>46199</v>
      </c>
      <c r="DE203" s="3">
        <v>46200</v>
      </c>
      <c r="DF203" s="3">
        <v>46201</v>
      </c>
      <c r="DG203" s="3">
        <v>46202</v>
      </c>
      <c r="DH203" s="3">
        <v>46203</v>
      </c>
      <c r="DI203" s="3">
        <v>46204</v>
      </c>
      <c r="DJ203" s="3">
        <v>46205</v>
      </c>
      <c r="DK203" s="3">
        <v>46206</v>
      </c>
      <c r="DL203" s="3">
        <v>46207</v>
      </c>
      <c r="DM203" s="3">
        <v>46208</v>
      </c>
      <c r="DN203" s="3">
        <v>46209</v>
      </c>
      <c r="DO203" s="3">
        <v>46210</v>
      </c>
      <c r="DP203" s="3">
        <v>46211</v>
      </c>
      <c r="DQ203" s="3">
        <v>46212</v>
      </c>
      <c r="DR203" s="3">
        <v>46213</v>
      </c>
      <c r="DS203" s="3">
        <v>46214</v>
      </c>
      <c r="DT203" s="3">
        <v>46215</v>
      </c>
      <c r="DU203" s="3">
        <v>46216</v>
      </c>
      <c r="DV203" s="3">
        <v>46217</v>
      </c>
      <c r="DW203" s="3">
        <v>46218</v>
      </c>
      <c r="DX203" s="3">
        <v>46219</v>
      </c>
      <c r="DY203" s="3">
        <v>46220</v>
      </c>
      <c r="DZ203" s="3">
        <v>46221</v>
      </c>
      <c r="EA203" s="3">
        <v>46222</v>
      </c>
      <c r="EB203" s="3">
        <v>46223</v>
      </c>
      <c r="EC203" s="3">
        <v>46224</v>
      </c>
      <c r="ED203" s="3">
        <v>46225</v>
      </c>
      <c r="EE203" s="3">
        <v>46226</v>
      </c>
      <c r="EF203" s="3">
        <v>46227</v>
      </c>
      <c r="EG203" s="3">
        <v>46228</v>
      </c>
      <c r="EH203" s="3">
        <v>46229</v>
      </c>
      <c r="EI203" s="3">
        <v>46230</v>
      </c>
      <c r="EJ203" s="3">
        <v>46231</v>
      </c>
      <c r="EK203" s="3">
        <v>46232</v>
      </c>
      <c r="EL203" s="3">
        <v>46233</v>
      </c>
      <c r="EM203" s="3">
        <v>46234</v>
      </c>
      <c r="EN203" s="3">
        <v>46235</v>
      </c>
      <c r="EO203" s="3">
        <v>46236</v>
      </c>
      <c r="EP203" s="3">
        <v>46237</v>
      </c>
      <c r="EQ203" s="3">
        <v>46238</v>
      </c>
      <c r="ER203" s="3">
        <v>46239</v>
      </c>
      <c r="ES203" s="3">
        <v>46240</v>
      </c>
      <c r="ET203" s="3">
        <v>46241</v>
      </c>
      <c r="EU203" s="3">
        <v>46242</v>
      </c>
      <c r="EV203" s="3">
        <v>46243</v>
      </c>
      <c r="EW203" s="3">
        <v>46244</v>
      </c>
      <c r="EX203" s="3">
        <v>46245</v>
      </c>
      <c r="EY203" s="3">
        <v>46246</v>
      </c>
      <c r="EZ203" s="3">
        <v>46247</v>
      </c>
      <c r="FA203" s="3">
        <v>46248</v>
      </c>
      <c r="FB203" s="3">
        <v>46249</v>
      </c>
      <c r="FC203" s="3">
        <v>46250</v>
      </c>
      <c r="FD203" s="3">
        <v>46251</v>
      </c>
      <c r="FE203" s="3">
        <v>46252</v>
      </c>
      <c r="FF203" s="3">
        <v>46253</v>
      </c>
      <c r="FG203" s="3">
        <v>46254</v>
      </c>
      <c r="FH203" s="3">
        <v>46255</v>
      </c>
      <c r="FI203" s="3">
        <v>46256</v>
      </c>
      <c r="FJ203" s="3">
        <v>46257</v>
      </c>
      <c r="FK203" s="3">
        <v>46258</v>
      </c>
      <c r="FL203" s="3">
        <v>46259</v>
      </c>
      <c r="FM203" s="3">
        <v>46260</v>
      </c>
      <c r="FN203" s="3">
        <v>46261</v>
      </c>
      <c r="FO203" s="3">
        <v>46262</v>
      </c>
      <c r="FP203" s="3">
        <v>46263</v>
      </c>
      <c r="FQ203" s="3">
        <v>46264</v>
      </c>
      <c r="FR203" s="3">
        <v>46265</v>
      </c>
      <c r="FS203" s="3">
        <v>46266</v>
      </c>
      <c r="FT203" s="3">
        <v>46267</v>
      </c>
      <c r="FU203" s="3">
        <v>46268</v>
      </c>
      <c r="FV203" s="3">
        <v>46269</v>
      </c>
      <c r="FW203" s="3">
        <v>46270</v>
      </c>
      <c r="FX203" s="3">
        <v>46271</v>
      </c>
      <c r="FY203" s="3">
        <v>46272</v>
      </c>
      <c r="FZ203" s="3">
        <v>46273</v>
      </c>
      <c r="GA203" s="3">
        <v>46274</v>
      </c>
      <c r="GB203" s="3">
        <v>46275</v>
      </c>
      <c r="GC203" s="3">
        <v>46276</v>
      </c>
      <c r="GD203" s="3">
        <v>46277</v>
      </c>
      <c r="GE203" s="3">
        <v>46278</v>
      </c>
      <c r="GF203" s="3">
        <v>46279</v>
      </c>
      <c r="GG203" s="3">
        <v>46280</v>
      </c>
      <c r="GH203" s="3">
        <v>46281</v>
      </c>
      <c r="GI203" s="3">
        <v>46282</v>
      </c>
      <c r="GJ203" s="3">
        <v>46283</v>
      </c>
      <c r="GK203" s="3">
        <v>46284</v>
      </c>
      <c r="GL203" s="3">
        <v>46285</v>
      </c>
      <c r="GM203" s="3">
        <v>46286</v>
      </c>
      <c r="GN203" s="3">
        <v>46287</v>
      </c>
      <c r="GO203" s="3">
        <v>46288</v>
      </c>
      <c r="GP203" s="3">
        <v>46289</v>
      </c>
      <c r="GQ203" s="3">
        <v>46290</v>
      </c>
      <c r="GR203" s="3">
        <v>46291</v>
      </c>
      <c r="GS203" s="3">
        <v>46292</v>
      </c>
      <c r="GT203" s="3">
        <v>46293</v>
      </c>
      <c r="GU203" s="3">
        <v>46294</v>
      </c>
      <c r="GV203" s="3">
        <v>46295</v>
      </c>
      <c r="GW203" s="3">
        <v>46296</v>
      </c>
      <c r="GX203" s="3">
        <v>46297</v>
      </c>
      <c r="GY203" s="3">
        <v>46298</v>
      </c>
      <c r="GZ203" s="3">
        <v>46299</v>
      </c>
      <c r="HA203" s="3">
        <v>46300</v>
      </c>
      <c r="HB203" s="3">
        <v>46301</v>
      </c>
      <c r="HC203" s="3">
        <v>46302</v>
      </c>
      <c r="HD203" s="3">
        <v>46303</v>
      </c>
      <c r="HE203" s="3">
        <v>46304</v>
      </c>
      <c r="HF203" s="3">
        <v>46305</v>
      </c>
      <c r="HG203" s="3">
        <v>46306</v>
      </c>
      <c r="HH203" s="3">
        <v>46307</v>
      </c>
      <c r="HI203" s="3">
        <v>46308</v>
      </c>
      <c r="HJ203" s="3">
        <v>46309</v>
      </c>
      <c r="HK203" s="3">
        <v>46310</v>
      </c>
      <c r="HL203" s="3">
        <v>46311</v>
      </c>
      <c r="HM203" s="3">
        <v>46312</v>
      </c>
      <c r="HN203" s="3">
        <v>46313</v>
      </c>
      <c r="HO203" s="3">
        <v>46314</v>
      </c>
      <c r="HP203" s="3">
        <v>46315</v>
      </c>
      <c r="HQ203" s="3">
        <v>46316</v>
      </c>
      <c r="HR203" s="3">
        <v>46317</v>
      </c>
      <c r="HS203" s="3">
        <v>46318</v>
      </c>
      <c r="HT203" s="3">
        <v>46319</v>
      </c>
      <c r="HU203" s="3">
        <v>46320</v>
      </c>
      <c r="HV203" s="3">
        <v>46321</v>
      </c>
      <c r="HW203" s="3">
        <v>46322</v>
      </c>
      <c r="HX203" s="3">
        <v>46323</v>
      </c>
      <c r="HY203" s="3">
        <v>46324</v>
      </c>
      <c r="HZ203" s="3">
        <v>46325</v>
      </c>
      <c r="IA203" s="3">
        <v>46326</v>
      </c>
      <c r="IB203" s="3">
        <v>46327</v>
      </c>
      <c r="IC203" s="3">
        <v>46328</v>
      </c>
    </row>
    <row r="204" spans="1:257">
      <c r="A204" s="4" t="s">
        <v>694</v>
      </c>
      <c r="B204" s="82" t="str">
        <f t="array" ref="B204">COLUMNS(_xlfn._xlws.FILTER(P203:HO203, (P205:HO205&lt;&gt;"")+(P207:HO207&lt;&gt;""))) &amp; "場"</f>
        <v>26場</v>
      </c>
      <c r="C204" s="7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 t="s">
        <v>675</v>
      </c>
      <c r="P204" s="3" t="s">
        <v>676</v>
      </c>
      <c r="Q204" s="3" t="s">
        <v>677</v>
      </c>
      <c r="R204" s="3" t="s">
        <v>678</v>
      </c>
      <c r="S204" s="3" t="s">
        <v>679</v>
      </c>
      <c r="T204" s="3" t="s">
        <v>680</v>
      </c>
      <c r="U204" s="3" t="s">
        <v>681</v>
      </c>
      <c r="V204" s="3" t="s">
        <v>682</v>
      </c>
      <c r="W204" s="3" t="s">
        <v>676</v>
      </c>
      <c r="X204" s="3" t="s">
        <v>677</v>
      </c>
      <c r="Y204" s="3" t="s">
        <v>678</v>
      </c>
      <c r="Z204" s="3" t="s">
        <v>679</v>
      </c>
      <c r="AA204" s="3" t="s">
        <v>680</v>
      </c>
      <c r="AB204" s="3" t="s">
        <v>681</v>
      </c>
      <c r="AC204" s="3" t="s">
        <v>682</v>
      </c>
      <c r="AD204" s="3" t="s">
        <v>676</v>
      </c>
      <c r="AE204" s="3" t="s">
        <v>677</v>
      </c>
      <c r="AF204" s="3" t="s">
        <v>678</v>
      </c>
      <c r="AG204" s="3" t="s">
        <v>679</v>
      </c>
      <c r="AH204" s="3" t="s">
        <v>680</v>
      </c>
      <c r="AI204" s="3" t="s">
        <v>681</v>
      </c>
      <c r="AJ204" s="3" t="s">
        <v>682</v>
      </c>
      <c r="AK204" s="3" t="s">
        <v>676</v>
      </c>
      <c r="AL204" s="3" t="s">
        <v>677</v>
      </c>
      <c r="AM204" s="3" t="s">
        <v>678</v>
      </c>
      <c r="AN204" s="3" t="s">
        <v>679</v>
      </c>
      <c r="AO204" s="3" t="s">
        <v>680</v>
      </c>
      <c r="AP204" s="3" t="s">
        <v>681</v>
      </c>
      <c r="AQ204" s="3" t="s">
        <v>682</v>
      </c>
      <c r="AR204" s="3" t="s">
        <v>676</v>
      </c>
      <c r="AS204" s="3" t="s">
        <v>677</v>
      </c>
      <c r="AT204" s="3" t="s">
        <v>678</v>
      </c>
      <c r="AU204" s="3" t="s">
        <v>679</v>
      </c>
      <c r="AV204" s="3" t="s">
        <v>680</v>
      </c>
      <c r="AW204" s="3" t="s">
        <v>681</v>
      </c>
      <c r="AX204" s="3" t="s">
        <v>682</v>
      </c>
      <c r="AY204" s="3" t="s">
        <v>676</v>
      </c>
      <c r="AZ204" s="3" t="s">
        <v>677</v>
      </c>
      <c r="BA204" s="3" t="s">
        <v>678</v>
      </c>
      <c r="BB204" s="3" t="s">
        <v>679</v>
      </c>
      <c r="BC204" s="3" t="s">
        <v>680</v>
      </c>
      <c r="BD204" s="3" t="s">
        <v>681</v>
      </c>
      <c r="BE204" s="3" t="s">
        <v>682</v>
      </c>
      <c r="BF204" s="3" t="s">
        <v>676</v>
      </c>
      <c r="BG204" s="3" t="s">
        <v>677</v>
      </c>
      <c r="BH204" s="3" t="s">
        <v>678</v>
      </c>
      <c r="BI204" s="3" t="s">
        <v>679</v>
      </c>
      <c r="BJ204" s="3" t="s">
        <v>680</v>
      </c>
      <c r="BK204" s="3" t="s">
        <v>681</v>
      </c>
      <c r="BL204" s="3" t="s">
        <v>682</v>
      </c>
      <c r="BM204" s="3" t="s">
        <v>676</v>
      </c>
      <c r="BN204" s="3" t="s">
        <v>677</v>
      </c>
      <c r="BO204" s="3" t="s">
        <v>678</v>
      </c>
      <c r="BP204" s="3" t="s">
        <v>679</v>
      </c>
      <c r="BQ204" s="3" t="s">
        <v>680</v>
      </c>
      <c r="BR204" s="3" t="s">
        <v>681</v>
      </c>
      <c r="BS204" s="3" t="s">
        <v>682</v>
      </c>
      <c r="BT204" s="3" t="s">
        <v>676</v>
      </c>
      <c r="BU204" s="3" t="s">
        <v>677</v>
      </c>
      <c r="BV204" s="3" t="s">
        <v>678</v>
      </c>
      <c r="BW204" s="3" t="s">
        <v>679</v>
      </c>
      <c r="BX204" s="3" t="s">
        <v>680</v>
      </c>
      <c r="BY204" s="3" t="s">
        <v>681</v>
      </c>
      <c r="BZ204" s="3" t="s">
        <v>682</v>
      </c>
      <c r="CA204" s="3" t="s">
        <v>676</v>
      </c>
      <c r="CB204" s="3" t="s">
        <v>677</v>
      </c>
      <c r="CC204" s="3" t="s">
        <v>678</v>
      </c>
      <c r="CD204" s="3" t="s">
        <v>679</v>
      </c>
      <c r="CE204" s="3" t="s">
        <v>680</v>
      </c>
      <c r="CF204" s="3" t="s">
        <v>681</v>
      </c>
      <c r="CG204" s="3" t="s">
        <v>682</v>
      </c>
      <c r="CH204" s="3" t="s">
        <v>676</v>
      </c>
      <c r="CI204" s="3" t="s">
        <v>677</v>
      </c>
      <c r="CJ204" s="3" t="s">
        <v>678</v>
      </c>
      <c r="CK204" s="3" t="s">
        <v>679</v>
      </c>
      <c r="CL204" s="3" t="s">
        <v>680</v>
      </c>
      <c r="CM204" s="3" t="s">
        <v>681</v>
      </c>
      <c r="CN204" s="3" t="s">
        <v>682</v>
      </c>
      <c r="CO204" s="3" t="s">
        <v>676</v>
      </c>
      <c r="CP204" s="3" t="s">
        <v>677</v>
      </c>
      <c r="CQ204" s="3" t="s">
        <v>678</v>
      </c>
      <c r="CR204" s="3" t="s">
        <v>679</v>
      </c>
      <c r="CS204" s="3" t="s">
        <v>680</v>
      </c>
      <c r="CT204" s="3" t="s">
        <v>681</v>
      </c>
      <c r="CU204" s="3" t="s">
        <v>682</v>
      </c>
      <c r="CV204" s="3" t="s">
        <v>676</v>
      </c>
      <c r="CW204" s="3" t="s">
        <v>677</v>
      </c>
      <c r="CX204" s="3" t="s">
        <v>678</v>
      </c>
      <c r="CY204" s="3" t="s">
        <v>679</v>
      </c>
      <c r="CZ204" s="3" t="s">
        <v>680</v>
      </c>
      <c r="DA204" s="3" t="s">
        <v>681</v>
      </c>
      <c r="DB204" s="3" t="s">
        <v>682</v>
      </c>
      <c r="DC204" s="3" t="s">
        <v>676</v>
      </c>
      <c r="DD204" s="3" t="s">
        <v>677</v>
      </c>
      <c r="DE204" s="3" t="s">
        <v>678</v>
      </c>
      <c r="DF204" s="3" t="s">
        <v>679</v>
      </c>
      <c r="DG204" s="3" t="s">
        <v>680</v>
      </c>
      <c r="DH204" s="3" t="s">
        <v>681</v>
      </c>
      <c r="DI204" s="3" t="s">
        <v>682</v>
      </c>
      <c r="DJ204" s="3" t="s">
        <v>676</v>
      </c>
      <c r="DK204" s="3" t="s">
        <v>677</v>
      </c>
      <c r="DL204" s="3" t="s">
        <v>678</v>
      </c>
      <c r="DM204" s="3" t="s">
        <v>679</v>
      </c>
      <c r="DN204" s="3" t="s">
        <v>680</v>
      </c>
      <c r="DO204" s="3" t="s">
        <v>681</v>
      </c>
      <c r="DP204" s="3" t="s">
        <v>682</v>
      </c>
      <c r="DQ204" s="3" t="s">
        <v>676</v>
      </c>
      <c r="DR204" s="3" t="s">
        <v>677</v>
      </c>
      <c r="DS204" s="3" t="s">
        <v>678</v>
      </c>
      <c r="DT204" s="3" t="s">
        <v>679</v>
      </c>
      <c r="DU204" s="3" t="s">
        <v>680</v>
      </c>
      <c r="DV204" s="3" t="s">
        <v>681</v>
      </c>
      <c r="DW204" s="3" t="s">
        <v>682</v>
      </c>
      <c r="DX204" s="3" t="s">
        <v>676</v>
      </c>
      <c r="DY204" s="3" t="s">
        <v>677</v>
      </c>
      <c r="DZ204" s="3" t="s">
        <v>678</v>
      </c>
      <c r="EA204" s="3" t="s">
        <v>679</v>
      </c>
      <c r="EB204" s="3" t="s">
        <v>680</v>
      </c>
      <c r="EC204" s="3" t="s">
        <v>681</v>
      </c>
      <c r="ED204" s="3" t="s">
        <v>682</v>
      </c>
      <c r="EE204" s="3" t="s">
        <v>676</v>
      </c>
      <c r="EF204" s="3" t="s">
        <v>677</v>
      </c>
      <c r="EG204" s="3" t="s">
        <v>678</v>
      </c>
      <c r="EH204" s="3" t="s">
        <v>679</v>
      </c>
      <c r="EI204" s="3" t="s">
        <v>680</v>
      </c>
      <c r="EJ204" s="3" t="s">
        <v>681</v>
      </c>
      <c r="EK204" s="3" t="s">
        <v>682</v>
      </c>
      <c r="EL204" s="3" t="s">
        <v>676</v>
      </c>
      <c r="EM204" s="3" t="s">
        <v>677</v>
      </c>
      <c r="EN204" s="3" t="s">
        <v>678</v>
      </c>
      <c r="EO204" s="3" t="s">
        <v>679</v>
      </c>
      <c r="EP204" s="3" t="s">
        <v>680</v>
      </c>
      <c r="EQ204" s="3" t="s">
        <v>681</v>
      </c>
      <c r="ER204" s="3" t="s">
        <v>682</v>
      </c>
      <c r="ES204" s="3" t="s">
        <v>676</v>
      </c>
      <c r="ET204" s="3" t="s">
        <v>677</v>
      </c>
      <c r="EU204" s="3" t="s">
        <v>678</v>
      </c>
      <c r="EV204" s="3" t="s">
        <v>679</v>
      </c>
      <c r="EW204" s="3" t="s">
        <v>680</v>
      </c>
      <c r="EX204" s="3" t="s">
        <v>681</v>
      </c>
      <c r="EY204" s="3" t="s">
        <v>682</v>
      </c>
      <c r="EZ204" s="3" t="s">
        <v>676</v>
      </c>
      <c r="FA204" s="3" t="s">
        <v>677</v>
      </c>
      <c r="FB204" s="3" t="s">
        <v>678</v>
      </c>
      <c r="FC204" s="3" t="s">
        <v>679</v>
      </c>
      <c r="FD204" s="3" t="s">
        <v>680</v>
      </c>
      <c r="FE204" s="3" t="s">
        <v>681</v>
      </c>
      <c r="FF204" s="3" t="s">
        <v>682</v>
      </c>
      <c r="FG204" s="3" t="s">
        <v>676</v>
      </c>
      <c r="FH204" s="3" t="s">
        <v>677</v>
      </c>
      <c r="FI204" s="3" t="s">
        <v>678</v>
      </c>
      <c r="FJ204" s="3" t="s">
        <v>679</v>
      </c>
      <c r="FK204" s="3" t="s">
        <v>680</v>
      </c>
      <c r="FL204" s="3" t="s">
        <v>681</v>
      </c>
      <c r="FM204" s="3" t="s">
        <v>682</v>
      </c>
      <c r="FN204" s="3" t="s">
        <v>676</v>
      </c>
      <c r="FO204" s="3" t="s">
        <v>677</v>
      </c>
      <c r="FP204" s="3" t="s">
        <v>678</v>
      </c>
      <c r="FQ204" s="3" t="s">
        <v>679</v>
      </c>
      <c r="FR204" s="3" t="s">
        <v>680</v>
      </c>
      <c r="FS204" s="3" t="s">
        <v>681</v>
      </c>
      <c r="FT204" s="3" t="s">
        <v>682</v>
      </c>
      <c r="FU204" s="3" t="s">
        <v>676</v>
      </c>
      <c r="FV204" s="3" t="s">
        <v>677</v>
      </c>
      <c r="FW204" s="3" t="s">
        <v>678</v>
      </c>
      <c r="FX204" s="3" t="s">
        <v>679</v>
      </c>
      <c r="FY204" s="3" t="s">
        <v>680</v>
      </c>
      <c r="FZ204" s="3" t="s">
        <v>681</v>
      </c>
      <c r="GA204" s="3" t="s">
        <v>682</v>
      </c>
      <c r="GB204" s="3" t="s">
        <v>676</v>
      </c>
      <c r="GC204" s="3" t="s">
        <v>677</v>
      </c>
      <c r="GD204" s="3" t="s">
        <v>678</v>
      </c>
      <c r="GE204" s="3" t="s">
        <v>679</v>
      </c>
      <c r="GF204" s="3" t="s">
        <v>680</v>
      </c>
      <c r="GG204" s="3" t="s">
        <v>681</v>
      </c>
      <c r="GH204" s="3" t="s">
        <v>682</v>
      </c>
      <c r="GI204" s="3" t="s">
        <v>676</v>
      </c>
      <c r="GJ204" s="3" t="s">
        <v>677</v>
      </c>
      <c r="GK204" s="3" t="s">
        <v>678</v>
      </c>
      <c r="GL204" s="3" t="s">
        <v>679</v>
      </c>
      <c r="GM204" s="3" t="s">
        <v>680</v>
      </c>
      <c r="GN204" s="3" t="s">
        <v>681</v>
      </c>
      <c r="GO204" s="3" t="s">
        <v>682</v>
      </c>
      <c r="GP204" s="3" t="s">
        <v>676</v>
      </c>
      <c r="GQ204" s="3" t="s">
        <v>677</v>
      </c>
      <c r="GR204" s="3" t="s">
        <v>678</v>
      </c>
      <c r="GS204" s="3" t="s">
        <v>679</v>
      </c>
      <c r="GT204" s="3" t="s">
        <v>680</v>
      </c>
      <c r="GU204" s="3" t="s">
        <v>681</v>
      </c>
      <c r="GV204" s="3" t="s">
        <v>682</v>
      </c>
      <c r="GW204" s="3" t="s">
        <v>676</v>
      </c>
      <c r="GX204" s="3" t="s">
        <v>677</v>
      </c>
      <c r="GY204" s="3" t="s">
        <v>678</v>
      </c>
      <c r="GZ204" s="3" t="s">
        <v>679</v>
      </c>
      <c r="HA204" s="3" t="s">
        <v>680</v>
      </c>
      <c r="HB204" s="3" t="s">
        <v>681</v>
      </c>
      <c r="HC204" s="3" t="s">
        <v>682</v>
      </c>
      <c r="HD204" s="3" t="s">
        <v>676</v>
      </c>
      <c r="HE204" s="3" t="s">
        <v>677</v>
      </c>
      <c r="HF204" s="3" t="s">
        <v>678</v>
      </c>
      <c r="HG204" s="3" t="s">
        <v>679</v>
      </c>
      <c r="HH204" s="3" t="s">
        <v>680</v>
      </c>
      <c r="HI204" s="3" t="s">
        <v>681</v>
      </c>
      <c r="HJ204" s="3" t="s">
        <v>682</v>
      </c>
      <c r="HK204" s="3" t="s">
        <v>676</v>
      </c>
      <c r="HL204" s="3" t="s">
        <v>677</v>
      </c>
      <c r="HM204" s="3" t="s">
        <v>678</v>
      </c>
      <c r="HN204" s="3" t="s">
        <v>679</v>
      </c>
      <c r="HO204" s="3" t="s">
        <v>680</v>
      </c>
      <c r="HP204" s="3" t="s">
        <v>681</v>
      </c>
      <c r="HQ204" s="3" t="s">
        <v>682</v>
      </c>
      <c r="HR204" s="3" t="s">
        <v>676</v>
      </c>
      <c r="HS204" s="3" t="s">
        <v>677</v>
      </c>
      <c r="HT204" s="3" t="s">
        <v>678</v>
      </c>
      <c r="HU204" s="3" t="s">
        <v>679</v>
      </c>
      <c r="HV204" s="3" t="s">
        <v>680</v>
      </c>
      <c r="HW204" s="3" t="s">
        <v>681</v>
      </c>
      <c r="HX204" s="3" t="s">
        <v>682</v>
      </c>
      <c r="HY204" s="3" t="s">
        <v>676</v>
      </c>
      <c r="HZ204" s="3" t="s">
        <v>677</v>
      </c>
      <c r="IA204" s="3" t="s">
        <v>678</v>
      </c>
      <c r="IB204" s="3" t="s">
        <v>679</v>
      </c>
      <c r="IC204" s="3" t="s">
        <v>680</v>
      </c>
    </row>
    <row r="205" spans="1:257">
      <c r="A205" s="82" t="s">
        <v>695</v>
      </c>
      <c r="B205" s="82" t="str">
        <f>COUNTIF(P205:IC205, "W")&amp;"勝"</f>
        <v>15勝</v>
      </c>
      <c r="C205" s="82" t="str">
        <f>COUNTIF(P205:IC205, "L")&amp;"敗"</f>
        <v>11敗</v>
      </c>
      <c r="D205" s="82" t="s">
        <v>696</v>
      </c>
      <c r="E205" s="78"/>
      <c r="F205" s="82" t="s">
        <v>750</v>
      </c>
      <c r="G205" s="78"/>
      <c r="H205" s="78"/>
      <c r="I205" s="78"/>
      <c r="J205" s="78"/>
      <c r="K205" s="78"/>
      <c r="L205" s="78"/>
      <c r="M205" s="82"/>
      <c r="N205" s="78"/>
      <c r="O205" s="1" t="s">
        <v>698</v>
      </c>
      <c r="Q205" t="s">
        <v>700</v>
      </c>
      <c r="S205" t="s">
        <v>699</v>
      </c>
      <c r="T205" t="s">
        <v>700</v>
      </c>
      <c r="U205" t="s">
        <v>699</v>
      </c>
      <c r="V205" t="s">
        <v>700</v>
      </c>
      <c r="W205" t="s">
        <v>699</v>
      </c>
      <c r="Y205" t="s">
        <v>700</v>
      </c>
      <c r="AA205" t="s">
        <v>700</v>
      </c>
      <c r="AB205" t="s">
        <v>700</v>
      </c>
      <c r="AC205" t="s">
        <v>699</v>
      </c>
      <c r="AD205" t="s">
        <v>699</v>
      </c>
      <c r="AF205" t="s">
        <v>700</v>
      </c>
      <c r="AG205" t="s">
        <v>700</v>
      </c>
      <c r="AH205" t="s">
        <v>699</v>
      </c>
      <c r="AI205" t="s">
        <v>700</v>
      </c>
      <c r="AJ205" t="s">
        <v>699</v>
      </c>
      <c r="AK205" t="s">
        <v>699</v>
      </c>
      <c r="AM205" t="s">
        <v>699</v>
      </c>
      <c r="AN205" t="s">
        <v>699</v>
      </c>
      <c r="AO205" t="s">
        <v>699</v>
      </c>
      <c r="AP205" t="s">
        <v>699</v>
      </c>
      <c r="AQ205" t="s">
        <v>699</v>
      </c>
      <c r="AS205" t="s">
        <v>699</v>
      </c>
      <c r="AT205" t="s">
        <v>699</v>
      </c>
      <c r="AU205" t="s">
        <v>700</v>
      </c>
      <c r="AV205" t="s">
        <v>700</v>
      </c>
    </row>
    <row r="206" spans="1:257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1" t="s">
        <v>701</v>
      </c>
    </row>
    <row r="207" spans="1:257">
      <c r="A207" s="82" t="s">
        <v>702</v>
      </c>
      <c r="B207" s="82" t="str">
        <f>COUNTIF(P207:IC207, "O")&amp;"正"</f>
        <v>15正</v>
      </c>
      <c r="C207" s="82" t="str">
        <f>COUNTIF(P207:IC207, "X")&amp;"負"</f>
        <v>11負</v>
      </c>
      <c r="D207" s="82" t="s">
        <v>703</v>
      </c>
      <c r="E207" s="78"/>
      <c r="F207" s="82" t="s">
        <v>751</v>
      </c>
      <c r="G207" s="78"/>
      <c r="H207" s="78"/>
      <c r="I207" s="78"/>
      <c r="J207" s="78"/>
      <c r="K207" s="78"/>
      <c r="L207" s="78"/>
      <c r="M207" s="82"/>
      <c r="N207" s="78"/>
      <c r="O207" s="1" t="s">
        <v>705</v>
      </c>
      <c r="Q207" t="s">
        <v>684</v>
      </c>
      <c r="S207" t="s">
        <v>683</v>
      </c>
      <c r="T207" t="s">
        <v>684</v>
      </c>
      <c r="U207" t="s">
        <v>683</v>
      </c>
      <c r="V207" t="s">
        <v>684</v>
      </c>
      <c r="W207" t="s">
        <v>683</v>
      </c>
      <c r="Y207" t="s">
        <v>684</v>
      </c>
      <c r="AA207" t="s">
        <v>684</v>
      </c>
      <c r="AB207" t="s">
        <v>684</v>
      </c>
      <c r="AC207" t="s">
        <v>683</v>
      </c>
      <c r="AD207" t="s">
        <v>683</v>
      </c>
      <c r="AF207" t="s">
        <v>684</v>
      </c>
      <c r="AG207" t="s">
        <v>684</v>
      </c>
      <c r="AH207" t="s">
        <v>683</v>
      </c>
      <c r="AI207" t="s">
        <v>684</v>
      </c>
      <c r="AJ207" t="s">
        <v>683</v>
      </c>
      <c r="AK207" t="s">
        <v>683</v>
      </c>
      <c r="AM207" t="s">
        <v>683</v>
      </c>
      <c r="AN207" t="s">
        <v>683</v>
      </c>
      <c r="AO207" t="s">
        <v>683</v>
      </c>
      <c r="AP207" t="s">
        <v>683</v>
      </c>
      <c r="AQ207" t="s">
        <v>683</v>
      </c>
      <c r="AS207" t="s">
        <v>683</v>
      </c>
      <c r="AT207" t="s">
        <v>683</v>
      </c>
      <c r="AU207" t="s">
        <v>684</v>
      </c>
      <c r="AV207" t="s">
        <v>684</v>
      </c>
      <c r="IN207" t="str">
        <f ca="1">IFERROR(INDEX($P207:$IC207,1,_xludf.AGGREGATE(14,6,(COLUMN($P207:$IC207)-COLUMN($P207)+1)/($P207:$IC207&lt;&gt;""),1)),"")</f>
        <v/>
      </c>
      <c r="IO207" t="str">
        <f ca="1">IFERROR(INDEX($P207:$IC207,1,_xludf.AGGREGATE(14,6,(COLUMN($P207:$IC207)-COLUMN($P207)+1)/($P207:$IC207&lt;&gt;""),2)),"")</f>
        <v/>
      </c>
      <c r="IP207" t="str">
        <f ca="1">IFERROR(INDEX($P207:$IC207,1,_xludf.AGGREGATE(14,6,(COLUMN($P207:$IC207)-COLUMN($P207)+1)/($P207:$IC207&lt;&gt;""),3)),"")</f>
        <v/>
      </c>
      <c r="IQ207" t="str">
        <f ca="1">IFERROR(INDEX($P207:$IC207,1,_xludf.AGGREGATE(14,6,(COLUMN($P207:$IC207)-COLUMN($P207)+1)/($P207:$IC207&lt;&gt;""),4)),"")</f>
        <v/>
      </c>
      <c r="IR207" t="str">
        <f ca="1">IFERROR(INDEX($P207:$IC207,1,_xludf.AGGREGATE(14,6,(COLUMN($P207:$IC207)-COLUMN($P207)+1)/($P207:$IC207&lt;&gt;""),5)),"")</f>
        <v/>
      </c>
      <c r="IS207" t="str">
        <f ca="1">IFERROR(INDEX($P207:$IC207,1,_xludf.AGGREGATE(14,6,(COLUMN($P207:$IC207)-COLUMN($P207)+1)/($P207:$IC207&lt;&gt;""),6)),"")</f>
        <v/>
      </c>
      <c r="IT207" t="str">
        <f ca="1">IFERROR(INDEX($P207:$IC207,1,_xludf.AGGREGATE(14,6,(COLUMN($P207:$IC207)-COLUMN($P207)+1)/($P207:$IC207&lt;&gt;""),7)),"")</f>
        <v/>
      </c>
      <c r="IU207" t="str">
        <f ca="1">IFERROR(INDEX($P207:$IC207,1,_xludf.AGGREGATE(14,6,(COLUMN($P207:$IC207)-COLUMN($P207)+1)/($P207:$IC207&lt;&gt;""),8)),"")</f>
        <v/>
      </c>
      <c r="IV207" t="str">
        <f ca="1">IFERROR(INDEX($P207:$IC207,1,_xludf.AGGREGATE(14,6,(COLUMN($P207:$IC207)-COLUMN($P207)+1)/($P207:$IC207&lt;&gt;""),9)),"")</f>
        <v/>
      </c>
      <c r="IW207" t="str">
        <f ca="1">IFERROR(INDEX($P207:$IC207,1,_xludf.AGGREGATE(14,6,(COLUMN($P207:$IC207)-COLUMN($P207)+1)/($P207:$IC207&lt;&gt;""),10)),"")</f>
        <v/>
      </c>
    </row>
    <row r="208" spans="1:257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1" t="s">
        <v>706</v>
      </c>
    </row>
    <row r="209" spans="1:257">
      <c r="A209" s="82" t="s">
        <v>707</v>
      </c>
      <c r="B209" s="77"/>
      <c r="C209" s="77"/>
      <c r="D209" s="82" t="s">
        <v>708</v>
      </c>
      <c r="E209" s="78"/>
      <c r="F209" s="82"/>
      <c r="G209" s="78"/>
      <c r="H209" s="78"/>
      <c r="I209" s="78"/>
      <c r="J209" s="78"/>
      <c r="K209" s="78"/>
      <c r="L209" s="78"/>
      <c r="M209" s="82"/>
      <c r="N209" s="78"/>
      <c r="O209" s="1" t="s">
        <v>709</v>
      </c>
    </row>
    <row r="210" spans="1:257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1" t="s">
        <v>710</v>
      </c>
    </row>
    <row r="211" spans="1:257">
      <c r="A211" s="109" t="s">
        <v>159</v>
      </c>
      <c r="B211" s="78"/>
      <c r="C211" s="7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 t="s">
        <v>674</v>
      </c>
      <c r="P211" s="8">
        <v>1</v>
      </c>
      <c r="Q211" s="8">
        <v>2</v>
      </c>
      <c r="R211" s="8">
        <v>3</v>
      </c>
      <c r="S211" s="8">
        <v>4</v>
      </c>
      <c r="T211" s="8">
        <v>5</v>
      </c>
      <c r="U211" s="8">
        <v>6</v>
      </c>
      <c r="V211" s="8">
        <v>7</v>
      </c>
      <c r="W211" s="8">
        <v>8</v>
      </c>
      <c r="X211" s="8">
        <v>9</v>
      </c>
      <c r="Y211" s="8">
        <v>10</v>
      </c>
      <c r="Z211" s="8">
        <v>11</v>
      </c>
      <c r="AA211" s="8">
        <v>12</v>
      </c>
      <c r="AB211" s="8">
        <v>13</v>
      </c>
      <c r="AC211" s="8">
        <v>14</v>
      </c>
      <c r="AD211" s="8">
        <v>15</v>
      </c>
      <c r="AE211" s="8">
        <v>16</v>
      </c>
      <c r="AF211" s="8">
        <v>17</v>
      </c>
      <c r="AG211" s="8">
        <v>18</v>
      </c>
      <c r="AH211" s="8">
        <v>19</v>
      </c>
      <c r="AI211" s="8">
        <v>20</v>
      </c>
      <c r="AJ211" s="8">
        <v>21</v>
      </c>
      <c r="AK211" s="8">
        <v>22</v>
      </c>
      <c r="AL211" s="8">
        <v>23</v>
      </c>
      <c r="AM211" s="8">
        <v>24</v>
      </c>
      <c r="AN211" s="8">
        <v>25</v>
      </c>
      <c r="AO211" s="8">
        <v>26</v>
      </c>
      <c r="AP211" s="8">
        <v>27</v>
      </c>
      <c r="AQ211" s="8">
        <v>28</v>
      </c>
      <c r="AR211" s="8">
        <v>29</v>
      </c>
      <c r="AS211" s="8">
        <v>30</v>
      </c>
      <c r="AT211" s="8">
        <v>31</v>
      </c>
      <c r="AU211" s="8">
        <v>32</v>
      </c>
      <c r="AV211" s="8">
        <v>33</v>
      </c>
      <c r="AW211" s="8">
        <v>34</v>
      </c>
      <c r="AX211" s="8">
        <v>35</v>
      </c>
      <c r="AY211" s="8">
        <v>36</v>
      </c>
      <c r="AZ211" s="8">
        <v>37</v>
      </c>
      <c r="BA211" s="8">
        <v>38</v>
      </c>
      <c r="BB211" s="8">
        <v>39</v>
      </c>
      <c r="BC211" s="8">
        <v>40</v>
      </c>
      <c r="BD211" s="8">
        <v>41</v>
      </c>
      <c r="BE211" s="8">
        <v>42</v>
      </c>
      <c r="BF211" s="8">
        <v>43</v>
      </c>
      <c r="BG211" s="8">
        <v>44</v>
      </c>
      <c r="BH211" s="8">
        <v>45</v>
      </c>
      <c r="BI211" s="8">
        <v>46</v>
      </c>
      <c r="BJ211" s="8">
        <v>47</v>
      </c>
      <c r="BK211" s="8">
        <v>48</v>
      </c>
      <c r="BL211" s="8">
        <v>49</v>
      </c>
      <c r="BM211" s="8">
        <v>50</v>
      </c>
      <c r="BN211" s="8">
        <v>51</v>
      </c>
      <c r="BO211" s="8">
        <v>52</v>
      </c>
      <c r="BP211" s="8">
        <v>53</v>
      </c>
      <c r="BQ211" s="8">
        <v>54</v>
      </c>
      <c r="BR211" s="8">
        <v>55</v>
      </c>
      <c r="BS211" s="8">
        <v>56</v>
      </c>
      <c r="BT211" s="8">
        <v>57</v>
      </c>
      <c r="BU211" s="8">
        <v>58</v>
      </c>
      <c r="BV211" s="8">
        <v>59</v>
      </c>
      <c r="BW211" s="8">
        <v>60</v>
      </c>
      <c r="BX211" s="8">
        <v>61</v>
      </c>
      <c r="BY211" s="8">
        <v>62</v>
      </c>
      <c r="BZ211" s="8">
        <v>63</v>
      </c>
      <c r="CA211" s="8">
        <v>64</v>
      </c>
      <c r="CB211" s="8">
        <v>65</v>
      </c>
      <c r="CC211" s="8">
        <v>66</v>
      </c>
      <c r="CD211" s="8">
        <v>67</v>
      </c>
      <c r="CE211" s="8">
        <v>68</v>
      </c>
      <c r="CF211" s="8">
        <v>69</v>
      </c>
      <c r="CG211" s="8">
        <v>70</v>
      </c>
      <c r="CH211" s="8">
        <v>71</v>
      </c>
      <c r="CI211" s="8">
        <v>72</v>
      </c>
      <c r="CJ211" s="8">
        <v>73</v>
      </c>
      <c r="CK211" s="8">
        <v>74</v>
      </c>
      <c r="CL211" s="8">
        <v>75</v>
      </c>
      <c r="CM211" s="8">
        <v>76</v>
      </c>
      <c r="CN211" s="8">
        <v>77</v>
      </c>
      <c r="CO211" s="8">
        <v>78</v>
      </c>
      <c r="CP211" s="8">
        <v>79</v>
      </c>
      <c r="CQ211" s="8">
        <v>80</v>
      </c>
      <c r="CR211" s="8">
        <v>81</v>
      </c>
      <c r="CS211" s="8">
        <v>82</v>
      </c>
      <c r="CT211" s="8">
        <v>83</v>
      </c>
      <c r="CU211" s="8">
        <v>84</v>
      </c>
      <c r="CV211" s="8">
        <v>85</v>
      </c>
      <c r="CW211" s="8">
        <v>86</v>
      </c>
      <c r="CX211" s="8">
        <v>87</v>
      </c>
      <c r="CY211" s="8">
        <v>88</v>
      </c>
      <c r="CZ211" s="8">
        <v>89</v>
      </c>
      <c r="DA211" s="8">
        <v>90</v>
      </c>
      <c r="DB211" s="8">
        <v>91</v>
      </c>
      <c r="DC211" s="8">
        <v>92</v>
      </c>
      <c r="DD211" s="8">
        <v>93</v>
      </c>
      <c r="DE211" s="8">
        <v>94</v>
      </c>
      <c r="DF211" s="8">
        <v>95</v>
      </c>
      <c r="DG211" s="8">
        <v>96</v>
      </c>
      <c r="DH211" s="8">
        <v>97</v>
      </c>
      <c r="DI211" s="8">
        <v>98</v>
      </c>
      <c r="DJ211" s="8">
        <v>99</v>
      </c>
      <c r="DK211" s="8">
        <v>100</v>
      </c>
      <c r="DL211" s="8">
        <v>101</v>
      </c>
      <c r="DM211" s="8">
        <v>102</v>
      </c>
      <c r="DN211" s="8">
        <v>103</v>
      </c>
      <c r="DO211" s="8">
        <v>104</v>
      </c>
      <c r="DP211" s="8">
        <v>105</v>
      </c>
      <c r="DQ211" s="8">
        <v>106</v>
      </c>
      <c r="DR211" s="8">
        <v>107</v>
      </c>
      <c r="DS211" s="8">
        <v>108</v>
      </c>
      <c r="DT211" s="8">
        <v>109</v>
      </c>
      <c r="DU211" s="8">
        <v>110</v>
      </c>
      <c r="DV211" s="8">
        <v>111</v>
      </c>
      <c r="DW211" s="8">
        <v>112</v>
      </c>
      <c r="DX211" s="8">
        <v>113</v>
      </c>
      <c r="DY211" s="8">
        <v>114</v>
      </c>
      <c r="DZ211" s="8">
        <v>115</v>
      </c>
      <c r="EA211" s="8">
        <v>116</v>
      </c>
      <c r="EB211" s="8">
        <v>117</v>
      </c>
      <c r="EC211" s="8">
        <v>118</v>
      </c>
      <c r="ED211" s="8">
        <v>119</v>
      </c>
      <c r="EE211" s="8">
        <v>120</v>
      </c>
      <c r="EF211" s="8">
        <v>121</v>
      </c>
      <c r="EG211" s="8">
        <v>122</v>
      </c>
      <c r="EH211" s="8">
        <v>123</v>
      </c>
      <c r="EI211" s="8">
        <v>124</v>
      </c>
      <c r="EJ211" s="8">
        <v>125</v>
      </c>
      <c r="EK211" s="8">
        <v>126</v>
      </c>
      <c r="EL211" s="8">
        <v>127</v>
      </c>
      <c r="EM211" s="8">
        <v>128</v>
      </c>
      <c r="EN211" s="8">
        <v>129</v>
      </c>
      <c r="EO211" s="8">
        <v>130</v>
      </c>
      <c r="EP211" s="8">
        <v>131</v>
      </c>
      <c r="EQ211" s="8">
        <v>132</v>
      </c>
      <c r="ER211" s="8">
        <v>133</v>
      </c>
      <c r="ES211" s="8">
        <v>134</v>
      </c>
      <c r="ET211" s="8">
        <v>135</v>
      </c>
      <c r="EU211" s="8">
        <v>136</v>
      </c>
      <c r="EV211" s="8">
        <v>137</v>
      </c>
      <c r="EW211" s="8">
        <v>138</v>
      </c>
      <c r="EX211" s="8">
        <v>139</v>
      </c>
      <c r="EY211" s="8">
        <v>140</v>
      </c>
      <c r="EZ211" s="8">
        <v>141</v>
      </c>
      <c r="FA211" s="8">
        <v>142</v>
      </c>
      <c r="FB211" s="8">
        <v>143</v>
      </c>
      <c r="FC211" s="8">
        <v>144</v>
      </c>
      <c r="FD211" s="8">
        <v>145</v>
      </c>
      <c r="FE211" s="8">
        <v>146</v>
      </c>
      <c r="FF211" s="8">
        <v>147</v>
      </c>
      <c r="FG211" s="8">
        <v>148</v>
      </c>
      <c r="FH211" s="8">
        <v>149</v>
      </c>
      <c r="FI211" s="8">
        <v>150</v>
      </c>
      <c r="FJ211" s="8">
        <v>151</v>
      </c>
      <c r="FK211" s="8">
        <v>152</v>
      </c>
      <c r="FL211" s="8">
        <v>153</v>
      </c>
      <c r="FM211" s="8">
        <v>154</v>
      </c>
      <c r="FN211" s="8">
        <v>155</v>
      </c>
      <c r="FO211" s="8">
        <v>156</v>
      </c>
      <c r="FP211" s="8">
        <v>157</v>
      </c>
      <c r="FQ211" s="8">
        <v>158</v>
      </c>
      <c r="FR211" s="8">
        <v>159</v>
      </c>
      <c r="FS211" s="8">
        <v>160</v>
      </c>
      <c r="FT211" s="8">
        <v>161</v>
      </c>
      <c r="FU211" s="8">
        <v>162</v>
      </c>
      <c r="FV211" s="8">
        <v>163</v>
      </c>
      <c r="FW211" s="8">
        <v>164</v>
      </c>
      <c r="FX211" s="8">
        <v>165</v>
      </c>
      <c r="FY211" s="8">
        <v>166</v>
      </c>
      <c r="FZ211" s="8">
        <v>167</v>
      </c>
      <c r="GA211" s="8">
        <v>168</v>
      </c>
      <c r="GB211" s="8">
        <v>169</v>
      </c>
      <c r="GC211" s="8">
        <v>170</v>
      </c>
      <c r="GD211" s="8">
        <v>171</v>
      </c>
      <c r="GE211" s="8">
        <v>172</v>
      </c>
      <c r="GF211" s="8">
        <v>173</v>
      </c>
      <c r="GG211" s="8">
        <v>174</v>
      </c>
      <c r="GH211" s="8">
        <v>175</v>
      </c>
      <c r="GI211" s="8">
        <v>176</v>
      </c>
      <c r="GJ211" s="8">
        <v>177</v>
      </c>
      <c r="GK211" s="8">
        <v>178</v>
      </c>
      <c r="GL211" s="8">
        <v>179</v>
      </c>
      <c r="GM211" s="8">
        <v>180</v>
      </c>
      <c r="GN211" s="8">
        <v>181</v>
      </c>
      <c r="GO211" s="8">
        <v>182</v>
      </c>
      <c r="GP211" s="8">
        <v>183</v>
      </c>
      <c r="GQ211" s="8">
        <v>184</v>
      </c>
      <c r="GR211" s="8">
        <v>185</v>
      </c>
      <c r="GS211" s="8">
        <v>186</v>
      </c>
      <c r="GT211" s="8">
        <v>187</v>
      </c>
      <c r="GU211" s="8">
        <v>188</v>
      </c>
      <c r="GV211" s="8">
        <v>189</v>
      </c>
      <c r="GW211" s="8">
        <v>190</v>
      </c>
      <c r="GX211" s="8">
        <v>191</v>
      </c>
      <c r="GY211" s="8">
        <v>192</v>
      </c>
      <c r="GZ211" s="8">
        <v>193</v>
      </c>
      <c r="HA211" s="8">
        <v>194</v>
      </c>
      <c r="HB211" s="8">
        <v>195</v>
      </c>
      <c r="HC211" s="8">
        <v>196</v>
      </c>
      <c r="HD211" s="8">
        <v>197</v>
      </c>
      <c r="HE211" s="8">
        <v>198</v>
      </c>
      <c r="HF211" s="8">
        <v>199</v>
      </c>
      <c r="HG211" s="8">
        <v>200</v>
      </c>
      <c r="HH211" s="8">
        <v>201</v>
      </c>
      <c r="HI211" s="8">
        <v>202</v>
      </c>
      <c r="HJ211" s="8">
        <v>203</v>
      </c>
      <c r="HK211" s="8">
        <v>204</v>
      </c>
      <c r="HL211" s="8">
        <v>205</v>
      </c>
      <c r="HM211" s="8">
        <v>206</v>
      </c>
      <c r="HN211" s="8">
        <v>207</v>
      </c>
      <c r="HO211" s="8">
        <v>208</v>
      </c>
      <c r="HP211" s="8">
        <v>209</v>
      </c>
      <c r="HQ211" s="8">
        <v>210</v>
      </c>
      <c r="HR211" s="8">
        <v>211</v>
      </c>
      <c r="HS211" s="8">
        <v>212</v>
      </c>
      <c r="HT211" s="8">
        <v>213</v>
      </c>
      <c r="HU211" s="8">
        <v>214</v>
      </c>
      <c r="HV211" s="8">
        <v>215</v>
      </c>
      <c r="HW211" s="8">
        <v>216</v>
      </c>
      <c r="HX211" s="8">
        <v>217</v>
      </c>
      <c r="HY211" s="8">
        <v>218</v>
      </c>
      <c r="HZ211" s="8">
        <v>219</v>
      </c>
      <c r="IA211" s="8">
        <v>220</v>
      </c>
      <c r="IB211" s="8">
        <v>221</v>
      </c>
      <c r="IC211" s="8">
        <v>222</v>
      </c>
    </row>
    <row r="212" spans="1:257">
      <c r="A212" s="78"/>
      <c r="B212" s="78"/>
      <c r="C212" s="7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7"/>
      <c r="P212" s="50" t="s">
        <v>159</v>
      </c>
      <c r="Q212" s="50" t="s">
        <v>159</v>
      </c>
      <c r="R212" s="50" t="s">
        <v>159</v>
      </c>
      <c r="S212" s="50" t="s">
        <v>159</v>
      </c>
      <c r="T212" s="50" t="s">
        <v>159</v>
      </c>
      <c r="U212" s="50" t="s">
        <v>159</v>
      </c>
      <c r="V212" s="50" t="s">
        <v>159</v>
      </c>
      <c r="W212" s="50" t="s">
        <v>159</v>
      </c>
      <c r="X212" s="50" t="s">
        <v>159</v>
      </c>
      <c r="Y212" s="50" t="s">
        <v>159</v>
      </c>
      <c r="Z212" s="50" t="s">
        <v>159</v>
      </c>
      <c r="AA212" s="50" t="s">
        <v>159</v>
      </c>
      <c r="AB212" s="50" t="s">
        <v>159</v>
      </c>
      <c r="AC212" s="50" t="s">
        <v>159</v>
      </c>
      <c r="AD212" s="50" t="s">
        <v>159</v>
      </c>
      <c r="AE212" s="50" t="s">
        <v>159</v>
      </c>
      <c r="AF212" s="50" t="s">
        <v>159</v>
      </c>
      <c r="AG212" s="50" t="s">
        <v>159</v>
      </c>
      <c r="AH212" s="50" t="s">
        <v>159</v>
      </c>
      <c r="AI212" s="50" t="s">
        <v>159</v>
      </c>
      <c r="AJ212" s="50" t="s">
        <v>159</v>
      </c>
      <c r="AK212" s="50" t="s">
        <v>159</v>
      </c>
      <c r="AL212" s="50" t="s">
        <v>159</v>
      </c>
      <c r="AM212" s="50" t="s">
        <v>159</v>
      </c>
      <c r="AN212" s="50" t="s">
        <v>159</v>
      </c>
      <c r="AO212" s="50" t="s">
        <v>159</v>
      </c>
      <c r="AP212" s="50" t="s">
        <v>159</v>
      </c>
      <c r="AQ212" s="50" t="s">
        <v>159</v>
      </c>
      <c r="AR212" s="50" t="s">
        <v>159</v>
      </c>
      <c r="AS212" s="50" t="s">
        <v>159</v>
      </c>
      <c r="AT212" s="50" t="s">
        <v>159</v>
      </c>
      <c r="AU212" s="50" t="s">
        <v>159</v>
      </c>
      <c r="AV212" s="50" t="s">
        <v>159</v>
      </c>
      <c r="AW212" s="50" t="s">
        <v>159</v>
      </c>
      <c r="AX212" s="50" t="s">
        <v>159</v>
      </c>
      <c r="AY212" s="50" t="s">
        <v>159</v>
      </c>
      <c r="AZ212" s="50" t="s">
        <v>159</v>
      </c>
      <c r="BA212" s="50" t="s">
        <v>159</v>
      </c>
      <c r="BB212" s="50" t="s">
        <v>159</v>
      </c>
      <c r="BC212" s="50" t="s">
        <v>159</v>
      </c>
      <c r="BD212" s="50" t="s">
        <v>159</v>
      </c>
      <c r="BE212" s="50" t="s">
        <v>159</v>
      </c>
      <c r="BF212" s="50" t="s">
        <v>159</v>
      </c>
      <c r="BG212" s="50" t="s">
        <v>159</v>
      </c>
      <c r="BH212" s="50" t="s">
        <v>159</v>
      </c>
      <c r="BI212" s="50" t="s">
        <v>159</v>
      </c>
      <c r="BJ212" s="50" t="s">
        <v>159</v>
      </c>
      <c r="BK212" s="50" t="s">
        <v>159</v>
      </c>
      <c r="BL212" s="50" t="s">
        <v>159</v>
      </c>
      <c r="BM212" s="50" t="s">
        <v>159</v>
      </c>
      <c r="BN212" s="50" t="s">
        <v>159</v>
      </c>
      <c r="BO212" s="50" t="s">
        <v>159</v>
      </c>
      <c r="BP212" s="50" t="s">
        <v>159</v>
      </c>
      <c r="BQ212" s="50" t="s">
        <v>159</v>
      </c>
      <c r="BR212" s="50" t="s">
        <v>159</v>
      </c>
      <c r="BS212" s="50" t="s">
        <v>159</v>
      </c>
      <c r="BT212" s="50" t="s">
        <v>159</v>
      </c>
      <c r="BU212" s="50" t="s">
        <v>159</v>
      </c>
      <c r="BV212" s="50" t="s">
        <v>159</v>
      </c>
      <c r="BW212" s="50" t="s">
        <v>159</v>
      </c>
      <c r="BX212" s="50" t="s">
        <v>159</v>
      </c>
      <c r="BY212" s="50" t="s">
        <v>159</v>
      </c>
      <c r="BZ212" s="50" t="s">
        <v>159</v>
      </c>
      <c r="CA212" s="50" t="s">
        <v>159</v>
      </c>
      <c r="CB212" s="50" t="s">
        <v>159</v>
      </c>
      <c r="CC212" s="50" t="s">
        <v>159</v>
      </c>
      <c r="CD212" s="50" t="s">
        <v>159</v>
      </c>
      <c r="CE212" s="50" t="s">
        <v>159</v>
      </c>
      <c r="CF212" s="50" t="s">
        <v>159</v>
      </c>
      <c r="CG212" s="50" t="s">
        <v>159</v>
      </c>
      <c r="CH212" s="50" t="s">
        <v>159</v>
      </c>
      <c r="CI212" s="50" t="s">
        <v>159</v>
      </c>
      <c r="CJ212" s="50" t="s">
        <v>159</v>
      </c>
      <c r="CK212" s="50" t="s">
        <v>159</v>
      </c>
      <c r="CL212" s="50" t="s">
        <v>159</v>
      </c>
      <c r="CM212" s="50" t="s">
        <v>159</v>
      </c>
      <c r="CN212" s="50" t="s">
        <v>159</v>
      </c>
      <c r="CO212" s="50" t="s">
        <v>159</v>
      </c>
      <c r="CP212" s="50" t="s">
        <v>159</v>
      </c>
      <c r="CQ212" s="50" t="s">
        <v>159</v>
      </c>
      <c r="CR212" s="50" t="s">
        <v>159</v>
      </c>
      <c r="CS212" s="50" t="s">
        <v>159</v>
      </c>
      <c r="CT212" s="50" t="s">
        <v>159</v>
      </c>
      <c r="CU212" s="50" t="s">
        <v>159</v>
      </c>
      <c r="CV212" s="50" t="s">
        <v>159</v>
      </c>
      <c r="CW212" s="50" t="s">
        <v>159</v>
      </c>
      <c r="CX212" s="50" t="s">
        <v>159</v>
      </c>
      <c r="CY212" s="50" t="s">
        <v>159</v>
      </c>
      <c r="CZ212" s="50" t="s">
        <v>159</v>
      </c>
      <c r="DA212" s="50" t="s">
        <v>159</v>
      </c>
      <c r="DB212" s="50" t="s">
        <v>159</v>
      </c>
      <c r="DC212" s="50" t="s">
        <v>159</v>
      </c>
      <c r="DD212" s="50" t="s">
        <v>159</v>
      </c>
      <c r="DE212" s="50" t="s">
        <v>159</v>
      </c>
      <c r="DF212" s="50" t="s">
        <v>159</v>
      </c>
      <c r="DG212" s="50" t="s">
        <v>159</v>
      </c>
      <c r="DH212" s="50" t="s">
        <v>159</v>
      </c>
      <c r="DI212" s="50" t="s">
        <v>159</v>
      </c>
      <c r="DJ212" s="50" t="s">
        <v>159</v>
      </c>
      <c r="DK212" s="50" t="s">
        <v>159</v>
      </c>
      <c r="DL212" s="50" t="s">
        <v>159</v>
      </c>
      <c r="DM212" s="50" t="s">
        <v>159</v>
      </c>
      <c r="DN212" s="50" t="s">
        <v>159</v>
      </c>
      <c r="DO212" s="50" t="s">
        <v>159</v>
      </c>
      <c r="DP212" s="50" t="s">
        <v>159</v>
      </c>
      <c r="DQ212" s="50" t="s">
        <v>159</v>
      </c>
      <c r="DR212" s="50" t="s">
        <v>159</v>
      </c>
      <c r="DS212" s="50" t="s">
        <v>159</v>
      </c>
      <c r="DT212" s="50" t="s">
        <v>159</v>
      </c>
      <c r="DU212" s="50" t="s">
        <v>159</v>
      </c>
      <c r="DV212" s="50" t="s">
        <v>159</v>
      </c>
      <c r="DW212" s="50" t="s">
        <v>159</v>
      </c>
      <c r="DX212" s="50" t="s">
        <v>159</v>
      </c>
      <c r="DY212" s="50" t="s">
        <v>159</v>
      </c>
      <c r="DZ212" s="50" t="s">
        <v>159</v>
      </c>
      <c r="EA212" s="50" t="s">
        <v>159</v>
      </c>
      <c r="EB212" s="50" t="s">
        <v>159</v>
      </c>
      <c r="EC212" s="50" t="s">
        <v>159</v>
      </c>
      <c r="ED212" s="50" t="s">
        <v>159</v>
      </c>
      <c r="EE212" s="50" t="s">
        <v>159</v>
      </c>
      <c r="EF212" s="50" t="s">
        <v>159</v>
      </c>
      <c r="EG212" s="50" t="s">
        <v>159</v>
      </c>
      <c r="EH212" s="50" t="s">
        <v>159</v>
      </c>
      <c r="EI212" s="50" t="s">
        <v>159</v>
      </c>
      <c r="EJ212" s="50" t="s">
        <v>159</v>
      </c>
      <c r="EK212" s="50" t="s">
        <v>159</v>
      </c>
      <c r="EL212" s="50" t="s">
        <v>159</v>
      </c>
      <c r="EM212" s="50" t="s">
        <v>159</v>
      </c>
      <c r="EN212" s="50" t="s">
        <v>159</v>
      </c>
      <c r="EO212" s="50" t="s">
        <v>159</v>
      </c>
      <c r="EP212" s="50" t="s">
        <v>159</v>
      </c>
      <c r="EQ212" s="50" t="s">
        <v>159</v>
      </c>
      <c r="ER212" s="50" t="s">
        <v>159</v>
      </c>
      <c r="ES212" s="50" t="s">
        <v>159</v>
      </c>
      <c r="ET212" s="50" t="s">
        <v>159</v>
      </c>
      <c r="EU212" s="50" t="s">
        <v>159</v>
      </c>
      <c r="EV212" s="50" t="s">
        <v>159</v>
      </c>
      <c r="EW212" s="50" t="s">
        <v>159</v>
      </c>
      <c r="EX212" s="50" t="s">
        <v>159</v>
      </c>
      <c r="EY212" s="50" t="s">
        <v>159</v>
      </c>
      <c r="EZ212" s="50" t="s">
        <v>159</v>
      </c>
      <c r="FA212" s="50" t="s">
        <v>159</v>
      </c>
      <c r="FB212" s="50" t="s">
        <v>159</v>
      </c>
      <c r="FC212" s="50" t="s">
        <v>159</v>
      </c>
      <c r="FD212" s="50" t="s">
        <v>159</v>
      </c>
      <c r="FE212" s="50" t="s">
        <v>159</v>
      </c>
      <c r="FF212" s="50" t="s">
        <v>159</v>
      </c>
      <c r="FG212" s="50" t="s">
        <v>159</v>
      </c>
      <c r="FH212" s="50" t="s">
        <v>159</v>
      </c>
      <c r="FI212" s="50" t="s">
        <v>159</v>
      </c>
      <c r="FJ212" s="50" t="s">
        <v>159</v>
      </c>
      <c r="FK212" s="50" t="s">
        <v>159</v>
      </c>
      <c r="FL212" s="50" t="s">
        <v>159</v>
      </c>
      <c r="FM212" s="50" t="s">
        <v>159</v>
      </c>
      <c r="FN212" s="50" t="s">
        <v>159</v>
      </c>
      <c r="FO212" s="50" t="s">
        <v>159</v>
      </c>
      <c r="FP212" s="50" t="s">
        <v>159</v>
      </c>
      <c r="FQ212" s="50" t="s">
        <v>159</v>
      </c>
      <c r="FR212" s="50" t="s">
        <v>159</v>
      </c>
      <c r="FS212" s="50" t="s">
        <v>159</v>
      </c>
      <c r="FT212" s="50" t="s">
        <v>159</v>
      </c>
      <c r="FU212" s="50" t="s">
        <v>159</v>
      </c>
      <c r="FV212" s="50" t="s">
        <v>159</v>
      </c>
      <c r="FW212" s="50" t="s">
        <v>159</v>
      </c>
      <c r="FX212" s="50" t="s">
        <v>159</v>
      </c>
      <c r="FY212" s="50" t="s">
        <v>159</v>
      </c>
      <c r="FZ212" s="50" t="s">
        <v>159</v>
      </c>
      <c r="GA212" s="50" t="s">
        <v>159</v>
      </c>
      <c r="GB212" s="50" t="s">
        <v>159</v>
      </c>
      <c r="GC212" s="50" t="s">
        <v>159</v>
      </c>
      <c r="GD212" s="50" t="s">
        <v>159</v>
      </c>
      <c r="GE212" s="50" t="s">
        <v>159</v>
      </c>
      <c r="GF212" s="50" t="s">
        <v>159</v>
      </c>
      <c r="GG212" s="50" t="s">
        <v>159</v>
      </c>
      <c r="GH212" s="50" t="s">
        <v>159</v>
      </c>
      <c r="GI212" s="50" t="s">
        <v>159</v>
      </c>
      <c r="GJ212" s="50" t="s">
        <v>159</v>
      </c>
      <c r="GK212" s="50" t="s">
        <v>159</v>
      </c>
      <c r="GL212" s="50" t="s">
        <v>159</v>
      </c>
      <c r="GM212" s="50" t="s">
        <v>159</v>
      </c>
      <c r="GN212" s="50" t="s">
        <v>159</v>
      </c>
      <c r="GO212" s="50" t="s">
        <v>159</v>
      </c>
      <c r="GP212" s="50" t="s">
        <v>159</v>
      </c>
      <c r="GQ212" s="50" t="s">
        <v>159</v>
      </c>
      <c r="GR212" s="50" t="s">
        <v>159</v>
      </c>
      <c r="GS212" s="50" t="s">
        <v>159</v>
      </c>
      <c r="GT212" s="50" t="s">
        <v>159</v>
      </c>
      <c r="GU212" s="50" t="s">
        <v>159</v>
      </c>
      <c r="GV212" s="50" t="s">
        <v>159</v>
      </c>
      <c r="GW212" s="50" t="s">
        <v>159</v>
      </c>
      <c r="GX212" s="50" t="s">
        <v>159</v>
      </c>
      <c r="GY212" s="50" t="s">
        <v>159</v>
      </c>
      <c r="GZ212" s="50" t="s">
        <v>159</v>
      </c>
      <c r="HA212" s="50" t="s">
        <v>159</v>
      </c>
      <c r="HB212" s="50" t="s">
        <v>159</v>
      </c>
      <c r="HC212" s="50" t="s">
        <v>159</v>
      </c>
      <c r="HD212" s="50" t="s">
        <v>159</v>
      </c>
      <c r="HE212" s="50" t="s">
        <v>159</v>
      </c>
      <c r="HF212" s="50" t="s">
        <v>159</v>
      </c>
      <c r="HG212" s="50" t="s">
        <v>159</v>
      </c>
      <c r="HH212" s="50" t="s">
        <v>159</v>
      </c>
      <c r="HI212" s="50" t="s">
        <v>159</v>
      </c>
      <c r="HJ212" s="50" t="s">
        <v>159</v>
      </c>
      <c r="HK212" s="50" t="s">
        <v>159</v>
      </c>
      <c r="HL212" s="50" t="s">
        <v>159</v>
      </c>
      <c r="HM212" s="50" t="s">
        <v>159</v>
      </c>
      <c r="HN212" s="50" t="s">
        <v>159</v>
      </c>
      <c r="HO212" s="50" t="s">
        <v>159</v>
      </c>
      <c r="HP212" s="50" t="s">
        <v>159</v>
      </c>
      <c r="HQ212" s="50" t="s">
        <v>159</v>
      </c>
      <c r="HR212" s="50" t="s">
        <v>159</v>
      </c>
      <c r="HS212" s="50" t="s">
        <v>159</v>
      </c>
      <c r="HT212" s="50" t="s">
        <v>159</v>
      </c>
      <c r="HU212" s="50" t="s">
        <v>159</v>
      </c>
      <c r="HV212" s="50" t="s">
        <v>159</v>
      </c>
      <c r="HW212" s="50" t="s">
        <v>159</v>
      </c>
      <c r="HX212" s="50" t="s">
        <v>159</v>
      </c>
      <c r="HY212" s="50" t="s">
        <v>159</v>
      </c>
      <c r="HZ212" s="50" t="s">
        <v>159</v>
      </c>
      <c r="IA212" s="50" t="s">
        <v>159</v>
      </c>
      <c r="IB212" s="50" t="s">
        <v>159</v>
      </c>
      <c r="IC212" s="50" t="s">
        <v>159</v>
      </c>
    </row>
    <row r="213" spans="1:257">
      <c r="A213" s="4" t="s">
        <v>522</v>
      </c>
      <c r="B213" s="82" t="str">
        <f t="array" ref="B213">_xlfn.LET(
  _xlpm.dates, _xlfn._xlws.FILTER(P213:HO213, (P215:HO215&lt;&gt;"")+(P217:HO217&lt;&gt;"")),
  _xlpm.numDates, IFERROR(VALUE(_xlpm.dates), _xlpm.dates),
  _xlpm.first, TEXT(MIN(_xlpm.numDates), "m/dd"),
  _xlpm.last, TEXT(MAX(_xlpm.numDates), "m/dd"),
  _xlpm.first &amp; "~" &amp; _xlpm.last
)</f>
        <v>3/27~4/27</v>
      </c>
      <c r="C213" s="7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 t="s">
        <v>522</v>
      </c>
      <c r="P213" s="3">
        <v>46107</v>
      </c>
      <c r="Q213" s="3">
        <v>46108</v>
      </c>
      <c r="R213" s="3">
        <v>46109</v>
      </c>
      <c r="S213" s="3">
        <v>46110</v>
      </c>
      <c r="T213" s="3">
        <v>46111</v>
      </c>
      <c r="U213" s="3">
        <v>46112</v>
      </c>
      <c r="V213" s="3">
        <v>46113</v>
      </c>
      <c r="W213" s="3">
        <v>46114</v>
      </c>
      <c r="X213" s="3">
        <v>46115</v>
      </c>
      <c r="Y213" s="3">
        <v>46116</v>
      </c>
      <c r="Z213" s="3">
        <v>46117</v>
      </c>
      <c r="AA213" s="3">
        <v>46118</v>
      </c>
      <c r="AB213" s="3">
        <v>46119</v>
      </c>
      <c r="AC213" s="3">
        <v>46120</v>
      </c>
      <c r="AD213" s="3">
        <v>46121</v>
      </c>
      <c r="AE213" s="3">
        <v>46122</v>
      </c>
      <c r="AF213" s="3">
        <v>46123</v>
      </c>
      <c r="AG213" s="3">
        <v>46124</v>
      </c>
      <c r="AH213" s="3">
        <v>46125</v>
      </c>
      <c r="AI213" s="3">
        <v>46126</v>
      </c>
      <c r="AJ213" s="3">
        <v>46127</v>
      </c>
      <c r="AK213" s="3">
        <v>46128</v>
      </c>
      <c r="AL213" s="3">
        <v>46129</v>
      </c>
      <c r="AM213" s="3">
        <v>46130</v>
      </c>
      <c r="AN213" s="3">
        <v>46131</v>
      </c>
      <c r="AO213" s="3">
        <v>46132</v>
      </c>
      <c r="AP213" s="3">
        <v>46133</v>
      </c>
      <c r="AQ213" s="3">
        <v>46134</v>
      </c>
      <c r="AR213" s="3">
        <v>46135</v>
      </c>
      <c r="AS213" s="3">
        <v>46136</v>
      </c>
      <c r="AT213" s="3">
        <v>46137</v>
      </c>
      <c r="AU213" s="3">
        <v>46138</v>
      </c>
      <c r="AV213" s="3">
        <v>46139</v>
      </c>
      <c r="AW213" s="3">
        <v>46140</v>
      </c>
      <c r="AX213" s="3">
        <v>46141</v>
      </c>
      <c r="AY213" s="3">
        <v>46142</v>
      </c>
      <c r="AZ213" s="3">
        <v>46143</v>
      </c>
      <c r="BA213" s="3">
        <v>46144</v>
      </c>
      <c r="BB213" s="3">
        <v>46145</v>
      </c>
      <c r="BC213" s="3">
        <v>46146</v>
      </c>
      <c r="BD213" s="3">
        <v>46147</v>
      </c>
      <c r="BE213" s="3">
        <v>46148</v>
      </c>
      <c r="BF213" s="3">
        <v>46149</v>
      </c>
      <c r="BG213" s="3">
        <v>46150</v>
      </c>
      <c r="BH213" s="3">
        <v>46151</v>
      </c>
      <c r="BI213" s="3">
        <v>46152</v>
      </c>
      <c r="BJ213" s="3">
        <v>46153</v>
      </c>
      <c r="BK213" s="3">
        <v>46154</v>
      </c>
      <c r="BL213" s="3">
        <v>46155</v>
      </c>
      <c r="BM213" s="3">
        <v>46156</v>
      </c>
      <c r="BN213" s="3">
        <v>46157</v>
      </c>
      <c r="BO213" s="3">
        <v>46158</v>
      </c>
      <c r="BP213" s="3">
        <v>46159</v>
      </c>
      <c r="BQ213" s="3">
        <v>46160</v>
      </c>
      <c r="BR213" s="3">
        <v>46161</v>
      </c>
      <c r="BS213" s="3">
        <v>46162</v>
      </c>
      <c r="BT213" s="3">
        <v>46163</v>
      </c>
      <c r="BU213" s="3">
        <v>46164</v>
      </c>
      <c r="BV213" s="3">
        <v>46165</v>
      </c>
      <c r="BW213" s="3">
        <v>46166</v>
      </c>
      <c r="BX213" s="3">
        <v>46167</v>
      </c>
      <c r="BY213" s="3">
        <v>46168</v>
      </c>
      <c r="BZ213" s="3">
        <v>46169</v>
      </c>
      <c r="CA213" s="3">
        <v>46170</v>
      </c>
      <c r="CB213" s="3">
        <v>46171</v>
      </c>
      <c r="CC213" s="3">
        <v>46172</v>
      </c>
      <c r="CD213" s="3">
        <v>46173</v>
      </c>
      <c r="CE213" s="3">
        <v>46174</v>
      </c>
      <c r="CF213" s="3">
        <v>46175</v>
      </c>
      <c r="CG213" s="3">
        <v>46176</v>
      </c>
      <c r="CH213" s="3">
        <v>46177</v>
      </c>
      <c r="CI213" s="3">
        <v>46178</v>
      </c>
      <c r="CJ213" s="3">
        <v>46179</v>
      </c>
      <c r="CK213" s="3">
        <v>46180</v>
      </c>
      <c r="CL213" s="3">
        <v>46181</v>
      </c>
      <c r="CM213" s="3">
        <v>46182</v>
      </c>
      <c r="CN213" s="3">
        <v>46183</v>
      </c>
      <c r="CO213" s="3">
        <v>46184</v>
      </c>
      <c r="CP213" s="3">
        <v>46185</v>
      </c>
      <c r="CQ213" s="3">
        <v>46186</v>
      </c>
      <c r="CR213" s="3">
        <v>46187</v>
      </c>
      <c r="CS213" s="3">
        <v>46188</v>
      </c>
      <c r="CT213" s="3">
        <v>46189</v>
      </c>
      <c r="CU213" s="3">
        <v>46190</v>
      </c>
      <c r="CV213" s="3">
        <v>46191</v>
      </c>
      <c r="CW213" s="3">
        <v>46192</v>
      </c>
      <c r="CX213" s="3">
        <v>46193</v>
      </c>
      <c r="CY213" s="3">
        <v>46194</v>
      </c>
      <c r="CZ213" s="3">
        <v>46195</v>
      </c>
      <c r="DA213" s="3">
        <v>46196</v>
      </c>
      <c r="DB213" s="3">
        <v>46197</v>
      </c>
      <c r="DC213" s="3">
        <v>46198</v>
      </c>
      <c r="DD213" s="3">
        <v>46199</v>
      </c>
      <c r="DE213" s="3">
        <v>46200</v>
      </c>
      <c r="DF213" s="3">
        <v>46201</v>
      </c>
      <c r="DG213" s="3">
        <v>46202</v>
      </c>
      <c r="DH213" s="3">
        <v>46203</v>
      </c>
      <c r="DI213" s="3">
        <v>46204</v>
      </c>
      <c r="DJ213" s="3">
        <v>46205</v>
      </c>
      <c r="DK213" s="3">
        <v>46206</v>
      </c>
      <c r="DL213" s="3">
        <v>46207</v>
      </c>
      <c r="DM213" s="3">
        <v>46208</v>
      </c>
      <c r="DN213" s="3">
        <v>46209</v>
      </c>
      <c r="DO213" s="3">
        <v>46210</v>
      </c>
      <c r="DP213" s="3">
        <v>46211</v>
      </c>
      <c r="DQ213" s="3">
        <v>46212</v>
      </c>
      <c r="DR213" s="3">
        <v>46213</v>
      </c>
      <c r="DS213" s="3">
        <v>46214</v>
      </c>
      <c r="DT213" s="3">
        <v>46215</v>
      </c>
      <c r="DU213" s="3">
        <v>46216</v>
      </c>
      <c r="DV213" s="3">
        <v>46217</v>
      </c>
      <c r="DW213" s="3">
        <v>46218</v>
      </c>
      <c r="DX213" s="3">
        <v>46219</v>
      </c>
      <c r="DY213" s="3">
        <v>46220</v>
      </c>
      <c r="DZ213" s="3">
        <v>46221</v>
      </c>
      <c r="EA213" s="3">
        <v>46222</v>
      </c>
      <c r="EB213" s="3">
        <v>46223</v>
      </c>
      <c r="EC213" s="3">
        <v>46224</v>
      </c>
      <c r="ED213" s="3">
        <v>46225</v>
      </c>
      <c r="EE213" s="3">
        <v>46226</v>
      </c>
      <c r="EF213" s="3">
        <v>46227</v>
      </c>
      <c r="EG213" s="3">
        <v>46228</v>
      </c>
      <c r="EH213" s="3">
        <v>46229</v>
      </c>
      <c r="EI213" s="3">
        <v>46230</v>
      </c>
      <c r="EJ213" s="3">
        <v>46231</v>
      </c>
      <c r="EK213" s="3">
        <v>46232</v>
      </c>
      <c r="EL213" s="3">
        <v>46233</v>
      </c>
      <c r="EM213" s="3">
        <v>46234</v>
      </c>
      <c r="EN213" s="3">
        <v>46235</v>
      </c>
      <c r="EO213" s="3">
        <v>46236</v>
      </c>
      <c r="EP213" s="3">
        <v>46237</v>
      </c>
      <c r="EQ213" s="3">
        <v>46238</v>
      </c>
      <c r="ER213" s="3">
        <v>46239</v>
      </c>
      <c r="ES213" s="3">
        <v>46240</v>
      </c>
      <c r="ET213" s="3">
        <v>46241</v>
      </c>
      <c r="EU213" s="3">
        <v>46242</v>
      </c>
      <c r="EV213" s="3">
        <v>46243</v>
      </c>
      <c r="EW213" s="3">
        <v>46244</v>
      </c>
      <c r="EX213" s="3">
        <v>46245</v>
      </c>
      <c r="EY213" s="3">
        <v>46246</v>
      </c>
      <c r="EZ213" s="3">
        <v>46247</v>
      </c>
      <c r="FA213" s="3">
        <v>46248</v>
      </c>
      <c r="FB213" s="3">
        <v>46249</v>
      </c>
      <c r="FC213" s="3">
        <v>46250</v>
      </c>
      <c r="FD213" s="3">
        <v>46251</v>
      </c>
      <c r="FE213" s="3">
        <v>46252</v>
      </c>
      <c r="FF213" s="3">
        <v>46253</v>
      </c>
      <c r="FG213" s="3">
        <v>46254</v>
      </c>
      <c r="FH213" s="3">
        <v>46255</v>
      </c>
      <c r="FI213" s="3">
        <v>46256</v>
      </c>
      <c r="FJ213" s="3">
        <v>46257</v>
      </c>
      <c r="FK213" s="3">
        <v>46258</v>
      </c>
      <c r="FL213" s="3">
        <v>46259</v>
      </c>
      <c r="FM213" s="3">
        <v>46260</v>
      </c>
      <c r="FN213" s="3">
        <v>46261</v>
      </c>
      <c r="FO213" s="3">
        <v>46262</v>
      </c>
      <c r="FP213" s="3">
        <v>46263</v>
      </c>
      <c r="FQ213" s="3">
        <v>46264</v>
      </c>
      <c r="FR213" s="3">
        <v>46265</v>
      </c>
      <c r="FS213" s="3">
        <v>46266</v>
      </c>
      <c r="FT213" s="3">
        <v>46267</v>
      </c>
      <c r="FU213" s="3">
        <v>46268</v>
      </c>
      <c r="FV213" s="3">
        <v>46269</v>
      </c>
      <c r="FW213" s="3">
        <v>46270</v>
      </c>
      <c r="FX213" s="3">
        <v>46271</v>
      </c>
      <c r="FY213" s="3">
        <v>46272</v>
      </c>
      <c r="FZ213" s="3">
        <v>46273</v>
      </c>
      <c r="GA213" s="3">
        <v>46274</v>
      </c>
      <c r="GB213" s="3">
        <v>46275</v>
      </c>
      <c r="GC213" s="3">
        <v>46276</v>
      </c>
      <c r="GD213" s="3">
        <v>46277</v>
      </c>
      <c r="GE213" s="3">
        <v>46278</v>
      </c>
      <c r="GF213" s="3">
        <v>46279</v>
      </c>
      <c r="GG213" s="3">
        <v>46280</v>
      </c>
      <c r="GH213" s="3">
        <v>46281</v>
      </c>
      <c r="GI213" s="3">
        <v>46282</v>
      </c>
      <c r="GJ213" s="3">
        <v>46283</v>
      </c>
      <c r="GK213" s="3">
        <v>46284</v>
      </c>
      <c r="GL213" s="3">
        <v>46285</v>
      </c>
      <c r="GM213" s="3">
        <v>46286</v>
      </c>
      <c r="GN213" s="3">
        <v>46287</v>
      </c>
      <c r="GO213" s="3">
        <v>46288</v>
      </c>
      <c r="GP213" s="3">
        <v>46289</v>
      </c>
      <c r="GQ213" s="3">
        <v>46290</v>
      </c>
      <c r="GR213" s="3">
        <v>46291</v>
      </c>
      <c r="GS213" s="3">
        <v>46292</v>
      </c>
      <c r="GT213" s="3">
        <v>46293</v>
      </c>
      <c r="GU213" s="3">
        <v>46294</v>
      </c>
      <c r="GV213" s="3">
        <v>46295</v>
      </c>
      <c r="GW213" s="3">
        <v>46296</v>
      </c>
      <c r="GX213" s="3">
        <v>46297</v>
      </c>
      <c r="GY213" s="3">
        <v>46298</v>
      </c>
      <c r="GZ213" s="3">
        <v>46299</v>
      </c>
      <c r="HA213" s="3">
        <v>46300</v>
      </c>
      <c r="HB213" s="3">
        <v>46301</v>
      </c>
      <c r="HC213" s="3">
        <v>46302</v>
      </c>
      <c r="HD213" s="3">
        <v>46303</v>
      </c>
      <c r="HE213" s="3">
        <v>46304</v>
      </c>
      <c r="HF213" s="3">
        <v>46305</v>
      </c>
      <c r="HG213" s="3">
        <v>46306</v>
      </c>
      <c r="HH213" s="3">
        <v>46307</v>
      </c>
      <c r="HI213" s="3">
        <v>46308</v>
      </c>
      <c r="HJ213" s="3">
        <v>46309</v>
      </c>
      <c r="HK213" s="3">
        <v>46310</v>
      </c>
      <c r="HL213" s="3">
        <v>46311</v>
      </c>
      <c r="HM213" s="3">
        <v>46312</v>
      </c>
      <c r="HN213" s="3">
        <v>46313</v>
      </c>
      <c r="HO213" s="3">
        <v>46314</v>
      </c>
      <c r="HP213" s="3">
        <v>46315</v>
      </c>
      <c r="HQ213" s="3">
        <v>46316</v>
      </c>
      <c r="HR213" s="3">
        <v>46317</v>
      </c>
      <c r="HS213" s="3">
        <v>46318</v>
      </c>
      <c r="HT213" s="3">
        <v>46319</v>
      </c>
      <c r="HU213" s="3">
        <v>46320</v>
      </c>
      <c r="HV213" s="3">
        <v>46321</v>
      </c>
      <c r="HW213" s="3">
        <v>46322</v>
      </c>
      <c r="HX213" s="3">
        <v>46323</v>
      </c>
      <c r="HY213" s="3">
        <v>46324</v>
      </c>
      <c r="HZ213" s="3">
        <v>46325</v>
      </c>
      <c r="IA213" s="3">
        <v>46326</v>
      </c>
      <c r="IB213" s="3">
        <v>46327</v>
      </c>
      <c r="IC213" s="3">
        <v>46328</v>
      </c>
    </row>
    <row r="214" spans="1:257">
      <c r="A214" s="4" t="s">
        <v>694</v>
      </c>
      <c r="B214" s="82" t="str">
        <f t="array" ref="B214">COLUMNS(_xlfn._xlws.FILTER(P213:HO213, (P215:HO215&lt;&gt;"")+(P217:HO217&lt;&gt;""))) &amp; "場"</f>
        <v>27場</v>
      </c>
      <c r="C214" s="7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 t="s">
        <v>675</v>
      </c>
      <c r="P214" s="3" t="s">
        <v>676</v>
      </c>
      <c r="Q214" s="3" t="s">
        <v>677</v>
      </c>
      <c r="R214" s="3" t="s">
        <v>678</v>
      </c>
      <c r="S214" s="3" t="s">
        <v>679</v>
      </c>
      <c r="T214" s="3" t="s">
        <v>680</v>
      </c>
      <c r="U214" s="3" t="s">
        <v>681</v>
      </c>
      <c r="V214" s="3" t="s">
        <v>682</v>
      </c>
      <c r="W214" s="3" t="s">
        <v>676</v>
      </c>
      <c r="X214" s="3" t="s">
        <v>677</v>
      </c>
      <c r="Y214" s="3" t="s">
        <v>678</v>
      </c>
      <c r="Z214" s="3" t="s">
        <v>679</v>
      </c>
      <c r="AA214" s="3" t="s">
        <v>680</v>
      </c>
      <c r="AB214" s="3" t="s">
        <v>681</v>
      </c>
      <c r="AC214" s="3" t="s">
        <v>682</v>
      </c>
      <c r="AD214" s="3" t="s">
        <v>676</v>
      </c>
      <c r="AE214" s="3" t="s">
        <v>677</v>
      </c>
      <c r="AF214" s="3" t="s">
        <v>678</v>
      </c>
      <c r="AG214" s="3" t="s">
        <v>679</v>
      </c>
      <c r="AH214" s="3" t="s">
        <v>680</v>
      </c>
      <c r="AI214" s="3" t="s">
        <v>681</v>
      </c>
      <c r="AJ214" s="3" t="s">
        <v>682</v>
      </c>
      <c r="AK214" s="3" t="s">
        <v>676</v>
      </c>
      <c r="AL214" s="3" t="s">
        <v>677</v>
      </c>
      <c r="AM214" s="3" t="s">
        <v>678</v>
      </c>
      <c r="AN214" s="3" t="s">
        <v>679</v>
      </c>
      <c r="AO214" s="3" t="s">
        <v>680</v>
      </c>
      <c r="AP214" s="3" t="s">
        <v>681</v>
      </c>
      <c r="AQ214" s="3" t="s">
        <v>682</v>
      </c>
      <c r="AR214" s="3" t="s">
        <v>676</v>
      </c>
      <c r="AS214" s="3" t="s">
        <v>677</v>
      </c>
      <c r="AT214" s="3" t="s">
        <v>678</v>
      </c>
      <c r="AU214" s="3" t="s">
        <v>679</v>
      </c>
      <c r="AV214" s="3" t="s">
        <v>680</v>
      </c>
      <c r="AW214" s="3" t="s">
        <v>681</v>
      </c>
      <c r="AX214" s="3" t="s">
        <v>682</v>
      </c>
      <c r="AY214" s="3" t="s">
        <v>676</v>
      </c>
      <c r="AZ214" s="3" t="s">
        <v>677</v>
      </c>
      <c r="BA214" s="3" t="s">
        <v>678</v>
      </c>
      <c r="BB214" s="3" t="s">
        <v>679</v>
      </c>
      <c r="BC214" s="3" t="s">
        <v>680</v>
      </c>
      <c r="BD214" s="3" t="s">
        <v>681</v>
      </c>
      <c r="BE214" s="3" t="s">
        <v>682</v>
      </c>
      <c r="BF214" s="3" t="s">
        <v>676</v>
      </c>
      <c r="BG214" s="3" t="s">
        <v>677</v>
      </c>
      <c r="BH214" s="3" t="s">
        <v>678</v>
      </c>
      <c r="BI214" s="3" t="s">
        <v>679</v>
      </c>
      <c r="BJ214" s="3" t="s">
        <v>680</v>
      </c>
      <c r="BK214" s="3" t="s">
        <v>681</v>
      </c>
      <c r="BL214" s="3" t="s">
        <v>682</v>
      </c>
      <c r="BM214" s="3" t="s">
        <v>676</v>
      </c>
      <c r="BN214" s="3" t="s">
        <v>677</v>
      </c>
      <c r="BO214" s="3" t="s">
        <v>678</v>
      </c>
      <c r="BP214" s="3" t="s">
        <v>679</v>
      </c>
      <c r="BQ214" s="3" t="s">
        <v>680</v>
      </c>
      <c r="BR214" s="3" t="s">
        <v>681</v>
      </c>
      <c r="BS214" s="3" t="s">
        <v>682</v>
      </c>
      <c r="BT214" s="3" t="s">
        <v>676</v>
      </c>
      <c r="BU214" s="3" t="s">
        <v>677</v>
      </c>
      <c r="BV214" s="3" t="s">
        <v>678</v>
      </c>
      <c r="BW214" s="3" t="s">
        <v>679</v>
      </c>
      <c r="BX214" s="3" t="s">
        <v>680</v>
      </c>
      <c r="BY214" s="3" t="s">
        <v>681</v>
      </c>
      <c r="BZ214" s="3" t="s">
        <v>682</v>
      </c>
      <c r="CA214" s="3" t="s">
        <v>676</v>
      </c>
      <c r="CB214" s="3" t="s">
        <v>677</v>
      </c>
      <c r="CC214" s="3" t="s">
        <v>678</v>
      </c>
      <c r="CD214" s="3" t="s">
        <v>679</v>
      </c>
      <c r="CE214" s="3" t="s">
        <v>680</v>
      </c>
      <c r="CF214" s="3" t="s">
        <v>681</v>
      </c>
      <c r="CG214" s="3" t="s">
        <v>682</v>
      </c>
      <c r="CH214" s="3" t="s">
        <v>676</v>
      </c>
      <c r="CI214" s="3" t="s">
        <v>677</v>
      </c>
      <c r="CJ214" s="3" t="s">
        <v>678</v>
      </c>
      <c r="CK214" s="3" t="s">
        <v>679</v>
      </c>
      <c r="CL214" s="3" t="s">
        <v>680</v>
      </c>
      <c r="CM214" s="3" t="s">
        <v>681</v>
      </c>
      <c r="CN214" s="3" t="s">
        <v>682</v>
      </c>
      <c r="CO214" s="3" t="s">
        <v>676</v>
      </c>
      <c r="CP214" s="3" t="s">
        <v>677</v>
      </c>
      <c r="CQ214" s="3" t="s">
        <v>678</v>
      </c>
      <c r="CR214" s="3" t="s">
        <v>679</v>
      </c>
      <c r="CS214" s="3" t="s">
        <v>680</v>
      </c>
      <c r="CT214" s="3" t="s">
        <v>681</v>
      </c>
      <c r="CU214" s="3" t="s">
        <v>682</v>
      </c>
      <c r="CV214" s="3" t="s">
        <v>676</v>
      </c>
      <c r="CW214" s="3" t="s">
        <v>677</v>
      </c>
      <c r="CX214" s="3" t="s">
        <v>678</v>
      </c>
      <c r="CY214" s="3" t="s">
        <v>679</v>
      </c>
      <c r="CZ214" s="3" t="s">
        <v>680</v>
      </c>
      <c r="DA214" s="3" t="s">
        <v>681</v>
      </c>
      <c r="DB214" s="3" t="s">
        <v>682</v>
      </c>
      <c r="DC214" s="3" t="s">
        <v>676</v>
      </c>
      <c r="DD214" s="3" t="s">
        <v>677</v>
      </c>
      <c r="DE214" s="3" t="s">
        <v>678</v>
      </c>
      <c r="DF214" s="3" t="s">
        <v>679</v>
      </c>
      <c r="DG214" s="3" t="s">
        <v>680</v>
      </c>
      <c r="DH214" s="3" t="s">
        <v>681</v>
      </c>
      <c r="DI214" s="3" t="s">
        <v>682</v>
      </c>
      <c r="DJ214" s="3" t="s">
        <v>676</v>
      </c>
      <c r="DK214" s="3" t="s">
        <v>677</v>
      </c>
      <c r="DL214" s="3" t="s">
        <v>678</v>
      </c>
      <c r="DM214" s="3" t="s">
        <v>679</v>
      </c>
      <c r="DN214" s="3" t="s">
        <v>680</v>
      </c>
      <c r="DO214" s="3" t="s">
        <v>681</v>
      </c>
      <c r="DP214" s="3" t="s">
        <v>682</v>
      </c>
      <c r="DQ214" s="3" t="s">
        <v>676</v>
      </c>
      <c r="DR214" s="3" t="s">
        <v>677</v>
      </c>
      <c r="DS214" s="3" t="s">
        <v>678</v>
      </c>
      <c r="DT214" s="3" t="s">
        <v>679</v>
      </c>
      <c r="DU214" s="3" t="s">
        <v>680</v>
      </c>
      <c r="DV214" s="3" t="s">
        <v>681</v>
      </c>
      <c r="DW214" s="3" t="s">
        <v>682</v>
      </c>
      <c r="DX214" s="3" t="s">
        <v>676</v>
      </c>
      <c r="DY214" s="3" t="s">
        <v>677</v>
      </c>
      <c r="DZ214" s="3" t="s">
        <v>678</v>
      </c>
      <c r="EA214" s="3" t="s">
        <v>679</v>
      </c>
      <c r="EB214" s="3" t="s">
        <v>680</v>
      </c>
      <c r="EC214" s="3" t="s">
        <v>681</v>
      </c>
      <c r="ED214" s="3" t="s">
        <v>682</v>
      </c>
      <c r="EE214" s="3" t="s">
        <v>676</v>
      </c>
      <c r="EF214" s="3" t="s">
        <v>677</v>
      </c>
      <c r="EG214" s="3" t="s">
        <v>678</v>
      </c>
      <c r="EH214" s="3" t="s">
        <v>679</v>
      </c>
      <c r="EI214" s="3" t="s">
        <v>680</v>
      </c>
      <c r="EJ214" s="3" t="s">
        <v>681</v>
      </c>
      <c r="EK214" s="3" t="s">
        <v>682</v>
      </c>
      <c r="EL214" s="3" t="s">
        <v>676</v>
      </c>
      <c r="EM214" s="3" t="s">
        <v>677</v>
      </c>
      <c r="EN214" s="3" t="s">
        <v>678</v>
      </c>
      <c r="EO214" s="3" t="s">
        <v>679</v>
      </c>
      <c r="EP214" s="3" t="s">
        <v>680</v>
      </c>
      <c r="EQ214" s="3" t="s">
        <v>681</v>
      </c>
      <c r="ER214" s="3" t="s">
        <v>682</v>
      </c>
      <c r="ES214" s="3" t="s">
        <v>676</v>
      </c>
      <c r="ET214" s="3" t="s">
        <v>677</v>
      </c>
      <c r="EU214" s="3" t="s">
        <v>678</v>
      </c>
      <c r="EV214" s="3" t="s">
        <v>679</v>
      </c>
      <c r="EW214" s="3" t="s">
        <v>680</v>
      </c>
      <c r="EX214" s="3" t="s">
        <v>681</v>
      </c>
      <c r="EY214" s="3" t="s">
        <v>682</v>
      </c>
      <c r="EZ214" s="3" t="s">
        <v>676</v>
      </c>
      <c r="FA214" s="3" t="s">
        <v>677</v>
      </c>
      <c r="FB214" s="3" t="s">
        <v>678</v>
      </c>
      <c r="FC214" s="3" t="s">
        <v>679</v>
      </c>
      <c r="FD214" s="3" t="s">
        <v>680</v>
      </c>
      <c r="FE214" s="3" t="s">
        <v>681</v>
      </c>
      <c r="FF214" s="3" t="s">
        <v>682</v>
      </c>
      <c r="FG214" s="3" t="s">
        <v>676</v>
      </c>
      <c r="FH214" s="3" t="s">
        <v>677</v>
      </c>
      <c r="FI214" s="3" t="s">
        <v>678</v>
      </c>
      <c r="FJ214" s="3" t="s">
        <v>679</v>
      </c>
      <c r="FK214" s="3" t="s">
        <v>680</v>
      </c>
      <c r="FL214" s="3" t="s">
        <v>681</v>
      </c>
      <c r="FM214" s="3" t="s">
        <v>682</v>
      </c>
      <c r="FN214" s="3" t="s">
        <v>676</v>
      </c>
      <c r="FO214" s="3" t="s">
        <v>677</v>
      </c>
      <c r="FP214" s="3" t="s">
        <v>678</v>
      </c>
      <c r="FQ214" s="3" t="s">
        <v>679</v>
      </c>
      <c r="FR214" s="3" t="s">
        <v>680</v>
      </c>
      <c r="FS214" s="3" t="s">
        <v>681</v>
      </c>
      <c r="FT214" s="3" t="s">
        <v>682</v>
      </c>
      <c r="FU214" s="3" t="s">
        <v>676</v>
      </c>
      <c r="FV214" s="3" t="s">
        <v>677</v>
      </c>
      <c r="FW214" s="3" t="s">
        <v>678</v>
      </c>
      <c r="FX214" s="3" t="s">
        <v>679</v>
      </c>
      <c r="FY214" s="3" t="s">
        <v>680</v>
      </c>
      <c r="FZ214" s="3" t="s">
        <v>681</v>
      </c>
      <c r="GA214" s="3" t="s">
        <v>682</v>
      </c>
      <c r="GB214" s="3" t="s">
        <v>676</v>
      </c>
      <c r="GC214" s="3" t="s">
        <v>677</v>
      </c>
      <c r="GD214" s="3" t="s">
        <v>678</v>
      </c>
      <c r="GE214" s="3" t="s">
        <v>679</v>
      </c>
      <c r="GF214" s="3" t="s">
        <v>680</v>
      </c>
      <c r="GG214" s="3" t="s">
        <v>681</v>
      </c>
      <c r="GH214" s="3" t="s">
        <v>682</v>
      </c>
      <c r="GI214" s="3" t="s">
        <v>676</v>
      </c>
      <c r="GJ214" s="3" t="s">
        <v>677</v>
      </c>
      <c r="GK214" s="3" t="s">
        <v>678</v>
      </c>
      <c r="GL214" s="3" t="s">
        <v>679</v>
      </c>
      <c r="GM214" s="3" t="s">
        <v>680</v>
      </c>
      <c r="GN214" s="3" t="s">
        <v>681</v>
      </c>
      <c r="GO214" s="3" t="s">
        <v>682</v>
      </c>
      <c r="GP214" s="3" t="s">
        <v>676</v>
      </c>
      <c r="GQ214" s="3" t="s">
        <v>677</v>
      </c>
      <c r="GR214" s="3" t="s">
        <v>678</v>
      </c>
      <c r="GS214" s="3" t="s">
        <v>679</v>
      </c>
      <c r="GT214" s="3" t="s">
        <v>680</v>
      </c>
      <c r="GU214" s="3" t="s">
        <v>681</v>
      </c>
      <c r="GV214" s="3" t="s">
        <v>682</v>
      </c>
      <c r="GW214" s="3" t="s">
        <v>676</v>
      </c>
      <c r="GX214" s="3" t="s">
        <v>677</v>
      </c>
      <c r="GY214" s="3" t="s">
        <v>678</v>
      </c>
      <c r="GZ214" s="3" t="s">
        <v>679</v>
      </c>
      <c r="HA214" s="3" t="s">
        <v>680</v>
      </c>
      <c r="HB214" s="3" t="s">
        <v>681</v>
      </c>
      <c r="HC214" s="3" t="s">
        <v>682</v>
      </c>
      <c r="HD214" s="3" t="s">
        <v>676</v>
      </c>
      <c r="HE214" s="3" t="s">
        <v>677</v>
      </c>
      <c r="HF214" s="3" t="s">
        <v>678</v>
      </c>
      <c r="HG214" s="3" t="s">
        <v>679</v>
      </c>
      <c r="HH214" s="3" t="s">
        <v>680</v>
      </c>
      <c r="HI214" s="3" t="s">
        <v>681</v>
      </c>
      <c r="HJ214" s="3" t="s">
        <v>682</v>
      </c>
      <c r="HK214" s="3" t="s">
        <v>676</v>
      </c>
      <c r="HL214" s="3" t="s">
        <v>677</v>
      </c>
      <c r="HM214" s="3" t="s">
        <v>678</v>
      </c>
      <c r="HN214" s="3" t="s">
        <v>679</v>
      </c>
      <c r="HO214" s="3" t="s">
        <v>680</v>
      </c>
      <c r="HP214" s="3" t="s">
        <v>681</v>
      </c>
      <c r="HQ214" s="3" t="s">
        <v>682</v>
      </c>
      <c r="HR214" s="3" t="s">
        <v>676</v>
      </c>
      <c r="HS214" s="3" t="s">
        <v>677</v>
      </c>
      <c r="HT214" s="3" t="s">
        <v>678</v>
      </c>
      <c r="HU214" s="3" t="s">
        <v>679</v>
      </c>
      <c r="HV214" s="3" t="s">
        <v>680</v>
      </c>
      <c r="HW214" s="3" t="s">
        <v>681</v>
      </c>
      <c r="HX214" s="3" t="s">
        <v>682</v>
      </c>
      <c r="HY214" s="3" t="s">
        <v>676</v>
      </c>
      <c r="HZ214" s="3" t="s">
        <v>677</v>
      </c>
      <c r="IA214" s="3" t="s">
        <v>678</v>
      </c>
      <c r="IB214" s="3" t="s">
        <v>679</v>
      </c>
      <c r="IC214" s="3" t="s">
        <v>680</v>
      </c>
    </row>
    <row r="215" spans="1:257">
      <c r="A215" s="82" t="s">
        <v>695</v>
      </c>
      <c r="B215" s="82" t="str">
        <f>COUNTIF(P215:IC215, "W")&amp;"勝"</f>
        <v>18勝</v>
      </c>
      <c r="C215" s="82" t="str">
        <f>COUNTIF(P215:IC215, "L")&amp;"敗"</f>
        <v>9敗</v>
      </c>
      <c r="D215" s="82" t="s">
        <v>696</v>
      </c>
      <c r="E215" s="78"/>
      <c r="F215" s="82" t="s">
        <v>713</v>
      </c>
      <c r="G215" s="78"/>
      <c r="H215" s="78"/>
      <c r="I215" s="78"/>
      <c r="J215" s="78"/>
      <c r="K215" s="78"/>
      <c r="L215" s="78"/>
      <c r="M215" s="82"/>
      <c r="N215" s="78"/>
      <c r="O215" s="1" t="s">
        <v>698</v>
      </c>
      <c r="Q215" t="s">
        <v>700</v>
      </c>
      <c r="S215" t="s">
        <v>699</v>
      </c>
      <c r="T215" t="s">
        <v>699</v>
      </c>
      <c r="U215" t="s">
        <v>699</v>
      </c>
      <c r="V215" t="s">
        <v>700</v>
      </c>
      <c r="W215" t="s">
        <v>700</v>
      </c>
      <c r="Y215" t="s">
        <v>699</v>
      </c>
      <c r="Z215" t="s">
        <v>699</v>
      </c>
      <c r="AA215" t="s">
        <v>699</v>
      </c>
      <c r="AB215" t="s">
        <v>699</v>
      </c>
      <c r="AC215" t="s">
        <v>699</v>
      </c>
      <c r="AD215" t="s">
        <v>700</v>
      </c>
      <c r="AE215" t="s">
        <v>700</v>
      </c>
      <c r="AF215" t="s">
        <v>700</v>
      </c>
      <c r="AG215" t="s">
        <v>699</v>
      </c>
      <c r="AH215" t="s">
        <v>700</v>
      </c>
      <c r="AJ215" t="s">
        <v>699</v>
      </c>
      <c r="AK215" t="s">
        <v>699</v>
      </c>
      <c r="AL215" t="s">
        <v>700</v>
      </c>
      <c r="AM215" t="s">
        <v>699</v>
      </c>
      <c r="AN215" t="s">
        <v>699</v>
      </c>
      <c r="AO215" t="s">
        <v>699</v>
      </c>
      <c r="AP215" t="s">
        <v>699</v>
      </c>
      <c r="AQ215" t="s">
        <v>699</v>
      </c>
      <c r="AT215" t="s">
        <v>699</v>
      </c>
      <c r="AU215" t="s">
        <v>699</v>
      </c>
      <c r="AV215" t="s">
        <v>700</v>
      </c>
    </row>
    <row r="216" spans="1:257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1" t="s">
        <v>701</v>
      </c>
    </row>
    <row r="217" spans="1:257">
      <c r="A217" s="82" t="s">
        <v>702</v>
      </c>
      <c r="B217" s="82" t="str">
        <f>COUNTIF(P217:IC217, "O")&amp;"正"</f>
        <v>18正</v>
      </c>
      <c r="C217" s="82" t="str">
        <f>COUNTIF(P217:IC217, "X")&amp;"負"</f>
        <v>9負</v>
      </c>
      <c r="D217" s="82" t="s">
        <v>703</v>
      </c>
      <c r="E217" s="78"/>
      <c r="F217" s="82" t="s">
        <v>752</v>
      </c>
      <c r="G217" s="78"/>
      <c r="H217" s="78"/>
      <c r="I217" s="78"/>
      <c r="J217" s="78"/>
      <c r="K217" s="78"/>
      <c r="L217" s="78"/>
      <c r="M217" s="82"/>
      <c r="N217" s="78"/>
      <c r="O217" s="1" t="s">
        <v>705</v>
      </c>
      <c r="Q217" t="s">
        <v>684</v>
      </c>
      <c r="S217" t="s">
        <v>683</v>
      </c>
      <c r="T217" t="s">
        <v>683</v>
      </c>
      <c r="U217" t="s">
        <v>683</v>
      </c>
      <c r="V217" t="s">
        <v>684</v>
      </c>
      <c r="W217" t="s">
        <v>684</v>
      </c>
      <c r="Y217" t="s">
        <v>683</v>
      </c>
      <c r="Z217" t="s">
        <v>683</v>
      </c>
      <c r="AA217" t="s">
        <v>683</v>
      </c>
      <c r="AB217" t="s">
        <v>683</v>
      </c>
      <c r="AC217" t="s">
        <v>683</v>
      </c>
      <c r="AD217" t="s">
        <v>684</v>
      </c>
      <c r="AE217" t="s">
        <v>684</v>
      </c>
      <c r="AF217" t="s">
        <v>684</v>
      </c>
      <c r="AG217" t="s">
        <v>683</v>
      </c>
      <c r="AH217" t="s">
        <v>684</v>
      </c>
      <c r="AJ217" t="s">
        <v>683</v>
      </c>
      <c r="AK217" t="s">
        <v>683</v>
      </c>
      <c r="AL217" t="s">
        <v>684</v>
      </c>
      <c r="AM217" t="s">
        <v>683</v>
      </c>
      <c r="AN217" t="s">
        <v>683</v>
      </c>
      <c r="AO217" t="s">
        <v>683</v>
      </c>
      <c r="AP217" t="s">
        <v>683</v>
      </c>
      <c r="AQ217" t="s">
        <v>683</v>
      </c>
      <c r="AT217" t="s">
        <v>683</v>
      </c>
      <c r="AU217" t="s">
        <v>683</v>
      </c>
      <c r="AV217" t="s">
        <v>684</v>
      </c>
      <c r="IN217" t="str">
        <f ca="1">IFERROR(INDEX($P217:$IC217,1,_xludf.AGGREGATE(14,6,(COLUMN($P217:$IC217)-COLUMN($P217)+1)/($P217:$IC217&lt;&gt;""),1)),"")</f>
        <v/>
      </c>
      <c r="IO217" t="str">
        <f ca="1">IFERROR(INDEX($P217:$IC217,1,_xludf.AGGREGATE(14,6,(COLUMN($P217:$IC217)-COLUMN($P217)+1)/($P217:$IC217&lt;&gt;""),2)),"")</f>
        <v/>
      </c>
      <c r="IP217" t="str">
        <f ca="1">IFERROR(INDEX($P217:$IC217,1,_xludf.AGGREGATE(14,6,(COLUMN($P217:$IC217)-COLUMN($P217)+1)/($P217:$IC217&lt;&gt;""),3)),"")</f>
        <v/>
      </c>
      <c r="IQ217" t="str">
        <f ca="1">IFERROR(INDEX($P217:$IC217,1,_xludf.AGGREGATE(14,6,(COLUMN($P217:$IC217)-COLUMN($P217)+1)/($P217:$IC217&lt;&gt;""),4)),"")</f>
        <v/>
      </c>
      <c r="IR217" t="str">
        <f ca="1">IFERROR(INDEX($P217:$IC217,1,_xludf.AGGREGATE(14,6,(COLUMN($P217:$IC217)-COLUMN($P217)+1)/($P217:$IC217&lt;&gt;""),5)),"")</f>
        <v/>
      </c>
      <c r="IS217" t="str">
        <f ca="1">IFERROR(INDEX($P217:$IC217,1,_xludf.AGGREGATE(14,6,(COLUMN($P217:$IC217)-COLUMN($P217)+1)/($P217:$IC217&lt;&gt;""),6)),"")</f>
        <v/>
      </c>
      <c r="IT217" t="str">
        <f ca="1">IFERROR(INDEX($P217:$IC217,1,_xludf.AGGREGATE(14,6,(COLUMN($P217:$IC217)-COLUMN($P217)+1)/($P217:$IC217&lt;&gt;""),7)),"")</f>
        <v/>
      </c>
      <c r="IU217" t="str">
        <f ca="1">IFERROR(INDEX($P217:$IC217,1,_xludf.AGGREGATE(14,6,(COLUMN($P217:$IC217)-COLUMN($P217)+1)/($P217:$IC217&lt;&gt;""),8)),"")</f>
        <v/>
      </c>
      <c r="IV217" t="str">
        <f ca="1">IFERROR(INDEX($P217:$IC217,1,_xludf.AGGREGATE(14,6,(COLUMN($P217:$IC217)-COLUMN($P217)+1)/($P217:$IC217&lt;&gt;""),9)),"")</f>
        <v/>
      </c>
      <c r="IW217" t="str">
        <f ca="1">IFERROR(INDEX($P217:$IC217,1,_xludf.AGGREGATE(14,6,(COLUMN($P217:$IC217)-COLUMN($P217)+1)/($P217:$IC217&lt;&gt;""),10)),"")</f>
        <v/>
      </c>
    </row>
    <row r="218" spans="1:257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1" t="s">
        <v>706</v>
      </c>
    </row>
    <row r="219" spans="1:257">
      <c r="A219" s="82" t="s">
        <v>707</v>
      </c>
      <c r="B219" s="77"/>
      <c r="C219" s="77"/>
      <c r="D219" s="82" t="s">
        <v>708</v>
      </c>
      <c r="E219" s="78"/>
      <c r="F219" s="82"/>
      <c r="G219" s="78"/>
      <c r="H219" s="78"/>
      <c r="I219" s="78"/>
      <c r="J219" s="78"/>
      <c r="K219" s="78"/>
      <c r="L219" s="78"/>
      <c r="M219" s="82"/>
      <c r="N219" s="78"/>
      <c r="O219" s="1" t="s">
        <v>709</v>
      </c>
    </row>
    <row r="220" spans="1:257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1" t="s">
        <v>710</v>
      </c>
    </row>
    <row r="221" spans="1:257">
      <c r="A221" s="108" t="s">
        <v>51</v>
      </c>
      <c r="B221" s="78"/>
      <c r="C221" s="78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 t="s">
        <v>674</v>
      </c>
      <c r="P221" s="6">
        <v>1</v>
      </c>
      <c r="Q221" s="6">
        <v>2</v>
      </c>
      <c r="R221" s="6">
        <v>3</v>
      </c>
      <c r="S221" s="6">
        <v>4</v>
      </c>
      <c r="T221" s="6">
        <v>5</v>
      </c>
      <c r="U221" s="6">
        <v>6</v>
      </c>
      <c r="V221" s="6">
        <v>7</v>
      </c>
      <c r="W221" s="6">
        <v>8</v>
      </c>
      <c r="X221" s="6">
        <v>9</v>
      </c>
      <c r="Y221" s="6">
        <v>10</v>
      </c>
      <c r="Z221" s="6">
        <v>11</v>
      </c>
      <c r="AA221" s="6">
        <v>12</v>
      </c>
      <c r="AB221" s="6">
        <v>13</v>
      </c>
      <c r="AC221" s="6">
        <v>14</v>
      </c>
      <c r="AD221" s="6">
        <v>15</v>
      </c>
      <c r="AE221" s="6">
        <v>16</v>
      </c>
      <c r="AF221" s="6">
        <v>17</v>
      </c>
      <c r="AG221" s="6">
        <v>18</v>
      </c>
      <c r="AH221" s="6">
        <v>19</v>
      </c>
      <c r="AI221" s="6">
        <v>20</v>
      </c>
      <c r="AJ221" s="6">
        <v>21</v>
      </c>
      <c r="AK221" s="6">
        <v>22</v>
      </c>
      <c r="AL221" s="6">
        <v>23</v>
      </c>
      <c r="AM221" s="6">
        <v>24</v>
      </c>
      <c r="AN221" s="6">
        <v>25</v>
      </c>
      <c r="AO221" s="6">
        <v>26</v>
      </c>
      <c r="AP221" s="6">
        <v>27</v>
      </c>
      <c r="AQ221" s="6">
        <v>28</v>
      </c>
      <c r="AR221" s="6">
        <v>29</v>
      </c>
      <c r="AS221" s="6">
        <v>30</v>
      </c>
      <c r="AT221" s="6">
        <v>31</v>
      </c>
      <c r="AU221" s="6">
        <v>32</v>
      </c>
      <c r="AV221" s="6">
        <v>33</v>
      </c>
      <c r="AW221" s="6">
        <v>34</v>
      </c>
      <c r="AX221" s="6">
        <v>35</v>
      </c>
      <c r="AY221" s="6">
        <v>36</v>
      </c>
      <c r="AZ221" s="6">
        <v>37</v>
      </c>
      <c r="BA221" s="6">
        <v>38</v>
      </c>
      <c r="BB221" s="6">
        <v>39</v>
      </c>
      <c r="BC221" s="6">
        <v>40</v>
      </c>
      <c r="BD221" s="6">
        <v>41</v>
      </c>
      <c r="BE221" s="6">
        <v>42</v>
      </c>
      <c r="BF221" s="6">
        <v>43</v>
      </c>
      <c r="BG221" s="6">
        <v>44</v>
      </c>
      <c r="BH221" s="6">
        <v>45</v>
      </c>
      <c r="BI221" s="6">
        <v>46</v>
      </c>
      <c r="BJ221" s="6">
        <v>47</v>
      </c>
      <c r="BK221" s="6">
        <v>48</v>
      </c>
      <c r="BL221" s="6">
        <v>49</v>
      </c>
      <c r="BM221" s="6">
        <v>50</v>
      </c>
      <c r="BN221" s="6">
        <v>51</v>
      </c>
      <c r="BO221" s="6">
        <v>52</v>
      </c>
      <c r="BP221" s="6">
        <v>53</v>
      </c>
      <c r="BQ221" s="6">
        <v>54</v>
      </c>
      <c r="BR221" s="6">
        <v>55</v>
      </c>
      <c r="BS221" s="6">
        <v>56</v>
      </c>
      <c r="BT221" s="6">
        <v>57</v>
      </c>
      <c r="BU221" s="6">
        <v>58</v>
      </c>
      <c r="BV221" s="6">
        <v>59</v>
      </c>
      <c r="BW221" s="6">
        <v>60</v>
      </c>
      <c r="BX221" s="6">
        <v>61</v>
      </c>
      <c r="BY221" s="6">
        <v>62</v>
      </c>
      <c r="BZ221" s="6">
        <v>63</v>
      </c>
      <c r="CA221" s="6">
        <v>64</v>
      </c>
      <c r="CB221" s="6">
        <v>65</v>
      </c>
      <c r="CC221" s="6">
        <v>66</v>
      </c>
      <c r="CD221" s="6">
        <v>67</v>
      </c>
      <c r="CE221" s="6">
        <v>68</v>
      </c>
      <c r="CF221" s="6">
        <v>69</v>
      </c>
      <c r="CG221" s="6">
        <v>70</v>
      </c>
      <c r="CH221" s="6">
        <v>71</v>
      </c>
      <c r="CI221" s="6">
        <v>72</v>
      </c>
      <c r="CJ221" s="6">
        <v>73</v>
      </c>
      <c r="CK221" s="6">
        <v>74</v>
      </c>
      <c r="CL221" s="6">
        <v>75</v>
      </c>
      <c r="CM221" s="6">
        <v>76</v>
      </c>
      <c r="CN221" s="6">
        <v>77</v>
      </c>
      <c r="CO221" s="6">
        <v>78</v>
      </c>
      <c r="CP221" s="6">
        <v>79</v>
      </c>
      <c r="CQ221" s="6">
        <v>80</v>
      </c>
      <c r="CR221" s="6">
        <v>81</v>
      </c>
      <c r="CS221" s="6">
        <v>82</v>
      </c>
      <c r="CT221" s="6">
        <v>83</v>
      </c>
      <c r="CU221" s="6">
        <v>84</v>
      </c>
      <c r="CV221" s="6">
        <v>85</v>
      </c>
      <c r="CW221" s="6">
        <v>86</v>
      </c>
      <c r="CX221" s="6">
        <v>87</v>
      </c>
      <c r="CY221" s="6">
        <v>88</v>
      </c>
      <c r="CZ221" s="6">
        <v>89</v>
      </c>
      <c r="DA221" s="6">
        <v>90</v>
      </c>
      <c r="DB221" s="6">
        <v>91</v>
      </c>
      <c r="DC221" s="6">
        <v>92</v>
      </c>
      <c r="DD221" s="6">
        <v>93</v>
      </c>
      <c r="DE221" s="6">
        <v>94</v>
      </c>
      <c r="DF221" s="6">
        <v>95</v>
      </c>
      <c r="DG221" s="6">
        <v>96</v>
      </c>
      <c r="DH221" s="6">
        <v>97</v>
      </c>
      <c r="DI221" s="6">
        <v>98</v>
      </c>
      <c r="DJ221" s="6">
        <v>99</v>
      </c>
      <c r="DK221" s="6">
        <v>100</v>
      </c>
      <c r="DL221" s="6">
        <v>101</v>
      </c>
      <c r="DM221" s="6">
        <v>102</v>
      </c>
      <c r="DN221" s="6">
        <v>103</v>
      </c>
      <c r="DO221" s="6">
        <v>104</v>
      </c>
      <c r="DP221" s="6">
        <v>105</v>
      </c>
      <c r="DQ221" s="6">
        <v>106</v>
      </c>
      <c r="DR221" s="6">
        <v>107</v>
      </c>
      <c r="DS221" s="6">
        <v>108</v>
      </c>
      <c r="DT221" s="6">
        <v>109</v>
      </c>
      <c r="DU221" s="6">
        <v>110</v>
      </c>
      <c r="DV221" s="6">
        <v>111</v>
      </c>
      <c r="DW221" s="6">
        <v>112</v>
      </c>
      <c r="DX221" s="6">
        <v>113</v>
      </c>
      <c r="DY221" s="6">
        <v>114</v>
      </c>
      <c r="DZ221" s="6">
        <v>115</v>
      </c>
      <c r="EA221" s="6">
        <v>116</v>
      </c>
      <c r="EB221" s="6">
        <v>117</v>
      </c>
      <c r="EC221" s="6">
        <v>118</v>
      </c>
      <c r="ED221" s="6">
        <v>119</v>
      </c>
      <c r="EE221" s="6">
        <v>120</v>
      </c>
      <c r="EF221" s="6">
        <v>121</v>
      </c>
      <c r="EG221" s="6">
        <v>122</v>
      </c>
      <c r="EH221" s="6">
        <v>123</v>
      </c>
      <c r="EI221" s="6">
        <v>124</v>
      </c>
      <c r="EJ221" s="6">
        <v>125</v>
      </c>
      <c r="EK221" s="6">
        <v>126</v>
      </c>
      <c r="EL221" s="6">
        <v>127</v>
      </c>
      <c r="EM221" s="6">
        <v>128</v>
      </c>
      <c r="EN221" s="6">
        <v>129</v>
      </c>
      <c r="EO221" s="6">
        <v>130</v>
      </c>
      <c r="EP221" s="6">
        <v>131</v>
      </c>
      <c r="EQ221" s="6">
        <v>132</v>
      </c>
      <c r="ER221" s="6">
        <v>133</v>
      </c>
      <c r="ES221" s="6">
        <v>134</v>
      </c>
      <c r="ET221" s="6">
        <v>135</v>
      </c>
      <c r="EU221" s="6">
        <v>136</v>
      </c>
      <c r="EV221" s="6">
        <v>137</v>
      </c>
      <c r="EW221" s="6">
        <v>138</v>
      </c>
      <c r="EX221" s="6">
        <v>139</v>
      </c>
      <c r="EY221" s="6">
        <v>140</v>
      </c>
      <c r="EZ221" s="6">
        <v>141</v>
      </c>
      <c r="FA221" s="6">
        <v>142</v>
      </c>
      <c r="FB221" s="6">
        <v>143</v>
      </c>
      <c r="FC221" s="6">
        <v>144</v>
      </c>
      <c r="FD221" s="6">
        <v>145</v>
      </c>
      <c r="FE221" s="6">
        <v>146</v>
      </c>
      <c r="FF221" s="6">
        <v>147</v>
      </c>
      <c r="FG221" s="6">
        <v>148</v>
      </c>
      <c r="FH221" s="6">
        <v>149</v>
      </c>
      <c r="FI221" s="6">
        <v>150</v>
      </c>
      <c r="FJ221" s="6">
        <v>151</v>
      </c>
      <c r="FK221" s="6">
        <v>152</v>
      </c>
      <c r="FL221" s="6">
        <v>153</v>
      </c>
      <c r="FM221" s="6">
        <v>154</v>
      </c>
      <c r="FN221" s="6">
        <v>155</v>
      </c>
      <c r="FO221" s="6">
        <v>156</v>
      </c>
      <c r="FP221" s="6">
        <v>157</v>
      </c>
      <c r="FQ221" s="6">
        <v>158</v>
      </c>
      <c r="FR221" s="6">
        <v>159</v>
      </c>
      <c r="FS221" s="6">
        <v>160</v>
      </c>
      <c r="FT221" s="6">
        <v>161</v>
      </c>
      <c r="FU221" s="6">
        <v>162</v>
      </c>
      <c r="FV221" s="6">
        <v>163</v>
      </c>
      <c r="FW221" s="6">
        <v>164</v>
      </c>
      <c r="FX221" s="6">
        <v>165</v>
      </c>
      <c r="FY221" s="6">
        <v>166</v>
      </c>
      <c r="FZ221" s="6">
        <v>167</v>
      </c>
      <c r="GA221" s="6">
        <v>168</v>
      </c>
      <c r="GB221" s="6">
        <v>169</v>
      </c>
      <c r="GC221" s="6">
        <v>170</v>
      </c>
      <c r="GD221" s="6">
        <v>171</v>
      </c>
      <c r="GE221" s="6">
        <v>172</v>
      </c>
      <c r="GF221" s="6">
        <v>173</v>
      </c>
      <c r="GG221" s="6">
        <v>174</v>
      </c>
      <c r="GH221" s="6">
        <v>175</v>
      </c>
      <c r="GI221" s="6">
        <v>176</v>
      </c>
      <c r="GJ221" s="6">
        <v>177</v>
      </c>
      <c r="GK221" s="6">
        <v>178</v>
      </c>
      <c r="GL221" s="6">
        <v>179</v>
      </c>
      <c r="GM221" s="6">
        <v>180</v>
      </c>
      <c r="GN221" s="6">
        <v>181</v>
      </c>
      <c r="GO221" s="6">
        <v>182</v>
      </c>
      <c r="GP221" s="6">
        <v>183</v>
      </c>
      <c r="GQ221" s="6">
        <v>184</v>
      </c>
      <c r="GR221" s="6">
        <v>185</v>
      </c>
      <c r="GS221" s="6">
        <v>186</v>
      </c>
      <c r="GT221" s="6">
        <v>187</v>
      </c>
      <c r="GU221" s="6">
        <v>188</v>
      </c>
      <c r="GV221" s="6">
        <v>189</v>
      </c>
      <c r="GW221" s="6">
        <v>190</v>
      </c>
      <c r="GX221" s="6">
        <v>191</v>
      </c>
      <c r="GY221" s="6">
        <v>192</v>
      </c>
      <c r="GZ221" s="6">
        <v>193</v>
      </c>
      <c r="HA221" s="6">
        <v>194</v>
      </c>
      <c r="HB221" s="6">
        <v>195</v>
      </c>
      <c r="HC221" s="6">
        <v>196</v>
      </c>
      <c r="HD221" s="6">
        <v>197</v>
      </c>
      <c r="HE221" s="6">
        <v>198</v>
      </c>
      <c r="HF221" s="6">
        <v>199</v>
      </c>
      <c r="HG221" s="6">
        <v>200</v>
      </c>
      <c r="HH221" s="6">
        <v>201</v>
      </c>
      <c r="HI221" s="6">
        <v>202</v>
      </c>
      <c r="HJ221" s="6">
        <v>203</v>
      </c>
      <c r="HK221" s="6">
        <v>204</v>
      </c>
      <c r="HL221" s="6">
        <v>205</v>
      </c>
      <c r="HM221" s="6">
        <v>206</v>
      </c>
      <c r="HN221" s="6">
        <v>207</v>
      </c>
      <c r="HO221" s="6">
        <v>208</v>
      </c>
      <c r="HP221" s="6">
        <v>209</v>
      </c>
      <c r="HQ221" s="6">
        <v>210</v>
      </c>
      <c r="HR221" s="6">
        <v>211</v>
      </c>
      <c r="HS221" s="6">
        <v>212</v>
      </c>
      <c r="HT221" s="6">
        <v>213</v>
      </c>
      <c r="HU221" s="6">
        <v>214</v>
      </c>
      <c r="HV221" s="6">
        <v>215</v>
      </c>
      <c r="HW221" s="6">
        <v>216</v>
      </c>
      <c r="HX221" s="6">
        <v>217</v>
      </c>
      <c r="HY221" s="6">
        <v>218</v>
      </c>
      <c r="HZ221" s="6">
        <v>219</v>
      </c>
      <c r="IA221" s="6">
        <v>220</v>
      </c>
      <c r="IB221" s="6">
        <v>221</v>
      </c>
      <c r="IC221" s="6">
        <v>222</v>
      </c>
    </row>
    <row r="222" spans="1:257">
      <c r="A222" s="78"/>
      <c r="B222" s="78"/>
      <c r="C222" s="78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5"/>
      <c r="P222" s="51" t="s">
        <v>51</v>
      </c>
      <c r="Q222" s="51" t="s">
        <v>51</v>
      </c>
      <c r="R222" s="51" t="s">
        <v>51</v>
      </c>
      <c r="S222" s="51" t="s">
        <v>51</v>
      </c>
      <c r="T222" s="51" t="s">
        <v>51</v>
      </c>
      <c r="U222" s="51" t="s">
        <v>51</v>
      </c>
      <c r="V222" s="51" t="s">
        <v>51</v>
      </c>
      <c r="W222" s="51" t="s">
        <v>51</v>
      </c>
      <c r="X222" s="51" t="s">
        <v>51</v>
      </c>
      <c r="Y222" s="51" t="s">
        <v>51</v>
      </c>
      <c r="Z222" s="51" t="s">
        <v>51</v>
      </c>
      <c r="AA222" s="51" t="s">
        <v>51</v>
      </c>
      <c r="AB222" s="51" t="s">
        <v>51</v>
      </c>
      <c r="AC222" s="51" t="s">
        <v>51</v>
      </c>
      <c r="AD222" s="51" t="s">
        <v>51</v>
      </c>
      <c r="AE222" s="51" t="s">
        <v>51</v>
      </c>
      <c r="AF222" s="51" t="s">
        <v>51</v>
      </c>
      <c r="AG222" s="51" t="s">
        <v>51</v>
      </c>
      <c r="AH222" s="51" t="s">
        <v>51</v>
      </c>
      <c r="AI222" s="51" t="s">
        <v>51</v>
      </c>
      <c r="AJ222" s="51" t="s">
        <v>51</v>
      </c>
      <c r="AK222" s="51" t="s">
        <v>51</v>
      </c>
      <c r="AL222" s="51" t="s">
        <v>51</v>
      </c>
      <c r="AM222" s="51" t="s">
        <v>51</v>
      </c>
      <c r="AN222" s="51" t="s">
        <v>51</v>
      </c>
      <c r="AO222" s="51" t="s">
        <v>51</v>
      </c>
      <c r="AP222" s="51" t="s">
        <v>51</v>
      </c>
      <c r="AQ222" s="51" t="s">
        <v>51</v>
      </c>
      <c r="AR222" s="51" t="s">
        <v>51</v>
      </c>
      <c r="AS222" s="51" t="s">
        <v>51</v>
      </c>
      <c r="AT222" s="51" t="s">
        <v>51</v>
      </c>
      <c r="AU222" s="51" t="s">
        <v>51</v>
      </c>
      <c r="AV222" s="51" t="s">
        <v>51</v>
      </c>
      <c r="AW222" s="51" t="s">
        <v>51</v>
      </c>
      <c r="AX222" s="51" t="s">
        <v>51</v>
      </c>
      <c r="AY222" s="51" t="s">
        <v>51</v>
      </c>
      <c r="AZ222" s="51" t="s">
        <v>51</v>
      </c>
      <c r="BA222" s="51" t="s">
        <v>51</v>
      </c>
      <c r="BB222" s="51" t="s">
        <v>51</v>
      </c>
      <c r="BC222" s="51" t="s">
        <v>51</v>
      </c>
      <c r="BD222" s="51" t="s">
        <v>51</v>
      </c>
      <c r="BE222" s="51" t="s">
        <v>51</v>
      </c>
      <c r="BF222" s="51" t="s">
        <v>51</v>
      </c>
      <c r="BG222" s="51" t="s">
        <v>51</v>
      </c>
      <c r="BH222" s="51" t="s">
        <v>51</v>
      </c>
      <c r="BI222" s="51" t="s">
        <v>51</v>
      </c>
      <c r="BJ222" s="51" t="s">
        <v>51</v>
      </c>
      <c r="BK222" s="51" t="s">
        <v>51</v>
      </c>
      <c r="BL222" s="51" t="s">
        <v>51</v>
      </c>
      <c r="BM222" s="51" t="s">
        <v>51</v>
      </c>
      <c r="BN222" s="51" t="s">
        <v>51</v>
      </c>
      <c r="BO222" s="51" t="s">
        <v>51</v>
      </c>
      <c r="BP222" s="51" t="s">
        <v>51</v>
      </c>
      <c r="BQ222" s="51" t="s">
        <v>51</v>
      </c>
      <c r="BR222" s="51" t="s">
        <v>51</v>
      </c>
      <c r="BS222" s="51" t="s">
        <v>51</v>
      </c>
      <c r="BT222" s="51" t="s">
        <v>51</v>
      </c>
      <c r="BU222" s="51" t="s">
        <v>51</v>
      </c>
      <c r="BV222" s="51" t="s">
        <v>51</v>
      </c>
      <c r="BW222" s="51" t="s">
        <v>51</v>
      </c>
      <c r="BX222" s="51" t="s">
        <v>51</v>
      </c>
      <c r="BY222" s="51" t="s">
        <v>51</v>
      </c>
      <c r="BZ222" s="51" t="s">
        <v>51</v>
      </c>
      <c r="CA222" s="51" t="s">
        <v>51</v>
      </c>
      <c r="CB222" s="51" t="s">
        <v>51</v>
      </c>
      <c r="CC222" s="51" t="s">
        <v>51</v>
      </c>
      <c r="CD222" s="51" t="s">
        <v>51</v>
      </c>
      <c r="CE222" s="51" t="s">
        <v>51</v>
      </c>
      <c r="CF222" s="51" t="s">
        <v>51</v>
      </c>
      <c r="CG222" s="51" t="s">
        <v>51</v>
      </c>
      <c r="CH222" s="51" t="s">
        <v>51</v>
      </c>
      <c r="CI222" s="51" t="s">
        <v>51</v>
      </c>
      <c r="CJ222" s="51" t="s">
        <v>51</v>
      </c>
      <c r="CK222" s="51" t="s">
        <v>51</v>
      </c>
      <c r="CL222" s="51" t="s">
        <v>51</v>
      </c>
      <c r="CM222" s="51" t="s">
        <v>51</v>
      </c>
      <c r="CN222" s="51" t="s">
        <v>51</v>
      </c>
      <c r="CO222" s="51" t="s">
        <v>51</v>
      </c>
      <c r="CP222" s="51" t="s">
        <v>51</v>
      </c>
      <c r="CQ222" s="51" t="s">
        <v>51</v>
      </c>
      <c r="CR222" s="51" t="s">
        <v>51</v>
      </c>
      <c r="CS222" s="51" t="s">
        <v>51</v>
      </c>
      <c r="CT222" s="51" t="s">
        <v>51</v>
      </c>
      <c r="CU222" s="51" t="s">
        <v>51</v>
      </c>
      <c r="CV222" s="51" t="s">
        <v>51</v>
      </c>
      <c r="CW222" s="51" t="s">
        <v>51</v>
      </c>
      <c r="CX222" s="51" t="s">
        <v>51</v>
      </c>
      <c r="CY222" s="51" t="s">
        <v>51</v>
      </c>
      <c r="CZ222" s="51" t="s">
        <v>51</v>
      </c>
      <c r="DA222" s="51" t="s">
        <v>51</v>
      </c>
      <c r="DB222" s="51" t="s">
        <v>51</v>
      </c>
      <c r="DC222" s="51" t="s">
        <v>51</v>
      </c>
      <c r="DD222" s="51" t="s">
        <v>51</v>
      </c>
      <c r="DE222" s="51" t="s">
        <v>51</v>
      </c>
      <c r="DF222" s="51" t="s">
        <v>51</v>
      </c>
      <c r="DG222" s="51" t="s">
        <v>51</v>
      </c>
      <c r="DH222" s="51" t="s">
        <v>51</v>
      </c>
      <c r="DI222" s="51" t="s">
        <v>51</v>
      </c>
      <c r="DJ222" s="51" t="s">
        <v>51</v>
      </c>
      <c r="DK222" s="51" t="s">
        <v>51</v>
      </c>
      <c r="DL222" s="51" t="s">
        <v>51</v>
      </c>
      <c r="DM222" s="51" t="s">
        <v>51</v>
      </c>
      <c r="DN222" s="51" t="s">
        <v>51</v>
      </c>
      <c r="DO222" s="51" t="s">
        <v>51</v>
      </c>
      <c r="DP222" s="51" t="s">
        <v>51</v>
      </c>
      <c r="DQ222" s="51" t="s">
        <v>51</v>
      </c>
      <c r="DR222" s="51" t="s">
        <v>51</v>
      </c>
      <c r="DS222" s="51" t="s">
        <v>51</v>
      </c>
      <c r="DT222" s="51" t="s">
        <v>51</v>
      </c>
      <c r="DU222" s="51" t="s">
        <v>51</v>
      </c>
      <c r="DV222" s="51" t="s">
        <v>51</v>
      </c>
      <c r="DW222" s="51" t="s">
        <v>51</v>
      </c>
      <c r="DX222" s="51" t="s">
        <v>51</v>
      </c>
      <c r="DY222" s="51" t="s">
        <v>51</v>
      </c>
      <c r="DZ222" s="51" t="s">
        <v>51</v>
      </c>
      <c r="EA222" s="51" t="s">
        <v>51</v>
      </c>
      <c r="EB222" s="51" t="s">
        <v>51</v>
      </c>
      <c r="EC222" s="51" t="s">
        <v>51</v>
      </c>
      <c r="ED222" s="51" t="s">
        <v>51</v>
      </c>
      <c r="EE222" s="51" t="s">
        <v>51</v>
      </c>
      <c r="EF222" s="51" t="s">
        <v>51</v>
      </c>
      <c r="EG222" s="51" t="s">
        <v>51</v>
      </c>
      <c r="EH222" s="51" t="s">
        <v>51</v>
      </c>
      <c r="EI222" s="51" t="s">
        <v>51</v>
      </c>
      <c r="EJ222" s="51" t="s">
        <v>51</v>
      </c>
      <c r="EK222" s="51" t="s">
        <v>51</v>
      </c>
      <c r="EL222" s="51" t="s">
        <v>51</v>
      </c>
      <c r="EM222" s="51" t="s">
        <v>51</v>
      </c>
      <c r="EN222" s="51" t="s">
        <v>51</v>
      </c>
      <c r="EO222" s="51" t="s">
        <v>51</v>
      </c>
      <c r="EP222" s="51" t="s">
        <v>51</v>
      </c>
      <c r="EQ222" s="51" t="s">
        <v>51</v>
      </c>
      <c r="ER222" s="51" t="s">
        <v>51</v>
      </c>
      <c r="ES222" s="51" t="s">
        <v>51</v>
      </c>
      <c r="ET222" s="51" t="s">
        <v>51</v>
      </c>
      <c r="EU222" s="51" t="s">
        <v>51</v>
      </c>
      <c r="EV222" s="51" t="s">
        <v>51</v>
      </c>
      <c r="EW222" s="51" t="s">
        <v>51</v>
      </c>
      <c r="EX222" s="51" t="s">
        <v>51</v>
      </c>
      <c r="EY222" s="51" t="s">
        <v>51</v>
      </c>
      <c r="EZ222" s="51" t="s">
        <v>51</v>
      </c>
      <c r="FA222" s="51" t="s">
        <v>51</v>
      </c>
      <c r="FB222" s="51" t="s">
        <v>51</v>
      </c>
      <c r="FC222" s="51" t="s">
        <v>51</v>
      </c>
      <c r="FD222" s="51" t="s">
        <v>51</v>
      </c>
      <c r="FE222" s="51" t="s">
        <v>51</v>
      </c>
      <c r="FF222" s="51" t="s">
        <v>51</v>
      </c>
      <c r="FG222" s="51" t="s">
        <v>51</v>
      </c>
      <c r="FH222" s="51" t="s">
        <v>51</v>
      </c>
      <c r="FI222" s="51" t="s">
        <v>51</v>
      </c>
      <c r="FJ222" s="51" t="s">
        <v>51</v>
      </c>
      <c r="FK222" s="51" t="s">
        <v>51</v>
      </c>
      <c r="FL222" s="51" t="s">
        <v>51</v>
      </c>
      <c r="FM222" s="51" t="s">
        <v>51</v>
      </c>
      <c r="FN222" s="51" t="s">
        <v>51</v>
      </c>
      <c r="FO222" s="51" t="s">
        <v>51</v>
      </c>
      <c r="FP222" s="51" t="s">
        <v>51</v>
      </c>
      <c r="FQ222" s="51" t="s">
        <v>51</v>
      </c>
      <c r="FR222" s="51" t="s">
        <v>51</v>
      </c>
      <c r="FS222" s="51" t="s">
        <v>51</v>
      </c>
      <c r="FT222" s="51" t="s">
        <v>51</v>
      </c>
      <c r="FU222" s="51" t="s">
        <v>51</v>
      </c>
      <c r="FV222" s="51" t="s">
        <v>51</v>
      </c>
      <c r="FW222" s="51" t="s">
        <v>51</v>
      </c>
      <c r="FX222" s="51" t="s">
        <v>51</v>
      </c>
      <c r="FY222" s="51" t="s">
        <v>51</v>
      </c>
      <c r="FZ222" s="51" t="s">
        <v>51</v>
      </c>
      <c r="GA222" s="51" t="s">
        <v>51</v>
      </c>
      <c r="GB222" s="51" t="s">
        <v>51</v>
      </c>
      <c r="GC222" s="51" t="s">
        <v>51</v>
      </c>
      <c r="GD222" s="51" t="s">
        <v>51</v>
      </c>
      <c r="GE222" s="51" t="s">
        <v>51</v>
      </c>
      <c r="GF222" s="51" t="s">
        <v>51</v>
      </c>
      <c r="GG222" s="51" t="s">
        <v>51</v>
      </c>
      <c r="GH222" s="51" t="s">
        <v>51</v>
      </c>
      <c r="GI222" s="51" t="s">
        <v>51</v>
      </c>
      <c r="GJ222" s="51" t="s">
        <v>51</v>
      </c>
      <c r="GK222" s="51" t="s">
        <v>51</v>
      </c>
      <c r="GL222" s="51" t="s">
        <v>51</v>
      </c>
      <c r="GM222" s="51" t="s">
        <v>51</v>
      </c>
      <c r="GN222" s="51" t="s">
        <v>51</v>
      </c>
      <c r="GO222" s="51" t="s">
        <v>51</v>
      </c>
      <c r="GP222" s="51" t="s">
        <v>51</v>
      </c>
      <c r="GQ222" s="51" t="s">
        <v>51</v>
      </c>
      <c r="GR222" s="51" t="s">
        <v>51</v>
      </c>
      <c r="GS222" s="51" t="s">
        <v>51</v>
      </c>
      <c r="GT222" s="51" t="s">
        <v>51</v>
      </c>
      <c r="GU222" s="51" t="s">
        <v>51</v>
      </c>
      <c r="GV222" s="51" t="s">
        <v>51</v>
      </c>
      <c r="GW222" s="51" t="s">
        <v>51</v>
      </c>
      <c r="GX222" s="51" t="s">
        <v>51</v>
      </c>
      <c r="GY222" s="51" t="s">
        <v>51</v>
      </c>
      <c r="GZ222" s="51" t="s">
        <v>51</v>
      </c>
      <c r="HA222" s="51" t="s">
        <v>51</v>
      </c>
      <c r="HB222" s="51" t="s">
        <v>51</v>
      </c>
      <c r="HC222" s="51" t="s">
        <v>51</v>
      </c>
      <c r="HD222" s="51" t="s">
        <v>51</v>
      </c>
      <c r="HE222" s="51" t="s">
        <v>51</v>
      </c>
      <c r="HF222" s="51" t="s">
        <v>51</v>
      </c>
      <c r="HG222" s="51" t="s">
        <v>51</v>
      </c>
      <c r="HH222" s="51" t="s">
        <v>51</v>
      </c>
      <c r="HI222" s="51" t="s">
        <v>51</v>
      </c>
      <c r="HJ222" s="51" t="s">
        <v>51</v>
      </c>
      <c r="HK222" s="51" t="s">
        <v>51</v>
      </c>
      <c r="HL222" s="51" t="s">
        <v>51</v>
      </c>
      <c r="HM222" s="51" t="s">
        <v>51</v>
      </c>
      <c r="HN222" s="51" t="s">
        <v>51</v>
      </c>
      <c r="HO222" s="51" t="s">
        <v>51</v>
      </c>
      <c r="HP222" s="51" t="s">
        <v>51</v>
      </c>
      <c r="HQ222" s="51" t="s">
        <v>51</v>
      </c>
      <c r="HR222" s="51" t="s">
        <v>51</v>
      </c>
      <c r="HS222" s="51" t="s">
        <v>51</v>
      </c>
      <c r="HT222" s="51" t="s">
        <v>51</v>
      </c>
      <c r="HU222" s="51" t="s">
        <v>51</v>
      </c>
      <c r="HV222" s="51" t="s">
        <v>51</v>
      </c>
      <c r="HW222" s="51" t="s">
        <v>51</v>
      </c>
      <c r="HX222" s="51" t="s">
        <v>51</v>
      </c>
      <c r="HY222" s="51" t="s">
        <v>51</v>
      </c>
      <c r="HZ222" s="51" t="s">
        <v>51</v>
      </c>
      <c r="IA222" s="51" t="s">
        <v>51</v>
      </c>
      <c r="IB222" s="51" t="s">
        <v>51</v>
      </c>
      <c r="IC222" s="51" t="s">
        <v>51</v>
      </c>
    </row>
    <row r="223" spans="1:257">
      <c r="A223" s="4" t="s">
        <v>522</v>
      </c>
      <c r="B223" s="82" t="str">
        <f t="array" ref="B223">_xlfn.LET(
  _xlpm.dates, _xlfn._xlws.FILTER(P223:HO223, (P225:HO225&lt;&gt;"")+(P227:HO227&lt;&gt;"")),
  _xlpm.numDates, IFERROR(VALUE(_xlpm.dates), _xlpm.dates),
  _xlpm.first, TEXT(MIN(_xlpm.numDates), "m/dd"),
  _xlpm.last, TEXT(MAX(_xlpm.numDates), "m/dd"),
  _xlpm.first &amp; "~" &amp; _xlpm.last
)</f>
        <v>3/27~4/27</v>
      </c>
      <c r="C223" s="7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 t="s">
        <v>522</v>
      </c>
      <c r="P223" s="3">
        <v>46107</v>
      </c>
      <c r="Q223" s="3">
        <v>46108</v>
      </c>
      <c r="R223" s="3">
        <v>46109</v>
      </c>
      <c r="S223" s="3">
        <v>46110</v>
      </c>
      <c r="T223" s="3">
        <v>46111</v>
      </c>
      <c r="U223" s="3">
        <v>46112</v>
      </c>
      <c r="V223" s="3">
        <v>46113</v>
      </c>
      <c r="W223" s="3">
        <v>46114</v>
      </c>
      <c r="X223" s="3">
        <v>46115</v>
      </c>
      <c r="Y223" s="3">
        <v>46116</v>
      </c>
      <c r="Z223" s="3">
        <v>46117</v>
      </c>
      <c r="AA223" s="3">
        <v>46118</v>
      </c>
      <c r="AB223" s="3">
        <v>46119</v>
      </c>
      <c r="AC223" s="3">
        <v>46120</v>
      </c>
      <c r="AD223" s="3">
        <v>46121</v>
      </c>
      <c r="AE223" s="3">
        <v>46122</v>
      </c>
      <c r="AF223" s="3">
        <v>46123</v>
      </c>
      <c r="AG223" s="3">
        <v>46124</v>
      </c>
      <c r="AH223" s="3">
        <v>46125</v>
      </c>
      <c r="AI223" s="3">
        <v>46126</v>
      </c>
      <c r="AJ223" s="3">
        <v>46127</v>
      </c>
      <c r="AK223" s="3">
        <v>46128</v>
      </c>
      <c r="AL223" s="3">
        <v>46129</v>
      </c>
      <c r="AM223" s="3">
        <v>46130</v>
      </c>
      <c r="AN223" s="3">
        <v>46131</v>
      </c>
      <c r="AO223" s="3">
        <v>46132</v>
      </c>
      <c r="AP223" s="3">
        <v>46133</v>
      </c>
      <c r="AQ223" s="3">
        <v>46134</v>
      </c>
      <c r="AR223" s="3">
        <v>46135</v>
      </c>
      <c r="AS223" s="3">
        <v>46136</v>
      </c>
      <c r="AT223" s="3">
        <v>46137</v>
      </c>
      <c r="AU223" s="3">
        <v>46138</v>
      </c>
      <c r="AV223" s="3">
        <v>46139</v>
      </c>
      <c r="AW223" s="3">
        <v>46140</v>
      </c>
      <c r="AX223" s="3">
        <v>46141</v>
      </c>
      <c r="AY223" s="3">
        <v>46142</v>
      </c>
      <c r="AZ223" s="3">
        <v>46143</v>
      </c>
      <c r="BA223" s="3">
        <v>46144</v>
      </c>
      <c r="BB223" s="3">
        <v>46145</v>
      </c>
      <c r="BC223" s="3">
        <v>46146</v>
      </c>
      <c r="BD223" s="3">
        <v>46147</v>
      </c>
      <c r="BE223" s="3">
        <v>46148</v>
      </c>
      <c r="BF223" s="3">
        <v>46149</v>
      </c>
      <c r="BG223" s="3">
        <v>46150</v>
      </c>
      <c r="BH223" s="3">
        <v>46151</v>
      </c>
      <c r="BI223" s="3">
        <v>46152</v>
      </c>
      <c r="BJ223" s="3">
        <v>46153</v>
      </c>
      <c r="BK223" s="3">
        <v>46154</v>
      </c>
      <c r="BL223" s="3">
        <v>46155</v>
      </c>
      <c r="BM223" s="3">
        <v>46156</v>
      </c>
      <c r="BN223" s="3">
        <v>46157</v>
      </c>
      <c r="BO223" s="3">
        <v>46158</v>
      </c>
      <c r="BP223" s="3">
        <v>46159</v>
      </c>
      <c r="BQ223" s="3">
        <v>46160</v>
      </c>
      <c r="BR223" s="3">
        <v>46161</v>
      </c>
      <c r="BS223" s="3">
        <v>46162</v>
      </c>
      <c r="BT223" s="3">
        <v>46163</v>
      </c>
      <c r="BU223" s="3">
        <v>46164</v>
      </c>
      <c r="BV223" s="3">
        <v>46165</v>
      </c>
      <c r="BW223" s="3">
        <v>46166</v>
      </c>
      <c r="BX223" s="3">
        <v>46167</v>
      </c>
      <c r="BY223" s="3">
        <v>46168</v>
      </c>
      <c r="BZ223" s="3">
        <v>46169</v>
      </c>
      <c r="CA223" s="3">
        <v>46170</v>
      </c>
      <c r="CB223" s="3">
        <v>46171</v>
      </c>
      <c r="CC223" s="3">
        <v>46172</v>
      </c>
      <c r="CD223" s="3">
        <v>46173</v>
      </c>
      <c r="CE223" s="3">
        <v>46174</v>
      </c>
      <c r="CF223" s="3">
        <v>46175</v>
      </c>
      <c r="CG223" s="3">
        <v>46176</v>
      </c>
      <c r="CH223" s="3">
        <v>46177</v>
      </c>
      <c r="CI223" s="3">
        <v>46178</v>
      </c>
      <c r="CJ223" s="3">
        <v>46179</v>
      </c>
      <c r="CK223" s="3">
        <v>46180</v>
      </c>
      <c r="CL223" s="3">
        <v>46181</v>
      </c>
      <c r="CM223" s="3">
        <v>46182</v>
      </c>
      <c r="CN223" s="3">
        <v>46183</v>
      </c>
      <c r="CO223" s="3">
        <v>46184</v>
      </c>
      <c r="CP223" s="3">
        <v>46185</v>
      </c>
      <c r="CQ223" s="3">
        <v>46186</v>
      </c>
      <c r="CR223" s="3">
        <v>46187</v>
      </c>
      <c r="CS223" s="3">
        <v>46188</v>
      </c>
      <c r="CT223" s="3">
        <v>46189</v>
      </c>
      <c r="CU223" s="3">
        <v>46190</v>
      </c>
      <c r="CV223" s="3">
        <v>46191</v>
      </c>
      <c r="CW223" s="3">
        <v>46192</v>
      </c>
      <c r="CX223" s="3">
        <v>46193</v>
      </c>
      <c r="CY223" s="3">
        <v>46194</v>
      </c>
      <c r="CZ223" s="3">
        <v>46195</v>
      </c>
      <c r="DA223" s="3">
        <v>46196</v>
      </c>
      <c r="DB223" s="3">
        <v>46197</v>
      </c>
      <c r="DC223" s="3">
        <v>46198</v>
      </c>
      <c r="DD223" s="3">
        <v>46199</v>
      </c>
      <c r="DE223" s="3">
        <v>46200</v>
      </c>
      <c r="DF223" s="3">
        <v>46201</v>
      </c>
      <c r="DG223" s="3">
        <v>46202</v>
      </c>
      <c r="DH223" s="3">
        <v>46203</v>
      </c>
      <c r="DI223" s="3">
        <v>46204</v>
      </c>
      <c r="DJ223" s="3">
        <v>46205</v>
      </c>
      <c r="DK223" s="3">
        <v>46206</v>
      </c>
      <c r="DL223" s="3">
        <v>46207</v>
      </c>
      <c r="DM223" s="3">
        <v>46208</v>
      </c>
      <c r="DN223" s="3">
        <v>46209</v>
      </c>
      <c r="DO223" s="3">
        <v>46210</v>
      </c>
      <c r="DP223" s="3">
        <v>46211</v>
      </c>
      <c r="DQ223" s="3">
        <v>46212</v>
      </c>
      <c r="DR223" s="3">
        <v>46213</v>
      </c>
      <c r="DS223" s="3">
        <v>46214</v>
      </c>
      <c r="DT223" s="3">
        <v>46215</v>
      </c>
      <c r="DU223" s="3">
        <v>46216</v>
      </c>
      <c r="DV223" s="3">
        <v>46217</v>
      </c>
      <c r="DW223" s="3">
        <v>46218</v>
      </c>
      <c r="DX223" s="3">
        <v>46219</v>
      </c>
      <c r="DY223" s="3">
        <v>46220</v>
      </c>
      <c r="DZ223" s="3">
        <v>46221</v>
      </c>
      <c r="EA223" s="3">
        <v>46222</v>
      </c>
      <c r="EB223" s="3">
        <v>46223</v>
      </c>
      <c r="EC223" s="3">
        <v>46224</v>
      </c>
      <c r="ED223" s="3">
        <v>46225</v>
      </c>
      <c r="EE223" s="3">
        <v>46226</v>
      </c>
      <c r="EF223" s="3">
        <v>46227</v>
      </c>
      <c r="EG223" s="3">
        <v>46228</v>
      </c>
      <c r="EH223" s="3">
        <v>46229</v>
      </c>
      <c r="EI223" s="3">
        <v>46230</v>
      </c>
      <c r="EJ223" s="3">
        <v>46231</v>
      </c>
      <c r="EK223" s="3">
        <v>46232</v>
      </c>
      <c r="EL223" s="3">
        <v>46233</v>
      </c>
      <c r="EM223" s="3">
        <v>46234</v>
      </c>
      <c r="EN223" s="3">
        <v>46235</v>
      </c>
      <c r="EO223" s="3">
        <v>46236</v>
      </c>
      <c r="EP223" s="3">
        <v>46237</v>
      </c>
      <c r="EQ223" s="3">
        <v>46238</v>
      </c>
      <c r="ER223" s="3">
        <v>46239</v>
      </c>
      <c r="ES223" s="3">
        <v>46240</v>
      </c>
      <c r="ET223" s="3">
        <v>46241</v>
      </c>
      <c r="EU223" s="3">
        <v>46242</v>
      </c>
      <c r="EV223" s="3">
        <v>46243</v>
      </c>
      <c r="EW223" s="3">
        <v>46244</v>
      </c>
      <c r="EX223" s="3">
        <v>46245</v>
      </c>
      <c r="EY223" s="3">
        <v>46246</v>
      </c>
      <c r="EZ223" s="3">
        <v>46247</v>
      </c>
      <c r="FA223" s="3">
        <v>46248</v>
      </c>
      <c r="FB223" s="3">
        <v>46249</v>
      </c>
      <c r="FC223" s="3">
        <v>46250</v>
      </c>
      <c r="FD223" s="3">
        <v>46251</v>
      </c>
      <c r="FE223" s="3">
        <v>46252</v>
      </c>
      <c r="FF223" s="3">
        <v>46253</v>
      </c>
      <c r="FG223" s="3">
        <v>46254</v>
      </c>
      <c r="FH223" s="3">
        <v>46255</v>
      </c>
      <c r="FI223" s="3">
        <v>46256</v>
      </c>
      <c r="FJ223" s="3">
        <v>46257</v>
      </c>
      <c r="FK223" s="3">
        <v>46258</v>
      </c>
      <c r="FL223" s="3">
        <v>46259</v>
      </c>
      <c r="FM223" s="3">
        <v>46260</v>
      </c>
      <c r="FN223" s="3">
        <v>46261</v>
      </c>
      <c r="FO223" s="3">
        <v>46262</v>
      </c>
      <c r="FP223" s="3">
        <v>46263</v>
      </c>
      <c r="FQ223" s="3">
        <v>46264</v>
      </c>
      <c r="FR223" s="3">
        <v>46265</v>
      </c>
      <c r="FS223" s="3">
        <v>46266</v>
      </c>
      <c r="FT223" s="3">
        <v>46267</v>
      </c>
      <c r="FU223" s="3">
        <v>46268</v>
      </c>
      <c r="FV223" s="3">
        <v>46269</v>
      </c>
      <c r="FW223" s="3">
        <v>46270</v>
      </c>
      <c r="FX223" s="3">
        <v>46271</v>
      </c>
      <c r="FY223" s="3">
        <v>46272</v>
      </c>
      <c r="FZ223" s="3">
        <v>46273</v>
      </c>
      <c r="GA223" s="3">
        <v>46274</v>
      </c>
      <c r="GB223" s="3">
        <v>46275</v>
      </c>
      <c r="GC223" s="3">
        <v>46276</v>
      </c>
      <c r="GD223" s="3">
        <v>46277</v>
      </c>
      <c r="GE223" s="3">
        <v>46278</v>
      </c>
      <c r="GF223" s="3">
        <v>46279</v>
      </c>
      <c r="GG223" s="3">
        <v>46280</v>
      </c>
      <c r="GH223" s="3">
        <v>46281</v>
      </c>
      <c r="GI223" s="3">
        <v>46282</v>
      </c>
      <c r="GJ223" s="3">
        <v>46283</v>
      </c>
      <c r="GK223" s="3">
        <v>46284</v>
      </c>
      <c r="GL223" s="3">
        <v>46285</v>
      </c>
      <c r="GM223" s="3">
        <v>46286</v>
      </c>
      <c r="GN223" s="3">
        <v>46287</v>
      </c>
      <c r="GO223" s="3">
        <v>46288</v>
      </c>
      <c r="GP223" s="3">
        <v>46289</v>
      </c>
      <c r="GQ223" s="3">
        <v>46290</v>
      </c>
      <c r="GR223" s="3">
        <v>46291</v>
      </c>
      <c r="GS223" s="3">
        <v>46292</v>
      </c>
      <c r="GT223" s="3">
        <v>46293</v>
      </c>
      <c r="GU223" s="3">
        <v>46294</v>
      </c>
      <c r="GV223" s="3">
        <v>46295</v>
      </c>
      <c r="GW223" s="3">
        <v>46296</v>
      </c>
      <c r="GX223" s="3">
        <v>46297</v>
      </c>
      <c r="GY223" s="3">
        <v>46298</v>
      </c>
      <c r="GZ223" s="3">
        <v>46299</v>
      </c>
      <c r="HA223" s="3">
        <v>46300</v>
      </c>
      <c r="HB223" s="3">
        <v>46301</v>
      </c>
      <c r="HC223" s="3">
        <v>46302</v>
      </c>
      <c r="HD223" s="3">
        <v>46303</v>
      </c>
      <c r="HE223" s="3">
        <v>46304</v>
      </c>
      <c r="HF223" s="3">
        <v>46305</v>
      </c>
      <c r="HG223" s="3">
        <v>46306</v>
      </c>
      <c r="HH223" s="3">
        <v>46307</v>
      </c>
      <c r="HI223" s="3">
        <v>46308</v>
      </c>
      <c r="HJ223" s="3">
        <v>46309</v>
      </c>
      <c r="HK223" s="3">
        <v>46310</v>
      </c>
      <c r="HL223" s="3">
        <v>46311</v>
      </c>
      <c r="HM223" s="3">
        <v>46312</v>
      </c>
      <c r="HN223" s="3">
        <v>46313</v>
      </c>
      <c r="HO223" s="3">
        <v>46314</v>
      </c>
      <c r="HP223" s="3">
        <v>46315</v>
      </c>
      <c r="HQ223" s="3">
        <v>46316</v>
      </c>
      <c r="HR223" s="3">
        <v>46317</v>
      </c>
      <c r="HS223" s="3">
        <v>46318</v>
      </c>
      <c r="HT223" s="3">
        <v>46319</v>
      </c>
      <c r="HU223" s="3">
        <v>46320</v>
      </c>
      <c r="HV223" s="3">
        <v>46321</v>
      </c>
      <c r="HW223" s="3">
        <v>46322</v>
      </c>
      <c r="HX223" s="3">
        <v>46323</v>
      </c>
      <c r="HY223" s="3">
        <v>46324</v>
      </c>
      <c r="HZ223" s="3">
        <v>46325</v>
      </c>
      <c r="IA223" s="3">
        <v>46326</v>
      </c>
      <c r="IB223" s="3">
        <v>46327</v>
      </c>
      <c r="IC223" s="3">
        <v>46328</v>
      </c>
    </row>
    <row r="224" spans="1:257">
      <c r="A224" s="4" t="s">
        <v>694</v>
      </c>
      <c r="B224" s="82" t="str">
        <f t="array" ref="B224">COLUMNS(_xlfn._xlws.FILTER(P223:HO223, (P225:HO225&lt;&gt;"")+(P227:HO227&lt;&gt;""))) &amp; "場"</f>
        <v>25場</v>
      </c>
      <c r="C224" s="7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 t="s">
        <v>675</v>
      </c>
      <c r="P224" s="3" t="s">
        <v>676</v>
      </c>
      <c r="Q224" s="3" t="s">
        <v>677</v>
      </c>
      <c r="R224" s="3" t="s">
        <v>678</v>
      </c>
      <c r="S224" s="3" t="s">
        <v>679</v>
      </c>
      <c r="T224" s="3" t="s">
        <v>680</v>
      </c>
      <c r="U224" s="3" t="s">
        <v>681</v>
      </c>
      <c r="V224" s="3" t="s">
        <v>682</v>
      </c>
      <c r="W224" s="3" t="s">
        <v>676</v>
      </c>
      <c r="X224" s="3" t="s">
        <v>677</v>
      </c>
      <c r="Y224" s="3" t="s">
        <v>678</v>
      </c>
      <c r="Z224" s="3" t="s">
        <v>679</v>
      </c>
      <c r="AA224" s="3" t="s">
        <v>680</v>
      </c>
      <c r="AB224" s="3" t="s">
        <v>681</v>
      </c>
      <c r="AC224" s="3" t="s">
        <v>682</v>
      </c>
      <c r="AD224" s="3" t="s">
        <v>676</v>
      </c>
      <c r="AE224" s="3" t="s">
        <v>677</v>
      </c>
      <c r="AF224" s="3" t="s">
        <v>678</v>
      </c>
      <c r="AG224" s="3" t="s">
        <v>679</v>
      </c>
      <c r="AH224" s="3" t="s">
        <v>680</v>
      </c>
      <c r="AI224" s="3" t="s">
        <v>681</v>
      </c>
      <c r="AJ224" s="3" t="s">
        <v>682</v>
      </c>
      <c r="AK224" s="3" t="s">
        <v>676</v>
      </c>
      <c r="AL224" s="3" t="s">
        <v>677</v>
      </c>
      <c r="AM224" s="3" t="s">
        <v>678</v>
      </c>
      <c r="AN224" s="3" t="s">
        <v>679</v>
      </c>
      <c r="AO224" s="3" t="s">
        <v>680</v>
      </c>
      <c r="AP224" s="3" t="s">
        <v>681</v>
      </c>
      <c r="AQ224" s="3" t="s">
        <v>682</v>
      </c>
      <c r="AR224" s="3" t="s">
        <v>676</v>
      </c>
      <c r="AS224" s="3" t="s">
        <v>677</v>
      </c>
      <c r="AT224" s="3" t="s">
        <v>678</v>
      </c>
      <c r="AU224" s="3" t="s">
        <v>679</v>
      </c>
      <c r="AV224" s="3" t="s">
        <v>680</v>
      </c>
      <c r="AW224" s="3" t="s">
        <v>681</v>
      </c>
      <c r="AX224" s="3" t="s">
        <v>682</v>
      </c>
      <c r="AY224" s="3" t="s">
        <v>676</v>
      </c>
      <c r="AZ224" s="3" t="s">
        <v>677</v>
      </c>
      <c r="BA224" s="3" t="s">
        <v>678</v>
      </c>
      <c r="BB224" s="3" t="s">
        <v>679</v>
      </c>
      <c r="BC224" s="3" t="s">
        <v>680</v>
      </c>
      <c r="BD224" s="3" t="s">
        <v>681</v>
      </c>
      <c r="BE224" s="3" t="s">
        <v>682</v>
      </c>
      <c r="BF224" s="3" t="s">
        <v>676</v>
      </c>
      <c r="BG224" s="3" t="s">
        <v>677</v>
      </c>
      <c r="BH224" s="3" t="s">
        <v>678</v>
      </c>
      <c r="BI224" s="3" t="s">
        <v>679</v>
      </c>
      <c r="BJ224" s="3" t="s">
        <v>680</v>
      </c>
      <c r="BK224" s="3" t="s">
        <v>681</v>
      </c>
      <c r="BL224" s="3" t="s">
        <v>682</v>
      </c>
      <c r="BM224" s="3" t="s">
        <v>676</v>
      </c>
      <c r="BN224" s="3" t="s">
        <v>677</v>
      </c>
      <c r="BO224" s="3" t="s">
        <v>678</v>
      </c>
      <c r="BP224" s="3" t="s">
        <v>679</v>
      </c>
      <c r="BQ224" s="3" t="s">
        <v>680</v>
      </c>
      <c r="BR224" s="3" t="s">
        <v>681</v>
      </c>
      <c r="BS224" s="3" t="s">
        <v>682</v>
      </c>
      <c r="BT224" s="3" t="s">
        <v>676</v>
      </c>
      <c r="BU224" s="3" t="s">
        <v>677</v>
      </c>
      <c r="BV224" s="3" t="s">
        <v>678</v>
      </c>
      <c r="BW224" s="3" t="s">
        <v>679</v>
      </c>
      <c r="BX224" s="3" t="s">
        <v>680</v>
      </c>
      <c r="BY224" s="3" t="s">
        <v>681</v>
      </c>
      <c r="BZ224" s="3" t="s">
        <v>682</v>
      </c>
      <c r="CA224" s="3" t="s">
        <v>676</v>
      </c>
      <c r="CB224" s="3" t="s">
        <v>677</v>
      </c>
      <c r="CC224" s="3" t="s">
        <v>678</v>
      </c>
      <c r="CD224" s="3" t="s">
        <v>679</v>
      </c>
      <c r="CE224" s="3" t="s">
        <v>680</v>
      </c>
      <c r="CF224" s="3" t="s">
        <v>681</v>
      </c>
      <c r="CG224" s="3" t="s">
        <v>682</v>
      </c>
      <c r="CH224" s="3" t="s">
        <v>676</v>
      </c>
      <c r="CI224" s="3" t="s">
        <v>677</v>
      </c>
      <c r="CJ224" s="3" t="s">
        <v>678</v>
      </c>
      <c r="CK224" s="3" t="s">
        <v>679</v>
      </c>
      <c r="CL224" s="3" t="s">
        <v>680</v>
      </c>
      <c r="CM224" s="3" t="s">
        <v>681</v>
      </c>
      <c r="CN224" s="3" t="s">
        <v>682</v>
      </c>
      <c r="CO224" s="3" t="s">
        <v>676</v>
      </c>
      <c r="CP224" s="3" t="s">
        <v>677</v>
      </c>
      <c r="CQ224" s="3" t="s">
        <v>678</v>
      </c>
      <c r="CR224" s="3" t="s">
        <v>679</v>
      </c>
      <c r="CS224" s="3" t="s">
        <v>680</v>
      </c>
      <c r="CT224" s="3" t="s">
        <v>681</v>
      </c>
      <c r="CU224" s="3" t="s">
        <v>682</v>
      </c>
      <c r="CV224" s="3" t="s">
        <v>676</v>
      </c>
      <c r="CW224" s="3" t="s">
        <v>677</v>
      </c>
      <c r="CX224" s="3" t="s">
        <v>678</v>
      </c>
      <c r="CY224" s="3" t="s">
        <v>679</v>
      </c>
      <c r="CZ224" s="3" t="s">
        <v>680</v>
      </c>
      <c r="DA224" s="3" t="s">
        <v>681</v>
      </c>
      <c r="DB224" s="3" t="s">
        <v>682</v>
      </c>
      <c r="DC224" s="3" t="s">
        <v>676</v>
      </c>
      <c r="DD224" s="3" t="s">
        <v>677</v>
      </c>
      <c r="DE224" s="3" t="s">
        <v>678</v>
      </c>
      <c r="DF224" s="3" t="s">
        <v>679</v>
      </c>
      <c r="DG224" s="3" t="s">
        <v>680</v>
      </c>
      <c r="DH224" s="3" t="s">
        <v>681</v>
      </c>
      <c r="DI224" s="3" t="s">
        <v>682</v>
      </c>
      <c r="DJ224" s="3" t="s">
        <v>676</v>
      </c>
      <c r="DK224" s="3" t="s">
        <v>677</v>
      </c>
      <c r="DL224" s="3" t="s">
        <v>678</v>
      </c>
      <c r="DM224" s="3" t="s">
        <v>679</v>
      </c>
      <c r="DN224" s="3" t="s">
        <v>680</v>
      </c>
      <c r="DO224" s="3" t="s">
        <v>681</v>
      </c>
      <c r="DP224" s="3" t="s">
        <v>682</v>
      </c>
      <c r="DQ224" s="3" t="s">
        <v>676</v>
      </c>
      <c r="DR224" s="3" t="s">
        <v>677</v>
      </c>
      <c r="DS224" s="3" t="s">
        <v>678</v>
      </c>
      <c r="DT224" s="3" t="s">
        <v>679</v>
      </c>
      <c r="DU224" s="3" t="s">
        <v>680</v>
      </c>
      <c r="DV224" s="3" t="s">
        <v>681</v>
      </c>
      <c r="DW224" s="3" t="s">
        <v>682</v>
      </c>
      <c r="DX224" s="3" t="s">
        <v>676</v>
      </c>
      <c r="DY224" s="3" t="s">
        <v>677</v>
      </c>
      <c r="DZ224" s="3" t="s">
        <v>678</v>
      </c>
      <c r="EA224" s="3" t="s">
        <v>679</v>
      </c>
      <c r="EB224" s="3" t="s">
        <v>680</v>
      </c>
      <c r="EC224" s="3" t="s">
        <v>681</v>
      </c>
      <c r="ED224" s="3" t="s">
        <v>682</v>
      </c>
      <c r="EE224" s="3" t="s">
        <v>676</v>
      </c>
      <c r="EF224" s="3" t="s">
        <v>677</v>
      </c>
      <c r="EG224" s="3" t="s">
        <v>678</v>
      </c>
      <c r="EH224" s="3" t="s">
        <v>679</v>
      </c>
      <c r="EI224" s="3" t="s">
        <v>680</v>
      </c>
      <c r="EJ224" s="3" t="s">
        <v>681</v>
      </c>
      <c r="EK224" s="3" t="s">
        <v>682</v>
      </c>
      <c r="EL224" s="3" t="s">
        <v>676</v>
      </c>
      <c r="EM224" s="3" t="s">
        <v>677</v>
      </c>
      <c r="EN224" s="3" t="s">
        <v>678</v>
      </c>
      <c r="EO224" s="3" t="s">
        <v>679</v>
      </c>
      <c r="EP224" s="3" t="s">
        <v>680</v>
      </c>
      <c r="EQ224" s="3" t="s">
        <v>681</v>
      </c>
      <c r="ER224" s="3" t="s">
        <v>682</v>
      </c>
      <c r="ES224" s="3" t="s">
        <v>676</v>
      </c>
      <c r="ET224" s="3" t="s">
        <v>677</v>
      </c>
      <c r="EU224" s="3" t="s">
        <v>678</v>
      </c>
      <c r="EV224" s="3" t="s">
        <v>679</v>
      </c>
      <c r="EW224" s="3" t="s">
        <v>680</v>
      </c>
      <c r="EX224" s="3" t="s">
        <v>681</v>
      </c>
      <c r="EY224" s="3" t="s">
        <v>682</v>
      </c>
      <c r="EZ224" s="3" t="s">
        <v>676</v>
      </c>
      <c r="FA224" s="3" t="s">
        <v>677</v>
      </c>
      <c r="FB224" s="3" t="s">
        <v>678</v>
      </c>
      <c r="FC224" s="3" t="s">
        <v>679</v>
      </c>
      <c r="FD224" s="3" t="s">
        <v>680</v>
      </c>
      <c r="FE224" s="3" t="s">
        <v>681</v>
      </c>
      <c r="FF224" s="3" t="s">
        <v>682</v>
      </c>
      <c r="FG224" s="3" t="s">
        <v>676</v>
      </c>
      <c r="FH224" s="3" t="s">
        <v>677</v>
      </c>
      <c r="FI224" s="3" t="s">
        <v>678</v>
      </c>
      <c r="FJ224" s="3" t="s">
        <v>679</v>
      </c>
      <c r="FK224" s="3" t="s">
        <v>680</v>
      </c>
      <c r="FL224" s="3" t="s">
        <v>681</v>
      </c>
      <c r="FM224" s="3" t="s">
        <v>682</v>
      </c>
      <c r="FN224" s="3" t="s">
        <v>676</v>
      </c>
      <c r="FO224" s="3" t="s">
        <v>677</v>
      </c>
      <c r="FP224" s="3" t="s">
        <v>678</v>
      </c>
      <c r="FQ224" s="3" t="s">
        <v>679</v>
      </c>
      <c r="FR224" s="3" t="s">
        <v>680</v>
      </c>
      <c r="FS224" s="3" t="s">
        <v>681</v>
      </c>
      <c r="FT224" s="3" t="s">
        <v>682</v>
      </c>
      <c r="FU224" s="3" t="s">
        <v>676</v>
      </c>
      <c r="FV224" s="3" t="s">
        <v>677</v>
      </c>
      <c r="FW224" s="3" t="s">
        <v>678</v>
      </c>
      <c r="FX224" s="3" t="s">
        <v>679</v>
      </c>
      <c r="FY224" s="3" t="s">
        <v>680</v>
      </c>
      <c r="FZ224" s="3" t="s">
        <v>681</v>
      </c>
      <c r="GA224" s="3" t="s">
        <v>682</v>
      </c>
      <c r="GB224" s="3" t="s">
        <v>676</v>
      </c>
      <c r="GC224" s="3" t="s">
        <v>677</v>
      </c>
      <c r="GD224" s="3" t="s">
        <v>678</v>
      </c>
      <c r="GE224" s="3" t="s">
        <v>679</v>
      </c>
      <c r="GF224" s="3" t="s">
        <v>680</v>
      </c>
      <c r="GG224" s="3" t="s">
        <v>681</v>
      </c>
      <c r="GH224" s="3" t="s">
        <v>682</v>
      </c>
      <c r="GI224" s="3" t="s">
        <v>676</v>
      </c>
      <c r="GJ224" s="3" t="s">
        <v>677</v>
      </c>
      <c r="GK224" s="3" t="s">
        <v>678</v>
      </c>
      <c r="GL224" s="3" t="s">
        <v>679</v>
      </c>
      <c r="GM224" s="3" t="s">
        <v>680</v>
      </c>
      <c r="GN224" s="3" t="s">
        <v>681</v>
      </c>
      <c r="GO224" s="3" t="s">
        <v>682</v>
      </c>
      <c r="GP224" s="3" t="s">
        <v>676</v>
      </c>
      <c r="GQ224" s="3" t="s">
        <v>677</v>
      </c>
      <c r="GR224" s="3" t="s">
        <v>678</v>
      </c>
      <c r="GS224" s="3" t="s">
        <v>679</v>
      </c>
      <c r="GT224" s="3" t="s">
        <v>680</v>
      </c>
      <c r="GU224" s="3" t="s">
        <v>681</v>
      </c>
      <c r="GV224" s="3" t="s">
        <v>682</v>
      </c>
      <c r="GW224" s="3" t="s">
        <v>676</v>
      </c>
      <c r="GX224" s="3" t="s">
        <v>677</v>
      </c>
      <c r="GY224" s="3" t="s">
        <v>678</v>
      </c>
      <c r="GZ224" s="3" t="s">
        <v>679</v>
      </c>
      <c r="HA224" s="3" t="s">
        <v>680</v>
      </c>
      <c r="HB224" s="3" t="s">
        <v>681</v>
      </c>
      <c r="HC224" s="3" t="s">
        <v>682</v>
      </c>
      <c r="HD224" s="3" t="s">
        <v>676</v>
      </c>
      <c r="HE224" s="3" t="s">
        <v>677</v>
      </c>
      <c r="HF224" s="3" t="s">
        <v>678</v>
      </c>
      <c r="HG224" s="3" t="s">
        <v>679</v>
      </c>
      <c r="HH224" s="3" t="s">
        <v>680</v>
      </c>
      <c r="HI224" s="3" t="s">
        <v>681</v>
      </c>
      <c r="HJ224" s="3" t="s">
        <v>682</v>
      </c>
      <c r="HK224" s="3" t="s">
        <v>676</v>
      </c>
      <c r="HL224" s="3" t="s">
        <v>677</v>
      </c>
      <c r="HM224" s="3" t="s">
        <v>678</v>
      </c>
      <c r="HN224" s="3" t="s">
        <v>679</v>
      </c>
      <c r="HO224" s="3" t="s">
        <v>680</v>
      </c>
      <c r="HP224" s="3" t="s">
        <v>681</v>
      </c>
      <c r="HQ224" s="3" t="s">
        <v>682</v>
      </c>
      <c r="HR224" s="3" t="s">
        <v>676</v>
      </c>
      <c r="HS224" s="3" t="s">
        <v>677</v>
      </c>
      <c r="HT224" s="3" t="s">
        <v>678</v>
      </c>
      <c r="HU224" s="3" t="s">
        <v>679</v>
      </c>
      <c r="HV224" s="3" t="s">
        <v>680</v>
      </c>
      <c r="HW224" s="3" t="s">
        <v>681</v>
      </c>
      <c r="HX224" s="3" t="s">
        <v>682</v>
      </c>
      <c r="HY224" s="3" t="s">
        <v>676</v>
      </c>
      <c r="HZ224" s="3" t="s">
        <v>677</v>
      </c>
      <c r="IA224" s="3" t="s">
        <v>678</v>
      </c>
      <c r="IB224" s="3" t="s">
        <v>679</v>
      </c>
      <c r="IC224" s="3" t="s">
        <v>680</v>
      </c>
    </row>
    <row r="225" spans="1:257">
      <c r="A225" s="82" t="s">
        <v>695</v>
      </c>
      <c r="B225" s="82" t="str">
        <f>COUNTIF(P225:IC225, "W")&amp;"勝"</f>
        <v>13勝</v>
      </c>
      <c r="C225" s="82" t="str">
        <f>COUNTIF(P225:IC225, "L")&amp;"敗"</f>
        <v>12敗</v>
      </c>
      <c r="D225" s="82" t="s">
        <v>696</v>
      </c>
      <c r="E225" s="78"/>
      <c r="F225" s="82" t="s">
        <v>753</v>
      </c>
      <c r="G225" s="78"/>
      <c r="H225" s="78"/>
      <c r="I225" s="78"/>
      <c r="J225" s="78"/>
      <c r="K225" s="78"/>
      <c r="L225" s="78"/>
      <c r="M225" s="82"/>
      <c r="N225" s="78"/>
      <c r="O225" s="1" t="s">
        <v>698</v>
      </c>
      <c r="Q225" t="s">
        <v>699</v>
      </c>
      <c r="S225" t="s">
        <v>699</v>
      </c>
      <c r="T225" t="s">
        <v>699</v>
      </c>
      <c r="U225" t="s">
        <v>700</v>
      </c>
      <c r="V225" t="s">
        <v>699</v>
      </c>
      <c r="W225" t="s">
        <v>699</v>
      </c>
      <c r="Z225" t="s">
        <v>700</v>
      </c>
      <c r="AA225" t="s">
        <v>699</v>
      </c>
      <c r="AB225" t="s">
        <v>699</v>
      </c>
      <c r="AC225" t="s">
        <v>700</v>
      </c>
      <c r="AD225" t="s">
        <v>700</v>
      </c>
      <c r="AF225" t="s">
        <v>700</v>
      </c>
      <c r="AG225" t="s">
        <v>700</v>
      </c>
      <c r="AH225" t="s">
        <v>700</v>
      </c>
      <c r="AJ225" t="s">
        <v>700</v>
      </c>
      <c r="AK225" t="s">
        <v>699</v>
      </c>
      <c r="AL225" t="s">
        <v>699</v>
      </c>
      <c r="AM225" t="s">
        <v>699</v>
      </c>
      <c r="AN225" t="s">
        <v>699</v>
      </c>
      <c r="AO225" t="s">
        <v>700</v>
      </c>
      <c r="AQ225" t="s">
        <v>699</v>
      </c>
      <c r="AS225" t="s">
        <v>700</v>
      </c>
      <c r="AT225" t="s">
        <v>700</v>
      </c>
      <c r="AU225" t="s">
        <v>700</v>
      </c>
      <c r="AV225" t="s">
        <v>699</v>
      </c>
    </row>
    <row r="226" spans="1:257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1" t="s">
        <v>701</v>
      </c>
    </row>
    <row r="227" spans="1:257">
      <c r="A227" s="82" t="s">
        <v>702</v>
      </c>
      <c r="B227" s="82" t="str">
        <f>COUNTIF(P227:IC227, "O")&amp;"正"</f>
        <v>14正</v>
      </c>
      <c r="C227" s="82" t="str">
        <f>COUNTIF(P227:IC227, "X")&amp;"負"</f>
        <v>11負</v>
      </c>
      <c r="D227" s="82" t="s">
        <v>703</v>
      </c>
      <c r="E227" s="78"/>
      <c r="F227" s="82" t="s">
        <v>754</v>
      </c>
      <c r="G227" s="78"/>
      <c r="H227" s="78"/>
      <c r="I227" s="78"/>
      <c r="J227" s="78"/>
      <c r="K227" s="78"/>
      <c r="L227" s="78"/>
      <c r="M227" s="82"/>
      <c r="N227" s="78"/>
      <c r="O227" s="1" t="s">
        <v>705</v>
      </c>
      <c r="Q227" t="s">
        <v>683</v>
      </c>
      <c r="S227" t="s">
        <v>683</v>
      </c>
      <c r="T227" t="s">
        <v>683</v>
      </c>
      <c r="U227" t="s">
        <v>684</v>
      </c>
      <c r="V227" t="s">
        <v>683</v>
      </c>
      <c r="W227" t="s">
        <v>683</v>
      </c>
      <c r="Z227" t="s">
        <v>684</v>
      </c>
      <c r="AA227" t="s">
        <v>683</v>
      </c>
      <c r="AB227" t="s">
        <v>683</v>
      </c>
      <c r="AC227" t="s">
        <v>684</v>
      </c>
      <c r="AD227" t="s">
        <v>684</v>
      </c>
      <c r="AF227" t="s">
        <v>684</v>
      </c>
      <c r="AG227" t="s">
        <v>684</v>
      </c>
      <c r="AH227" t="s">
        <v>684</v>
      </c>
      <c r="AJ227" t="s">
        <v>684</v>
      </c>
      <c r="AK227" t="s">
        <v>683</v>
      </c>
      <c r="AL227" t="s">
        <v>683</v>
      </c>
      <c r="AM227" t="s">
        <v>683</v>
      </c>
      <c r="AN227" t="s">
        <v>683</v>
      </c>
      <c r="AO227" t="s">
        <v>684</v>
      </c>
      <c r="AQ227" t="s">
        <v>683</v>
      </c>
      <c r="AS227" t="s">
        <v>683</v>
      </c>
      <c r="AT227" t="s">
        <v>684</v>
      </c>
      <c r="AU227" t="s">
        <v>684</v>
      </c>
      <c r="AV227" t="s">
        <v>683</v>
      </c>
      <c r="IN227" t="str">
        <f ca="1">IFERROR(INDEX($P227:$IC227,1,_xludf.AGGREGATE(14,6,(COLUMN($P227:$IC227)-COLUMN($P227)+1)/($P227:$IC227&lt;&gt;""),1)),"")</f>
        <v/>
      </c>
      <c r="IO227" t="str">
        <f ca="1">IFERROR(INDEX($P227:$IC227,1,_xludf.AGGREGATE(14,6,(COLUMN($P227:$IC227)-COLUMN($P227)+1)/($P227:$IC227&lt;&gt;""),2)),"")</f>
        <v/>
      </c>
      <c r="IP227" t="str">
        <f ca="1">IFERROR(INDEX($P227:$IC227,1,_xludf.AGGREGATE(14,6,(COLUMN($P227:$IC227)-COLUMN($P227)+1)/($P227:$IC227&lt;&gt;""),3)),"")</f>
        <v/>
      </c>
      <c r="IQ227" t="str">
        <f ca="1">IFERROR(INDEX($P227:$IC227,1,_xludf.AGGREGATE(14,6,(COLUMN($P227:$IC227)-COLUMN($P227)+1)/($P227:$IC227&lt;&gt;""),4)),"")</f>
        <v/>
      </c>
      <c r="IR227" t="str">
        <f ca="1">IFERROR(INDEX($P227:$IC227,1,_xludf.AGGREGATE(14,6,(COLUMN($P227:$IC227)-COLUMN($P227)+1)/($P227:$IC227&lt;&gt;""),5)),"")</f>
        <v/>
      </c>
      <c r="IS227" t="str">
        <f ca="1">IFERROR(INDEX($P227:$IC227,1,_xludf.AGGREGATE(14,6,(COLUMN($P227:$IC227)-COLUMN($P227)+1)/($P227:$IC227&lt;&gt;""),6)),"")</f>
        <v/>
      </c>
      <c r="IT227" t="str">
        <f ca="1">IFERROR(INDEX($P227:$IC227,1,_xludf.AGGREGATE(14,6,(COLUMN($P227:$IC227)-COLUMN($P227)+1)/($P227:$IC227&lt;&gt;""),7)),"")</f>
        <v/>
      </c>
      <c r="IU227" t="str">
        <f ca="1">IFERROR(INDEX($P227:$IC227,1,_xludf.AGGREGATE(14,6,(COLUMN($P227:$IC227)-COLUMN($P227)+1)/($P227:$IC227&lt;&gt;""),8)),"")</f>
        <v/>
      </c>
      <c r="IV227" t="str">
        <f ca="1">IFERROR(INDEX($P227:$IC227,1,_xludf.AGGREGATE(14,6,(COLUMN($P227:$IC227)-COLUMN($P227)+1)/($P227:$IC227&lt;&gt;""),9)),"")</f>
        <v/>
      </c>
      <c r="IW227" t="str">
        <f ca="1">IFERROR(INDEX($P227:$IC227,1,_xludf.AGGREGATE(14,6,(COLUMN($P227:$IC227)-COLUMN($P227)+1)/($P227:$IC227&lt;&gt;""),10)),"")</f>
        <v/>
      </c>
    </row>
    <row r="228" spans="1:257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1" t="s">
        <v>706</v>
      </c>
    </row>
    <row r="229" spans="1:257">
      <c r="A229" s="82" t="s">
        <v>707</v>
      </c>
      <c r="B229" s="77"/>
      <c r="C229" s="77"/>
      <c r="D229" s="82" t="s">
        <v>708</v>
      </c>
      <c r="E229" s="78"/>
      <c r="F229" s="82"/>
      <c r="G229" s="78"/>
      <c r="H229" s="78"/>
      <c r="I229" s="78"/>
      <c r="J229" s="78"/>
      <c r="K229" s="78"/>
      <c r="L229" s="78"/>
      <c r="M229" s="82"/>
      <c r="N229" s="78"/>
      <c r="O229" s="1" t="s">
        <v>709</v>
      </c>
    </row>
    <row r="230" spans="1:257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1" t="s">
        <v>710</v>
      </c>
    </row>
    <row r="231" spans="1:257">
      <c r="A231" s="109" t="s">
        <v>61</v>
      </c>
      <c r="B231" s="78"/>
      <c r="C231" s="7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 t="s">
        <v>674</v>
      </c>
      <c r="P231" s="8">
        <v>1</v>
      </c>
      <c r="Q231" s="8">
        <v>2</v>
      </c>
      <c r="R231" s="8">
        <v>3</v>
      </c>
      <c r="S231" s="8">
        <v>4</v>
      </c>
      <c r="T231" s="8">
        <v>5</v>
      </c>
      <c r="U231" s="8">
        <v>6</v>
      </c>
      <c r="V231" s="8">
        <v>7</v>
      </c>
      <c r="W231" s="8">
        <v>8</v>
      </c>
      <c r="X231" s="8">
        <v>9</v>
      </c>
      <c r="Y231" s="8">
        <v>10</v>
      </c>
      <c r="Z231" s="8">
        <v>11</v>
      </c>
      <c r="AA231" s="8">
        <v>12</v>
      </c>
      <c r="AB231" s="8">
        <v>13</v>
      </c>
      <c r="AC231" s="8">
        <v>14</v>
      </c>
      <c r="AD231" s="8">
        <v>15</v>
      </c>
      <c r="AE231" s="8">
        <v>16</v>
      </c>
      <c r="AF231" s="8">
        <v>17</v>
      </c>
      <c r="AG231" s="8">
        <v>18</v>
      </c>
      <c r="AH231" s="8">
        <v>19</v>
      </c>
      <c r="AI231" s="8">
        <v>20</v>
      </c>
      <c r="AJ231" s="8">
        <v>21</v>
      </c>
      <c r="AK231" s="8">
        <v>22</v>
      </c>
      <c r="AL231" s="8">
        <v>23</v>
      </c>
      <c r="AM231" s="8">
        <v>24</v>
      </c>
      <c r="AN231" s="8">
        <v>25</v>
      </c>
      <c r="AO231" s="8">
        <v>26</v>
      </c>
      <c r="AP231" s="8">
        <v>27</v>
      </c>
      <c r="AQ231" s="8">
        <v>28</v>
      </c>
      <c r="AR231" s="8">
        <v>29</v>
      </c>
      <c r="AS231" s="8">
        <v>30</v>
      </c>
      <c r="AT231" s="8">
        <v>31</v>
      </c>
      <c r="AU231" s="8">
        <v>32</v>
      </c>
      <c r="AV231" s="8">
        <v>33</v>
      </c>
      <c r="AW231" s="8">
        <v>34</v>
      </c>
      <c r="AX231" s="8">
        <v>35</v>
      </c>
      <c r="AY231" s="8">
        <v>36</v>
      </c>
      <c r="AZ231" s="8">
        <v>37</v>
      </c>
      <c r="BA231" s="8">
        <v>38</v>
      </c>
      <c r="BB231" s="8">
        <v>39</v>
      </c>
      <c r="BC231" s="8">
        <v>40</v>
      </c>
      <c r="BD231" s="8">
        <v>41</v>
      </c>
      <c r="BE231" s="8">
        <v>42</v>
      </c>
      <c r="BF231" s="8">
        <v>43</v>
      </c>
      <c r="BG231" s="8">
        <v>44</v>
      </c>
      <c r="BH231" s="8">
        <v>45</v>
      </c>
      <c r="BI231" s="8">
        <v>46</v>
      </c>
      <c r="BJ231" s="8">
        <v>47</v>
      </c>
      <c r="BK231" s="8">
        <v>48</v>
      </c>
      <c r="BL231" s="8">
        <v>49</v>
      </c>
      <c r="BM231" s="8">
        <v>50</v>
      </c>
      <c r="BN231" s="8">
        <v>51</v>
      </c>
      <c r="BO231" s="8">
        <v>52</v>
      </c>
      <c r="BP231" s="8">
        <v>53</v>
      </c>
      <c r="BQ231" s="8">
        <v>54</v>
      </c>
      <c r="BR231" s="8">
        <v>55</v>
      </c>
      <c r="BS231" s="8">
        <v>56</v>
      </c>
      <c r="BT231" s="8">
        <v>57</v>
      </c>
      <c r="BU231" s="8">
        <v>58</v>
      </c>
      <c r="BV231" s="8">
        <v>59</v>
      </c>
      <c r="BW231" s="8">
        <v>60</v>
      </c>
      <c r="BX231" s="8">
        <v>61</v>
      </c>
      <c r="BY231" s="8">
        <v>62</v>
      </c>
      <c r="BZ231" s="8">
        <v>63</v>
      </c>
      <c r="CA231" s="8">
        <v>64</v>
      </c>
      <c r="CB231" s="8">
        <v>65</v>
      </c>
      <c r="CC231" s="8">
        <v>66</v>
      </c>
      <c r="CD231" s="8">
        <v>67</v>
      </c>
      <c r="CE231" s="8">
        <v>68</v>
      </c>
      <c r="CF231" s="8">
        <v>69</v>
      </c>
      <c r="CG231" s="8">
        <v>70</v>
      </c>
      <c r="CH231" s="8">
        <v>71</v>
      </c>
      <c r="CI231" s="8">
        <v>72</v>
      </c>
      <c r="CJ231" s="8">
        <v>73</v>
      </c>
      <c r="CK231" s="8">
        <v>74</v>
      </c>
      <c r="CL231" s="8">
        <v>75</v>
      </c>
      <c r="CM231" s="8">
        <v>76</v>
      </c>
      <c r="CN231" s="8">
        <v>77</v>
      </c>
      <c r="CO231" s="8">
        <v>78</v>
      </c>
      <c r="CP231" s="8">
        <v>79</v>
      </c>
      <c r="CQ231" s="8">
        <v>80</v>
      </c>
      <c r="CR231" s="8">
        <v>81</v>
      </c>
      <c r="CS231" s="8">
        <v>82</v>
      </c>
      <c r="CT231" s="8">
        <v>83</v>
      </c>
      <c r="CU231" s="8">
        <v>84</v>
      </c>
      <c r="CV231" s="8">
        <v>85</v>
      </c>
      <c r="CW231" s="8">
        <v>86</v>
      </c>
      <c r="CX231" s="8">
        <v>87</v>
      </c>
      <c r="CY231" s="8">
        <v>88</v>
      </c>
      <c r="CZ231" s="8">
        <v>89</v>
      </c>
      <c r="DA231" s="8">
        <v>90</v>
      </c>
      <c r="DB231" s="8">
        <v>91</v>
      </c>
      <c r="DC231" s="8">
        <v>92</v>
      </c>
      <c r="DD231" s="8">
        <v>93</v>
      </c>
      <c r="DE231" s="8">
        <v>94</v>
      </c>
      <c r="DF231" s="8">
        <v>95</v>
      </c>
      <c r="DG231" s="8">
        <v>96</v>
      </c>
      <c r="DH231" s="8">
        <v>97</v>
      </c>
      <c r="DI231" s="8">
        <v>98</v>
      </c>
      <c r="DJ231" s="8">
        <v>99</v>
      </c>
      <c r="DK231" s="8">
        <v>100</v>
      </c>
      <c r="DL231" s="8">
        <v>101</v>
      </c>
      <c r="DM231" s="8">
        <v>102</v>
      </c>
      <c r="DN231" s="8">
        <v>103</v>
      </c>
      <c r="DO231" s="8">
        <v>104</v>
      </c>
      <c r="DP231" s="8">
        <v>105</v>
      </c>
      <c r="DQ231" s="8">
        <v>106</v>
      </c>
      <c r="DR231" s="8">
        <v>107</v>
      </c>
      <c r="DS231" s="8">
        <v>108</v>
      </c>
      <c r="DT231" s="8">
        <v>109</v>
      </c>
      <c r="DU231" s="8">
        <v>110</v>
      </c>
      <c r="DV231" s="8">
        <v>111</v>
      </c>
      <c r="DW231" s="8">
        <v>112</v>
      </c>
      <c r="DX231" s="8">
        <v>113</v>
      </c>
      <c r="DY231" s="8">
        <v>114</v>
      </c>
      <c r="DZ231" s="8">
        <v>115</v>
      </c>
      <c r="EA231" s="8">
        <v>116</v>
      </c>
      <c r="EB231" s="8">
        <v>117</v>
      </c>
      <c r="EC231" s="8">
        <v>118</v>
      </c>
      <c r="ED231" s="8">
        <v>119</v>
      </c>
      <c r="EE231" s="8">
        <v>120</v>
      </c>
      <c r="EF231" s="8">
        <v>121</v>
      </c>
      <c r="EG231" s="8">
        <v>122</v>
      </c>
      <c r="EH231" s="8">
        <v>123</v>
      </c>
      <c r="EI231" s="8">
        <v>124</v>
      </c>
      <c r="EJ231" s="8">
        <v>125</v>
      </c>
      <c r="EK231" s="8">
        <v>126</v>
      </c>
      <c r="EL231" s="8">
        <v>127</v>
      </c>
      <c r="EM231" s="8">
        <v>128</v>
      </c>
      <c r="EN231" s="8">
        <v>129</v>
      </c>
      <c r="EO231" s="8">
        <v>130</v>
      </c>
      <c r="EP231" s="8">
        <v>131</v>
      </c>
      <c r="EQ231" s="8">
        <v>132</v>
      </c>
      <c r="ER231" s="8">
        <v>133</v>
      </c>
      <c r="ES231" s="8">
        <v>134</v>
      </c>
      <c r="ET231" s="8">
        <v>135</v>
      </c>
      <c r="EU231" s="8">
        <v>136</v>
      </c>
      <c r="EV231" s="8">
        <v>137</v>
      </c>
      <c r="EW231" s="8">
        <v>138</v>
      </c>
      <c r="EX231" s="8">
        <v>139</v>
      </c>
      <c r="EY231" s="8">
        <v>140</v>
      </c>
      <c r="EZ231" s="8">
        <v>141</v>
      </c>
      <c r="FA231" s="8">
        <v>142</v>
      </c>
      <c r="FB231" s="8">
        <v>143</v>
      </c>
      <c r="FC231" s="8">
        <v>144</v>
      </c>
      <c r="FD231" s="8">
        <v>145</v>
      </c>
      <c r="FE231" s="8">
        <v>146</v>
      </c>
      <c r="FF231" s="8">
        <v>147</v>
      </c>
      <c r="FG231" s="8">
        <v>148</v>
      </c>
      <c r="FH231" s="8">
        <v>149</v>
      </c>
      <c r="FI231" s="8">
        <v>150</v>
      </c>
      <c r="FJ231" s="8">
        <v>151</v>
      </c>
      <c r="FK231" s="8">
        <v>152</v>
      </c>
      <c r="FL231" s="8">
        <v>153</v>
      </c>
      <c r="FM231" s="8">
        <v>154</v>
      </c>
      <c r="FN231" s="8">
        <v>155</v>
      </c>
      <c r="FO231" s="8">
        <v>156</v>
      </c>
      <c r="FP231" s="8">
        <v>157</v>
      </c>
      <c r="FQ231" s="8">
        <v>158</v>
      </c>
      <c r="FR231" s="8">
        <v>159</v>
      </c>
      <c r="FS231" s="8">
        <v>160</v>
      </c>
      <c r="FT231" s="8">
        <v>161</v>
      </c>
      <c r="FU231" s="8">
        <v>162</v>
      </c>
      <c r="FV231" s="8">
        <v>163</v>
      </c>
      <c r="FW231" s="8">
        <v>164</v>
      </c>
      <c r="FX231" s="8">
        <v>165</v>
      </c>
      <c r="FY231" s="8">
        <v>166</v>
      </c>
      <c r="FZ231" s="8">
        <v>167</v>
      </c>
      <c r="GA231" s="8">
        <v>168</v>
      </c>
      <c r="GB231" s="8">
        <v>169</v>
      </c>
      <c r="GC231" s="8">
        <v>170</v>
      </c>
      <c r="GD231" s="8">
        <v>171</v>
      </c>
      <c r="GE231" s="8">
        <v>172</v>
      </c>
      <c r="GF231" s="8">
        <v>173</v>
      </c>
      <c r="GG231" s="8">
        <v>174</v>
      </c>
      <c r="GH231" s="8">
        <v>175</v>
      </c>
      <c r="GI231" s="8">
        <v>176</v>
      </c>
      <c r="GJ231" s="8">
        <v>177</v>
      </c>
      <c r="GK231" s="8">
        <v>178</v>
      </c>
      <c r="GL231" s="8">
        <v>179</v>
      </c>
      <c r="GM231" s="8">
        <v>180</v>
      </c>
      <c r="GN231" s="8">
        <v>181</v>
      </c>
      <c r="GO231" s="8">
        <v>182</v>
      </c>
      <c r="GP231" s="8">
        <v>183</v>
      </c>
      <c r="GQ231" s="8">
        <v>184</v>
      </c>
      <c r="GR231" s="8">
        <v>185</v>
      </c>
      <c r="GS231" s="8">
        <v>186</v>
      </c>
      <c r="GT231" s="8">
        <v>187</v>
      </c>
      <c r="GU231" s="8">
        <v>188</v>
      </c>
      <c r="GV231" s="8">
        <v>189</v>
      </c>
      <c r="GW231" s="8">
        <v>190</v>
      </c>
      <c r="GX231" s="8">
        <v>191</v>
      </c>
      <c r="GY231" s="8">
        <v>192</v>
      </c>
      <c r="GZ231" s="8">
        <v>193</v>
      </c>
      <c r="HA231" s="8">
        <v>194</v>
      </c>
      <c r="HB231" s="8">
        <v>195</v>
      </c>
      <c r="HC231" s="8">
        <v>196</v>
      </c>
      <c r="HD231" s="8">
        <v>197</v>
      </c>
      <c r="HE231" s="8">
        <v>198</v>
      </c>
      <c r="HF231" s="8">
        <v>199</v>
      </c>
      <c r="HG231" s="8">
        <v>200</v>
      </c>
      <c r="HH231" s="8">
        <v>201</v>
      </c>
      <c r="HI231" s="8">
        <v>202</v>
      </c>
      <c r="HJ231" s="8">
        <v>203</v>
      </c>
      <c r="HK231" s="8">
        <v>204</v>
      </c>
      <c r="HL231" s="8">
        <v>205</v>
      </c>
      <c r="HM231" s="8">
        <v>206</v>
      </c>
      <c r="HN231" s="8">
        <v>207</v>
      </c>
      <c r="HO231" s="8">
        <v>208</v>
      </c>
      <c r="HP231" s="8">
        <v>209</v>
      </c>
      <c r="HQ231" s="8">
        <v>210</v>
      </c>
      <c r="HR231" s="8">
        <v>211</v>
      </c>
      <c r="HS231" s="8">
        <v>212</v>
      </c>
      <c r="HT231" s="8">
        <v>213</v>
      </c>
      <c r="HU231" s="8">
        <v>214</v>
      </c>
      <c r="HV231" s="8">
        <v>215</v>
      </c>
      <c r="HW231" s="8">
        <v>216</v>
      </c>
      <c r="HX231" s="8">
        <v>217</v>
      </c>
      <c r="HY231" s="8">
        <v>218</v>
      </c>
      <c r="HZ231" s="8">
        <v>219</v>
      </c>
      <c r="IA231" s="8">
        <v>220</v>
      </c>
      <c r="IB231" s="8">
        <v>221</v>
      </c>
      <c r="IC231" s="8">
        <v>222</v>
      </c>
    </row>
    <row r="232" spans="1:257">
      <c r="A232" s="78"/>
      <c r="B232" s="78"/>
      <c r="C232" s="7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7"/>
      <c r="P232" s="50" t="s">
        <v>61</v>
      </c>
      <c r="Q232" s="50" t="s">
        <v>61</v>
      </c>
      <c r="R232" s="50" t="s">
        <v>61</v>
      </c>
      <c r="S232" s="50" t="s">
        <v>61</v>
      </c>
      <c r="T232" s="50" t="s">
        <v>61</v>
      </c>
      <c r="U232" s="50" t="s">
        <v>61</v>
      </c>
      <c r="V232" s="50" t="s">
        <v>61</v>
      </c>
      <c r="W232" s="50" t="s">
        <v>61</v>
      </c>
      <c r="X232" s="50" t="s">
        <v>61</v>
      </c>
      <c r="Y232" s="50" t="s">
        <v>61</v>
      </c>
      <c r="Z232" s="50" t="s">
        <v>61</v>
      </c>
      <c r="AA232" s="50" t="s">
        <v>61</v>
      </c>
      <c r="AB232" s="50" t="s">
        <v>61</v>
      </c>
      <c r="AC232" s="50" t="s">
        <v>61</v>
      </c>
      <c r="AD232" s="50" t="s">
        <v>61</v>
      </c>
      <c r="AE232" s="50" t="s">
        <v>61</v>
      </c>
      <c r="AF232" s="50" t="s">
        <v>61</v>
      </c>
      <c r="AG232" s="50" t="s">
        <v>61</v>
      </c>
      <c r="AH232" s="50" t="s">
        <v>61</v>
      </c>
      <c r="AI232" s="50" t="s">
        <v>61</v>
      </c>
      <c r="AJ232" s="50" t="s">
        <v>61</v>
      </c>
      <c r="AK232" s="50" t="s">
        <v>61</v>
      </c>
      <c r="AL232" s="50" t="s">
        <v>61</v>
      </c>
      <c r="AM232" s="50" t="s">
        <v>61</v>
      </c>
      <c r="AN232" s="50" t="s">
        <v>61</v>
      </c>
      <c r="AO232" s="50" t="s">
        <v>61</v>
      </c>
      <c r="AP232" s="50" t="s">
        <v>61</v>
      </c>
      <c r="AQ232" s="50" t="s">
        <v>61</v>
      </c>
      <c r="AR232" s="50" t="s">
        <v>61</v>
      </c>
      <c r="AS232" s="50" t="s">
        <v>61</v>
      </c>
      <c r="AT232" s="50" t="s">
        <v>61</v>
      </c>
      <c r="AU232" s="50" t="s">
        <v>61</v>
      </c>
      <c r="AV232" s="50" t="s">
        <v>61</v>
      </c>
      <c r="AW232" s="50" t="s">
        <v>61</v>
      </c>
      <c r="AX232" s="50" t="s">
        <v>61</v>
      </c>
      <c r="AY232" s="50" t="s">
        <v>61</v>
      </c>
      <c r="AZ232" s="50" t="s">
        <v>61</v>
      </c>
      <c r="BA232" s="50" t="s">
        <v>61</v>
      </c>
      <c r="BB232" s="50" t="s">
        <v>61</v>
      </c>
      <c r="BC232" s="50" t="s">
        <v>61</v>
      </c>
      <c r="BD232" s="50" t="s">
        <v>61</v>
      </c>
      <c r="BE232" s="50" t="s">
        <v>61</v>
      </c>
      <c r="BF232" s="50" t="s">
        <v>61</v>
      </c>
      <c r="BG232" s="50" t="s">
        <v>61</v>
      </c>
      <c r="BH232" s="50" t="s">
        <v>61</v>
      </c>
      <c r="BI232" s="50" t="s">
        <v>61</v>
      </c>
      <c r="BJ232" s="50" t="s">
        <v>61</v>
      </c>
      <c r="BK232" s="50" t="s">
        <v>61</v>
      </c>
      <c r="BL232" s="50" t="s">
        <v>61</v>
      </c>
      <c r="BM232" s="50" t="s">
        <v>61</v>
      </c>
      <c r="BN232" s="50" t="s">
        <v>61</v>
      </c>
      <c r="BO232" s="50" t="s">
        <v>61</v>
      </c>
      <c r="BP232" s="50" t="s">
        <v>61</v>
      </c>
      <c r="BQ232" s="50" t="s">
        <v>61</v>
      </c>
      <c r="BR232" s="50" t="s">
        <v>61</v>
      </c>
      <c r="BS232" s="50" t="s">
        <v>61</v>
      </c>
      <c r="BT232" s="50" t="s">
        <v>61</v>
      </c>
      <c r="BU232" s="50" t="s">
        <v>61</v>
      </c>
      <c r="BV232" s="50" t="s">
        <v>61</v>
      </c>
      <c r="BW232" s="50" t="s">
        <v>61</v>
      </c>
      <c r="BX232" s="50" t="s">
        <v>61</v>
      </c>
      <c r="BY232" s="50" t="s">
        <v>61</v>
      </c>
      <c r="BZ232" s="50" t="s">
        <v>61</v>
      </c>
      <c r="CA232" s="50" t="s">
        <v>61</v>
      </c>
      <c r="CB232" s="50" t="s">
        <v>61</v>
      </c>
      <c r="CC232" s="50" t="s">
        <v>61</v>
      </c>
      <c r="CD232" s="50" t="s">
        <v>61</v>
      </c>
      <c r="CE232" s="50" t="s">
        <v>61</v>
      </c>
      <c r="CF232" s="50" t="s">
        <v>61</v>
      </c>
      <c r="CG232" s="50" t="s">
        <v>61</v>
      </c>
      <c r="CH232" s="50" t="s">
        <v>61</v>
      </c>
      <c r="CI232" s="50" t="s">
        <v>61</v>
      </c>
      <c r="CJ232" s="50" t="s">
        <v>61</v>
      </c>
      <c r="CK232" s="50" t="s">
        <v>61</v>
      </c>
      <c r="CL232" s="50" t="s">
        <v>61</v>
      </c>
      <c r="CM232" s="50" t="s">
        <v>61</v>
      </c>
      <c r="CN232" s="50" t="s">
        <v>61</v>
      </c>
      <c r="CO232" s="50" t="s">
        <v>61</v>
      </c>
      <c r="CP232" s="50" t="s">
        <v>61</v>
      </c>
      <c r="CQ232" s="50" t="s">
        <v>61</v>
      </c>
      <c r="CR232" s="50" t="s">
        <v>61</v>
      </c>
      <c r="CS232" s="50" t="s">
        <v>61</v>
      </c>
      <c r="CT232" s="50" t="s">
        <v>61</v>
      </c>
      <c r="CU232" s="50" t="s">
        <v>61</v>
      </c>
      <c r="CV232" s="50" t="s">
        <v>61</v>
      </c>
      <c r="CW232" s="50" t="s">
        <v>61</v>
      </c>
      <c r="CX232" s="50" t="s">
        <v>61</v>
      </c>
      <c r="CY232" s="50" t="s">
        <v>61</v>
      </c>
      <c r="CZ232" s="50" t="s">
        <v>61</v>
      </c>
      <c r="DA232" s="50" t="s">
        <v>61</v>
      </c>
      <c r="DB232" s="50" t="s">
        <v>61</v>
      </c>
      <c r="DC232" s="50" t="s">
        <v>61</v>
      </c>
      <c r="DD232" s="50" t="s">
        <v>61</v>
      </c>
      <c r="DE232" s="50" t="s">
        <v>61</v>
      </c>
      <c r="DF232" s="50" t="s">
        <v>61</v>
      </c>
      <c r="DG232" s="50" t="s">
        <v>61</v>
      </c>
      <c r="DH232" s="50" t="s">
        <v>61</v>
      </c>
      <c r="DI232" s="50" t="s">
        <v>61</v>
      </c>
      <c r="DJ232" s="50" t="s">
        <v>61</v>
      </c>
      <c r="DK232" s="50" t="s">
        <v>61</v>
      </c>
      <c r="DL232" s="50" t="s">
        <v>61</v>
      </c>
      <c r="DM232" s="50" t="s">
        <v>61</v>
      </c>
      <c r="DN232" s="50" t="s">
        <v>61</v>
      </c>
      <c r="DO232" s="50" t="s">
        <v>61</v>
      </c>
      <c r="DP232" s="50" t="s">
        <v>61</v>
      </c>
      <c r="DQ232" s="50" t="s">
        <v>61</v>
      </c>
      <c r="DR232" s="50" t="s">
        <v>61</v>
      </c>
      <c r="DS232" s="50" t="s">
        <v>61</v>
      </c>
      <c r="DT232" s="50" t="s">
        <v>61</v>
      </c>
      <c r="DU232" s="50" t="s">
        <v>61</v>
      </c>
      <c r="DV232" s="50" t="s">
        <v>61</v>
      </c>
      <c r="DW232" s="50" t="s">
        <v>61</v>
      </c>
      <c r="DX232" s="50" t="s">
        <v>61</v>
      </c>
      <c r="DY232" s="50" t="s">
        <v>61</v>
      </c>
      <c r="DZ232" s="50" t="s">
        <v>61</v>
      </c>
      <c r="EA232" s="50" t="s">
        <v>61</v>
      </c>
      <c r="EB232" s="50" t="s">
        <v>61</v>
      </c>
      <c r="EC232" s="50" t="s">
        <v>61</v>
      </c>
      <c r="ED232" s="50" t="s">
        <v>61</v>
      </c>
      <c r="EE232" s="50" t="s">
        <v>61</v>
      </c>
      <c r="EF232" s="50" t="s">
        <v>61</v>
      </c>
      <c r="EG232" s="50" t="s">
        <v>61</v>
      </c>
      <c r="EH232" s="50" t="s">
        <v>61</v>
      </c>
      <c r="EI232" s="50" t="s">
        <v>61</v>
      </c>
      <c r="EJ232" s="50" t="s">
        <v>61</v>
      </c>
      <c r="EK232" s="50" t="s">
        <v>61</v>
      </c>
      <c r="EL232" s="50" t="s">
        <v>61</v>
      </c>
      <c r="EM232" s="50" t="s">
        <v>61</v>
      </c>
      <c r="EN232" s="50" t="s">
        <v>61</v>
      </c>
      <c r="EO232" s="50" t="s">
        <v>61</v>
      </c>
      <c r="EP232" s="50" t="s">
        <v>61</v>
      </c>
      <c r="EQ232" s="50" t="s">
        <v>61</v>
      </c>
      <c r="ER232" s="50" t="s">
        <v>61</v>
      </c>
      <c r="ES232" s="50" t="s">
        <v>61</v>
      </c>
      <c r="ET232" s="50" t="s">
        <v>61</v>
      </c>
      <c r="EU232" s="50" t="s">
        <v>61</v>
      </c>
      <c r="EV232" s="50" t="s">
        <v>61</v>
      </c>
      <c r="EW232" s="50" t="s">
        <v>61</v>
      </c>
      <c r="EX232" s="50" t="s">
        <v>61</v>
      </c>
      <c r="EY232" s="50" t="s">
        <v>61</v>
      </c>
      <c r="EZ232" s="50" t="s">
        <v>61</v>
      </c>
      <c r="FA232" s="50" t="s">
        <v>61</v>
      </c>
      <c r="FB232" s="50" t="s">
        <v>61</v>
      </c>
      <c r="FC232" s="50" t="s">
        <v>61</v>
      </c>
      <c r="FD232" s="50" t="s">
        <v>61</v>
      </c>
      <c r="FE232" s="50" t="s">
        <v>61</v>
      </c>
      <c r="FF232" s="50" t="s">
        <v>61</v>
      </c>
      <c r="FG232" s="50" t="s">
        <v>61</v>
      </c>
      <c r="FH232" s="50" t="s">
        <v>61</v>
      </c>
      <c r="FI232" s="50" t="s">
        <v>61</v>
      </c>
      <c r="FJ232" s="50" t="s">
        <v>61</v>
      </c>
      <c r="FK232" s="50" t="s">
        <v>61</v>
      </c>
      <c r="FL232" s="50" t="s">
        <v>61</v>
      </c>
      <c r="FM232" s="50" t="s">
        <v>61</v>
      </c>
      <c r="FN232" s="50" t="s">
        <v>61</v>
      </c>
      <c r="FO232" s="50" t="s">
        <v>61</v>
      </c>
      <c r="FP232" s="50" t="s">
        <v>61</v>
      </c>
      <c r="FQ232" s="50" t="s">
        <v>61</v>
      </c>
      <c r="FR232" s="50" t="s">
        <v>61</v>
      </c>
      <c r="FS232" s="50" t="s">
        <v>61</v>
      </c>
      <c r="FT232" s="50" t="s">
        <v>61</v>
      </c>
      <c r="FU232" s="50" t="s">
        <v>61</v>
      </c>
      <c r="FV232" s="50" t="s">
        <v>61</v>
      </c>
      <c r="FW232" s="50" t="s">
        <v>61</v>
      </c>
      <c r="FX232" s="50" t="s">
        <v>61</v>
      </c>
      <c r="FY232" s="50" t="s">
        <v>61</v>
      </c>
      <c r="FZ232" s="50" t="s">
        <v>61</v>
      </c>
      <c r="GA232" s="50" t="s">
        <v>61</v>
      </c>
      <c r="GB232" s="50" t="s">
        <v>61</v>
      </c>
      <c r="GC232" s="50" t="s">
        <v>61</v>
      </c>
      <c r="GD232" s="50" t="s">
        <v>61</v>
      </c>
      <c r="GE232" s="50" t="s">
        <v>61</v>
      </c>
      <c r="GF232" s="50" t="s">
        <v>61</v>
      </c>
      <c r="GG232" s="50" t="s">
        <v>61</v>
      </c>
      <c r="GH232" s="50" t="s">
        <v>61</v>
      </c>
      <c r="GI232" s="50" t="s">
        <v>61</v>
      </c>
      <c r="GJ232" s="50" t="s">
        <v>61</v>
      </c>
      <c r="GK232" s="50" t="s">
        <v>61</v>
      </c>
      <c r="GL232" s="50" t="s">
        <v>61</v>
      </c>
      <c r="GM232" s="50" t="s">
        <v>61</v>
      </c>
      <c r="GN232" s="50" t="s">
        <v>61</v>
      </c>
      <c r="GO232" s="50" t="s">
        <v>61</v>
      </c>
      <c r="GP232" s="50" t="s">
        <v>61</v>
      </c>
      <c r="GQ232" s="50" t="s">
        <v>61</v>
      </c>
      <c r="GR232" s="50" t="s">
        <v>61</v>
      </c>
      <c r="GS232" s="50" t="s">
        <v>61</v>
      </c>
      <c r="GT232" s="50" t="s">
        <v>61</v>
      </c>
      <c r="GU232" s="50" t="s">
        <v>61</v>
      </c>
      <c r="GV232" s="50" t="s">
        <v>61</v>
      </c>
      <c r="GW232" s="50" t="s">
        <v>61</v>
      </c>
      <c r="GX232" s="50" t="s">
        <v>61</v>
      </c>
      <c r="GY232" s="50" t="s">
        <v>61</v>
      </c>
      <c r="GZ232" s="50" t="s">
        <v>61</v>
      </c>
      <c r="HA232" s="50" t="s">
        <v>61</v>
      </c>
      <c r="HB232" s="50" t="s">
        <v>61</v>
      </c>
      <c r="HC232" s="50" t="s">
        <v>61</v>
      </c>
      <c r="HD232" s="50" t="s">
        <v>61</v>
      </c>
      <c r="HE232" s="50" t="s">
        <v>61</v>
      </c>
      <c r="HF232" s="50" t="s">
        <v>61</v>
      </c>
      <c r="HG232" s="50" t="s">
        <v>61</v>
      </c>
      <c r="HH232" s="50" t="s">
        <v>61</v>
      </c>
      <c r="HI232" s="50" t="s">
        <v>61</v>
      </c>
      <c r="HJ232" s="50" t="s">
        <v>61</v>
      </c>
      <c r="HK232" s="50" t="s">
        <v>61</v>
      </c>
      <c r="HL232" s="50" t="s">
        <v>61</v>
      </c>
      <c r="HM232" s="50" t="s">
        <v>61</v>
      </c>
      <c r="HN232" s="50" t="s">
        <v>61</v>
      </c>
      <c r="HO232" s="50" t="s">
        <v>61</v>
      </c>
      <c r="HP232" s="50" t="s">
        <v>61</v>
      </c>
      <c r="HQ232" s="50" t="s">
        <v>61</v>
      </c>
      <c r="HR232" s="50" t="s">
        <v>61</v>
      </c>
      <c r="HS232" s="50" t="s">
        <v>61</v>
      </c>
      <c r="HT232" s="50" t="s">
        <v>61</v>
      </c>
      <c r="HU232" s="50" t="s">
        <v>61</v>
      </c>
      <c r="HV232" s="50" t="s">
        <v>61</v>
      </c>
      <c r="HW232" s="50" t="s">
        <v>61</v>
      </c>
      <c r="HX232" s="50" t="s">
        <v>61</v>
      </c>
      <c r="HY232" s="50" t="s">
        <v>61</v>
      </c>
      <c r="HZ232" s="50" t="s">
        <v>61</v>
      </c>
      <c r="IA232" s="50" t="s">
        <v>61</v>
      </c>
      <c r="IB232" s="50" t="s">
        <v>61</v>
      </c>
      <c r="IC232" s="50" t="s">
        <v>61</v>
      </c>
    </row>
    <row r="233" spans="1:257">
      <c r="A233" s="4" t="s">
        <v>522</v>
      </c>
      <c r="B233" s="82" t="str">
        <f t="array" ref="B233">_xlfn.LET(
  _xlpm.dates, _xlfn._xlws.FILTER(P233:HO233, (P235:HO235&lt;&gt;"")+(P237:HO237&lt;&gt;"")),
  _xlpm.numDates, IFERROR(VALUE(_xlpm.dates), _xlpm.dates),
  _xlpm.first, TEXT(MIN(_xlpm.numDates), "m/dd"),
  _xlpm.last, TEXT(MAX(_xlpm.numDates), "m/dd"),
  _xlpm.first &amp; "~" &amp; _xlpm.last
)</f>
        <v>3/27~4/27</v>
      </c>
      <c r="C233" s="7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 t="s">
        <v>522</v>
      </c>
      <c r="P233" s="3">
        <v>46107</v>
      </c>
      <c r="Q233" s="3">
        <v>46108</v>
      </c>
      <c r="R233" s="3">
        <v>46109</v>
      </c>
      <c r="S233" s="3">
        <v>46110</v>
      </c>
      <c r="T233" s="3">
        <v>46111</v>
      </c>
      <c r="U233" s="3">
        <v>46112</v>
      </c>
      <c r="V233" s="3">
        <v>46113</v>
      </c>
      <c r="W233" s="3">
        <v>46114</v>
      </c>
      <c r="X233" s="3">
        <v>46115</v>
      </c>
      <c r="Y233" s="3">
        <v>46116</v>
      </c>
      <c r="Z233" s="3">
        <v>46117</v>
      </c>
      <c r="AA233" s="3">
        <v>46118</v>
      </c>
      <c r="AB233" s="3">
        <v>46119</v>
      </c>
      <c r="AC233" s="3">
        <v>46120</v>
      </c>
      <c r="AD233" s="3">
        <v>46121</v>
      </c>
      <c r="AE233" s="3">
        <v>46122</v>
      </c>
      <c r="AF233" s="3">
        <v>46123</v>
      </c>
      <c r="AG233" s="3">
        <v>46124</v>
      </c>
      <c r="AH233" s="3">
        <v>46125</v>
      </c>
      <c r="AI233" s="3">
        <v>46126</v>
      </c>
      <c r="AJ233" s="3">
        <v>46127</v>
      </c>
      <c r="AK233" s="3">
        <v>46128</v>
      </c>
      <c r="AL233" s="3">
        <v>46129</v>
      </c>
      <c r="AM233" s="3">
        <v>46130</v>
      </c>
      <c r="AN233" s="3">
        <v>46131</v>
      </c>
      <c r="AO233" s="3">
        <v>46132</v>
      </c>
      <c r="AP233" s="3">
        <v>46133</v>
      </c>
      <c r="AQ233" s="3">
        <v>46134</v>
      </c>
      <c r="AR233" s="3">
        <v>46135</v>
      </c>
      <c r="AS233" s="3">
        <v>46136</v>
      </c>
      <c r="AT233" s="3">
        <v>46137</v>
      </c>
      <c r="AU233" s="3">
        <v>46138</v>
      </c>
      <c r="AV233" s="3">
        <v>46139</v>
      </c>
      <c r="AW233" s="3">
        <v>46140</v>
      </c>
      <c r="AX233" s="3">
        <v>46141</v>
      </c>
      <c r="AY233" s="3">
        <v>46142</v>
      </c>
      <c r="AZ233" s="3">
        <v>46143</v>
      </c>
      <c r="BA233" s="3">
        <v>46144</v>
      </c>
      <c r="BB233" s="3">
        <v>46145</v>
      </c>
      <c r="BC233" s="3">
        <v>46146</v>
      </c>
      <c r="BD233" s="3">
        <v>46147</v>
      </c>
      <c r="BE233" s="3">
        <v>46148</v>
      </c>
      <c r="BF233" s="3">
        <v>46149</v>
      </c>
      <c r="BG233" s="3">
        <v>46150</v>
      </c>
      <c r="BH233" s="3">
        <v>46151</v>
      </c>
      <c r="BI233" s="3">
        <v>46152</v>
      </c>
      <c r="BJ233" s="3">
        <v>46153</v>
      </c>
      <c r="BK233" s="3">
        <v>46154</v>
      </c>
      <c r="BL233" s="3">
        <v>46155</v>
      </c>
      <c r="BM233" s="3">
        <v>46156</v>
      </c>
      <c r="BN233" s="3">
        <v>46157</v>
      </c>
      <c r="BO233" s="3">
        <v>46158</v>
      </c>
      <c r="BP233" s="3">
        <v>46159</v>
      </c>
      <c r="BQ233" s="3">
        <v>46160</v>
      </c>
      <c r="BR233" s="3">
        <v>46161</v>
      </c>
      <c r="BS233" s="3">
        <v>46162</v>
      </c>
      <c r="BT233" s="3">
        <v>46163</v>
      </c>
      <c r="BU233" s="3">
        <v>46164</v>
      </c>
      <c r="BV233" s="3">
        <v>46165</v>
      </c>
      <c r="BW233" s="3">
        <v>46166</v>
      </c>
      <c r="BX233" s="3">
        <v>46167</v>
      </c>
      <c r="BY233" s="3">
        <v>46168</v>
      </c>
      <c r="BZ233" s="3">
        <v>46169</v>
      </c>
      <c r="CA233" s="3">
        <v>46170</v>
      </c>
      <c r="CB233" s="3">
        <v>46171</v>
      </c>
      <c r="CC233" s="3">
        <v>46172</v>
      </c>
      <c r="CD233" s="3">
        <v>46173</v>
      </c>
      <c r="CE233" s="3">
        <v>46174</v>
      </c>
      <c r="CF233" s="3">
        <v>46175</v>
      </c>
      <c r="CG233" s="3">
        <v>46176</v>
      </c>
      <c r="CH233" s="3">
        <v>46177</v>
      </c>
      <c r="CI233" s="3">
        <v>46178</v>
      </c>
      <c r="CJ233" s="3">
        <v>46179</v>
      </c>
      <c r="CK233" s="3">
        <v>46180</v>
      </c>
      <c r="CL233" s="3">
        <v>46181</v>
      </c>
      <c r="CM233" s="3">
        <v>46182</v>
      </c>
      <c r="CN233" s="3">
        <v>46183</v>
      </c>
      <c r="CO233" s="3">
        <v>46184</v>
      </c>
      <c r="CP233" s="3">
        <v>46185</v>
      </c>
      <c r="CQ233" s="3">
        <v>46186</v>
      </c>
      <c r="CR233" s="3">
        <v>46187</v>
      </c>
      <c r="CS233" s="3">
        <v>46188</v>
      </c>
      <c r="CT233" s="3">
        <v>46189</v>
      </c>
      <c r="CU233" s="3">
        <v>46190</v>
      </c>
      <c r="CV233" s="3">
        <v>46191</v>
      </c>
      <c r="CW233" s="3">
        <v>46192</v>
      </c>
      <c r="CX233" s="3">
        <v>46193</v>
      </c>
      <c r="CY233" s="3">
        <v>46194</v>
      </c>
      <c r="CZ233" s="3">
        <v>46195</v>
      </c>
      <c r="DA233" s="3">
        <v>46196</v>
      </c>
      <c r="DB233" s="3">
        <v>46197</v>
      </c>
      <c r="DC233" s="3">
        <v>46198</v>
      </c>
      <c r="DD233" s="3">
        <v>46199</v>
      </c>
      <c r="DE233" s="3">
        <v>46200</v>
      </c>
      <c r="DF233" s="3">
        <v>46201</v>
      </c>
      <c r="DG233" s="3">
        <v>46202</v>
      </c>
      <c r="DH233" s="3">
        <v>46203</v>
      </c>
      <c r="DI233" s="3">
        <v>46204</v>
      </c>
      <c r="DJ233" s="3">
        <v>46205</v>
      </c>
      <c r="DK233" s="3">
        <v>46206</v>
      </c>
      <c r="DL233" s="3">
        <v>46207</v>
      </c>
      <c r="DM233" s="3">
        <v>46208</v>
      </c>
      <c r="DN233" s="3">
        <v>46209</v>
      </c>
      <c r="DO233" s="3">
        <v>46210</v>
      </c>
      <c r="DP233" s="3">
        <v>46211</v>
      </c>
      <c r="DQ233" s="3">
        <v>46212</v>
      </c>
      <c r="DR233" s="3">
        <v>46213</v>
      </c>
      <c r="DS233" s="3">
        <v>46214</v>
      </c>
      <c r="DT233" s="3">
        <v>46215</v>
      </c>
      <c r="DU233" s="3">
        <v>46216</v>
      </c>
      <c r="DV233" s="3">
        <v>46217</v>
      </c>
      <c r="DW233" s="3">
        <v>46218</v>
      </c>
      <c r="DX233" s="3">
        <v>46219</v>
      </c>
      <c r="DY233" s="3">
        <v>46220</v>
      </c>
      <c r="DZ233" s="3">
        <v>46221</v>
      </c>
      <c r="EA233" s="3">
        <v>46222</v>
      </c>
      <c r="EB233" s="3">
        <v>46223</v>
      </c>
      <c r="EC233" s="3">
        <v>46224</v>
      </c>
      <c r="ED233" s="3">
        <v>46225</v>
      </c>
      <c r="EE233" s="3">
        <v>46226</v>
      </c>
      <c r="EF233" s="3">
        <v>46227</v>
      </c>
      <c r="EG233" s="3">
        <v>46228</v>
      </c>
      <c r="EH233" s="3">
        <v>46229</v>
      </c>
      <c r="EI233" s="3">
        <v>46230</v>
      </c>
      <c r="EJ233" s="3">
        <v>46231</v>
      </c>
      <c r="EK233" s="3">
        <v>46232</v>
      </c>
      <c r="EL233" s="3">
        <v>46233</v>
      </c>
      <c r="EM233" s="3">
        <v>46234</v>
      </c>
      <c r="EN233" s="3">
        <v>46235</v>
      </c>
      <c r="EO233" s="3">
        <v>46236</v>
      </c>
      <c r="EP233" s="3">
        <v>46237</v>
      </c>
      <c r="EQ233" s="3">
        <v>46238</v>
      </c>
      <c r="ER233" s="3">
        <v>46239</v>
      </c>
      <c r="ES233" s="3">
        <v>46240</v>
      </c>
      <c r="ET233" s="3">
        <v>46241</v>
      </c>
      <c r="EU233" s="3">
        <v>46242</v>
      </c>
      <c r="EV233" s="3">
        <v>46243</v>
      </c>
      <c r="EW233" s="3">
        <v>46244</v>
      </c>
      <c r="EX233" s="3">
        <v>46245</v>
      </c>
      <c r="EY233" s="3">
        <v>46246</v>
      </c>
      <c r="EZ233" s="3">
        <v>46247</v>
      </c>
      <c r="FA233" s="3">
        <v>46248</v>
      </c>
      <c r="FB233" s="3">
        <v>46249</v>
      </c>
      <c r="FC233" s="3">
        <v>46250</v>
      </c>
      <c r="FD233" s="3">
        <v>46251</v>
      </c>
      <c r="FE233" s="3">
        <v>46252</v>
      </c>
      <c r="FF233" s="3">
        <v>46253</v>
      </c>
      <c r="FG233" s="3">
        <v>46254</v>
      </c>
      <c r="FH233" s="3">
        <v>46255</v>
      </c>
      <c r="FI233" s="3">
        <v>46256</v>
      </c>
      <c r="FJ233" s="3">
        <v>46257</v>
      </c>
      <c r="FK233" s="3">
        <v>46258</v>
      </c>
      <c r="FL233" s="3">
        <v>46259</v>
      </c>
      <c r="FM233" s="3">
        <v>46260</v>
      </c>
      <c r="FN233" s="3">
        <v>46261</v>
      </c>
      <c r="FO233" s="3">
        <v>46262</v>
      </c>
      <c r="FP233" s="3">
        <v>46263</v>
      </c>
      <c r="FQ233" s="3">
        <v>46264</v>
      </c>
      <c r="FR233" s="3">
        <v>46265</v>
      </c>
      <c r="FS233" s="3">
        <v>46266</v>
      </c>
      <c r="FT233" s="3">
        <v>46267</v>
      </c>
      <c r="FU233" s="3">
        <v>46268</v>
      </c>
      <c r="FV233" s="3">
        <v>46269</v>
      </c>
      <c r="FW233" s="3">
        <v>46270</v>
      </c>
      <c r="FX233" s="3">
        <v>46271</v>
      </c>
      <c r="FY233" s="3">
        <v>46272</v>
      </c>
      <c r="FZ233" s="3">
        <v>46273</v>
      </c>
      <c r="GA233" s="3">
        <v>46274</v>
      </c>
      <c r="GB233" s="3">
        <v>46275</v>
      </c>
      <c r="GC233" s="3">
        <v>46276</v>
      </c>
      <c r="GD233" s="3">
        <v>46277</v>
      </c>
      <c r="GE233" s="3">
        <v>46278</v>
      </c>
      <c r="GF233" s="3">
        <v>46279</v>
      </c>
      <c r="GG233" s="3">
        <v>46280</v>
      </c>
      <c r="GH233" s="3">
        <v>46281</v>
      </c>
      <c r="GI233" s="3">
        <v>46282</v>
      </c>
      <c r="GJ233" s="3">
        <v>46283</v>
      </c>
      <c r="GK233" s="3">
        <v>46284</v>
      </c>
      <c r="GL233" s="3">
        <v>46285</v>
      </c>
      <c r="GM233" s="3">
        <v>46286</v>
      </c>
      <c r="GN233" s="3">
        <v>46287</v>
      </c>
      <c r="GO233" s="3">
        <v>46288</v>
      </c>
      <c r="GP233" s="3">
        <v>46289</v>
      </c>
      <c r="GQ233" s="3">
        <v>46290</v>
      </c>
      <c r="GR233" s="3">
        <v>46291</v>
      </c>
      <c r="GS233" s="3">
        <v>46292</v>
      </c>
      <c r="GT233" s="3">
        <v>46293</v>
      </c>
      <c r="GU233" s="3">
        <v>46294</v>
      </c>
      <c r="GV233" s="3">
        <v>46295</v>
      </c>
      <c r="GW233" s="3">
        <v>46296</v>
      </c>
      <c r="GX233" s="3">
        <v>46297</v>
      </c>
      <c r="GY233" s="3">
        <v>46298</v>
      </c>
      <c r="GZ233" s="3">
        <v>46299</v>
      </c>
      <c r="HA233" s="3">
        <v>46300</v>
      </c>
      <c r="HB233" s="3">
        <v>46301</v>
      </c>
      <c r="HC233" s="3">
        <v>46302</v>
      </c>
      <c r="HD233" s="3">
        <v>46303</v>
      </c>
      <c r="HE233" s="3">
        <v>46304</v>
      </c>
      <c r="HF233" s="3">
        <v>46305</v>
      </c>
      <c r="HG233" s="3">
        <v>46306</v>
      </c>
      <c r="HH233" s="3">
        <v>46307</v>
      </c>
      <c r="HI233" s="3">
        <v>46308</v>
      </c>
      <c r="HJ233" s="3">
        <v>46309</v>
      </c>
      <c r="HK233" s="3">
        <v>46310</v>
      </c>
      <c r="HL233" s="3">
        <v>46311</v>
      </c>
      <c r="HM233" s="3">
        <v>46312</v>
      </c>
      <c r="HN233" s="3">
        <v>46313</v>
      </c>
      <c r="HO233" s="3">
        <v>46314</v>
      </c>
      <c r="HP233" s="3">
        <v>46315</v>
      </c>
      <c r="HQ233" s="3">
        <v>46316</v>
      </c>
      <c r="HR233" s="3">
        <v>46317</v>
      </c>
      <c r="HS233" s="3">
        <v>46318</v>
      </c>
      <c r="HT233" s="3">
        <v>46319</v>
      </c>
      <c r="HU233" s="3">
        <v>46320</v>
      </c>
      <c r="HV233" s="3">
        <v>46321</v>
      </c>
      <c r="HW233" s="3">
        <v>46322</v>
      </c>
      <c r="HX233" s="3">
        <v>46323</v>
      </c>
      <c r="HY233" s="3">
        <v>46324</v>
      </c>
      <c r="HZ233" s="3">
        <v>46325</v>
      </c>
      <c r="IA233" s="3">
        <v>46326</v>
      </c>
      <c r="IB233" s="3">
        <v>46327</v>
      </c>
      <c r="IC233" s="3">
        <v>46328</v>
      </c>
    </row>
    <row r="234" spans="1:257">
      <c r="A234" s="4" t="s">
        <v>694</v>
      </c>
      <c r="B234" s="82" t="str">
        <f t="array" ref="B234">COLUMNS(_xlfn._xlws.FILTER(P233:HO233, (P235:HO235&lt;&gt;"")+(P237:HO237&lt;&gt;""))) &amp; "場"</f>
        <v>27場</v>
      </c>
      <c r="C234" s="7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 t="s">
        <v>675</v>
      </c>
      <c r="P234" s="3" t="s">
        <v>676</v>
      </c>
      <c r="Q234" s="3" t="s">
        <v>677</v>
      </c>
      <c r="R234" s="3" t="s">
        <v>678</v>
      </c>
      <c r="S234" s="3" t="s">
        <v>679</v>
      </c>
      <c r="T234" s="3" t="s">
        <v>680</v>
      </c>
      <c r="U234" s="3" t="s">
        <v>681</v>
      </c>
      <c r="V234" s="3" t="s">
        <v>682</v>
      </c>
      <c r="W234" s="3" t="s">
        <v>676</v>
      </c>
      <c r="X234" s="3" t="s">
        <v>677</v>
      </c>
      <c r="Y234" s="3" t="s">
        <v>678</v>
      </c>
      <c r="Z234" s="3" t="s">
        <v>679</v>
      </c>
      <c r="AA234" s="3" t="s">
        <v>680</v>
      </c>
      <c r="AB234" s="3" t="s">
        <v>681</v>
      </c>
      <c r="AC234" s="3" t="s">
        <v>682</v>
      </c>
      <c r="AD234" s="3" t="s">
        <v>676</v>
      </c>
      <c r="AE234" s="3" t="s">
        <v>677</v>
      </c>
      <c r="AF234" s="3" t="s">
        <v>678</v>
      </c>
      <c r="AG234" s="3" t="s">
        <v>679</v>
      </c>
      <c r="AH234" s="3" t="s">
        <v>680</v>
      </c>
      <c r="AI234" s="3" t="s">
        <v>681</v>
      </c>
      <c r="AJ234" s="3" t="s">
        <v>682</v>
      </c>
      <c r="AK234" s="3" t="s">
        <v>676</v>
      </c>
      <c r="AL234" s="3" t="s">
        <v>677</v>
      </c>
      <c r="AM234" s="3" t="s">
        <v>678</v>
      </c>
      <c r="AN234" s="3" t="s">
        <v>679</v>
      </c>
      <c r="AO234" s="3" t="s">
        <v>680</v>
      </c>
      <c r="AP234" s="3" t="s">
        <v>681</v>
      </c>
      <c r="AQ234" s="3" t="s">
        <v>682</v>
      </c>
      <c r="AR234" s="3" t="s">
        <v>676</v>
      </c>
      <c r="AS234" s="3" t="s">
        <v>677</v>
      </c>
      <c r="AT234" s="3" t="s">
        <v>678</v>
      </c>
      <c r="AU234" s="3" t="s">
        <v>679</v>
      </c>
      <c r="AV234" s="3" t="s">
        <v>680</v>
      </c>
      <c r="AW234" s="3" t="s">
        <v>681</v>
      </c>
      <c r="AX234" s="3" t="s">
        <v>682</v>
      </c>
      <c r="AY234" s="3" t="s">
        <v>676</v>
      </c>
      <c r="AZ234" s="3" t="s">
        <v>677</v>
      </c>
      <c r="BA234" s="3" t="s">
        <v>678</v>
      </c>
      <c r="BB234" s="3" t="s">
        <v>679</v>
      </c>
      <c r="BC234" s="3" t="s">
        <v>680</v>
      </c>
      <c r="BD234" s="3" t="s">
        <v>681</v>
      </c>
      <c r="BE234" s="3" t="s">
        <v>682</v>
      </c>
      <c r="BF234" s="3" t="s">
        <v>676</v>
      </c>
      <c r="BG234" s="3" t="s">
        <v>677</v>
      </c>
      <c r="BH234" s="3" t="s">
        <v>678</v>
      </c>
      <c r="BI234" s="3" t="s">
        <v>679</v>
      </c>
      <c r="BJ234" s="3" t="s">
        <v>680</v>
      </c>
      <c r="BK234" s="3" t="s">
        <v>681</v>
      </c>
      <c r="BL234" s="3" t="s">
        <v>682</v>
      </c>
      <c r="BM234" s="3" t="s">
        <v>676</v>
      </c>
      <c r="BN234" s="3" t="s">
        <v>677</v>
      </c>
      <c r="BO234" s="3" t="s">
        <v>678</v>
      </c>
      <c r="BP234" s="3" t="s">
        <v>679</v>
      </c>
      <c r="BQ234" s="3" t="s">
        <v>680</v>
      </c>
      <c r="BR234" s="3" t="s">
        <v>681</v>
      </c>
      <c r="BS234" s="3" t="s">
        <v>682</v>
      </c>
      <c r="BT234" s="3" t="s">
        <v>676</v>
      </c>
      <c r="BU234" s="3" t="s">
        <v>677</v>
      </c>
      <c r="BV234" s="3" t="s">
        <v>678</v>
      </c>
      <c r="BW234" s="3" t="s">
        <v>679</v>
      </c>
      <c r="BX234" s="3" t="s">
        <v>680</v>
      </c>
      <c r="BY234" s="3" t="s">
        <v>681</v>
      </c>
      <c r="BZ234" s="3" t="s">
        <v>682</v>
      </c>
      <c r="CA234" s="3" t="s">
        <v>676</v>
      </c>
      <c r="CB234" s="3" t="s">
        <v>677</v>
      </c>
      <c r="CC234" s="3" t="s">
        <v>678</v>
      </c>
      <c r="CD234" s="3" t="s">
        <v>679</v>
      </c>
      <c r="CE234" s="3" t="s">
        <v>680</v>
      </c>
      <c r="CF234" s="3" t="s">
        <v>681</v>
      </c>
      <c r="CG234" s="3" t="s">
        <v>682</v>
      </c>
      <c r="CH234" s="3" t="s">
        <v>676</v>
      </c>
      <c r="CI234" s="3" t="s">
        <v>677</v>
      </c>
      <c r="CJ234" s="3" t="s">
        <v>678</v>
      </c>
      <c r="CK234" s="3" t="s">
        <v>679</v>
      </c>
      <c r="CL234" s="3" t="s">
        <v>680</v>
      </c>
      <c r="CM234" s="3" t="s">
        <v>681</v>
      </c>
      <c r="CN234" s="3" t="s">
        <v>682</v>
      </c>
      <c r="CO234" s="3" t="s">
        <v>676</v>
      </c>
      <c r="CP234" s="3" t="s">
        <v>677</v>
      </c>
      <c r="CQ234" s="3" t="s">
        <v>678</v>
      </c>
      <c r="CR234" s="3" t="s">
        <v>679</v>
      </c>
      <c r="CS234" s="3" t="s">
        <v>680</v>
      </c>
      <c r="CT234" s="3" t="s">
        <v>681</v>
      </c>
      <c r="CU234" s="3" t="s">
        <v>682</v>
      </c>
      <c r="CV234" s="3" t="s">
        <v>676</v>
      </c>
      <c r="CW234" s="3" t="s">
        <v>677</v>
      </c>
      <c r="CX234" s="3" t="s">
        <v>678</v>
      </c>
      <c r="CY234" s="3" t="s">
        <v>679</v>
      </c>
      <c r="CZ234" s="3" t="s">
        <v>680</v>
      </c>
      <c r="DA234" s="3" t="s">
        <v>681</v>
      </c>
      <c r="DB234" s="3" t="s">
        <v>682</v>
      </c>
      <c r="DC234" s="3" t="s">
        <v>676</v>
      </c>
      <c r="DD234" s="3" t="s">
        <v>677</v>
      </c>
      <c r="DE234" s="3" t="s">
        <v>678</v>
      </c>
      <c r="DF234" s="3" t="s">
        <v>679</v>
      </c>
      <c r="DG234" s="3" t="s">
        <v>680</v>
      </c>
      <c r="DH234" s="3" t="s">
        <v>681</v>
      </c>
      <c r="DI234" s="3" t="s">
        <v>682</v>
      </c>
      <c r="DJ234" s="3" t="s">
        <v>676</v>
      </c>
      <c r="DK234" s="3" t="s">
        <v>677</v>
      </c>
      <c r="DL234" s="3" t="s">
        <v>678</v>
      </c>
      <c r="DM234" s="3" t="s">
        <v>679</v>
      </c>
      <c r="DN234" s="3" t="s">
        <v>680</v>
      </c>
      <c r="DO234" s="3" t="s">
        <v>681</v>
      </c>
      <c r="DP234" s="3" t="s">
        <v>682</v>
      </c>
      <c r="DQ234" s="3" t="s">
        <v>676</v>
      </c>
      <c r="DR234" s="3" t="s">
        <v>677</v>
      </c>
      <c r="DS234" s="3" t="s">
        <v>678</v>
      </c>
      <c r="DT234" s="3" t="s">
        <v>679</v>
      </c>
      <c r="DU234" s="3" t="s">
        <v>680</v>
      </c>
      <c r="DV234" s="3" t="s">
        <v>681</v>
      </c>
      <c r="DW234" s="3" t="s">
        <v>682</v>
      </c>
      <c r="DX234" s="3" t="s">
        <v>676</v>
      </c>
      <c r="DY234" s="3" t="s">
        <v>677</v>
      </c>
      <c r="DZ234" s="3" t="s">
        <v>678</v>
      </c>
      <c r="EA234" s="3" t="s">
        <v>679</v>
      </c>
      <c r="EB234" s="3" t="s">
        <v>680</v>
      </c>
      <c r="EC234" s="3" t="s">
        <v>681</v>
      </c>
      <c r="ED234" s="3" t="s">
        <v>682</v>
      </c>
      <c r="EE234" s="3" t="s">
        <v>676</v>
      </c>
      <c r="EF234" s="3" t="s">
        <v>677</v>
      </c>
      <c r="EG234" s="3" t="s">
        <v>678</v>
      </c>
      <c r="EH234" s="3" t="s">
        <v>679</v>
      </c>
      <c r="EI234" s="3" t="s">
        <v>680</v>
      </c>
      <c r="EJ234" s="3" t="s">
        <v>681</v>
      </c>
      <c r="EK234" s="3" t="s">
        <v>682</v>
      </c>
      <c r="EL234" s="3" t="s">
        <v>676</v>
      </c>
      <c r="EM234" s="3" t="s">
        <v>677</v>
      </c>
      <c r="EN234" s="3" t="s">
        <v>678</v>
      </c>
      <c r="EO234" s="3" t="s">
        <v>679</v>
      </c>
      <c r="EP234" s="3" t="s">
        <v>680</v>
      </c>
      <c r="EQ234" s="3" t="s">
        <v>681</v>
      </c>
      <c r="ER234" s="3" t="s">
        <v>682</v>
      </c>
      <c r="ES234" s="3" t="s">
        <v>676</v>
      </c>
      <c r="ET234" s="3" t="s">
        <v>677</v>
      </c>
      <c r="EU234" s="3" t="s">
        <v>678</v>
      </c>
      <c r="EV234" s="3" t="s">
        <v>679</v>
      </c>
      <c r="EW234" s="3" t="s">
        <v>680</v>
      </c>
      <c r="EX234" s="3" t="s">
        <v>681</v>
      </c>
      <c r="EY234" s="3" t="s">
        <v>682</v>
      </c>
      <c r="EZ234" s="3" t="s">
        <v>676</v>
      </c>
      <c r="FA234" s="3" t="s">
        <v>677</v>
      </c>
      <c r="FB234" s="3" t="s">
        <v>678</v>
      </c>
      <c r="FC234" s="3" t="s">
        <v>679</v>
      </c>
      <c r="FD234" s="3" t="s">
        <v>680</v>
      </c>
      <c r="FE234" s="3" t="s">
        <v>681</v>
      </c>
      <c r="FF234" s="3" t="s">
        <v>682</v>
      </c>
      <c r="FG234" s="3" t="s">
        <v>676</v>
      </c>
      <c r="FH234" s="3" t="s">
        <v>677</v>
      </c>
      <c r="FI234" s="3" t="s">
        <v>678</v>
      </c>
      <c r="FJ234" s="3" t="s">
        <v>679</v>
      </c>
      <c r="FK234" s="3" t="s">
        <v>680</v>
      </c>
      <c r="FL234" s="3" t="s">
        <v>681</v>
      </c>
      <c r="FM234" s="3" t="s">
        <v>682</v>
      </c>
      <c r="FN234" s="3" t="s">
        <v>676</v>
      </c>
      <c r="FO234" s="3" t="s">
        <v>677</v>
      </c>
      <c r="FP234" s="3" t="s">
        <v>678</v>
      </c>
      <c r="FQ234" s="3" t="s">
        <v>679</v>
      </c>
      <c r="FR234" s="3" t="s">
        <v>680</v>
      </c>
      <c r="FS234" s="3" t="s">
        <v>681</v>
      </c>
      <c r="FT234" s="3" t="s">
        <v>682</v>
      </c>
      <c r="FU234" s="3" t="s">
        <v>676</v>
      </c>
      <c r="FV234" s="3" t="s">
        <v>677</v>
      </c>
      <c r="FW234" s="3" t="s">
        <v>678</v>
      </c>
      <c r="FX234" s="3" t="s">
        <v>679</v>
      </c>
      <c r="FY234" s="3" t="s">
        <v>680</v>
      </c>
      <c r="FZ234" s="3" t="s">
        <v>681</v>
      </c>
      <c r="GA234" s="3" t="s">
        <v>682</v>
      </c>
      <c r="GB234" s="3" t="s">
        <v>676</v>
      </c>
      <c r="GC234" s="3" t="s">
        <v>677</v>
      </c>
      <c r="GD234" s="3" t="s">
        <v>678</v>
      </c>
      <c r="GE234" s="3" t="s">
        <v>679</v>
      </c>
      <c r="GF234" s="3" t="s">
        <v>680</v>
      </c>
      <c r="GG234" s="3" t="s">
        <v>681</v>
      </c>
      <c r="GH234" s="3" t="s">
        <v>682</v>
      </c>
      <c r="GI234" s="3" t="s">
        <v>676</v>
      </c>
      <c r="GJ234" s="3" t="s">
        <v>677</v>
      </c>
      <c r="GK234" s="3" t="s">
        <v>678</v>
      </c>
      <c r="GL234" s="3" t="s">
        <v>679</v>
      </c>
      <c r="GM234" s="3" t="s">
        <v>680</v>
      </c>
      <c r="GN234" s="3" t="s">
        <v>681</v>
      </c>
      <c r="GO234" s="3" t="s">
        <v>682</v>
      </c>
      <c r="GP234" s="3" t="s">
        <v>676</v>
      </c>
      <c r="GQ234" s="3" t="s">
        <v>677</v>
      </c>
      <c r="GR234" s="3" t="s">
        <v>678</v>
      </c>
      <c r="GS234" s="3" t="s">
        <v>679</v>
      </c>
      <c r="GT234" s="3" t="s">
        <v>680</v>
      </c>
      <c r="GU234" s="3" t="s">
        <v>681</v>
      </c>
      <c r="GV234" s="3" t="s">
        <v>682</v>
      </c>
      <c r="GW234" s="3" t="s">
        <v>676</v>
      </c>
      <c r="GX234" s="3" t="s">
        <v>677</v>
      </c>
      <c r="GY234" s="3" t="s">
        <v>678</v>
      </c>
      <c r="GZ234" s="3" t="s">
        <v>679</v>
      </c>
      <c r="HA234" s="3" t="s">
        <v>680</v>
      </c>
      <c r="HB234" s="3" t="s">
        <v>681</v>
      </c>
      <c r="HC234" s="3" t="s">
        <v>682</v>
      </c>
      <c r="HD234" s="3" t="s">
        <v>676</v>
      </c>
      <c r="HE234" s="3" t="s">
        <v>677</v>
      </c>
      <c r="HF234" s="3" t="s">
        <v>678</v>
      </c>
      <c r="HG234" s="3" t="s">
        <v>679</v>
      </c>
      <c r="HH234" s="3" t="s">
        <v>680</v>
      </c>
      <c r="HI234" s="3" t="s">
        <v>681</v>
      </c>
      <c r="HJ234" s="3" t="s">
        <v>682</v>
      </c>
      <c r="HK234" s="3" t="s">
        <v>676</v>
      </c>
      <c r="HL234" s="3" t="s">
        <v>677</v>
      </c>
      <c r="HM234" s="3" t="s">
        <v>678</v>
      </c>
      <c r="HN234" s="3" t="s">
        <v>679</v>
      </c>
      <c r="HO234" s="3" t="s">
        <v>680</v>
      </c>
      <c r="HP234" s="3" t="s">
        <v>681</v>
      </c>
      <c r="HQ234" s="3" t="s">
        <v>682</v>
      </c>
      <c r="HR234" s="3" t="s">
        <v>676</v>
      </c>
      <c r="HS234" s="3" t="s">
        <v>677</v>
      </c>
      <c r="HT234" s="3" t="s">
        <v>678</v>
      </c>
      <c r="HU234" s="3" t="s">
        <v>679</v>
      </c>
      <c r="HV234" s="3" t="s">
        <v>680</v>
      </c>
      <c r="HW234" s="3" t="s">
        <v>681</v>
      </c>
      <c r="HX234" s="3" t="s">
        <v>682</v>
      </c>
      <c r="HY234" s="3" t="s">
        <v>676</v>
      </c>
      <c r="HZ234" s="3" t="s">
        <v>677</v>
      </c>
      <c r="IA234" s="3" t="s">
        <v>678</v>
      </c>
      <c r="IB234" s="3" t="s">
        <v>679</v>
      </c>
      <c r="IC234" s="3" t="s">
        <v>680</v>
      </c>
    </row>
    <row r="235" spans="1:257">
      <c r="A235" s="82" t="s">
        <v>695</v>
      </c>
      <c r="B235" s="82" t="str">
        <f>COUNTIF(P235:IC235, "W")&amp;"勝"</f>
        <v>15勝</v>
      </c>
      <c r="C235" s="82" t="str">
        <f>COUNTIF(P235:IC235, "L")&amp;"敗"</f>
        <v>12敗</v>
      </c>
      <c r="D235" s="82" t="s">
        <v>696</v>
      </c>
      <c r="E235" s="78"/>
      <c r="F235" s="82" t="s">
        <v>755</v>
      </c>
      <c r="G235" s="78"/>
      <c r="H235" s="78"/>
      <c r="I235" s="78"/>
      <c r="J235" s="78"/>
      <c r="K235" s="78"/>
      <c r="L235" s="78"/>
      <c r="M235" s="82"/>
      <c r="N235" s="78"/>
      <c r="O235" s="1" t="s">
        <v>698</v>
      </c>
      <c r="Q235" t="s">
        <v>700</v>
      </c>
      <c r="S235" t="s">
        <v>700</v>
      </c>
      <c r="T235" t="s">
        <v>699</v>
      </c>
      <c r="U235" t="s">
        <v>700</v>
      </c>
      <c r="V235" t="s">
        <v>699</v>
      </c>
      <c r="W235" t="s">
        <v>699</v>
      </c>
      <c r="Y235" t="s">
        <v>699</v>
      </c>
      <c r="Z235" t="s">
        <v>699</v>
      </c>
      <c r="AA235" t="s">
        <v>699</v>
      </c>
      <c r="AB235" t="s">
        <v>700</v>
      </c>
      <c r="AC235" t="s">
        <v>699</v>
      </c>
      <c r="AD235" t="s">
        <v>700</v>
      </c>
      <c r="AF235" t="s">
        <v>699</v>
      </c>
      <c r="AG235" t="s">
        <v>699</v>
      </c>
      <c r="AH235" t="s">
        <v>700</v>
      </c>
      <c r="AI235" t="s">
        <v>699</v>
      </c>
      <c r="AJ235" t="s">
        <v>700</v>
      </c>
      <c r="AK235" t="s">
        <v>699</v>
      </c>
      <c r="AL235" t="s">
        <v>700</v>
      </c>
      <c r="AM235" t="s">
        <v>699</v>
      </c>
      <c r="AN235" t="s">
        <v>700</v>
      </c>
      <c r="AO235" t="s">
        <v>699</v>
      </c>
      <c r="AQ235" t="s">
        <v>700</v>
      </c>
      <c r="AS235" t="s">
        <v>700</v>
      </c>
      <c r="AT235" t="s">
        <v>699</v>
      </c>
      <c r="AU235" t="s">
        <v>699</v>
      </c>
      <c r="AV235" t="s">
        <v>700</v>
      </c>
    </row>
    <row r="236" spans="1:257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1" t="s">
        <v>701</v>
      </c>
    </row>
    <row r="237" spans="1:257">
      <c r="A237" s="82" t="s">
        <v>702</v>
      </c>
      <c r="B237" s="82" t="str">
        <f>COUNTIF(P237:IC237, "O")&amp;"正"</f>
        <v>15正</v>
      </c>
      <c r="C237" s="82" t="str">
        <f>COUNTIF(P237:IC237, "X")&amp;"負"</f>
        <v>12負</v>
      </c>
      <c r="D237" s="82" t="s">
        <v>703</v>
      </c>
      <c r="E237" s="78"/>
      <c r="F237" s="82" t="s">
        <v>756</v>
      </c>
      <c r="G237" s="78"/>
      <c r="H237" s="78"/>
      <c r="I237" s="78"/>
      <c r="J237" s="78"/>
      <c r="K237" s="78"/>
      <c r="L237" s="78"/>
      <c r="M237" s="82"/>
      <c r="N237" s="78"/>
      <c r="O237" s="1" t="s">
        <v>705</v>
      </c>
      <c r="Q237" t="s">
        <v>684</v>
      </c>
      <c r="S237" t="s">
        <v>684</v>
      </c>
      <c r="T237" t="s">
        <v>683</v>
      </c>
      <c r="U237" t="s">
        <v>684</v>
      </c>
      <c r="V237" t="s">
        <v>683</v>
      </c>
      <c r="W237" t="s">
        <v>683</v>
      </c>
      <c r="Y237" t="s">
        <v>683</v>
      </c>
      <c r="Z237" t="s">
        <v>683</v>
      </c>
      <c r="AA237" t="s">
        <v>683</v>
      </c>
      <c r="AB237" t="s">
        <v>684</v>
      </c>
      <c r="AC237" t="s">
        <v>683</v>
      </c>
      <c r="AD237" t="s">
        <v>684</v>
      </c>
      <c r="AF237" t="s">
        <v>683</v>
      </c>
      <c r="AG237" t="s">
        <v>683</v>
      </c>
      <c r="AH237" t="s">
        <v>684</v>
      </c>
      <c r="AI237" t="s">
        <v>683</v>
      </c>
      <c r="AJ237" t="s">
        <v>684</v>
      </c>
      <c r="AK237" t="s">
        <v>683</v>
      </c>
      <c r="AL237" t="s">
        <v>684</v>
      </c>
      <c r="AM237" t="s">
        <v>683</v>
      </c>
      <c r="AN237" t="s">
        <v>684</v>
      </c>
      <c r="AO237" t="s">
        <v>683</v>
      </c>
      <c r="AQ237" t="s">
        <v>684</v>
      </c>
      <c r="AS237" t="s">
        <v>684</v>
      </c>
      <c r="AT237" t="s">
        <v>683</v>
      </c>
      <c r="AU237" t="s">
        <v>683</v>
      </c>
      <c r="AV237" t="s">
        <v>684</v>
      </c>
      <c r="IN237" t="str">
        <f ca="1">IFERROR(INDEX($P237:$IC237,1,_xludf.AGGREGATE(14,6,(COLUMN($P237:$IC237)-COLUMN($P237)+1)/($P237:$IC237&lt;&gt;""),1)),"")</f>
        <v/>
      </c>
      <c r="IO237" t="str">
        <f ca="1">IFERROR(INDEX($P237:$IC237,1,_xludf.AGGREGATE(14,6,(COLUMN($P237:$IC237)-COLUMN($P237)+1)/($P237:$IC237&lt;&gt;""),2)),"")</f>
        <v/>
      </c>
      <c r="IP237" t="str">
        <f ca="1">IFERROR(INDEX($P237:$IC237,1,_xludf.AGGREGATE(14,6,(COLUMN($P237:$IC237)-COLUMN($P237)+1)/($P237:$IC237&lt;&gt;""),3)),"")</f>
        <v/>
      </c>
      <c r="IQ237" t="str">
        <f ca="1">IFERROR(INDEX($P237:$IC237,1,_xludf.AGGREGATE(14,6,(COLUMN($P237:$IC237)-COLUMN($P237)+1)/($P237:$IC237&lt;&gt;""),4)),"")</f>
        <v/>
      </c>
      <c r="IR237" t="str">
        <f ca="1">IFERROR(INDEX($P237:$IC237,1,_xludf.AGGREGATE(14,6,(COLUMN($P237:$IC237)-COLUMN($P237)+1)/($P237:$IC237&lt;&gt;""),5)),"")</f>
        <v/>
      </c>
      <c r="IS237" t="str">
        <f ca="1">IFERROR(INDEX($P237:$IC237,1,_xludf.AGGREGATE(14,6,(COLUMN($P237:$IC237)-COLUMN($P237)+1)/($P237:$IC237&lt;&gt;""),6)),"")</f>
        <v/>
      </c>
      <c r="IT237" t="str">
        <f ca="1">IFERROR(INDEX($P237:$IC237,1,_xludf.AGGREGATE(14,6,(COLUMN($P237:$IC237)-COLUMN($P237)+1)/($P237:$IC237&lt;&gt;""),7)),"")</f>
        <v/>
      </c>
      <c r="IU237" t="str">
        <f ca="1">IFERROR(INDEX($P237:$IC237,1,_xludf.AGGREGATE(14,6,(COLUMN($P237:$IC237)-COLUMN($P237)+1)/($P237:$IC237&lt;&gt;""),8)),"")</f>
        <v/>
      </c>
      <c r="IV237" t="str">
        <f ca="1">IFERROR(INDEX($P237:$IC237,1,_xludf.AGGREGATE(14,6,(COLUMN($P237:$IC237)-COLUMN($P237)+1)/($P237:$IC237&lt;&gt;""),9)),"")</f>
        <v/>
      </c>
      <c r="IW237" t="str">
        <f ca="1">IFERROR(INDEX($P237:$IC237,1,_xludf.AGGREGATE(14,6,(COLUMN($P237:$IC237)-COLUMN($P237)+1)/($P237:$IC237&lt;&gt;""),10)),"")</f>
        <v/>
      </c>
    </row>
    <row r="238" spans="1:257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1" t="s">
        <v>706</v>
      </c>
    </row>
    <row r="239" spans="1:257">
      <c r="A239" s="82" t="s">
        <v>707</v>
      </c>
      <c r="B239" s="77"/>
      <c r="C239" s="77"/>
      <c r="D239" s="82" t="s">
        <v>708</v>
      </c>
      <c r="E239" s="78"/>
      <c r="F239" s="82"/>
      <c r="G239" s="78"/>
      <c r="H239" s="78"/>
      <c r="I239" s="78"/>
      <c r="J239" s="78"/>
      <c r="K239" s="78"/>
      <c r="L239" s="78"/>
      <c r="M239" s="82"/>
      <c r="N239" s="78"/>
      <c r="O239" s="1" t="s">
        <v>709</v>
      </c>
    </row>
    <row r="240" spans="1:257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1" t="s">
        <v>710</v>
      </c>
    </row>
    <row r="241" spans="1:257">
      <c r="A241" s="108" t="s">
        <v>6</v>
      </c>
      <c r="B241" s="78"/>
      <c r="C241" s="78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 t="s">
        <v>674</v>
      </c>
      <c r="P241" s="6">
        <v>1</v>
      </c>
      <c r="Q241" s="6">
        <v>2</v>
      </c>
      <c r="R241" s="6">
        <v>3</v>
      </c>
      <c r="S241" s="6">
        <v>4</v>
      </c>
      <c r="T241" s="6">
        <v>5</v>
      </c>
      <c r="U241" s="6">
        <v>6</v>
      </c>
      <c r="V241" s="6">
        <v>7</v>
      </c>
      <c r="W241" s="6">
        <v>8</v>
      </c>
      <c r="X241" s="6">
        <v>9</v>
      </c>
      <c r="Y241" s="6">
        <v>10</v>
      </c>
      <c r="Z241" s="6">
        <v>11</v>
      </c>
      <c r="AA241" s="6">
        <v>12</v>
      </c>
      <c r="AB241" s="6">
        <v>13</v>
      </c>
      <c r="AC241" s="6">
        <v>14</v>
      </c>
      <c r="AD241" s="6">
        <v>15</v>
      </c>
      <c r="AE241" s="6">
        <v>16</v>
      </c>
      <c r="AF241" s="6">
        <v>17</v>
      </c>
      <c r="AG241" s="6">
        <v>18</v>
      </c>
      <c r="AH241" s="6">
        <v>19</v>
      </c>
      <c r="AI241" s="6">
        <v>20</v>
      </c>
      <c r="AJ241" s="6">
        <v>21</v>
      </c>
      <c r="AK241" s="6">
        <v>22</v>
      </c>
      <c r="AL241" s="6">
        <v>23</v>
      </c>
      <c r="AM241" s="6">
        <v>24</v>
      </c>
      <c r="AN241" s="6">
        <v>25</v>
      </c>
      <c r="AO241" s="6">
        <v>26</v>
      </c>
      <c r="AP241" s="6">
        <v>27</v>
      </c>
      <c r="AQ241" s="6">
        <v>28</v>
      </c>
      <c r="AR241" s="6">
        <v>29</v>
      </c>
      <c r="AS241" s="6">
        <v>30</v>
      </c>
      <c r="AT241" s="6">
        <v>31</v>
      </c>
      <c r="AU241" s="6">
        <v>32</v>
      </c>
      <c r="AV241" s="6">
        <v>33</v>
      </c>
      <c r="AW241" s="6">
        <v>34</v>
      </c>
      <c r="AX241" s="6">
        <v>35</v>
      </c>
      <c r="AY241" s="6">
        <v>36</v>
      </c>
      <c r="AZ241" s="6">
        <v>37</v>
      </c>
      <c r="BA241" s="6">
        <v>38</v>
      </c>
      <c r="BB241" s="6">
        <v>39</v>
      </c>
      <c r="BC241" s="6">
        <v>40</v>
      </c>
      <c r="BD241" s="6">
        <v>41</v>
      </c>
      <c r="BE241" s="6">
        <v>42</v>
      </c>
      <c r="BF241" s="6">
        <v>43</v>
      </c>
      <c r="BG241" s="6">
        <v>44</v>
      </c>
      <c r="BH241" s="6">
        <v>45</v>
      </c>
      <c r="BI241" s="6">
        <v>46</v>
      </c>
      <c r="BJ241" s="6">
        <v>47</v>
      </c>
      <c r="BK241" s="6">
        <v>48</v>
      </c>
      <c r="BL241" s="6">
        <v>49</v>
      </c>
      <c r="BM241" s="6">
        <v>50</v>
      </c>
      <c r="BN241" s="6">
        <v>51</v>
      </c>
      <c r="BO241" s="6">
        <v>52</v>
      </c>
      <c r="BP241" s="6">
        <v>53</v>
      </c>
      <c r="BQ241" s="6">
        <v>54</v>
      </c>
      <c r="BR241" s="6">
        <v>55</v>
      </c>
      <c r="BS241" s="6">
        <v>56</v>
      </c>
      <c r="BT241" s="6">
        <v>57</v>
      </c>
      <c r="BU241" s="6">
        <v>58</v>
      </c>
      <c r="BV241" s="6">
        <v>59</v>
      </c>
      <c r="BW241" s="6">
        <v>60</v>
      </c>
      <c r="BX241" s="6">
        <v>61</v>
      </c>
      <c r="BY241" s="6">
        <v>62</v>
      </c>
      <c r="BZ241" s="6">
        <v>63</v>
      </c>
      <c r="CA241" s="6">
        <v>64</v>
      </c>
      <c r="CB241" s="6">
        <v>65</v>
      </c>
      <c r="CC241" s="6">
        <v>66</v>
      </c>
      <c r="CD241" s="6">
        <v>67</v>
      </c>
      <c r="CE241" s="6">
        <v>68</v>
      </c>
      <c r="CF241" s="6">
        <v>69</v>
      </c>
      <c r="CG241" s="6">
        <v>70</v>
      </c>
      <c r="CH241" s="6">
        <v>71</v>
      </c>
      <c r="CI241" s="6">
        <v>72</v>
      </c>
      <c r="CJ241" s="6">
        <v>73</v>
      </c>
      <c r="CK241" s="6">
        <v>74</v>
      </c>
      <c r="CL241" s="6">
        <v>75</v>
      </c>
      <c r="CM241" s="6">
        <v>76</v>
      </c>
      <c r="CN241" s="6">
        <v>77</v>
      </c>
      <c r="CO241" s="6">
        <v>78</v>
      </c>
      <c r="CP241" s="6">
        <v>79</v>
      </c>
      <c r="CQ241" s="6">
        <v>80</v>
      </c>
      <c r="CR241" s="6">
        <v>81</v>
      </c>
      <c r="CS241" s="6">
        <v>82</v>
      </c>
      <c r="CT241" s="6">
        <v>83</v>
      </c>
      <c r="CU241" s="6">
        <v>84</v>
      </c>
      <c r="CV241" s="6">
        <v>85</v>
      </c>
      <c r="CW241" s="6">
        <v>86</v>
      </c>
      <c r="CX241" s="6">
        <v>87</v>
      </c>
      <c r="CY241" s="6">
        <v>88</v>
      </c>
      <c r="CZ241" s="6">
        <v>89</v>
      </c>
      <c r="DA241" s="6">
        <v>90</v>
      </c>
      <c r="DB241" s="6">
        <v>91</v>
      </c>
      <c r="DC241" s="6">
        <v>92</v>
      </c>
      <c r="DD241" s="6">
        <v>93</v>
      </c>
      <c r="DE241" s="6">
        <v>94</v>
      </c>
      <c r="DF241" s="6">
        <v>95</v>
      </c>
      <c r="DG241" s="6">
        <v>96</v>
      </c>
      <c r="DH241" s="6">
        <v>97</v>
      </c>
      <c r="DI241" s="6">
        <v>98</v>
      </c>
      <c r="DJ241" s="6">
        <v>99</v>
      </c>
      <c r="DK241" s="6">
        <v>100</v>
      </c>
      <c r="DL241" s="6">
        <v>101</v>
      </c>
      <c r="DM241" s="6">
        <v>102</v>
      </c>
      <c r="DN241" s="6">
        <v>103</v>
      </c>
      <c r="DO241" s="6">
        <v>104</v>
      </c>
      <c r="DP241" s="6">
        <v>105</v>
      </c>
      <c r="DQ241" s="6">
        <v>106</v>
      </c>
      <c r="DR241" s="6">
        <v>107</v>
      </c>
      <c r="DS241" s="6">
        <v>108</v>
      </c>
      <c r="DT241" s="6">
        <v>109</v>
      </c>
      <c r="DU241" s="6">
        <v>110</v>
      </c>
      <c r="DV241" s="6">
        <v>111</v>
      </c>
      <c r="DW241" s="6">
        <v>112</v>
      </c>
      <c r="DX241" s="6">
        <v>113</v>
      </c>
      <c r="DY241" s="6">
        <v>114</v>
      </c>
      <c r="DZ241" s="6">
        <v>115</v>
      </c>
      <c r="EA241" s="6">
        <v>116</v>
      </c>
      <c r="EB241" s="6">
        <v>117</v>
      </c>
      <c r="EC241" s="6">
        <v>118</v>
      </c>
      <c r="ED241" s="6">
        <v>119</v>
      </c>
      <c r="EE241" s="6">
        <v>120</v>
      </c>
      <c r="EF241" s="6">
        <v>121</v>
      </c>
      <c r="EG241" s="6">
        <v>122</v>
      </c>
      <c r="EH241" s="6">
        <v>123</v>
      </c>
      <c r="EI241" s="6">
        <v>124</v>
      </c>
      <c r="EJ241" s="6">
        <v>125</v>
      </c>
      <c r="EK241" s="6">
        <v>126</v>
      </c>
      <c r="EL241" s="6">
        <v>127</v>
      </c>
      <c r="EM241" s="6">
        <v>128</v>
      </c>
      <c r="EN241" s="6">
        <v>129</v>
      </c>
      <c r="EO241" s="6">
        <v>130</v>
      </c>
      <c r="EP241" s="6">
        <v>131</v>
      </c>
      <c r="EQ241" s="6">
        <v>132</v>
      </c>
      <c r="ER241" s="6">
        <v>133</v>
      </c>
      <c r="ES241" s="6">
        <v>134</v>
      </c>
      <c r="ET241" s="6">
        <v>135</v>
      </c>
      <c r="EU241" s="6">
        <v>136</v>
      </c>
      <c r="EV241" s="6">
        <v>137</v>
      </c>
      <c r="EW241" s="6">
        <v>138</v>
      </c>
      <c r="EX241" s="6">
        <v>139</v>
      </c>
      <c r="EY241" s="6">
        <v>140</v>
      </c>
      <c r="EZ241" s="6">
        <v>141</v>
      </c>
      <c r="FA241" s="6">
        <v>142</v>
      </c>
      <c r="FB241" s="6">
        <v>143</v>
      </c>
      <c r="FC241" s="6">
        <v>144</v>
      </c>
      <c r="FD241" s="6">
        <v>145</v>
      </c>
      <c r="FE241" s="6">
        <v>146</v>
      </c>
      <c r="FF241" s="6">
        <v>147</v>
      </c>
      <c r="FG241" s="6">
        <v>148</v>
      </c>
      <c r="FH241" s="6">
        <v>149</v>
      </c>
      <c r="FI241" s="6">
        <v>150</v>
      </c>
      <c r="FJ241" s="6">
        <v>151</v>
      </c>
      <c r="FK241" s="6">
        <v>152</v>
      </c>
      <c r="FL241" s="6">
        <v>153</v>
      </c>
      <c r="FM241" s="6">
        <v>154</v>
      </c>
      <c r="FN241" s="6">
        <v>155</v>
      </c>
      <c r="FO241" s="6">
        <v>156</v>
      </c>
      <c r="FP241" s="6">
        <v>157</v>
      </c>
      <c r="FQ241" s="6">
        <v>158</v>
      </c>
      <c r="FR241" s="6">
        <v>159</v>
      </c>
      <c r="FS241" s="6">
        <v>160</v>
      </c>
      <c r="FT241" s="6">
        <v>161</v>
      </c>
      <c r="FU241" s="6">
        <v>162</v>
      </c>
      <c r="FV241" s="6">
        <v>163</v>
      </c>
      <c r="FW241" s="6">
        <v>164</v>
      </c>
      <c r="FX241" s="6">
        <v>165</v>
      </c>
      <c r="FY241" s="6">
        <v>166</v>
      </c>
      <c r="FZ241" s="6">
        <v>167</v>
      </c>
      <c r="GA241" s="6">
        <v>168</v>
      </c>
      <c r="GB241" s="6">
        <v>169</v>
      </c>
      <c r="GC241" s="6">
        <v>170</v>
      </c>
      <c r="GD241" s="6">
        <v>171</v>
      </c>
      <c r="GE241" s="6">
        <v>172</v>
      </c>
      <c r="GF241" s="6">
        <v>173</v>
      </c>
      <c r="GG241" s="6">
        <v>174</v>
      </c>
      <c r="GH241" s="6">
        <v>175</v>
      </c>
      <c r="GI241" s="6">
        <v>176</v>
      </c>
      <c r="GJ241" s="6">
        <v>177</v>
      </c>
      <c r="GK241" s="6">
        <v>178</v>
      </c>
      <c r="GL241" s="6">
        <v>179</v>
      </c>
      <c r="GM241" s="6">
        <v>180</v>
      </c>
      <c r="GN241" s="6">
        <v>181</v>
      </c>
      <c r="GO241" s="6">
        <v>182</v>
      </c>
      <c r="GP241" s="6">
        <v>183</v>
      </c>
      <c r="GQ241" s="6">
        <v>184</v>
      </c>
      <c r="GR241" s="6">
        <v>185</v>
      </c>
      <c r="GS241" s="6">
        <v>186</v>
      </c>
      <c r="GT241" s="6">
        <v>187</v>
      </c>
      <c r="GU241" s="6">
        <v>188</v>
      </c>
      <c r="GV241" s="6">
        <v>189</v>
      </c>
      <c r="GW241" s="6">
        <v>190</v>
      </c>
      <c r="GX241" s="6">
        <v>191</v>
      </c>
      <c r="GY241" s="6">
        <v>192</v>
      </c>
      <c r="GZ241" s="6">
        <v>193</v>
      </c>
      <c r="HA241" s="6">
        <v>194</v>
      </c>
      <c r="HB241" s="6">
        <v>195</v>
      </c>
      <c r="HC241" s="6">
        <v>196</v>
      </c>
      <c r="HD241" s="6">
        <v>197</v>
      </c>
      <c r="HE241" s="6">
        <v>198</v>
      </c>
      <c r="HF241" s="6">
        <v>199</v>
      </c>
      <c r="HG241" s="6">
        <v>200</v>
      </c>
      <c r="HH241" s="6">
        <v>201</v>
      </c>
      <c r="HI241" s="6">
        <v>202</v>
      </c>
      <c r="HJ241" s="6">
        <v>203</v>
      </c>
      <c r="HK241" s="6">
        <v>204</v>
      </c>
      <c r="HL241" s="6">
        <v>205</v>
      </c>
      <c r="HM241" s="6">
        <v>206</v>
      </c>
      <c r="HN241" s="6">
        <v>207</v>
      </c>
      <c r="HO241" s="6">
        <v>208</v>
      </c>
      <c r="HP241" s="6">
        <v>209</v>
      </c>
      <c r="HQ241" s="6">
        <v>210</v>
      </c>
      <c r="HR241" s="6">
        <v>211</v>
      </c>
      <c r="HS241" s="6">
        <v>212</v>
      </c>
      <c r="HT241" s="6">
        <v>213</v>
      </c>
      <c r="HU241" s="6">
        <v>214</v>
      </c>
      <c r="HV241" s="6">
        <v>215</v>
      </c>
      <c r="HW241" s="6">
        <v>216</v>
      </c>
      <c r="HX241" s="6">
        <v>217</v>
      </c>
      <c r="HY241" s="6">
        <v>218</v>
      </c>
      <c r="HZ241" s="6">
        <v>219</v>
      </c>
      <c r="IA241" s="6">
        <v>220</v>
      </c>
      <c r="IB241" s="6">
        <v>221</v>
      </c>
      <c r="IC241" s="6">
        <v>222</v>
      </c>
    </row>
    <row r="242" spans="1:257">
      <c r="A242" s="78"/>
      <c r="B242" s="78"/>
      <c r="C242" s="78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5"/>
      <c r="P242" s="51" t="s">
        <v>6</v>
      </c>
      <c r="Q242" s="51" t="s">
        <v>6</v>
      </c>
      <c r="R242" s="51" t="s">
        <v>6</v>
      </c>
      <c r="S242" s="51" t="s">
        <v>6</v>
      </c>
      <c r="T242" s="51" t="s">
        <v>6</v>
      </c>
      <c r="U242" s="51" t="s">
        <v>6</v>
      </c>
      <c r="V242" s="51" t="s">
        <v>6</v>
      </c>
      <c r="W242" s="51" t="s">
        <v>6</v>
      </c>
      <c r="X242" s="51" t="s">
        <v>6</v>
      </c>
      <c r="Y242" s="51" t="s">
        <v>6</v>
      </c>
      <c r="Z242" s="51" t="s">
        <v>6</v>
      </c>
      <c r="AA242" s="51" t="s">
        <v>6</v>
      </c>
      <c r="AB242" s="51" t="s">
        <v>6</v>
      </c>
      <c r="AC242" s="51" t="s">
        <v>6</v>
      </c>
      <c r="AD242" s="51" t="s">
        <v>6</v>
      </c>
      <c r="AE242" s="51" t="s">
        <v>6</v>
      </c>
      <c r="AF242" s="51" t="s">
        <v>6</v>
      </c>
      <c r="AG242" s="51" t="s">
        <v>6</v>
      </c>
      <c r="AH242" s="51" t="s">
        <v>6</v>
      </c>
      <c r="AI242" s="51" t="s">
        <v>6</v>
      </c>
      <c r="AJ242" s="51" t="s">
        <v>6</v>
      </c>
      <c r="AK242" s="51" t="s">
        <v>6</v>
      </c>
      <c r="AL242" s="51" t="s">
        <v>6</v>
      </c>
      <c r="AM242" s="51" t="s">
        <v>6</v>
      </c>
      <c r="AN242" s="51" t="s">
        <v>6</v>
      </c>
      <c r="AO242" s="51" t="s">
        <v>6</v>
      </c>
      <c r="AP242" s="51" t="s">
        <v>6</v>
      </c>
      <c r="AQ242" s="51" t="s">
        <v>6</v>
      </c>
      <c r="AR242" s="51" t="s">
        <v>6</v>
      </c>
      <c r="AS242" s="51" t="s">
        <v>6</v>
      </c>
      <c r="AT242" s="51" t="s">
        <v>6</v>
      </c>
      <c r="AU242" s="51" t="s">
        <v>6</v>
      </c>
      <c r="AV242" s="51" t="s">
        <v>6</v>
      </c>
      <c r="AW242" s="51" t="s">
        <v>6</v>
      </c>
      <c r="AX242" s="51" t="s">
        <v>6</v>
      </c>
      <c r="AY242" s="51" t="s">
        <v>6</v>
      </c>
      <c r="AZ242" s="51" t="s">
        <v>6</v>
      </c>
      <c r="BA242" s="51" t="s">
        <v>6</v>
      </c>
      <c r="BB242" s="51" t="s">
        <v>6</v>
      </c>
      <c r="BC242" s="51" t="s">
        <v>6</v>
      </c>
      <c r="BD242" s="51" t="s">
        <v>6</v>
      </c>
      <c r="BE242" s="51" t="s">
        <v>6</v>
      </c>
      <c r="BF242" s="51" t="s">
        <v>6</v>
      </c>
      <c r="BG242" s="51" t="s">
        <v>6</v>
      </c>
      <c r="BH242" s="51" t="s">
        <v>6</v>
      </c>
      <c r="BI242" s="51" t="s">
        <v>6</v>
      </c>
      <c r="BJ242" s="51" t="s">
        <v>6</v>
      </c>
      <c r="BK242" s="51" t="s">
        <v>6</v>
      </c>
      <c r="BL242" s="51" t="s">
        <v>6</v>
      </c>
      <c r="BM242" s="51" t="s">
        <v>6</v>
      </c>
      <c r="BN242" s="51" t="s">
        <v>6</v>
      </c>
      <c r="BO242" s="51" t="s">
        <v>6</v>
      </c>
      <c r="BP242" s="51" t="s">
        <v>6</v>
      </c>
      <c r="BQ242" s="51" t="s">
        <v>6</v>
      </c>
      <c r="BR242" s="51" t="s">
        <v>6</v>
      </c>
      <c r="BS242" s="51" t="s">
        <v>6</v>
      </c>
      <c r="BT242" s="51" t="s">
        <v>6</v>
      </c>
      <c r="BU242" s="51" t="s">
        <v>6</v>
      </c>
      <c r="BV242" s="51" t="s">
        <v>6</v>
      </c>
      <c r="BW242" s="51" t="s">
        <v>6</v>
      </c>
      <c r="BX242" s="51" t="s">
        <v>6</v>
      </c>
      <c r="BY242" s="51" t="s">
        <v>6</v>
      </c>
      <c r="BZ242" s="51" t="s">
        <v>6</v>
      </c>
      <c r="CA242" s="51" t="s">
        <v>6</v>
      </c>
      <c r="CB242" s="51" t="s">
        <v>6</v>
      </c>
      <c r="CC242" s="51" t="s">
        <v>6</v>
      </c>
      <c r="CD242" s="51" t="s">
        <v>6</v>
      </c>
      <c r="CE242" s="51" t="s">
        <v>6</v>
      </c>
      <c r="CF242" s="51" t="s">
        <v>6</v>
      </c>
      <c r="CG242" s="51" t="s">
        <v>6</v>
      </c>
      <c r="CH242" s="51" t="s">
        <v>6</v>
      </c>
      <c r="CI242" s="51" t="s">
        <v>6</v>
      </c>
      <c r="CJ242" s="51" t="s">
        <v>6</v>
      </c>
      <c r="CK242" s="51" t="s">
        <v>6</v>
      </c>
      <c r="CL242" s="51" t="s">
        <v>6</v>
      </c>
      <c r="CM242" s="51" t="s">
        <v>6</v>
      </c>
      <c r="CN242" s="51" t="s">
        <v>6</v>
      </c>
      <c r="CO242" s="51" t="s">
        <v>6</v>
      </c>
      <c r="CP242" s="51" t="s">
        <v>6</v>
      </c>
      <c r="CQ242" s="51" t="s">
        <v>6</v>
      </c>
      <c r="CR242" s="51" t="s">
        <v>6</v>
      </c>
      <c r="CS242" s="51" t="s">
        <v>6</v>
      </c>
      <c r="CT242" s="51" t="s">
        <v>6</v>
      </c>
      <c r="CU242" s="51" t="s">
        <v>6</v>
      </c>
      <c r="CV242" s="51" t="s">
        <v>6</v>
      </c>
      <c r="CW242" s="51" t="s">
        <v>6</v>
      </c>
      <c r="CX242" s="51" t="s">
        <v>6</v>
      </c>
      <c r="CY242" s="51" t="s">
        <v>6</v>
      </c>
      <c r="CZ242" s="51" t="s">
        <v>6</v>
      </c>
      <c r="DA242" s="51" t="s">
        <v>6</v>
      </c>
      <c r="DB242" s="51" t="s">
        <v>6</v>
      </c>
      <c r="DC242" s="51" t="s">
        <v>6</v>
      </c>
      <c r="DD242" s="51" t="s">
        <v>6</v>
      </c>
      <c r="DE242" s="51" t="s">
        <v>6</v>
      </c>
      <c r="DF242" s="51" t="s">
        <v>6</v>
      </c>
      <c r="DG242" s="51" t="s">
        <v>6</v>
      </c>
      <c r="DH242" s="51" t="s">
        <v>6</v>
      </c>
      <c r="DI242" s="51" t="s">
        <v>6</v>
      </c>
      <c r="DJ242" s="51" t="s">
        <v>6</v>
      </c>
      <c r="DK242" s="51" t="s">
        <v>6</v>
      </c>
      <c r="DL242" s="51" t="s">
        <v>6</v>
      </c>
      <c r="DM242" s="51" t="s">
        <v>6</v>
      </c>
      <c r="DN242" s="51" t="s">
        <v>6</v>
      </c>
      <c r="DO242" s="51" t="s">
        <v>6</v>
      </c>
      <c r="DP242" s="51" t="s">
        <v>6</v>
      </c>
      <c r="DQ242" s="51" t="s">
        <v>6</v>
      </c>
      <c r="DR242" s="51" t="s">
        <v>6</v>
      </c>
      <c r="DS242" s="51" t="s">
        <v>6</v>
      </c>
      <c r="DT242" s="51" t="s">
        <v>6</v>
      </c>
      <c r="DU242" s="51" t="s">
        <v>6</v>
      </c>
      <c r="DV242" s="51" t="s">
        <v>6</v>
      </c>
      <c r="DW242" s="51" t="s">
        <v>6</v>
      </c>
      <c r="DX242" s="51" t="s">
        <v>6</v>
      </c>
      <c r="DY242" s="51" t="s">
        <v>6</v>
      </c>
      <c r="DZ242" s="51" t="s">
        <v>6</v>
      </c>
      <c r="EA242" s="51" t="s">
        <v>6</v>
      </c>
      <c r="EB242" s="51" t="s">
        <v>6</v>
      </c>
      <c r="EC242" s="51" t="s">
        <v>6</v>
      </c>
      <c r="ED242" s="51" t="s">
        <v>6</v>
      </c>
      <c r="EE242" s="51" t="s">
        <v>6</v>
      </c>
      <c r="EF242" s="51" t="s">
        <v>6</v>
      </c>
      <c r="EG242" s="51" t="s">
        <v>6</v>
      </c>
      <c r="EH242" s="51" t="s">
        <v>6</v>
      </c>
      <c r="EI242" s="51" t="s">
        <v>6</v>
      </c>
      <c r="EJ242" s="51" t="s">
        <v>6</v>
      </c>
      <c r="EK242" s="51" t="s">
        <v>6</v>
      </c>
      <c r="EL242" s="51" t="s">
        <v>6</v>
      </c>
      <c r="EM242" s="51" t="s">
        <v>6</v>
      </c>
      <c r="EN242" s="51" t="s">
        <v>6</v>
      </c>
      <c r="EO242" s="51" t="s">
        <v>6</v>
      </c>
      <c r="EP242" s="51" t="s">
        <v>6</v>
      </c>
      <c r="EQ242" s="51" t="s">
        <v>6</v>
      </c>
      <c r="ER242" s="51" t="s">
        <v>6</v>
      </c>
      <c r="ES242" s="51" t="s">
        <v>6</v>
      </c>
      <c r="ET242" s="51" t="s">
        <v>6</v>
      </c>
      <c r="EU242" s="51" t="s">
        <v>6</v>
      </c>
      <c r="EV242" s="51" t="s">
        <v>6</v>
      </c>
      <c r="EW242" s="51" t="s">
        <v>6</v>
      </c>
      <c r="EX242" s="51" t="s">
        <v>6</v>
      </c>
      <c r="EY242" s="51" t="s">
        <v>6</v>
      </c>
      <c r="EZ242" s="51" t="s">
        <v>6</v>
      </c>
      <c r="FA242" s="51" t="s">
        <v>6</v>
      </c>
      <c r="FB242" s="51" t="s">
        <v>6</v>
      </c>
      <c r="FC242" s="51" t="s">
        <v>6</v>
      </c>
      <c r="FD242" s="51" t="s">
        <v>6</v>
      </c>
      <c r="FE242" s="51" t="s">
        <v>6</v>
      </c>
      <c r="FF242" s="51" t="s">
        <v>6</v>
      </c>
      <c r="FG242" s="51" t="s">
        <v>6</v>
      </c>
      <c r="FH242" s="51" t="s">
        <v>6</v>
      </c>
      <c r="FI242" s="51" t="s">
        <v>6</v>
      </c>
      <c r="FJ242" s="51" t="s">
        <v>6</v>
      </c>
      <c r="FK242" s="51" t="s">
        <v>6</v>
      </c>
      <c r="FL242" s="51" t="s">
        <v>6</v>
      </c>
      <c r="FM242" s="51" t="s">
        <v>6</v>
      </c>
      <c r="FN242" s="51" t="s">
        <v>6</v>
      </c>
      <c r="FO242" s="51" t="s">
        <v>6</v>
      </c>
      <c r="FP242" s="51" t="s">
        <v>6</v>
      </c>
      <c r="FQ242" s="51" t="s">
        <v>6</v>
      </c>
      <c r="FR242" s="51" t="s">
        <v>6</v>
      </c>
      <c r="FS242" s="51" t="s">
        <v>6</v>
      </c>
      <c r="FT242" s="51" t="s">
        <v>6</v>
      </c>
      <c r="FU242" s="51" t="s">
        <v>6</v>
      </c>
      <c r="FV242" s="51" t="s">
        <v>6</v>
      </c>
      <c r="FW242" s="51" t="s">
        <v>6</v>
      </c>
      <c r="FX242" s="51" t="s">
        <v>6</v>
      </c>
      <c r="FY242" s="51" t="s">
        <v>6</v>
      </c>
      <c r="FZ242" s="51" t="s">
        <v>6</v>
      </c>
      <c r="GA242" s="51" t="s">
        <v>6</v>
      </c>
      <c r="GB242" s="51" t="s">
        <v>6</v>
      </c>
      <c r="GC242" s="51" t="s">
        <v>6</v>
      </c>
      <c r="GD242" s="51" t="s">
        <v>6</v>
      </c>
      <c r="GE242" s="51" t="s">
        <v>6</v>
      </c>
      <c r="GF242" s="51" t="s">
        <v>6</v>
      </c>
      <c r="GG242" s="51" t="s">
        <v>6</v>
      </c>
      <c r="GH242" s="51" t="s">
        <v>6</v>
      </c>
      <c r="GI242" s="51" t="s">
        <v>6</v>
      </c>
      <c r="GJ242" s="51" t="s">
        <v>6</v>
      </c>
      <c r="GK242" s="51" t="s">
        <v>6</v>
      </c>
      <c r="GL242" s="51" t="s">
        <v>6</v>
      </c>
      <c r="GM242" s="51" t="s">
        <v>6</v>
      </c>
      <c r="GN242" s="51" t="s">
        <v>6</v>
      </c>
      <c r="GO242" s="51" t="s">
        <v>6</v>
      </c>
      <c r="GP242" s="51" t="s">
        <v>6</v>
      </c>
      <c r="GQ242" s="51" t="s">
        <v>6</v>
      </c>
      <c r="GR242" s="51" t="s">
        <v>6</v>
      </c>
      <c r="GS242" s="51" t="s">
        <v>6</v>
      </c>
      <c r="GT242" s="51" t="s">
        <v>6</v>
      </c>
      <c r="GU242" s="51" t="s">
        <v>6</v>
      </c>
      <c r="GV242" s="51" t="s">
        <v>6</v>
      </c>
      <c r="GW242" s="51" t="s">
        <v>6</v>
      </c>
      <c r="GX242" s="51" t="s">
        <v>6</v>
      </c>
      <c r="GY242" s="51" t="s">
        <v>6</v>
      </c>
      <c r="GZ242" s="51" t="s">
        <v>6</v>
      </c>
      <c r="HA242" s="51" t="s">
        <v>6</v>
      </c>
      <c r="HB242" s="51" t="s">
        <v>6</v>
      </c>
      <c r="HC242" s="51" t="s">
        <v>6</v>
      </c>
      <c r="HD242" s="51" t="s">
        <v>6</v>
      </c>
      <c r="HE242" s="51" t="s">
        <v>6</v>
      </c>
      <c r="HF242" s="51" t="s">
        <v>6</v>
      </c>
      <c r="HG242" s="51" t="s">
        <v>6</v>
      </c>
      <c r="HH242" s="51" t="s">
        <v>6</v>
      </c>
      <c r="HI242" s="51" t="s">
        <v>6</v>
      </c>
      <c r="HJ242" s="51" t="s">
        <v>6</v>
      </c>
      <c r="HK242" s="51" t="s">
        <v>6</v>
      </c>
      <c r="HL242" s="51" t="s">
        <v>6</v>
      </c>
      <c r="HM242" s="51" t="s">
        <v>6</v>
      </c>
      <c r="HN242" s="51" t="s">
        <v>6</v>
      </c>
      <c r="HO242" s="51" t="s">
        <v>6</v>
      </c>
      <c r="HP242" s="51" t="s">
        <v>6</v>
      </c>
      <c r="HQ242" s="51" t="s">
        <v>6</v>
      </c>
      <c r="HR242" s="51" t="s">
        <v>6</v>
      </c>
      <c r="HS242" s="51" t="s">
        <v>6</v>
      </c>
      <c r="HT242" s="51" t="s">
        <v>6</v>
      </c>
      <c r="HU242" s="51" t="s">
        <v>6</v>
      </c>
      <c r="HV242" s="51" t="s">
        <v>6</v>
      </c>
      <c r="HW242" s="51" t="s">
        <v>6</v>
      </c>
      <c r="HX242" s="51" t="s">
        <v>6</v>
      </c>
      <c r="HY242" s="51" t="s">
        <v>6</v>
      </c>
      <c r="HZ242" s="51" t="s">
        <v>6</v>
      </c>
      <c r="IA242" s="51" t="s">
        <v>6</v>
      </c>
      <c r="IB242" s="51" t="s">
        <v>6</v>
      </c>
      <c r="IC242" s="51" t="s">
        <v>6</v>
      </c>
    </row>
    <row r="243" spans="1:257">
      <c r="A243" s="4" t="s">
        <v>522</v>
      </c>
      <c r="B243" s="82" t="str">
        <f t="array" ref="B243">_xlfn.LET(
  _xlpm.dates, _xlfn._xlws.FILTER(P243:HO243, (P245:HO245&lt;&gt;"")+(P247:HO247&lt;&gt;"")),
  _xlpm.numDates, IFERROR(VALUE(_xlpm.dates), _xlpm.dates),
  _xlpm.first, TEXT(MIN(_xlpm.numDates), "m/dd"),
  _xlpm.last, TEXT(MAX(_xlpm.numDates), "m/dd"),
  _xlpm.first &amp; "~" &amp; _xlpm.last
)</f>
        <v>3/27~4/27</v>
      </c>
      <c r="C243" s="7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 t="s">
        <v>522</v>
      </c>
      <c r="P243" s="3">
        <v>46107</v>
      </c>
      <c r="Q243" s="3">
        <v>46108</v>
      </c>
      <c r="R243" s="3">
        <v>46109</v>
      </c>
      <c r="S243" s="3">
        <v>46110</v>
      </c>
      <c r="T243" s="3">
        <v>46111</v>
      </c>
      <c r="U243" s="3">
        <v>46112</v>
      </c>
      <c r="V243" s="3">
        <v>46113</v>
      </c>
      <c r="W243" s="3">
        <v>46114</v>
      </c>
      <c r="X243" s="3">
        <v>46115</v>
      </c>
      <c r="Y243" s="3">
        <v>46116</v>
      </c>
      <c r="Z243" s="3">
        <v>46117</v>
      </c>
      <c r="AA243" s="3">
        <v>46118</v>
      </c>
      <c r="AB243" s="3">
        <v>46119</v>
      </c>
      <c r="AC243" s="3">
        <v>46120</v>
      </c>
      <c r="AD243" s="3">
        <v>46121</v>
      </c>
      <c r="AE243" s="3">
        <v>46122</v>
      </c>
      <c r="AF243" s="3">
        <v>46123</v>
      </c>
      <c r="AG243" s="3">
        <v>46124</v>
      </c>
      <c r="AH243" s="3">
        <v>46125</v>
      </c>
      <c r="AI243" s="3">
        <v>46126</v>
      </c>
      <c r="AJ243" s="3">
        <v>46127</v>
      </c>
      <c r="AK243" s="3">
        <v>46128</v>
      </c>
      <c r="AL243" s="3">
        <v>46129</v>
      </c>
      <c r="AM243" s="3">
        <v>46130</v>
      </c>
      <c r="AN243" s="3">
        <v>46131</v>
      </c>
      <c r="AO243" s="3">
        <v>46132</v>
      </c>
      <c r="AP243" s="3">
        <v>46133</v>
      </c>
      <c r="AQ243" s="3">
        <v>46134</v>
      </c>
      <c r="AR243" s="3">
        <v>46135</v>
      </c>
      <c r="AS243" s="3">
        <v>46136</v>
      </c>
      <c r="AT243" s="3">
        <v>46137</v>
      </c>
      <c r="AU243" s="3">
        <v>46138</v>
      </c>
      <c r="AV243" s="3">
        <v>46139</v>
      </c>
      <c r="AW243" s="3">
        <v>46140</v>
      </c>
      <c r="AX243" s="3">
        <v>46141</v>
      </c>
      <c r="AY243" s="3">
        <v>46142</v>
      </c>
      <c r="AZ243" s="3">
        <v>46143</v>
      </c>
      <c r="BA243" s="3">
        <v>46144</v>
      </c>
      <c r="BB243" s="3">
        <v>46145</v>
      </c>
      <c r="BC243" s="3">
        <v>46146</v>
      </c>
      <c r="BD243" s="3">
        <v>46147</v>
      </c>
      <c r="BE243" s="3">
        <v>46148</v>
      </c>
      <c r="BF243" s="3">
        <v>46149</v>
      </c>
      <c r="BG243" s="3">
        <v>46150</v>
      </c>
      <c r="BH243" s="3">
        <v>46151</v>
      </c>
      <c r="BI243" s="3">
        <v>46152</v>
      </c>
      <c r="BJ243" s="3">
        <v>46153</v>
      </c>
      <c r="BK243" s="3">
        <v>46154</v>
      </c>
      <c r="BL243" s="3">
        <v>46155</v>
      </c>
      <c r="BM243" s="3">
        <v>46156</v>
      </c>
      <c r="BN243" s="3">
        <v>46157</v>
      </c>
      <c r="BO243" s="3">
        <v>46158</v>
      </c>
      <c r="BP243" s="3">
        <v>46159</v>
      </c>
      <c r="BQ243" s="3">
        <v>46160</v>
      </c>
      <c r="BR243" s="3">
        <v>46161</v>
      </c>
      <c r="BS243" s="3">
        <v>46162</v>
      </c>
      <c r="BT243" s="3">
        <v>46163</v>
      </c>
      <c r="BU243" s="3">
        <v>46164</v>
      </c>
      <c r="BV243" s="3">
        <v>46165</v>
      </c>
      <c r="BW243" s="3">
        <v>46166</v>
      </c>
      <c r="BX243" s="3">
        <v>46167</v>
      </c>
      <c r="BY243" s="3">
        <v>46168</v>
      </c>
      <c r="BZ243" s="3">
        <v>46169</v>
      </c>
      <c r="CA243" s="3">
        <v>46170</v>
      </c>
      <c r="CB243" s="3">
        <v>46171</v>
      </c>
      <c r="CC243" s="3">
        <v>46172</v>
      </c>
      <c r="CD243" s="3">
        <v>46173</v>
      </c>
      <c r="CE243" s="3">
        <v>46174</v>
      </c>
      <c r="CF243" s="3">
        <v>46175</v>
      </c>
      <c r="CG243" s="3">
        <v>46176</v>
      </c>
      <c r="CH243" s="3">
        <v>46177</v>
      </c>
      <c r="CI243" s="3">
        <v>46178</v>
      </c>
      <c r="CJ243" s="3">
        <v>46179</v>
      </c>
      <c r="CK243" s="3">
        <v>46180</v>
      </c>
      <c r="CL243" s="3">
        <v>46181</v>
      </c>
      <c r="CM243" s="3">
        <v>46182</v>
      </c>
      <c r="CN243" s="3">
        <v>46183</v>
      </c>
      <c r="CO243" s="3">
        <v>46184</v>
      </c>
      <c r="CP243" s="3">
        <v>46185</v>
      </c>
      <c r="CQ243" s="3">
        <v>46186</v>
      </c>
      <c r="CR243" s="3">
        <v>46187</v>
      </c>
      <c r="CS243" s="3">
        <v>46188</v>
      </c>
      <c r="CT243" s="3">
        <v>46189</v>
      </c>
      <c r="CU243" s="3">
        <v>46190</v>
      </c>
      <c r="CV243" s="3">
        <v>46191</v>
      </c>
      <c r="CW243" s="3">
        <v>46192</v>
      </c>
      <c r="CX243" s="3">
        <v>46193</v>
      </c>
      <c r="CY243" s="3">
        <v>46194</v>
      </c>
      <c r="CZ243" s="3">
        <v>46195</v>
      </c>
      <c r="DA243" s="3">
        <v>46196</v>
      </c>
      <c r="DB243" s="3">
        <v>46197</v>
      </c>
      <c r="DC243" s="3">
        <v>46198</v>
      </c>
      <c r="DD243" s="3">
        <v>46199</v>
      </c>
      <c r="DE243" s="3">
        <v>46200</v>
      </c>
      <c r="DF243" s="3">
        <v>46201</v>
      </c>
      <c r="DG243" s="3">
        <v>46202</v>
      </c>
      <c r="DH243" s="3">
        <v>46203</v>
      </c>
      <c r="DI243" s="3">
        <v>46204</v>
      </c>
      <c r="DJ243" s="3">
        <v>46205</v>
      </c>
      <c r="DK243" s="3">
        <v>46206</v>
      </c>
      <c r="DL243" s="3">
        <v>46207</v>
      </c>
      <c r="DM243" s="3">
        <v>46208</v>
      </c>
      <c r="DN243" s="3">
        <v>46209</v>
      </c>
      <c r="DO243" s="3">
        <v>46210</v>
      </c>
      <c r="DP243" s="3">
        <v>46211</v>
      </c>
      <c r="DQ243" s="3">
        <v>46212</v>
      </c>
      <c r="DR243" s="3">
        <v>46213</v>
      </c>
      <c r="DS243" s="3">
        <v>46214</v>
      </c>
      <c r="DT243" s="3">
        <v>46215</v>
      </c>
      <c r="DU243" s="3">
        <v>46216</v>
      </c>
      <c r="DV243" s="3">
        <v>46217</v>
      </c>
      <c r="DW243" s="3">
        <v>46218</v>
      </c>
      <c r="DX243" s="3">
        <v>46219</v>
      </c>
      <c r="DY243" s="3">
        <v>46220</v>
      </c>
      <c r="DZ243" s="3">
        <v>46221</v>
      </c>
      <c r="EA243" s="3">
        <v>46222</v>
      </c>
      <c r="EB243" s="3">
        <v>46223</v>
      </c>
      <c r="EC243" s="3">
        <v>46224</v>
      </c>
      <c r="ED243" s="3">
        <v>46225</v>
      </c>
      <c r="EE243" s="3">
        <v>46226</v>
      </c>
      <c r="EF243" s="3">
        <v>46227</v>
      </c>
      <c r="EG243" s="3">
        <v>46228</v>
      </c>
      <c r="EH243" s="3">
        <v>46229</v>
      </c>
      <c r="EI243" s="3">
        <v>46230</v>
      </c>
      <c r="EJ243" s="3">
        <v>46231</v>
      </c>
      <c r="EK243" s="3">
        <v>46232</v>
      </c>
      <c r="EL243" s="3">
        <v>46233</v>
      </c>
      <c r="EM243" s="3">
        <v>46234</v>
      </c>
      <c r="EN243" s="3">
        <v>46235</v>
      </c>
      <c r="EO243" s="3">
        <v>46236</v>
      </c>
      <c r="EP243" s="3">
        <v>46237</v>
      </c>
      <c r="EQ243" s="3">
        <v>46238</v>
      </c>
      <c r="ER243" s="3">
        <v>46239</v>
      </c>
      <c r="ES243" s="3">
        <v>46240</v>
      </c>
      <c r="ET243" s="3">
        <v>46241</v>
      </c>
      <c r="EU243" s="3">
        <v>46242</v>
      </c>
      <c r="EV243" s="3">
        <v>46243</v>
      </c>
      <c r="EW243" s="3">
        <v>46244</v>
      </c>
      <c r="EX243" s="3">
        <v>46245</v>
      </c>
      <c r="EY243" s="3">
        <v>46246</v>
      </c>
      <c r="EZ243" s="3">
        <v>46247</v>
      </c>
      <c r="FA243" s="3">
        <v>46248</v>
      </c>
      <c r="FB243" s="3">
        <v>46249</v>
      </c>
      <c r="FC243" s="3">
        <v>46250</v>
      </c>
      <c r="FD243" s="3">
        <v>46251</v>
      </c>
      <c r="FE243" s="3">
        <v>46252</v>
      </c>
      <c r="FF243" s="3">
        <v>46253</v>
      </c>
      <c r="FG243" s="3">
        <v>46254</v>
      </c>
      <c r="FH243" s="3">
        <v>46255</v>
      </c>
      <c r="FI243" s="3">
        <v>46256</v>
      </c>
      <c r="FJ243" s="3">
        <v>46257</v>
      </c>
      <c r="FK243" s="3">
        <v>46258</v>
      </c>
      <c r="FL243" s="3">
        <v>46259</v>
      </c>
      <c r="FM243" s="3">
        <v>46260</v>
      </c>
      <c r="FN243" s="3">
        <v>46261</v>
      </c>
      <c r="FO243" s="3">
        <v>46262</v>
      </c>
      <c r="FP243" s="3">
        <v>46263</v>
      </c>
      <c r="FQ243" s="3">
        <v>46264</v>
      </c>
      <c r="FR243" s="3">
        <v>46265</v>
      </c>
      <c r="FS243" s="3">
        <v>46266</v>
      </c>
      <c r="FT243" s="3">
        <v>46267</v>
      </c>
      <c r="FU243" s="3">
        <v>46268</v>
      </c>
      <c r="FV243" s="3">
        <v>46269</v>
      </c>
      <c r="FW243" s="3">
        <v>46270</v>
      </c>
      <c r="FX243" s="3">
        <v>46271</v>
      </c>
      <c r="FY243" s="3">
        <v>46272</v>
      </c>
      <c r="FZ243" s="3">
        <v>46273</v>
      </c>
      <c r="GA243" s="3">
        <v>46274</v>
      </c>
      <c r="GB243" s="3">
        <v>46275</v>
      </c>
      <c r="GC243" s="3">
        <v>46276</v>
      </c>
      <c r="GD243" s="3">
        <v>46277</v>
      </c>
      <c r="GE243" s="3">
        <v>46278</v>
      </c>
      <c r="GF243" s="3">
        <v>46279</v>
      </c>
      <c r="GG243" s="3">
        <v>46280</v>
      </c>
      <c r="GH243" s="3">
        <v>46281</v>
      </c>
      <c r="GI243" s="3">
        <v>46282</v>
      </c>
      <c r="GJ243" s="3">
        <v>46283</v>
      </c>
      <c r="GK243" s="3">
        <v>46284</v>
      </c>
      <c r="GL243" s="3">
        <v>46285</v>
      </c>
      <c r="GM243" s="3">
        <v>46286</v>
      </c>
      <c r="GN243" s="3">
        <v>46287</v>
      </c>
      <c r="GO243" s="3">
        <v>46288</v>
      </c>
      <c r="GP243" s="3">
        <v>46289</v>
      </c>
      <c r="GQ243" s="3">
        <v>46290</v>
      </c>
      <c r="GR243" s="3">
        <v>46291</v>
      </c>
      <c r="GS243" s="3">
        <v>46292</v>
      </c>
      <c r="GT243" s="3">
        <v>46293</v>
      </c>
      <c r="GU243" s="3">
        <v>46294</v>
      </c>
      <c r="GV243" s="3">
        <v>46295</v>
      </c>
      <c r="GW243" s="3">
        <v>46296</v>
      </c>
      <c r="GX243" s="3">
        <v>46297</v>
      </c>
      <c r="GY243" s="3">
        <v>46298</v>
      </c>
      <c r="GZ243" s="3">
        <v>46299</v>
      </c>
      <c r="HA243" s="3">
        <v>46300</v>
      </c>
      <c r="HB243" s="3">
        <v>46301</v>
      </c>
      <c r="HC243" s="3">
        <v>46302</v>
      </c>
      <c r="HD243" s="3">
        <v>46303</v>
      </c>
      <c r="HE243" s="3">
        <v>46304</v>
      </c>
      <c r="HF243" s="3">
        <v>46305</v>
      </c>
      <c r="HG243" s="3">
        <v>46306</v>
      </c>
      <c r="HH243" s="3">
        <v>46307</v>
      </c>
      <c r="HI243" s="3">
        <v>46308</v>
      </c>
      <c r="HJ243" s="3">
        <v>46309</v>
      </c>
      <c r="HK243" s="3">
        <v>46310</v>
      </c>
      <c r="HL243" s="3">
        <v>46311</v>
      </c>
      <c r="HM243" s="3">
        <v>46312</v>
      </c>
      <c r="HN243" s="3">
        <v>46313</v>
      </c>
      <c r="HO243" s="3">
        <v>46314</v>
      </c>
      <c r="HP243" s="3">
        <v>46315</v>
      </c>
      <c r="HQ243" s="3">
        <v>46316</v>
      </c>
      <c r="HR243" s="3">
        <v>46317</v>
      </c>
      <c r="HS243" s="3">
        <v>46318</v>
      </c>
      <c r="HT243" s="3">
        <v>46319</v>
      </c>
      <c r="HU243" s="3">
        <v>46320</v>
      </c>
      <c r="HV243" s="3">
        <v>46321</v>
      </c>
      <c r="HW243" s="3">
        <v>46322</v>
      </c>
      <c r="HX243" s="3">
        <v>46323</v>
      </c>
      <c r="HY243" s="3">
        <v>46324</v>
      </c>
      <c r="HZ243" s="3">
        <v>46325</v>
      </c>
      <c r="IA243" s="3">
        <v>46326</v>
      </c>
      <c r="IB243" s="3">
        <v>46327</v>
      </c>
      <c r="IC243" s="3">
        <v>46328</v>
      </c>
    </row>
    <row r="244" spans="1:257">
      <c r="A244" s="4" t="s">
        <v>694</v>
      </c>
      <c r="B244" s="82" t="str">
        <f t="array" ref="B244">COLUMNS(_xlfn._xlws.FILTER(P243:HO243, (P245:HO245&lt;&gt;"")+(P247:HO247&lt;&gt;""))) &amp; "場"</f>
        <v>26場</v>
      </c>
      <c r="C244" s="7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 t="s">
        <v>675</v>
      </c>
      <c r="P244" s="3" t="s">
        <v>676</v>
      </c>
      <c r="Q244" s="3" t="s">
        <v>677</v>
      </c>
      <c r="R244" s="3" t="s">
        <v>678</v>
      </c>
      <c r="S244" s="3" t="s">
        <v>679</v>
      </c>
      <c r="T244" s="3" t="s">
        <v>680</v>
      </c>
      <c r="U244" s="3" t="s">
        <v>681</v>
      </c>
      <c r="V244" s="3" t="s">
        <v>682</v>
      </c>
      <c r="W244" s="3" t="s">
        <v>676</v>
      </c>
      <c r="X244" s="3" t="s">
        <v>677</v>
      </c>
      <c r="Y244" s="3" t="s">
        <v>678</v>
      </c>
      <c r="Z244" s="3" t="s">
        <v>679</v>
      </c>
      <c r="AA244" s="3" t="s">
        <v>680</v>
      </c>
      <c r="AB244" s="3" t="s">
        <v>681</v>
      </c>
      <c r="AC244" s="3" t="s">
        <v>682</v>
      </c>
      <c r="AD244" s="3" t="s">
        <v>676</v>
      </c>
      <c r="AE244" s="3" t="s">
        <v>677</v>
      </c>
      <c r="AF244" s="3" t="s">
        <v>678</v>
      </c>
      <c r="AG244" s="3" t="s">
        <v>679</v>
      </c>
      <c r="AH244" s="3" t="s">
        <v>680</v>
      </c>
      <c r="AI244" s="3" t="s">
        <v>681</v>
      </c>
      <c r="AJ244" s="3" t="s">
        <v>682</v>
      </c>
      <c r="AK244" s="3" t="s">
        <v>676</v>
      </c>
      <c r="AL244" s="3" t="s">
        <v>677</v>
      </c>
      <c r="AM244" s="3" t="s">
        <v>678</v>
      </c>
      <c r="AN244" s="3" t="s">
        <v>679</v>
      </c>
      <c r="AO244" s="3" t="s">
        <v>680</v>
      </c>
      <c r="AP244" s="3" t="s">
        <v>681</v>
      </c>
      <c r="AQ244" s="3" t="s">
        <v>682</v>
      </c>
      <c r="AR244" s="3" t="s">
        <v>676</v>
      </c>
      <c r="AS244" s="3" t="s">
        <v>677</v>
      </c>
      <c r="AT244" s="3" t="s">
        <v>678</v>
      </c>
      <c r="AU244" s="3" t="s">
        <v>679</v>
      </c>
      <c r="AV244" s="3" t="s">
        <v>680</v>
      </c>
      <c r="AW244" s="3" t="s">
        <v>681</v>
      </c>
      <c r="AX244" s="3" t="s">
        <v>682</v>
      </c>
      <c r="AY244" s="3" t="s">
        <v>676</v>
      </c>
      <c r="AZ244" s="3" t="s">
        <v>677</v>
      </c>
      <c r="BA244" s="3" t="s">
        <v>678</v>
      </c>
      <c r="BB244" s="3" t="s">
        <v>679</v>
      </c>
      <c r="BC244" s="3" t="s">
        <v>680</v>
      </c>
      <c r="BD244" s="3" t="s">
        <v>681</v>
      </c>
      <c r="BE244" s="3" t="s">
        <v>682</v>
      </c>
      <c r="BF244" s="3" t="s">
        <v>676</v>
      </c>
      <c r="BG244" s="3" t="s">
        <v>677</v>
      </c>
      <c r="BH244" s="3" t="s">
        <v>678</v>
      </c>
      <c r="BI244" s="3" t="s">
        <v>679</v>
      </c>
      <c r="BJ244" s="3" t="s">
        <v>680</v>
      </c>
      <c r="BK244" s="3" t="s">
        <v>681</v>
      </c>
      <c r="BL244" s="3" t="s">
        <v>682</v>
      </c>
      <c r="BM244" s="3" t="s">
        <v>676</v>
      </c>
      <c r="BN244" s="3" t="s">
        <v>677</v>
      </c>
      <c r="BO244" s="3" t="s">
        <v>678</v>
      </c>
      <c r="BP244" s="3" t="s">
        <v>679</v>
      </c>
      <c r="BQ244" s="3" t="s">
        <v>680</v>
      </c>
      <c r="BR244" s="3" t="s">
        <v>681</v>
      </c>
      <c r="BS244" s="3" t="s">
        <v>682</v>
      </c>
      <c r="BT244" s="3" t="s">
        <v>676</v>
      </c>
      <c r="BU244" s="3" t="s">
        <v>677</v>
      </c>
      <c r="BV244" s="3" t="s">
        <v>678</v>
      </c>
      <c r="BW244" s="3" t="s">
        <v>679</v>
      </c>
      <c r="BX244" s="3" t="s">
        <v>680</v>
      </c>
      <c r="BY244" s="3" t="s">
        <v>681</v>
      </c>
      <c r="BZ244" s="3" t="s">
        <v>682</v>
      </c>
      <c r="CA244" s="3" t="s">
        <v>676</v>
      </c>
      <c r="CB244" s="3" t="s">
        <v>677</v>
      </c>
      <c r="CC244" s="3" t="s">
        <v>678</v>
      </c>
      <c r="CD244" s="3" t="s">
        <v>679</v>
      </c>
      <c r="CE244" s="3" t="s">
        <v>680</v>
      </c>
      <c r="CF244" s="3" t="s">
        <v>681</v>
      </c>
      <c r="CG244" s="3" t="s">
        <v>682</v>
      </c>
      <c r="CH244" s="3" t="s">
        <v>676</v>
      </c>
      <c r="CI244" s="3" t="s">
        <v>677</v>
      </c>
      <c r="CJ244" s="3" t="s">
        <v>678</v>
      </c>
      <c r="CK244" s="3" t="s">
        <v>679</v>
      </c>
      <c r="CL244" s="3" t="s">
        <v>680</v>
      </c>
      <c r="CM244" s="3" t="s">
        <v>681</v>
      </c>
      <c r="CN244" s="3" t="s">
        <v>682</v>
      </c>
      <c r="CO244" s="3" t="s">
        <v>676</v>
      </c>
      <c r="CP244" s="3" t="s">
        <v>677</v>
      </c>
      <c r="CQ244" s="3" t="s">
        <v>678</v>
      </c>
      <c r="CR244" s="3" t="s">
        <v>679</v>
      </c>
      <c r="CS244" s="3" t="s">
        <v>680</v>
      </c>
      <c r="CT244" s="3" t="s">
        <v>681</v>
      </c>
      <c r="CU244" s="3" t="s">
        <v>682</v>
      </c>
      <c r="CV244" s="3" t="s">
        <v>676</v>
      </c>
      <c r="CW244" s="3" t="s">
        <v>677</v>
      </c>
      <c r="CX244" s="3" t="s">
        <v>678</v>
      </c>
      <c r="CY244" s="3" t="s">
        <v>679</v>
      </c>
      <c r="CZ244" s="3" t="s">
        <v>680</v>
      </c>
      <c r="DA244" s="3" t="s">
        <v>681</v>
      </c>
      <c r="DB244" s="3" t="s">
        <v>682</v>
      </c>
      <c r="DC244" s="3" t="s">
        <v>676</v>
      </c>
      <c r="DD244" s="3" t="s">
        <v>677</v>
      </c>
      <c r="DE244" s="3" t="s">
        <v>678</v>
      </c>
      <c r="DF244" s="3" t="s">
        <v>679</v>
      </c>
      <c r="DG244" s="3" t="s">
        <v>680</v>
      </c>
      <c r="DH244" s="3" t="s">
        <v>681</v>
      </c>
      <c r="DI244" s="3" t="s">
        <v>682</v>
      </c>
      <c r="DJ244" s="3" t="s">
        <v>676</v>
      </c>
      <c r="DK244" s="3" t="s">
        <v>677</v>
      </c>
      <c r="DL244" s="3" t="s">
        <v>678</v>
      </c>
      <c r="DM244" s="3" t="s">
        <v>679</v>
      </c>
      <c r="DN244" s="3" t="s">
        <v>680</v>
      </c>
      <c r="DO244" s="3" t="s">
        <v>681</v>
      </c>
      <c r="DP244" s="3" t="s">
        <v>682</v>
      </c>
      <c r="DQ244" s="3" t="s">
        <v>676</v>
      </c>
      <c r="DR244" s="3" t="s">
        <v>677</v>
      </c>
      <c r="DS244" s="3" t="s">
        <v>678</v>
      </c>
      <c r="DT244" s="3" t="s">
        <v>679</v>
      </c>
      <c r="DU244" s="3" t="s">
        <v>680</v>
      </c>
      <c r="DV244" s="3" t="s">
        <v>681</v>
      </c>
      <c r="DW244" s="3" t="s">
        <v>682</v>
      </c>
      <c r="DX244" s="3" t="s">
        <v>676</v>
      </c>
      <c r="DY244" s="3" t="s">
        <v>677</v>
      </c>
      <c r="DZ244" s="3" t="s">
        <v>678</v>
      </c>
      <c r="EA244" s="3" t="s">
        <v>679</v>
      </c>
      <c r="EB244" s="3" t="s">
        <v>680</v>
      </c>
      <c r="EC244" s="3" t="s">
        <v>681</v>
      </c>
      <c r="ED244" s="3" t="s">
        <v>682</v>
      </c>
      <c r="EE244" s="3" t="s">
        <v>676</v>
      </c>
      <c r="EF244" s="3" t="s">
        <v>677</v>
      </c>
      <c r="EG244" s="3" t="s">
        <v>678</v>
      </c>
      <c r="EH244" s="3" t="s">
        <v>679</v>
      </c>
      <c r="EI244" s="3" t="s">
        <v>680</v>
      </c>
      <c r="EJ244" s="3" t="s">
        <v>681</v>
      </c>
      <c r="EK244" s="3" t="s">
        <v>682</v>
      </c>
      <c r="EL244" s="3" t="s">
        <v>676</v>
      </c>
      <c r="EM244" s="3" t="s">
        <v>677</v>
      </c>
      <c r="EN244" s="3" t="s">
        <v>678</v>
      </c>
      <c r="EO244" s="3" t="s">
        <v>679</v>
      </c>
      <c r="EP244" s="3" t="s">
        <v>680</v>
      </c>
      <c r="EQ244" s="3" t="s">
        <v>681</v>
      </c>
      <c r="ER244" s="3" t="s">
        <v>682</v>
      </c>
      <c r="ES244" s="3" t="s">
        <v>676</v>
      </c>
      <c r="ET244" s="3" t="s">
        <v>677</v>
      </c>
      <c r="EU244" s="3" t="s">
        <v>678</v>
      </c>
      <c r="EV244" s="3" t="s">
        <v>679</v>
      </c>
      <c r="EW244" s="3" t="s">
        <v>680</v>
      </c>
      <c r="EX244" s="3" t="s">
        <v>681</v>
      </c>
      <c r="EY244" s="3" t="s">
        <v>682</v>
      </c>
      <c r="EZ244" s="3" t="s">
        <v>676</v>
      </c>
      <c r="FA244" s="3" t="s">
        <v>677</v>
      </c>
      <c r="FB244" s="3" t="s">
        <v>678</v>
      </c>
      <c r="FC244" s="3" t="s">
        <v>679</v>
      </c>
      <c r="FD244" s="3" t="s">
        <v>680</v>
      </c>
      <c r="FE244" s="3" t="s">
        <v>681</v>
      </c>
      <c r="FF244" s="3" t="s">
        <v>682</v>
      </c>
      <c r="FG244" s="3" t="s">
        <v>676</v>
      </c>
      <c r="FH244" s="3" t="s">
        <v>677</v>
      </c>
      <c r="FI244" s="3" t="s">
        <v>678</v>
      </c>
      <c r="FJ244" s="3" t="s">
        <v>679</v>
      </c>
      <c r="FK244" s="3" t="s">
        <v>680</v>
      </c>
      <c r="FL244" s="3" t="s">
        <v>681</v>
      </c>
      <c r="FM244" s="3" t="s">
        <v>682</v>
      </c>
      <c r="FN244" s="3" t="s">
        <v>676</v>
      </c>
      <c r="FO244" s="3" t="s">
        <v>677</v>
      </c>
      <c r="FP244" s="3" t="s">
        <v>678</v>
      </c>
      <c r="FQ244" s="3" t="s">
        <v>679</v>
      </c>
      <c r="FR244" s="3" t="s">
        <v>680</v>
      </c>
      <c r="FS244" s="3" t="s">
        <v>681</v>
      </c>
      <c r="FT244" s="3" t="s">
        <v>682</v>
      </c>
      <c r="FU244" s="3" t="s">
        <v>676</v>
      </c>
      <c r="FV244" s="3" t="s">
        <v>677</v>
      </c>
      <c r="FW244" s="3" t="s">
        <v>678</v>
      </c>
      <c r="FX244" s="3" t="s">
        <v>679</v>
      </c>
      <c r="FY244" s="3" t="s">
        <v>680</v>
      </c>
      <c r="FZ244" s="3" t="s">
        <v>681</v>
      </c>
      <c r="GA244" s="3" t="s">
        <v>682</v>
      </c>
      <c r="GB244" s="3" t="s">
        <v>676</v>
      </c>
      <c r="GC244" s="3" t="s">
        <v>677</v>
      </c>
      <c r="GD244" s="3" t="s">
        <v>678</v>
      </c>
      <c r="GE244" s="3" t="s">
        <v>679</v>
      </c>
      <c r="GF244" s="3" t="s">
        <v>680</v>
      </c>
      <c r="GG244" s="3" t="s">
        <v>681</v>
      </c>
      <c r="GH244" s="3" t="s">
        <v>682</v>
      </c>
      <c r="GI244" s="3" t="s">
        <v>676</v>
      </c>
      <c r="GJ244" s="3" t="s">
        <v>677</v>
      </c>
      <c r="GK244" s="3" t="s">
        <v>678</v>
      </c>
      <c r="GL244" s="3" t="s">
        <v>679</v>
      </c>
      <c r="GM244" s="3" t="s">
        <v>680</v>
      </c>
      <c r="GN244" s="3" t="s">
        <v>681</v>
      </c>
      <c r="GO244" s="3" t="s">
        <v>682</v>
      </c>
      <c r="GP244" s="3" t="s">
        <v>676</v>
      </c>
      <c r="GQ244" s="3" t="s">
        <v>677</v>
      </c>
      <c r="GR244" s="3" t="s">
        <v>678</v>
      </c>
      <c r="GS244" s="3" t="s">
        <v>679</v>
      </c>
      <c r="GT244" s="3" t="s">
        <v>680</v>
      </c>
      <c r="GU244" s="3" t="s">
        <v>681</v>
      </c>
      <c r="GV244" s="3" t="s">
        <v>682</v>
      </c>
      <c r="GW244" s="3" t="s">
        <v>676</v>
      </c>
      <c r="GX244" s="3" t="s">
        <v>677</v>
      </c>
      <c r="GY244" s="3" t="s">
        <v>678</v>
      </c>
      <c r="GZ244" s="3" t="s">
        <v>679</v>
      </c>
      <c r="HA244" s="3" t="s">
        <v>680</v>
      </c>
      <c r="HB244" s="3" t="s">
        <v>681</v>
      </c>
      <c r="HC244" s="3" t="s">
        <v>682</v>
      </c>
      <c r="HD244" s="3" t="s">
        <v>676</v>
      </c>
      <c r="HE244" s="3" t="s">
        <v>677</v>
      </c>
      <c r="HF244" s="3" t="s">
        <v>678</v>
      </c>
      <c r="HG244" s="3" t="s">
        <v>679</v>
      </c>
      <c r="HH244" s="3" t="s">
        <v>680</v>
      </c>
      <c r="HI244" s="3" t="s">
        <v>681</v>
      </c>
      <c r="HJ244" s="3" t="s">
        <v>682</v>
      </c>
      <c r="HK244" s="3" t="s">
        <v>676</v>
      </c>
      <c r="HL244" s="3" t="s">
        <v>677</v>
      </c>
      <c r="HM244" s="3" t="s">
        <v>678</v>
      </c>
      <c r="HN244" s="3" t="s">
        <v>679</v>
      </c>
      <c r="HO244" s="3" t="s">
        <v>680</v>
      </c>
      <c r="HP244" s="3" t="s">
        <v>681</v>
      </c>
      <c r="HQ244" s="3" t="s">
        <v>682</v>
      </c>
      <c r="HR244" s="3" t="s">
        <v>676</v>
      </c>
      <c r="HS244" s="3" t="s">
        <v>677</v>
      </c>
      <c r="HT244" s="3" t="s">
        <v>678</v>
      </c>
      <c r="HU244" s="3" t="s">
        <v>679</v>
      </c>
      <c r="HV244" s="3" t="s">
        <v>680</v>
      </c>
      <c r="HW244" s="3" t="s">
        <v>681</v>
      </c>
      <c r="HX244" s="3" t="s">
        <v>682</v>
      </c>
      <c r="HY244" s="3" t="s">
        <v>676</v>
      </c>
      <c r="HZ244" s="3" t="s">
        <v>677</v>
      </c>
      <c r="IA244" s="3" t="s">
        <v>678</v>
      </c>
      <c r="IB244" s="3" t="s">
        <v>679</v>
      </c>
      <c r="IC244" s="3" t="s">
        <v>680</v>
      </c>
    </row>
    <row r="245" spans="1:257">
      <c r="A245" s="82" t="s">
        <v>695</v>
      </c>
      <c r="B245" s="82" t="str">
        <f>COUNTIF(P245:IC245, "W")&amp;"勝"</f>
        <v>14勝</v>
      </c>
      <c r="C245" s="82" t="str">
        <f>COUNTIF(P245:IC245, "L")&amp;"敗"</f>
        <v>12敗</v>
      </c>
      <c r="D245" s="82" t="s">
        <v>696</v>
      </c>
      <c r="E245" s="78"/>
      <c r="F245" s="82" t="s">
        <v>757</v>
      </c>
      <c r="G245" s="78"/>
      <c r="H245" s="78"/>
      <c r="I245" s="78"/>
      <c r="J245" s="78"/>
      <c r="K245" s="78"/>
      <c r="L245" s="78"/>
      <c r="M245" s="82"/>
      <c r="N245" s="78"/>
      <c r="O245" s="1" t="s">
        <v>698</v>
      </c>
      <c r="Q245" t="s">
        <v>699</v>
      </c>
      <c r="S245" t="s">
        <v>699</v>
      </c>
      <c r="T245" t="s">
        <v>700</v>
      </c>
      <c r="U245" t="s">
        <v>700</v>
      </c>
      <c r="V245" t="s">
        <v>699</v>
      </c>
      <c r="W245" t="s">
        <v>699</v>
      </c>
      <c r="Y245" t="s">
        <v>700</v>
      </c>
      <c r="Z245" t="s">
        <v>700</v>
      </c>
      <c r="AA245" t="s">
        <v>699</v>
      </c>
      <c r="AB245" t="s">
        <v>700</v>
      </c>
      <c r="AC245" t="s">
        <v>699</v>
      </c>
      <c r="AD245" t="s">
        <v>699</v>
      </c>
      <c r="AF245" t="s">
        <v>699</v>
      </c>
      <c r="AG245" t="s">
        <v>700</v>
      </c>
      <c r="AH245" t="s">
        <v>700</v>
      </c>
      <c r="AI245" t="s">
        <v>700</v>
      </c>
      <c r="AJ245" t="s">
        <v>699</v>
      </c>
      <c r="AK245" t="s">
        <v>699</v>
      </c>
      <c r="AM245" t="s">
        <v>699</v>
      </c>
      <c r="AN245" t="s">
        <v>699</v>
      </c>
      <c r="AO245" t="s">
        <v>699</v>
      </c>
      <c r="AP245" t="s">
        <v>700</v>
      </c>
      <c r="AQ245" t="s">
        <v>699</v>
      </c>
      <c r="AT245" t="s">
        <v>700</v>
      </c>
      <c r="AU245" t="s">
        <v>700</v>
      </c>
      <c r="AV245" t="s">
        <v>700</v>
      </c>
    </row>
    <row r="246" spans="1:257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1" t="s">
        <v>701</v>
      </c>
    </row>
    <row r="247" spans="1:257">
      <c r="A247" s="82" t="s">
        <v>702</v>
      </c>
      <c r="B247" s="82" t="str">
        <f>COUNTIF(P247:IC247, "O")&amp;"正"</f>
        <v>14正</v>
      </c>
      <c r="C247" s="82" t="str">
        <f>COUNTIF(P247:IC247, "X")&amp;"負"</f>
        <v>12負</v>
      </c>
      <c r="D247" s="82" t="s">
        <v>703</v>
      </c>
      <c r="E247" s="78"/>
      <c r="F247" s="82" t="s">
        <v>758</v>
      </c>
      <c r="G247" s="78"/>
      <c r="H247" s="78"/>
      <c r="I247" s="78"/>
      <c r="J247" s="78"/>
      <c r="K247" s="78"/>
      <c r="L247" s="78"/>
      <c r="M247" s="82"/>
      <c r="N247" s="78"/>
      <c r="O247" s="1" t="s">
        <v>705</v>
      </c>
      <c r="Q247" t="s">
        <v>683</v>
      </c>
      <c r="S247" t="s">
        <v>683</v>
      </c>
      <c r="T247" t="s">
        <v>684</v>
      </c>
      <c r="U247" t="s">
        <v>684</v>
      </c>
      <c r="V247" t="s">
        <v>683</v>
      </c>
      <c r="W247" t="s">
        <v>683</v>
      </c>
      <c r="Y247" t="s">
        <v>684</v>
      </c>
      <c r="Z247" t="s">
        <v>684</v>
      </c>
      <c r="AA247" t="s">
        <v>683</v>
      </c>
      <c r="AB247" t="s">
        <v>684</v>
      </c>
      <c r="AC247" t="s">
        <v>683</v>
      </c>
      <c r="AD247" t="s">
        <v>683</v>
      </c>
      <c r="AF247" t="s">
        <v>683</v>
      </c>
      <c r="AG247" t="s">
        <v>684</v>
      </c>
      <c r="AH247" t="s">
        <v>684</v>
      </c>
      <c r="AI247" t="s">
        <v>684</v>
      </c>
      <c r="AJ247" t="s">
        <v>683</v>
      </c>
      <c r="AK247" t="s">
        <v>683</v>
      </c>
      <c r="AM247" t="s">
        <v>683</v>
      </c>
      <c r="AN247" t="s">
        <v>683</v>
      </c>
      <c r="AO247" t="s">
        <v>683</v>
      </c>
      <c r="AP247" t="s">
        <v>684</v>
      </c>
      <c r="AQ247" t="s">
        <v>683</v>
      </c>
      <c r="AT247" t="s">
        <v>684</v>
      </c>
      <c r="AU247" t="s">
        <v>684</v>
      </c>
      <c r="AV247" t="s">
        <v>684</v>
      </c>
      <c r="IN247" t="str">
        <f ca="1">IFERROR(INDEX($P247:$IC247,1,_xludf.AGGREGATE(14,6,(COLUMN($P247:$IC247)-COLUMN($P247)+1)/($P247:$IC247&lt;&gt;""),1)),"")</f>
        <v/>
      </c>
      <c r="IO247" t="str">
        <f ca="1">IFERROR(INDEX($P247:$IC247,1,_xludf.AGGREGATE(14,6,(COLUMN($P247:$IC247)-COLUMN($P247)+1)/($P247:$IC247&lt;&gt;""),2)),"")</f>
        <v/>
      </c>
      <c r="IP247" t="str">
        <f ca="1">IFERROR(INDEX($P247:$IC247,1,_xludf.AGGREGATE(14,6,(COLUMN($P247:$IC247)-COLUMN($P247)+1)/($P247:$IC247&lt;&gt;""),3)),"")</f>
        <v/>
      </c>
      <c r="IQ247" t="str">
        <f ca="1">IFERROR(INDEX($P247:$IC247,1,_xludf.AGGREGATE(14,6,(COLUMN($P247:$IC247)-COLUMN($P247)+1)/($P247:$IC247&lt;&gt;""),4)),"")</f>
        <v/>
      </c>
      <c r="IR247" t="str">
        <f ca="1">IFERROR(INDEX($P247:$IC247,1,_xludf.AGGREGATE(14,6,(COLUMN($P247:$IC247)-COLUMN($P247)+1)/($P247:$IC247&lt;&gt;""),5)),"")</f>
        <v/>
      </c>
      <c r="IS247" t="str">
        <f ca="1">IFERROR(INDEX($P247:$IC247,1,_xludf.AGGREGATE(14,6,(COLUMN($P247:$IC247)-COLUMN($P247)+1)/($P247:$IC247&lt;&gt;""),6)),"")</f>
        <v/>
      </c>
      <c r="IT247" t="str">
        <f ca="1">IFERROR(INDEX($P247:$IC247,1,_xludf.AGGREGATE(14,6,(COLUMN($P247:$IC247)-COLUMN($P247)+1)/($P247:$IC247&lt;&gt;""),7)),"")</f>
        <v/>
      </c>
      <c r="IU247" t="str">
        <f ca="1">IFERROR(INDEX($P247:$IC247,1,_xludf.AGGREGATE(14,6,(COLUMN($P247:$IC247)-COLUMN($P247)+1)/($P247:$IC247&lt;&gt;""),8)),"")</f>
        <v/>
      </c>
      <c r="IV247" t="str">
        <f ca="1">IFERROR(INDEX($P247:$IC247,1,_xludf.AGGREGATE(14,6,(COLUMN($P247:$IC247)-COLUMN($P247)+1)/($P247:$IC247&lt;&gt;""),9)),"")</f>
        <v/>
      </c>
      <c r="IW247" t="str">
        <f ca="1">IFERROR(INDEX($P247:$IC247,1,_xludf.AGGREGATE(14,6,(COLUMN($P247:$IC247)-COLUMN($P247)+1)/($P247:$IC247&lt;&gt;""),10)),"")</f>
        <v/>
      </c>
    </row>
    <row r="248" spans="1:257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1" t="s">
        <v>706</v>
      </c>
    </row>
    <row r="249" spans="1:257">
      <c r="A249" s="82" t="s">
        <v>707</v>
      </c>
      <c r="B249" s="77"/>
      <c r="C249" s="77"/>
      <c r="D249" s="82" t="s">
        <v>708</v>
      </c>
      <c r="E249" s="78"/>
      <c r="F249" s="82"/>
      <c r="G249" s="78"/>
      <c r="H249" s="78"/>
      <c r="I249" s="78"/>
      <c r="J249" s="78"/>
      <c r="K249" s="78"/>
      <c r="L249" s="78"/>
      <c r="M249" s="82"/>
      <c r="N249" s="78"/>
      <c r="O249" s="1" t="s">
        <v>709</v>
      </c>
    </row>
    <row r="250" spans="1:257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1" t="s">
        <v>710</v>
      </c>
    </row>
    <row r="251" spans="1:257">
      <c r="A251" s="109" t="s">
        <v>8</v>
      </c>
      <c r="B251" s="78"/>
      <c r="C251" s="7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 t="s">
        <v>674</v>
      </c>
      <c r="P251" s="8">
        <v>1</v>
      </c>
      <c r="Q251" s="8">
        <v>2</v>
      </c>
      <c r="R251" s="8">
        <v>3</v>
      </c>
      <c r="S251" s="8">
        <v>4</v>
      </c>
      <c r="T251" s="8">
        <v>5</v>
      </c>
      <c r="U251" s="8">
        <v>6</v>
      </c>
      <c r="V251" s="8">
        <v>7</v>
      </c>
      <c r="W251" s="8">
        <v>8</v>
      </c>
      <c r="X251" s="8">
        <v>9</v>
      </c>
      <c r="Y251" s="8">
        <v>10</v>
      </c>
      <c r="Z251" s="8">
        <v>11</v>
      </c>
      <c r="AA251" s="8">
        <v>12</v>
      </c>
      <c r="AB251" s="8">
        <v>13</v>
      </c>
      <c r="AC251" s="8">
        <v>14</v>
      </c>
      <c r="AD251" s="8">
        <v>15</v>
      </c>
      <c r="AE251" s="8">
        <v>16</v>
      </c>
      <c r="AF251" s="8">
        <v>17</v>
      </c>
      <c r="AG251" s="8">
        <v>18</v>
      </c>
      <c r="AH251" s="8">
        <v>19</v>
      </c>
      <c r="AI251" s="8">
        <v>20</v>
      </c>
      <c r="AJ251" s="8">
        <v>21</v>
      </c>
      <c r="AK251" s="8">
        <v>22</v>
      </c>
      <c r="AL251" s="8">
        <v>23</v>
      </c>
      <c r="AM251" s="8">
        <v>24</v>
      </c>
      <c r="AN251" s="8">
        <v>25</v>
      </c>
      <c r="AO251" s="8">
        <v>26</v>
      </c>
      <c r="AP251" s="8">
        <v>27</v>
      </c>
      <c r="AQ251" s="8">
        <v>28</v>
      </c>
      <c r="AR251" s="8">
        <v>29</v>
      </c>
      <c r="AS251" s="8">
        <v>30</v>
      </c>
      <c r="AT251" s="8">
        <v>31</v>
      </c>
      <c r="AU251" s="8">
        <v>32</v>
      </c>
      <c r="AV251" s="8">
        <v>33</v>
      </c>
      <c r="AW251" s="8">
        <v>34</v>
      </c>
      <c r="AX251" s="8">
        <v>35</v>
      </c>
      <c r="AY251" s="8">
        <v>36</v>
      </c>
      <c r="AZ251" s="8">
        <v>37</v>
      </c>
      <c r="BA251" s="8">
        <v>38</v>
      </c>
      <c r="BB251" s="8">
        <v>39</v>
      </c>
      <c r="BC251" s="8">
        <v>40</v>
      </c>
      <c r="BD251" s="8">
        <v>41</v>
      </c>
      <c r="BE251" s="8">
        <v>42</v>
      </c>
      <c r="BF251" s="8">
        <v>43</v>
      </c>
      <c r="BG251" s="8">
        <v>44</v>
      </c>
      <c r="BH251" s="8">
        <v>45</v>
      </c>
      <c r="BI251" s="8">
        <v>46</v>
      </c>
      <c r="BJ251" s="8">
        <v>47</v>
      </c>
      <c r="BK251" s="8">
        <v>48</v>
      </c>
      <c r="BL251" s="8">
        <v>49</v>
      </c>
      <c r="BM251" s="8">
        <v>50</v>
      </c>
      <c r="BN251" s="8">
        <v>51</v>
      </c>
      <c r="BO251" s="8">
        <v>52</v>
      </c>
      <c r="BP251" s="8">
        <v>53</v>
      </c>
      <c r="BQ251" s="8">
        <v>54</v>
      </c>
      <c r="BR251" s="8">
        <v>55</v>
      </c>
      <c r="BS251" s="8">
        <v>56</v>
      </c>
      <c r="BT251" s="8">
        <v>57</v>
      </c>
      <c r="BU251" s="8">
        <v>58</v>
      </c>
      <c r="BV251" s="8">
        <v>59</v>
      </c>
      <c r="BW251" s="8">
        <v>60</v>
      </c>
      <c r="BX251" s="8">
        <v>61</v>
      </c>
      <c r="BY251" s="8">
        <v>62</v>
      </c>
      <c r="BZ251" s="8">
        <v>63</v>
      </c>
      <c r="CA251" s="8">
        <v>64</v>
      </c>
      <c r="CB251" s="8">
        <v>65</v>
      </c>
      <c r="CC251" s="8">
        <v>66</v>
      </c>
      <c r="CD251" s="8">
        <v>67</v>
      </c>
      <c r="CE251" s="8">
        <v>68</v>
      </c>
      <c r="CF251" s="8">
        <v>69</v>
      </c>
      <c r="CG251" s="8">
        <v>70</v>
      </c>
      <c r="CH251" s="8">
        <v>71</v>
      </c>
      <c r="CI251" s="8">
        <v>72</v>
      </c>
      <c r="CJ251" s="8">
        <v>73</v>
      </c>
      <c r="CK251" s="8">
        <v>74</v>
      </c>
      <c r="CL251" s="8">
        <v>75</v>
      </c>
      <c r="CM251" s="8">
        <v>76</v>
      </c>
      <c r="CN251" s="8">
        <v>77</v>
      </c>
      <c r="CO251" s="8">
        <v>78</v>
      </c>
      <c r="CP251" s="8">
        <v>79</v>
      </c>
      <c r="CQ251" s="8">
        <v>80</v>
      </c>
      <c r="CR251" s="8">
        <v>81</v>
      </c>
      <c r="CS251" s="8">
        <v>82</v>
      </c>
      <c r="CT251" s="8">
        <v>83</v>
      </c>
      <c r="CU251" s="8">
        <v>84</v>
      </c>
      <c r="CV251" s="8">
        <v>85</v>
      </c>
      <c r="CW251" s="8">
        <v>86</v>
      </c>
      <c r="CX251" s="8">
        <v>87</v>
      </c>
      <c r="CY251" s="8">
        <v>88</v>
      </c>
      <c r="CZ251" s="8">
        <v>89</v>
      </c>
      <c r="DA251" s="8">
        <v>90</v>
      </c>
      <c r="DB251" s="8">
        <v>91</v>
      </c>
      <c r="DC251" s="8">
        <v>92</v>
      </c>
      <c r="DD251" s="8">
        <v>93</v>
      </c>
      <c r="DE251" s="8">
        <v>94</v>
      </c>
      <c r="DF251" s="8">
        <v>95</v>
      </c>
      <c r="DG251" s="8">
        <v>96</v>
      </c>
      <c r="DH251" s="8">
        <v>97</v>
      </c>
      <c r="DI251" s="8">
        <v>98</v>
      </c>
      <c r="DJ251" s="8">
        <v>99</v>
      </c>
      <c r="DK251" s="8">
        <v>100</v>
      </c>
      <c r="DL251" s="8">
        <v>101</v>
      </c>
      <c r="DM251" s="8">
        <v>102</v>
      </c>
      <c r="DN251" s="8">
        <v>103</v>
      </c>
      <c r="DO251" s="8">
        <v>104</v>
      </c>
      <c r="DP251" s="8">
        <v>105</v>
      </c>
      <c r="DQ251" s="8">
        <v>106</v>
      </c>
      <c r="DR251" s="8">
        <v>107</v>
      </c>
      <c r="DS251" s="8">
        <v>108</v>
      </c>
      <c r="DT251" s="8">
        <v>109</v>
      </c>
      <c r="DU251" s="8">
        <v>110</v>
      </c>
      <c r="DV251" s="8">
        <v>111</v>
      </c>
      <c r="DW251" s="8">
        <v>112</v>
      </c>
      <c r="DX251" s="8">
        <v>113</v>
      </c>
      <c r="DY251" s="8">
        <v>114</v>
      </c>
      <c r="DZ251" s="8">
        <v>115</v>
      </c>
      <c r="EA251" s="8">
        <v>116</v>
      </c>
      <c r="EB251" s="8">
        <v>117</v>
      </c>
      <c r="EC251" s="8">
        <v>118</v>
      </c>
      <c r="ED251" s="8">
        <v>119</v>
      </c>
      <c r="EE251" s="8">
        <v>120</v>
      </c>
      <c r="EF251" s="8">
        <v>121</v>
      </c>
      <c r="EG251" s="8">
        <v>122</v>
      </c>
      <c r="EH251" s="8">
        <v>123</v>
      </c>
      <c r="EI251" s="8">
        <v>124</v>
      </c>
      <c r="EJ251" s="8">
        <v>125</v>
      </c>
      <c r="EK251" s="8">
        <v>126</v>
      </c>
      <c r="EL251" s="8">
        <v>127</v>
      </c>
      <c r="EM251" s="8">
        <v>128</v>
      </c>
      <c r="EN251" s="8">
        <v>129</v>
      </c>
      <c r="EO251" s="8">
        <v>130</v>
      </c>
      <c r="EP251" s="8">
        <v>131</v>
      </c>
      <c r="EQ251" s="8">
        <v>132</v>
      </c>
      <c r="ER251" s="8">
        <v>133</v>
      </c>
      <c r="ES251" s="8">
        <v>134</v>
      </c>
      <c r="ET251" s="8">
        <v>135</v>
      </c>
      <c r="EU251" s="8">
        <v>136</v>
      </c>
      <c r="EV251" s="8">
        <v>137</v>
      </c>
      <c r="EW251" s="8">
        <v>138</v>
      </c>
      <c r="EX251" s="8">
        <v>139</v>
      </c>
      <c r="EY251" s="8">
        <v>140</v>
      </c>
      <c r="EZ251" s="8">
        <v>141</v>
      </c>
      <c r="FA251" s="8">
        <v>142</v>
      </c>
      <c r="FB251" s="8">
        <v>143</v>
      </c>
      <c r="FC251" s="8">
        <v>144</v>
      </c>
      <c r="FD251" s="8">
        <v>145</v>
      </c>
      <c r="FE251" s="8">
        <v>146</v>
      </c>
      <c r="FF251" s="8">
        <v>147</v>
      </c>
      <c r="FG251" s="8">
        <v>148</v>
      </c>
      <c r="FH251" s="8">
        <v>149</v>
      </c>
      <c r="FI251" s="8">
        <v>150</v>
      </c>
      <c r="FJ251" s="8">
        <v>151</v>
      </c>
      <c r="FK251" s="8">
        <v>152</v>
      </c>
      <c r="FL251" s="8">
        <v>153</v>
      </c>
      <c r="FM251" s="8">
        <v>154</v>
      </c>
      <c r="FN251" s="8">
        <v>155</v>
      </c>
      <c r="FO251" s="8">
        <v>156</v>
      </c>
      <c r="FP251" s="8">
        <v>157</v>
      </c>
      <c r="FQ251" s="8">
        <v>158</v>
      </c>
      <c r="FR251" s="8">
        <v>159</v>
      </c>
      <c r="FS251" s="8">
        <v>160</v>
      </c>
      <c r="FT251" s="8">
        <v>161</v>
      </c>
      <c r="FU251" s="8">
        <v>162</v>
      </c>
      <c r="FV251" s="8">
        <v>163</v>
      </c>
      <c r="FW251" s="8">
        <v>164</v>
      </c>
      <c r="FX251" s="8">
        <v>165</v>
      </c>
      <c r="FY251" s="8">
        <v>166</v>
      </c>
      <c r="FZ251" s="8">
        <v>167</v>
      </c>
      <c r="GA251" s="8">
        <v>168</v>
      </c>
      <c r="GB251" s="8">
        <v>169</v>
      </c>
      <c r="GC251" s="8">
        <v>170</v>
      </c>
      <c r="GD251" s="8">
        <v>171</v>
      </c>
      <c r="GE251" s="8">
        <v>172</v>
      </c>
      <c r="GF251" s="8">
        <v>173</v>
      </c>
      <c r="GG251" s="8">
        <v>174</v>
      </c>
      <c r="GH251" s="8">
        <v>175</v>
      </c>
      <c r="GI251" s="8">
        <v>176</v>
      </c>
      <c r="GJ251" s="8">
        <v>177</v>
      </c>
      <c r="GK251" s="8">
        <v>178</v>
      </c>
      <c r="GL251" s="8">
        <v>179</v>
      </c>
      <c r="GM251" s="8">
        <v>180</v>
      </c>
      <c r="GN251" s="8">
        <v>181</v>
      </c>
      <c r="GO251" s="8">
        <v>182</v>
      </c>
      <c r="GP251" s="8">
        <v>183</v>
      </c>
      <c r="GQ251" s="8">
        <v>184</v>
      </c>
      <c r="GR251" s="8">
        <v>185</v>
      </c>
      <c r="GS251" s="8">
        <v>186</v>
      </c>
      <c r="GT251" s="8">
        <v>187</v>
      </c>
      <c r="GU251" s="8">
        <v>188</v>
      </c>
      <c r="GV251" s="8">
        <v>189</v>
      </c>
      <c r="GW251" s="8">
        <v>190</v>
      </c>
      <c r="GX251" s="8">
        <v>191</v>
      </c>
      <c r="GY251" s="8">
        <v>192</v>
      </c>
      <c r="GZ251" s="8">
        <v>193</v>
      </c>
      <c r="HA251" s="8">
        <v>194</v>
      </c>
      <c r="HB251" s="8">
        <v>195</v>
      </c>
      <c r="HC251" s="8">
        <v>196</v>
      </c>
      <c r="HD251" s="8">
        <v>197</v>
      </c>
      <c r="HE251" s="8">
        <v>198</v>
      </c>
      <c r="HF251" s="8">
        <v>199</v>
      </c>
      <c r="HG251" s="8">
        <v>200</v>
      </c>
      <c r="HH251" s="8">
        <v>201</v>
      </c>
      <c r="HI251" s="8">
        <v>202</v>
      </c>
      <c r="HJ251" s="8">
        <v>203</v>
      </c>
      <c r="HK251" s="8">
        <v>204</v>
      </c>
      <c r="HL251" s="8">
        <v>205</v>
      </c>
      <c r="HM251" s="8">
        <v>206</v>
      </c>
      <c r="HN251" s="8">
        <v>207</v>
      </c>
      <c r="HO251" s="8">
        <v>208</v>
      </c>
      <c r="HP251" s="8">
        <v>209</v>
      </c>
      <c r="HQ251" s="8">
        <v>210</v>
      </c>
      <c r="HR251" s="8">
        <v>211</v>
      </c>
      <c r="HS251" s="8">
        <v>212</v>
      </c>
      <c r="HT251" s="8">
        <v>213</v>
      </c>
      <c r="HU251" s="8">
        <v>214</v>
      </c>
      <c r="HV251" s="8">
        <v>215</v>
      </c>
      <c r="HW251" s="8">
        <v>216</v>
      </c>
      <c r="HX251" s="8">
        <v>217</v>
      </c>
      <c r="HY251" s="8">
        <v>218</v>
      </c>
      <c r="HZ251" s="8">
        <v>219</v>
      </c>
      <c r="IA251" s="8">
        <v>220</v>
      </c>
      <c r="IB251" s="8">
        <v>221</v>
      </c>
      <c r="IC251" s="8">
        <v>222</v>
      </c>
    </row>
    <row r="252" spans="1:257">
      <c r="A252" s="78"/>
      <c r="B252" s="78"/>
      <c r="C252" s="7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7"/>
      <c r="P252" s="50" t="s">
        <v>8</v>
      </c>
      <c r="Q252" s="50" t="s">
        <v>8</v>
      </c>
      <c r="R252" s="50" t="s">
        <v>8</v>
      </c>
      <c r="S252" s="50" t="s">
        <v>8</v>
      </c>
      <c r="T252" s="50" t="s">
        <v>8</v>
      </c>
      <c r="U252" s="50" t="s">
        <v>8</v>
      </c>
      <c r="V252" s="50" t="s">
        <v>8</v>
      </c>
      <c r="W252" s="50" t="s">
        <v>8</v>
      </c>
      <c r="X252" s="50" t="s">
        <v>8</v>
      </c>
      <c r="Y252" s="50" t="s">
        <v>8</v>
      </c>
      <c r="Z252" s="50" t="s">
        <v>8</v>
      </c>
      <c r="AA252" s="50" t="s">
        <v>8</v>
      </c>
      <c r="AB252" s="50" t="s">
        <v>8</v>
      </c>
      <c r="AC252" s="50" t="s">
        <v>8</v>
      </c>
      <c r="AD252" s="50" t="s">
        <v>8</v>
      </c>
      <c r="AE252" s="50" t="s">
        <v>8</v>
      </c>
      <c r="AF252" s="50" t="s">
        <v>8</v>
      </c>
      <c r="AG252" s="50" t="s">
        <v>8</v>
      </c>
      <c r="AH252" s="50" t="s">
        <v>8</v>
      </c>
      <c r="AI252" s="50" t="s">
        <v>8</v>
      </c>
      <c r="AJ252" s="50" t="s">
        <v>8</v>
      </c>
      <c r="AK252" s="50" t="s">
        <v>8</v>
      </c>
      <c r="AL252" s="50" t="s">
        <v>8</v>
      </c>
      <c r="AM252" s="50" t="s">
        <v>8</v>
      </c>
      <c r="AN252" s="50" t="s">
        <v>8</v>
      </c>
      <c r="AO252" s="50" t="s">
        <v>8</v>
      </c>
      <c r="AP252" s="50" t="s">
        <v>8</v>
      </c>
      <c r="AQ252" s="50" t="s">
        <v>8</v>
      </c>
      <c r="AR252" s="50" t="s">
        <v>8</v>
      </c>
      <c r="AS252" s="50" t="s">
        <v>8</v>
      </c>
      <c r="AT252" s="50" t="s">
        <v>8</v>
      </c>
      <c r="AU252" s="50" t="s">
        <v>8</v>
      </c>
      <c r="AV252" s="50" t="s">
        <v>8</v>
      </c>
      <c r="AW252" s="50" t="s">
        <v>8</v>
      </c>
      <c r="AX252" s="50" t="s">
        <v>8</v>
      </c>
      <c r="AY252" s="50" t="s">
        <v>8</v>
      </c>
      <c r="AZ252" s="50" t="s">
        <v>8</v>
      </c>
      <c r="BA252" s="50" t="s">
        <v>8</v>
      </c>
      <c r="BB252" s="50" t="s">
        <v>8</v>
      </c>
      <c r="BC252" s="50" t="s">
        <v>8</v>
      </c>
      <c r="BD252" s="50" t="s">
        <v>8</v>
      </c>
      <c r="BE252" s="50" t="s">
        <v>8</v>
      </c>
      <c r="BF252" s="50" t="s">
        <v>8</v>
      </c>
      <c r="BG252" s="50" t="s">
        <v>8</v>
      </c>
      <c r="BH252" s="50" t="s">
        <v>8</v>
      </c>
      <c r="BI252" s="50" t="s">
        <v>8</v>
      </c>
      <c r="BJ252" s="50" t="s">
        <v>8</v>
      </c>
      <c r="BK252" s="50" t="s">
        <v>8</v>
      </c>
      <c r="BL252" s="50" t="s">
        <v>8</v>
      </c>
      <c r="BM252" s="50" t="s">
        <v>8</v>
      </c>
      <c r="BN252" s="50" t="s">
        <v>8</v>
      </c>
      <c r="BO252" s="50" t="s">
        <v>8</v>
      </c>
      <c r="BP252" s="50" t="s">
        <v>8</v>
      </c>
      <c r="BQ252" s="50" t="s">
        <v>8</v>
      </c>
      <c r="BR252" s="50" t="s">
        <v>8</v>
      </c>
      <c r="BS252" s="50" t="s">
        <v>8</v>
      </c>
      <c r="BT252" s="50" t="s">
        <v>8</v>
      </c>
      <c r="BU252" s="50" t="s">
        <v>8</v>
      </c>
      <c r="BV252" s="50" t="s">
        <v>8</v>
      </c>
      <c r="BW252" s="50" t="s">
        <v>8</v>
      </c>
      <c r="BX252" s="50" t="s">
        <v>8</v>
      </c>
      <c r="BY252" s="50" t="s">
        <v>8</v>
      </c>
      <c r="BZ252" s="50" t="s">
        <v>8</v>
      </c>
      <c r="CA252" s="50" t="s">
        <v>8</v>
      </c>
      <c r="CB252" s="50" t="s">
        <v>8</v>
      </c>
      <c r="CC252" s="50" t="s">
        <v>8</v>
      </c>
      <c r="CD252" s="50" t="s">
        <v>8</v>
      </c>
      <c r="CE252" s="50" t="s">
        <v>8</v>
      </c>
      <c r="CF252" s="50" t="s">
        <v>8</v>
      </c>
      <c r="CG252" s="50" t="s">
        <v>8</v>
      </c>
      <c r="CH252" s="50" t="s">
        <v>8</v>
      </c>
      <c r="CI252" s="50" t="s">
        <v>8</v>
      </c>
      <c r="CJ252" s="50" t="s">
        <v>8</v>
      </c>
      <c r="CK252" s="50" t="s">
        <v>8</v>
      </c>
      <c r="CL252" s="50" t="s">
        <v>8</v>
      </c>
      <c r="CM252" s="50" t="s">
        <v>8</v>
      </c>
      <c r="CN252" s="50" t="s">
        <v>8</v>
      </c>
      <c r="CO252" s="50" t="s">
        <v>8</v>
      </c>
      <c r="CP252" s="50" t="s">
        <v>8</v>
      </c>
      <c r="CQ252" s="50" t="s">
        <v>8</v>
      </c>
      <c r="CR252" s="50" t="s">
        <v>8</v>
      </c>
      <c r="CS252" s="50" t="s">
        <v>8</v>
      </c>
      <c r="CT252" s="50" t="s">
        <v>8</v>
      </c>
      <c r="CU252" s="50" t="s">
        <v>8</v>
      </c>
      <c r="CV252" s="50" t="s">
        <v>8</v>
      </c>
      <c r="CW252" s="50" t="s">
        <v>8</v>
      </c>
      <c r="CX252" s="50" t="s">
        <v>8</v>
      </c>
      <c r="CY252" s="50" t="s">
        <v>8</v>
      </c>
      <c r="CZ252" s="50" t="s">
        <v>8</v>
      </c>
      <c r="DA252" s="50" t="s">
        <v>8</v>
      </c>
      <c r="DB252" s="50" t="s">
        <v>8</v>
      </c>
      <c r="DC252" s="50" t="s">
        <v>8</v>
      </c>
      <c r="DD252" s="50" t="s">
        <v>8</v>
      </c>
      <c r="DE252" s="50" t="s">
        <v>8</v>
      </c>
      <c r="DF252" s="50" t="s">
        <v>8</v>
      </c>
      <c r="DG252" s="50" t="s">
        <v>8</v>
      </c>
      <c r="DH252" s="50" t="s">
        <v>8</v>
      </c>
      <c r="DI252" s="50" t="s">
        <v>8</v>
      </c>
      <c r="DJ252" s="50" t="s">
        <v>8</v>
      </c>
      <c r="DK252" s="50" t="s">
        <v>8</v>
      </c>
      <c r="DL252" s="50" t="s">
        <v>8</v>
      </c>
      <c r="DM252" s="50" t="s">
        <v>8</v>
      </c>
      <c r="DN252" s="50" t="s">
        <v>8</v>
      </c>
      <c r="DO252" s="50" t="s">
        <v>8</v>
      </c>
      <c r="DP252" s="50" t="s">
        <v>8</v>
      </c>
      <c r="DQ252" s="50" t="s">
        <v>8</v>
      </c>
      <c r="DR252" s="50" t="s">
        <v>8</v>
      </c>
      <c r="DS252" s="50" t="s">
        <v>8</v>
      </c>
      <c r="DT252" s="50" t="s">
        <v>8</v>
      </c>
      <c r="DU252" s="50" t="s">
        <v>8</v>
      </c>
      <c r="DV252" s="50" t="s">
        <v>8</v>
      </c>
      <c r="DW252" s="50" t="s">
        <v>8</v>
      </c>
      <c r="DX252" s="50" t="s">
        <v>8</v>
      </c>
      <c r="DY252" s="50" t="s">
        <v>8</v>
      </c>
      <c r="DZ252" s="50" t="s">
        <v>8</v>
      </c>
      <c r="EA252" s="50" t="s">
        <v>8</v>
      </c>
      <c r="EB252" s="50" t="s">
        <v>8</v>
      </c>
      <c r="EC252" s="50" t="s">
        <v>8</v>
      </c>
      <c r="ED252" s="50" t="s">
        <v>8</v>
      </c>
      <c r="EE252" s="50" t="s">
        <v>8</v>
      </c>
      <c r="EF252" s="50" t="s">
        <v>8</v>
      </c>
      <c r="EG252" s="50" t="s">
        <v>8</v>
      </c>
      <c r="EH252" s="50" t="s">
        <v>8</v>
      </c>
      <c r="EI252" s="50" t="s">
        <v>8</v>
      </c>
      <c r="EJ252" s="50" t="s">
        <v>8</v>
      </c>
      <c r="EK252" s="50" t="s">
        <v>8</v>
      </c>
      <c r="EL252" s="50" t="s">
        <v>8</v>
      </c>
      <c r="EM252" s="50" t="s">
        <v>8</v>
      </c>
      <c r="EN252" s="50" t="s">
        <v>8</v>
      </c>
      <c r="EO252" s="50" t="s">
        <v>8</v>
      </c>
      <c r="EP252" s="50" t="s">
        <v>8</v>
      </c>
      <c r="EQ252" s="50" t="s">
        <v>8</v>
      </c>
      <c r="ER252" s="50" t="s">
        <v>8</v>
      </c>
      <c r="ES252" s="50" t="s">
        <v>8</v>
      </c>
      <c r="ET252" s="50" t="s">
        <v>8</v>
      </c>
      <c r="EU252" s="50" t="s">
        <v>8</v>
      </c>
      <c r="EV252" s="50" t="s">
        <v>8</v>
      </c>
      <c r="EW252" s="50" t="s">
        <v>8</v>
      </c>
      <c r="EX252" s="50" t="s">
        <v>8</v>
      </c>
      <c r="EY252" s="50" t="s">
        <v>8</v>
      </c>
      <c r="EZ252" s="50" t="s">
        <v>8</v>
      </c>
      <c r="FA252" s="50" t="s">
        <v>8</v>
      </c>
      <c r="FB252" s="50" t="s">
        <v>8</v>
      </c>
      <c r="FC252" s="50" t="s">
        <v>8</v>
      </c>
      <c r="FD252" s="50" t="s">
        <v>8</v>
      </c>
      <c r="FE252" s="50" t="s">
        <v>8</v>
      </c>
      <c r="FF252" s="50" t="s">
        <v>8</v>
      </c>
      <c r="FG252" s="50" t="s">
        <v>8</v>
      </c>
      <c r="FH252" s="50" t="s">
        <v>8</v>
      </c>
      <c r="FI252" s="50" t="s">
        <v>8</v>
      </c>
      <c r="FJ252" s="50" t="s">
        <v>8</v>
      </c>
      <c r="FK252" s="50" t="s">
        <v>8</v>
      </c>
      <c r="FL252" s="50" t="s">
        <v>8</v>
      </c>
      <c r="FM252" s="50" t="s">
        <v>8</v>
      </c>
      <c r="FN252" s="50" t="s">
        <v>8</v>
      </c>
      <c r="FO252" s="50" t="s">
        <v>8</v>
      </c>
      <c r="FP252" s="50" t="s">
        <v>8</v>
      </c>
      <c r="FQ252" s="50" t="s">
        <v>8</v>
      </c>
      <c r="FR252" s="50" t="s">
        <v>8</v>
      </c>
      <c r="FS252" s="50" t="s">
        <v>8</v>
      </c>
      <c r="FT252" s="50" t="s">
        <v>8</v>
      </c>
      <c r="FU252" s="50" t="s">
        <v>8</v>
      </c>
      <c r="FV252" s="50" t="s">
        <v>8</v>
      </c>
      <c r="FW252" s="50" t="s">
        <v>8</v>
      </c>
      <c r="FX252" s="50" t="s">
        <v>8</v>
      </c>
      <c r="FY252" s="50" t="s">
        <v>8</v>
      </c>
      <c r="FZ252" s="50" t="s">
        <v>8</v>
      </c>
      <c r="GA252" s="50" t="s">
        <v>8</v>
      </c>
      <c r="GB252" s="50" t="s">
        <v>8</v>
      </c>
      <c r="GC252" s="50" t="s">
        <v>8</v>
      </c>
      <c r="GD252" s="50" t="s">
        <v>8</v>
      </c>
      <c r="GE252" s="50" t="s">
        <v>8</v>
      </c>
      <c r="GF252" s="50" t="s">
        <v>8</v>
      </c>
      <c r="GG252" s="50" t="s">
        <v>8</v>
      </c>
      <c r="GH252" s="50" t="s">
        <v>8</v>
      </c>
      <c r="GI252" s="50" t="s">
        <v>8</v>
      </c>
      <c r="GJ252" s="50" t="s">
        <v>8</v>
      </c>
      <c r="GK252" s="50" t="s">
        <v>8</v>
      </c>
      <c r="GL252" s="50" t="s">
        <v>8</v>
      </c>
      <c r="GM252" s="50" t="s">
        <v>8</v>
      </c>
      <c r="GN252" s="50" t="s">
        <v>8</v>
      </c>
      <c r="GO252" s="50" t="s">
        <v>8</v>
      </c>
      <c r="GP252" s="50" t="s">
        <v>8</v>
      </c>
      <c r="GQ252" s="50" t="s">
        <v>8</v>
      </c>
      <c r="GR252" s="50" t="s">
        <v>8</v>
      </c>
      <c r="GS252" s="50" t="s">
        <v>8</v>
      </c>
      <c r="GT252" s="50" t="s">
        <v>8</v>
      </c>
      <c r="GU252" s="50" t="s">
        <v>8</v>
      </c>
      <c r="GV252" s="50" t="s">
        <v>8</v>
      </c>
      <c r="GW252" s="50" t="s">
        <v>8</v>
      </c>
      <c r="GX252" s="50" t="s">
        <v>8</v>
      </c>
      <c r="GY252" s="50" t="s">
        <v>8</v>
      </c>
      <c r="GZ252" s="50" t="s">
        <v>8</v>
      </c>
      <c r="HA252" s="50" t="s">
        <v>8</v>
      </c>
      <c r="HB252" s="50" t="s">
        <v>8</v>
      </c>
      <c r="HC252" s="50" t="s">
        <v>8</v>
      </c>
      <c r="HD252" s="50" t="s">
        <v>8</v>
      </c>
      <c r="HE252" s="50" t="s">
        <v>8</v>
      </c>
      <c r="HF252" s="50" t="s">
        <v>8</v>
      </c>
      <c r="HG252" s="50" t="s">
        <v>8</v>
      </c>
      <c r="HH252" s="50" t="s">
        <v>8</v>
      </c>
      <c r="HI252" s="50" t="s">
        <v>8</v>
      </c>
      <c r="HJ252" s="50" t="s">
        <v>8</v>
      </c>
      <c r="HK252" s="50" t="s">
        <v>8</v>
      </c>
      <c r="HL252" s="50" t="s">
        <v>8</v>
      </c>
      <c r="HM252" s="50" t="s">
        <v>8</v>
      </c>
      <c r="HN252" s="50" t="s">
        <v>8</v>
      </c>
      <c r="HO252" s="50" t="s">
        <v>8</v>
      </c>
      <c r="HP252" s="50" t="s">
        <v>8</v>
      </c>
      <c r="HQ252" s="50" t="s">
        <v>8</v>
      </c>
      <c r="HR252" s="50" t="s">
        <v>8</v>
      </c>
      <c r="HS252" s="50" t="s">
        <v>8</v>
      </c>
      <c r="HT252" s="50" t="s">
        <v>8</v>
      </c>
      <c r="HU252" s="50" t="s">
        <v>8</v>
      </c>
      <c r="HV252" s="50" t="s">
        <v>8</v>
      </c>
      <c r="HW252" s="50" t="s">
        <v>8</v>
      </c>
      <c r="HX252" s="50" t="s">
        <v>8</v>
      </c>
      <c r="HY252" s="50" t="s">
        <v>8</v>
      </c>
      <c r="HZ252" s="50" t="s">
        <v>8</v>
      </c>
      <c r="IA252" s="50" t="s">
        <v>8</v>
      </c>
      <c r="IB252" s="50" t="s">
        <v>8</v>
      </c>
      <c r="IC252" s="50" t="s">
        <v>8</v>
      </c>
    </row>
    <row r="253" spans="1:257">
      <c r="A253" s="4" t="s">
        <v>522</v>
      </c>
      <c r="B253" s="82" t="str">
        <f t="array" ref="B253">_xlfn.LET(
  _xlpm.dates, _xlfn._xlws.FILTER(P253:HO253, (P255:HO255&lt;&gt;"")+(P257:HO257&lt;&gt;"")),
  _xlpm.numDates, IFERROR(VALUE(_xlpm.dates), _xlpm.dates),
  _xlpm.first, TEXT(MIN(_xlpm.numDates), "m/dd"),
  _xlpm.last, TEXT(MAX(_xlpm.numDates), "m/dd"),
  _xlpm.first &amp; "~" &amp; _xlpm.last
)</f>
        <v>3/27~4/27</v>
      </c>
      <c r="C253" s="7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 t="s">
        <v>522</v>
      </c>
      <c r="P253" s="3">
        <v>46107</v>
      </c>
      <c r="Q253" s="3">
        <v>46108</v>
      </c>
      <c r="R253" s="3">
        <v>46109</v>
      </c>
      <c r="S253" s="3">
        <v>46110</v>
      </c>
      <c r="T253" s="3">
        <v>46111</v>
      </c>
      <c r="U253" s="3">
        <v>46112</v>
      </c>
      <c r="V253" s="3">
        <v>46113</v>
      </c>
      <c r="W253" s="3">
        <v>46114</v>
      </c>
      <c r="X253" s="3">
        <v>46115</v>
      </c>
      <c r="Y253" s="3">
        <v>46116</v>
      </c>
      <c r="Z253" s="3">
        <v>46117</v>
      </c>
      <c r="AA253" s="3">
        <v>46118</v>
      </c>
      <c r="AB253" s="3">
        <v>46119</v>
      </c>
      <c r="AC253" s="3">
        <v>46120</v>
      </c>
      <c r="AD253" s="3">
        <v>46121</v>
      </c>
      <c r="AE253" s="3">
        <v>46122</v>
      </c>
      <c r="AF253" s="3">
        <v>46123</v>
      </c>
      <c r="AG253" s="3">
        <v>46124</v>
      </c>
      <c r="AH253" s="3">
        <v>46125</v>
      </c>
      <c r="AI253" s="3">
        <v>46126</v>
      </c>
      <c r="AJ253" s="3">
        <v>46127</v>
      </c>
      <c r="AK253" s="3">
        <v>46128</v>
      </c>
      <c r="AL253" s="3">
        <v>46129</v>
      </c>
      <c r="AM253" s="3">
        <v>46130</v>
      </c>
      <c r="AN253" s="3">
        <v>46131</v>
      </c>
      <c r="AO253" s="3">
        <v>46132</v>
      </c>
      <c r="AP253" s="3">
        <v>46133</v>
      </c>
      <c r="AQ253" s="3">
        <v>46134</v>
      </c>
      <c r="AR253" s="3">
        <v>46135</v>
      </c>
      <c r="AS253" s="3">
        <v>46136</v>
      </c>
      <c r="AT253" s="3">
        <v>46137</v>
      </c>
      <c r="AU253" s="3">
        <v>46138</v>
      </c>
      <c r="AV253" s="3">
        <v>46139</v>
      </c>
      <c r="AW253" s="3">
        <v>46140</v>
      </c>
      <c r="AX253" s="3">
        <v>46141</v>
      </c>
      <c r="AY253" s="3">
        <v>46142</v>
      </c>
      <c r="AZ253" s="3">
        <v>46143</v>
      </c>
      <c r="BA253" s="3">
        <v>46144</v>
      </c>
      <c r="BB253" s="3">
        <v>46145</v>
      </c>
      <c r="BC253" s="3">
        <v>46146</v>
      </c>
      <c r="BD253" s="3">
        <v>46147</v>
      </c>
      <c r="BE253" s="3">
        <v>46148</v>
      </c>
      <c r="BF253" s="3">
        <v>46149</v>
      </c>
      <c r="BG253" s="3">
        <v>46150</v>
      </c>
      <c r="BH253" s="3">
        <v>46151</v>
      </c>
      <c r="BI253" s="3">
        <v>46152</v>
      </c>
      <c r="BJ253" s="3">
        <v>46153</v>
      </c>
      <c r="BK253" s="3">
        <v>46154</v>
      </c>
      <c r="BL253" s="3">
        <v>46155</v>
      </c>
      <c r="BM253" s="3">
        <v>46156</v>
      </c>
      <c r="BN253" s="3">
        <v>46157</v>
      </c>
      <c r="BO253" s="3">
        <v>46158</v>
      </c>
      <c r="BP253" s="3">
        <v>46159</v>
      </c>
      <c r="BQ253" s="3">
        <v>46160</v>
      </c>
      <c r="BR253" s="3">
        <v>46161</v>
      </c>
      <c r="BS253" s="3">
        <v>46162</v>
      </c>
      <c r="BT253" s="3">
        <v>46163</v>
      </c>
      <c r="BU253" s="3">
        <v>46164</v>
      </c>
      <c r="BV253" s="3">
        <v>46165</v>
      </c>
      <c r="BW253" s="3">
        <v>46166</v>
      </c>
      <c r="BX253" s="3">
        <v>46167</v>
      </c>
      <c r="BY253" s="3">
        <v>46168</v>
      </c>
      <c r="BZ253" s="3">
        <v>46169</v>
      </c>
      <c r="CA253" s="3">
        <v>46170</v>
      </c>
      <c r="CB253" s="3">
        <v>46171</v>
      </c>
      <c r="CC253" s="3">
        <v>46172</v>
      </c>
      <c r="CD253" s="3">
        <v>46173</v>
      </c>
      <c r="CE253" s="3">
        <v>46174</v>
      </c>
      <c r="CF253" s="3">
        <v>46175</v>
      </c>
      <c r="CG253" s="3">
        <v>46176</v>
      </c>
      <c r="CH253" s="3">
        <v>46177</v>
      </c>
      <c r="CI253" s="3">
        <v>46178</v>
      </c>
      <c r="CJ253" s="3">
        <v>46179</v>
      </c>
      <c r="CK253" s="3">
        <v>46180</v>
      </c>
      <c r="CL253" s="3">
        <v>46181</v>
      </c>
      <c r="CM253" s="3">
        <v>46182</v>
      </c>
      <c r="CN253" s="3">
        <v>46183</v>
      </c>
      <c r="CO253" s="3">
        <v>46184</v>
      </c>
      <c r="CP253" s="3">
        <v>46185</v>
      </c>
      <c r="CQ253" s="3">
        <v>46186</v>
      </c>
      <c r="CR253" s="3">
        <v>46187</v>
      </c>
      <c r="CS253" s="3">
        <v>46188</v>
      </c>
      <c r="CT253" s="3">
        <v>46189</v>
      </c>
      <c r="CU253" s="3">
        <v>46190</v>
      </c>
      <c r="CV253" s="3">
        <v>46191</v>
      </c>
      <c r="CW253" s="3">
        <v>46192</v>
      </c>
      <c r="CX253" s="3">
        <v>46193</v>
      </c>
      <c r="CY253" s="3">
        <v>46194</v>
      </c>
      <c r="CZ253" s="3">
        <v>46195</v>
      </c>
      <c r="DA253" s="3">
        <v>46196</v>
      </c>
      <c r="DB253" s="3">
        <v>46197</v>
      </c>
      <c r="DC253" s="3">
        <v>46198</v>
      </c>
      <c r="DD253" s="3">
        <v>46199</v>
      </c>
      <c r="DE253" s="3">
        <v>46200</v>
      </c>
      <c r="DF253" s="3">
        <v>46201</v>
      </c>
      <c r="DG253" s="3">
        <v>46202</v>
      </c>
      <c r="DH253" s="3">
        <v>46203</v>
      </c>
      <c r="DI253" s="3">
        <v>46204</v>
      </c>
      <c r="DJ253" s="3">
        <v>46205</v>
      </c>
      <c r="DK253" s="3">
        <v>46206</v>
      </c>
      <c r="DL253" s="3">
        <v>46207</v>
      </c>
      <c r="DM253" s="3">
        <v>46208</v>
      </c>
      <c r="DN253" s="3">
        <v>46209</v>
      </c>
      <c r="DO253" s="3">
        <v>46210</v>
      </c>
      <c r="DP253" s="3">
        <v>46211</v>
      </c>
      <c r="DQ253" s="3">
        <v>46212</v>
      </c>
      <c r="DR253" s="3">
        <v>46213</v>
      </c>
      <c r="DS253" s="3">
        <v>46214</v>
      </c>
      <c r="DT253" s="3">
        <v>46215</v>
      </c>
      <c r="DU253" s="3">
        <v>46216</v>
      </c>
      <c r="DV253" s="3">
        <v>46217</v>
      </c>
      <c r="DW253" s="3">
        <v>46218</v>
      </c>
      <c r="DX253" s="3">
        <v>46219</v>
      </c>
      <c r="DY253" s="3">
        <v>46220</v>
      </c>
      <c r="DZ253" s="3">
        <v>46221</v>
      </c>
      <c r="EA253" s="3">
        <v>46222</v>
      </c>
      <c r="EB253" s="3">
        <v>46223</v>
      </c>
      <c r="EC253" s="3">
        <v>46224</v>
      </c>
      <c r="ED253" s="3">
        <v>46225</v>
      </c>
      <c r="EE253" s="3">
        <v>46226</v>
      </c>
      <c r="EF253" s="3">
        <v>46227</v>
      </c>
      <c r="EG253" s="3">
        <v>46228</v>
      </c>
      <c r="EH253" s="3">
        <v>46229</v>
      </c>
      <c r="EI253" s="3">
        <v>46230</v>
      </c>
      <c r="EJ253" s="3">
        <v>46231</v>
      </c>
      <c r="EK253" s="3">
        <v>46232</v>
      </c>
      <c r="EL253" s="3">
        <v>46233</v>
      </c>
      <c r="EM253" s="3">
        <v>46234</v>
      </c>
      <c r="EN253" s="3">
        <v>46235</v>
      </c>
      <c r="EO253" s="3">
        <v>46236</v>
      </c>
      <c r="EP253" s="3">
        <v>46237</v>
      </c>
      <c r="EQ253" s="3">
        <v>46238</v>
      </c>
      <c r="ER253" s="3">
        <v>46239</v>
      </c>
      <c r="ES253" s="3">
        <v>46240</v>
      </c>
      <c r="ET253" s="3">
        <v>46241</v>
      </c>
      <c r="EU253" s="3">
        <v>46242</v>
      </c>
      <c r="EV253" s="3">
        <v>46243</v>
      </c>
      <c r="EW253" s="3">
        <v>46244</v>
      </c>
      <c r="EX253" s="3">
        <v>46245</v>
      </c>
      <c r="EY253" s="3">
        <v>46246</v>
      </c>
      <c r="EZ253" s="3">
        <v>46247</v>
      </c>
      <c r="FA253" s="3">
        <v>46248</v>
      </c>
      <c r="FB253" s="3">
        <v>46249</v>
      </c>
      <c r="FC253" s="3">
        <v>46250</v>
      </c>
      <c r="FD253" s="3">
        <v>46251</v>
      </c>
      <c r="FE253" s="3">
        <v>46252</v>
      </c>
      <c r="FF253" s="3">
        <v>46253</v>
      </c>
      <c r="FG253" s="3">
        <v>46254</v>
      </c>
      <c r="FH253" s="3">
        <v>46255</v>
      </c>
      <c r="FI253" s="3">
        <v>46256</v>
      </c>
      <c r="FJ253" s="3">
        <v>46257</v>
      </c>
      <c r="FK253" s="3">
        <v>46258</v>
      </c>
      <c r="FL253" s="3">
        <v>46259</v>
      </c>
      <c r="FM253" s="3">
        <v>46260</v>
      </c>
      <c r="FN253" s="3">
        <v>46261</v>
      </c>
      <c r="FO253" s="3">
        <v>46262</v>
      </c>
      <c r="FP253" s="3">
        <v>46263</v>
      </c>
      <c r="FQ253" s="3">
        <v>46264</v>
      </c>
      <c r="FR253" s="3">
        <v>46265</v>
      </c>
      <c r="FS253" s="3">
        <v>46266</v>
      </c>
      <c r="FT253" s="3">
        <v>46267</v>
      </c>
      <c r="FU253" s="3">
        <v>46268</v>
      </c>
      <c r="FV253" s="3">
        <v>46269</v>
      </c>
      <c r="FW253" s="3">
        <v>46270</v>
      </c>
      <c r="FX253" s="3">
        <v>46271</v>
      </c>
      <c r="FY253" s="3">
        <v>46272</v>
      </c>
      <c r="FZ253" s="3">
        <v>46273</v>
      </c>
      <c r="GA253" s="3">
        <v>46274</v>
      </c>
      <c r="GB253" s="3">
        <v>46275</v>
      </c>
      <c r="GC253" s="3">
        <v>46276</v>
      </c>
      <c r="GD253" s="3">
        <v>46277</v>
      </c>
      <c r="GE253" s="3">
        <v>46278</v>
      </c>
      <c r="GF253" s="3">
        <v>46279</v>
      </c>
      <c r="GG253" s="3">
        <v>46280</v>
      </c>
      <c r="GH253" s="3">
        <v>46281</v>
      </c>
      <c r="GI253" s="3">
        <v>46282</v>
      </c>
      <c r="GJ253" s="3">
        <v>46283</v>
      </c>
      <c r="GK253" s="3">
        <v>46284</v>
      </c>
      <c r="GL253" s="3">
        <v>46285</v>
      </c>
      <c r="GM253" s="3">
        <v>46286</v>
      </c>
      <c r="GN253" s="3">
        <v>46287</v>
      </c>
      <c r="GO253" s="3">
        <v>46288</v>
      </c>
      <c r="GP253" s="3">
        <v>46289</v>
      </c>
      <c r="GQ253" s="3">
        <v>46290</v>
      </c>
      <c r="GR253" s="3">
        <v>46291</v>
      </c>
      <c r="GS253" s="3">
        <v>46292</v>
      </c>
      <c r="GT253" s="3">
        <v>46293</v>
      </c>
      <c r="GU253" s="3">
        <v>46294</v>
      </c>
      <c r="GV253" s="3">
        <v>46295</v>
      </c>
      <c r="GW253" s="3">
        <v>46296</v>
      </c>
      <c r="GX253" s="3">
        <v>46297</v>
      </c>
      <c r="GY253" s="3">
        <v>46298</v>
      </c>
      <c r="GZ253" s="3">
        <v>46299</v>
      </c>
      <c r="HA253" s="3">
        <v>46300</v>
      </c>
      <c r="HB253" s="3">
        <v>46301</v>
      </c>
      <c r="HC253" s="3">
        <v>46302</v>
      </c>
      <c r="HD253" s="3">
        <v>46303</v>
      </c>
      <c r="HE253" s="3">
        <v>46304</v>
      </c>
      <c r="HF253" s="3">
        <v>46305</v>
      </c>
      <c r="HG253" s="3">
        <v>46306</v>
      </c>
      <c r="HH253" s="3">
        <v>46307</v>
      </c>
      <c r="HI253" s="3">
        <v>46308</v>
      </c>
      <c r="HJ253" s="3">
        <v>46309</v>
      </c>
      <c r="HK253" s="3">
        <v>46310</v>
      </c>
      <c r="HL253" s="3">
        <v>46311</v>
      </c>
      <c r="HM253" s="3">
        <v>46312</v>
      </c>
      <c r="HN253" s="3">
        <v>46313</v>
      </c>
      <c r="HO253" s="3">
        <v>46314</v>
      </c>
      <c r="HP253" s="3">
        <v>46315</v>
      </c>
      <c r="HQ253" s="3">
        <v>46316</v>
      </c>
      <c r="HR253" s="3">
        <v>46317</v>
      </c>
      <c r="HS253" s="3">
        <v>46318</v>
      </c>
      <c r="HT253" s="3">
        <v>46319</v>
      </c>
      <c r="HU253" s="3">
        <v>46320</v>
      </c>
      <c r="HV253" s="3">
        <v>46321</v>
      </c>
      <c r="HW253" s="3">
        <v>46322</v>
      </c>
      <c r="HX253" s="3">
        <v>46323</v>
      </c>
      <c r="HY253" s="3">
        <v>46324</v>
      </c>
      <c r="HZ253" s="3">
        <v>46325</v>
      </c>
      <c r="IA253" s="3">
        <v>46326</v>
      </c>
      <c r="IB253" s="3">
        <v>46327</v>
      </c>
      <c r="IC253" s="3">
        <v>46328</v>
      </c>
    </row>
    <row r="254" spans="1:257">
      <c r="A254" s="4" t="s">
        <v>694</v>
      </c>
      <c r="B254" s="82" t="str">
        <f t="array" ref="B254">COLUMNS(_xlfn._xlws.FILTER(P253:HO253, (P255:HO255&lt;&gt;"")+(P257:HO257&lt;&gt;""))) &amp; "場"</f>
        <v>26場</v>
      </c>
      <c r="C254" s="7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 t="s">
        <v>675</v>
      </c>
      <c r="P254" s="3" t="s">
        <v>676</v>
      </c>
      <c r="Q254" s="3" t="s">
        <v>677</v>
      </c>
      <c r="R254" s="3" t="s">
        <v>678</v>
      </c>
      <c r="S254" s="3" t="s">
        <v>679</v>
      </c>
      <c r="T254" s="3" t="s">
        <v>680</v>
      </c>
      <c r="U254" s="3" t="s">
        <v>681</v>
      </c>
      <c r="V254" s="3" t="s">
        <v>682</v>
      </c>
      <c r="W254" s="3" t="s">
        <v>676</v>
      </c>
      <c r="X254" s="3" t="s">
        <v>677</v>
      </c>
      <c r="Y254" s="3" t="s">
        <v>678</v>
      </c>
      <c r="Z254" s="3" t="s">
        <v>679</v>
      </c>
      <c r="AA254" s="3" t="s">
        <v>680</v>
      </c>
      <c r="AB254" s="3" t="s">
        <v>681</v>
      </c>
      <c r="AC254" s="3" t="s">
        <v>682</v>
      </c>
      <c r="AD254" s="3" t="s">
        <v>676</v>
      </c>
      <c r="AE254" s="3" t="s">
        <v>677</v>
      </c>
      <c r="AF254" s="3" t="s">
        <v>678</v>
      </c>
      <c r="AG254" s="3" t="s">
        <v>679</v>
      </c>
      <c r="AH254" s="3" t="s">
        <v>680</v>
      </c>
      <c r="AI254" s="3" t="s">
        <v>681</v>
      </c>
      <c r="AJ254" s="3" t="s">
        <v>682</v>
      </c>
      <c r="AK254" s="3" t="s">
        <v>676</v>
      </c>
      <c r="AL254" s="3" t="s">
        <v>677</v>
      </c>
      <c r="AM254" s="3" t="s">
        <v>678</v>
      </c>
      <c r="AN254" s="3" t="s">
        <v>679</v>
      </c>
      <c r="AO254" s="3" t="s">
        <v>680</v>
      </c>
      <c r="AP254" s="3" t="s">
        <v>681</v>
      </c>
      <c r="AQ254" s="3" t="s">
        <v>682</v>
      </c>
      <c r="AR254" s="3" t="s">
        <v>676</v>
      </c>
      <c r="AS254" s="3" t="s">
        <v>677</v>
      </c>
      <c r="AT254" s="3" t="s">
        <v>678</v>
      </c>
      <c r="AU254" s="3" t="s">
        <v>679</v>
      </c>
      <c r="AV254" s="3" t="s">
        <v>680</v>
      </c>
      <c r="AW254" s="3" t="s">
        <v>681</v>
      </c>
      <c r="AX254" s="3" t="s">
        <v>682</v>
      </c>
      <c r="AY254" s="3" t="s">
        <v>676</v>
      </c>
      <c r="AZ254" s="3" t="s">
        <v>677</v>
      </c>
      <c r="BA254" s="3" t="s">
        <v>678</v>
      </c>
      <c r="BB254" s="3" t="s">
        <v>679</v>
      </c>
      <c r="BC254" s="3" t="s">
        <v>680</v>
      </c>
      <c r="BD254" s="3" t="s">
        <v>681</v>
      </c>
      <c r="BE254" s="3" t="s">
        <v>682</v>
      </c>
      <c r="BF254" s="3" t="s">
        <v>676</v>
      </c>
      <c r="BG254" s="3" t="s">
        <v>677</v>
      </c>
      <c r="BH254" s="3" t="s">
        <v>678</v>
      </c>
      <c r="BI254" s="3" t="s">
        <v>679</v>
      </c>
      <c r="BJ254" s="3" t="s">
        <v>680</v>
      </c>
      <c r="BK254" s="3" t="s">
        <v>681</v>
      </c>
      <c r="BL254" s="3" t="s">
        <v>682</v>
      </c>
      <c r="BM254" s="3" t="s">
        <v>676</v>
      </c>
      <c r="BN254" s="3" t="s">
        <v>677</v>
      </c>
      <c r="BO254" s="3" t="s">
        <v>678</v>
      </c>
      <c r="BP254" s="3" t="s">
        <v>679</v>
      </c>
      <c r="BQ254" s="3" t="s">
        <v>680</v>
      </c>
      <c r="BR254" s="3" t="s">
        <v>681</v>
      </c>
      <c r="BS254" s="3" t="s">
        <v>682</v>
      </c>
      <c r="BT254" s="3" t="s">
        <v>676</v>
      </c>
      <c r="BU254" s="3" t="s">
        <v>677</v>
      </c>
      <c r="BV254" s="3" t="s">
        <v>678</v>
      </c>
      <c r="BW254" s="3" t="s">
        <v>679</v>
      </c>
      <c r="BX254" s="3" t="s">
        <v>680</v>
      </c>
      <c r="BY254" s="3" t="s">
        <v>681</v>
      </c>
      <c r="BZ254" s="3" t="s">
        <v>682</v>
      </c>
      <c r="CA254" s="3" t="s">
        <v>676</v>
      </c>
      <c r="CB254" s="3" t="s">
        <v>677</v>
      </c>
      <c r="CC254" s="3" t="s">
        <v>678</v>
      </c>
      <c r="CD254" s="3" t="s">
        <v>679</v>
      </c>
      <c r="CE254" s="3" t="s">
        <v>680</v>
      </c>
      <c r="CF254" s="3" t="s">
        <v>681</v>
      </c>
      <c r="CG254" s="3" t="s">
        <v>682</v>
      </c>
      <c r="CH254" s="3" t="s">
        <v>676</v>
      </c>
      <c r="CI254" s="3" t="s">
        <v>677</v>
      </c>
      <c r="CJ254" s="3" t="s">
        <v>678</v>
      </c>
      <c r="CK254" s="3" t="s">
        <v>679</v>
      </c>
      <c r="CL254" s="3" t="s">
        <v>680</v>
      </c>
      <c r="CM254" s="3" t="s">
        <v>681</v>
      </c>
      <c r="CN254" s="3" t="s">
        <v>682</v>
      </c>
      <c r="CO254" s="3" t="s">
        <v>676</v>
      </c>
      <c r="CP254" s="3" t="s">
        <v>677</v>
      </c>
      <c r="CQ254" s="3" t="s">
        <v>678</v>
      </c>
      <c r="CR254" s="3" t="s">
        <v>679</v>
      </c>
      <c r="CS254" s="3" t="s">
        <v>680</v>
      </c>
      <c r="CT254" s="3" t="s">
        <v>681</v>
      </c>
      <c r="CU254" s="3" t="s">
        <v>682</v>
      </c>
      <c r="CV254" s="3" t="s">
        <v>676</v>
      </c>
      <c r="CW254" s="3" t="s">
        <v>677</v>
      </c>
      <c r="CX254" s="3" t="s">
        <v>678</v>
      </c>
      <c r="CY254" s="3" t="s">
        <v>679</v>
      </c>
      <c r="CZ254" s="3" t="s">
        <v>680</v>
      </c>
      <c r="DA254" s="3" t="s">
        <v>681</v>
      </c>
      <c r="DB254" s="3" t="s">
        <v>682</v>
      </c>
      <c r="DC254" s="3" t="s">
        <v>676</v>
      </c>
      <c r="DD254" s="3" t="s">
        <v>677</v>
      </c>
      <c r="DE254" s="3" t="s">
        <v>678</v>
      </c>
      <c r="DF254" s="3" t="s">
        <v>679</v>
      </c>
      <c r="DG254" s="3" t="s">
        <v>680</v>
      </c>
      <c r="DH254" s="3" t="s">
        <v>681</v>
      </c>
      <c r="DI254" s="3" t="s">
        <v>682</v>
      </c>
      <c r="DJ254" s="3" t="s">
        <v>676</v>
      </c>
      <c r="DK254" s="3" t="s">
        <v>677</v>
      </c>
      <c r="DL254" s="3" t="s">
        <v>678</v>
      </c>
      <c r="DM254" s="3" t="s">
        <v>679</v>
      </c>
      <c r="DN254" s="3" t="s">
        <v>680</v>
      </c>
      <c r="DO254" s="3" t="s">
        <v>681</v>
      </c>
      <c r="DP254" s="3" t="s">
        <v>682</v>
      </c>
      <c r="DQ254" s="3" t="s">
        <v>676</v>
      </c>
      <c r="DR254" s="3" t="s">
        <v>677</v>
      </c>
      <c r="DS254" s="3" t="s">
        <v>678</v>
      </c>
      <c r="DT254" s="3" t="s">
        <v>679</v>
      </c>
      <c r="DU254" s="3" t="s">
        <v>680</v>
      </c>
      <c r="DV254" s="3" t="s">
        <v>681</v>
      </c>
      <c r="DW254" s="3" t="s">
        <v>682</v>
      </c>
      <c r="DX254" s="3" t="s">
        <v>676</v>
      </c>
      <c r="DY254" s="3" t="s">
        <v>677</v>
      </c>
      <c r="DZ254" s="3" t="s">
        <v>678</v>
      </c>
      <c r="EA254" s="3" t="s">
        <v>679</v>
      </c>
      <c r="EB254" s="3" t="s">
        <v>680</v>
      </c>
      <c r="EC254" s="3" t="s">
        <v>681</v>
      </c>
      <c r="ED254" s="3" t="s">
        <v>682</v>
      </c>
      <c r="EE254" s="3" t="s">
        <v>676</v>
      </c>
      <c r="EF254" s="3" t="s">
        <v>677</v>
      </c>
      <c r="EG254" s="3" t="s">
        <v>678</v>
      </c>
      <c r="EH254" s="3" t="s">
        <v>679</v>
      </c>
      <c r="EI254" s="3" t="s">
        <v>680</v>
      </c>
      <c r="EJ254" s="3" t="s">
        <v>681</v>
      </c>
      <c r="EK254" s="3" t="s">
        <v>682</v>
      </c>
      <c r="EL254" s="3" t="s">
        <v>676</v>
      </c>
      <c r="EM254" s="3" t="s">
        <v>677</v>
      </c>
      <c r="EN254" s="3" t="s">
        <v>678</v>
      </c>
      <c r="EO254" s="3" t="s">
        <v>679</v>
      </c>
      <c r="EP254" s="3" t="s">
        <v>680</v>
      </c>
      <c r="EQ254" s="3" t="s">
        <v>681</v>
      </c>
      <c r="ER254" s="3" t="s">
        <v>682</v>
      </c>
      <c r="ES254" s="3" t="s">
        <v>676</v>
      </c>
      <c r="ET254" s="3" t="s">
        <v>677</v>
      </c>
      <c r="EU254" s="3" t="s">
        <v>678</v>
      </c>
      <c r="EV254" s="3" t="s">
        <v>679</v>
      </c>
      <c r="EW254" s="3" t="s">
        <v>680</v>
      </c>
      <c r="EX254" s="3" t="s">
        <v>681</v>
      </c>
      <c r="EY254" s="3" t="s">
        <v>682</v>
      </c>
      <c r="EZ254" s="3" t="s">
        <v>676</v>
      </c>
      <c r="FA254" s="3" t="s">
        <v>677</v>
      </c>
      <c r="FB254" s="3" t="s">
        <v>678</v>
      </c>
      <c r="FC254" s="3" t="s">
        <v>679</v>
      </c>
      <c r="FD254" s="3" t="s">
        <v>680</v>
      </c>
      <c r="FE254" s="3" t="s">
        <v>681</v>
      </c>
      <c r="FF254" s="3" t="s">
        <v>682</v>
      </c>
      <c r="FG254" s="3" t="s">
        <v>676</v>
      </c>
      <c r="FH254" s="3" t="s">
        <v>677</v>
      </c>
      <c r="FI254" s="3" t="s">
        <v>678</v>
      </c>
      <c r="FJ254" s="3" t="s">
        <v>679</v>
      </c>
      <c r="FK254" s="3" t="s">
        <v>680</v>
      </c>
      <c r="FL254" s="3" t="s">
        <v>681</v>
      </c>
      <c r="FM254" s="3" t="s">
        <v>682</v>
      </c>
      <c r="FN254" s="3" t="s">
        <v>676</v>
      </c>
      <c r="FO254" s="3" t="s">
        <v>677</v>
      </c>
      <c r="FP254" s="3" t="s">
        <v>678</v>
      </c>
      <c r="FQ254" s="3" t="s">
        <v>679</v>
      </c>
      <c r="FR254" s="3" t="s">
        <v>680</v>
      </c>
      <c r="FS254" s="3" t="s">
        <v>681</v>
      </c>
      <c r="FT254" s="3" t="s">
        <v>682</v>
      </c>
      <c r="FU254" s="3" t="s">
        <v>676</v>
      </c>
      <c r="FV254" s="3" t="s">
        <v>677</v>
      </c>
      <c r="FW254" s="3" t="s">
        <v>678</v>
      </c>
      <c r="FX254" s="3" t="s">
        <v>679</v>
      </c>
      <c r="FY254" s="3" t="s">
        <v>680</v>
      </c>
      <c r="FZ254" s="3" t="s">
        <v>681</v>
      </c>
      <c r="GA254" s="3" t="s">
        <v>682</v>
      </c>
      <c r="GB254" s="3" t="s">
        <v>676</v>
      </c>
      <c r="GC254" s="3" t="s">
        <v>677</v>
      </c>
      <c r="GD254" s="3" t="s">
        <v>678</v>
      </c>
      <c r="GE254" s="3" t="s">
        <v>679</v>
      </c>
      <c r="GF254" s="3" t="s">
        <v>680</v>
      </c>
      <c r="GG254" s="3" t="s">
        <v>681</v>
      </c>
      <c r="GH254" s="3" t="s">
        <v>682</v>
      </c>
      <c r="GI254" s="3" t="s">
        <v>676</v>
      </c>
      <c r="GJ254" s="3" t="s">
        <v>677</v>
      </c>
      <c r="GK254" s="3" t="s">
        <v>678</v>
      </c>
      <c r="GL254" s="3" t="s">
        <v>679</v>
      </c>
      <c r="GM254" s="3" t="s">
        <v>680</v>
      </c>
      <c r="GN254" s="3" t="s">
        <v>681</v>
      </c>
      <c r="GO254" s="3" t="s">
        <v>682</v>
      </c>
      <c r="GP254" s="3" t="s">
        <v>676</v>
      </c>
      <c r="GQ254" s="3" t="s">
        <v>677</v>
      </c>
      <c r="GR254" s="3" t="s">
        <v>678</v>
      </c>
      <c r="GS254" s="3" t="s">
        <v>679</v>
      </c>
      <c r="GT254" s="3" t="s">
        <v>680</v>
      </c>
      <c r="GU254" s="3" t="s">
        <v>681</v>
      </c>
      <c r="GV254" s="3" t="s">
        <v>682</v>
      </c>
      <c r="GW254" s="3" t="s">
        <v>676</v>
      </c>
      <c r="GX254" s="3" t="s">
        <v>677</v>
      </c>
      <c r="GY254" s="3" t="s">
        <v>678</v>
      </c>
      <c r="GZ254" s="3" t="s">
        <v>679</v>
      </c>
      <c r="HA254" s="3" t="s">
        <v>680</v>
      </c>
      <c r="HB254" s="3" t="s">
        <v>681</v>
      </c>
      <c r="HC254" s="3" t="s">
        <v>682</v>
      </c>
      <c r="HD254" s="3" t="s">
        <v>676</v>
      </c>
      <c r="HE254" s="3" t="s">
        <v>677</v>
      </c>
      <c r="HF254" s="3" t="s">
        <v>678</v>
      </c>
      <c r="HG254" s="3" t="s">
        <v>679</v>
      </c>
      <c r="HH254" s="3" t="s">
        <v>680</v>
      </c>
      <c r="HI254" s="3" t="s">
        <v>681</v>
      </c>
      <c r="HJ254" s="3" t="s">
        <v>682</v>
      </c>
      <c r="HK254" s="3" t="s">
        <v>676</v>
      </c>
      <c r="HL254" s="3" t="s">
        <v>677</v>
      </c>
      <c r="HM254" s="3" t="s">
        <v>678</v>
      </c>
      <c r="HN254" s="3" t="s">
        <v>679</v>
      </c>
      <c r="HO254" s="3" t="s">
        <v>680</v>
      </c>
      <c r="HP254" s="3" t="s">
        <v>681</v>
      </c>
      <c r="HQ254" s="3" t="s">
        <v>682</v>
      </c>
      <c r="HR254" s="3" t="s">
        <v>676</v>
      </c>
      <c r="HS254" s="3" t="s">
        <v>677</v>
      </c>
      <c r="HT254" s="3" t="s">
        <v>678</v>
      </c>
      <c r="HU254" s="3" t="s">
        <v>679</v>
      </c>
      <c r="HV254" s="3" t="s">
        <v>680</v>
      </c>
      <c r="HW254" s="3" t="s">
        <v>681</v>
      </c>
      <c r="HX254" s="3" t="s">
        <v>682</v>
      </c>
      <c r="HY254" s="3" t="s">
        <v>676</v>
      </c>
      <c r="HZ254" s="3" t="s">
        <v>677</v>
      </c>
      <c r="IA254" s="3" t="s">
        <v>678</v>
      </c>
      <c r="IB254" s="3" t="s">
        <v>679</v>
      </c>
      <c r="IC254" s="3" t="s">
        <v>680</v>
      </c>
    </row>
    <row r="255" spans="1:257">
      <c r="A255" s="82" t="s">
        <v>695</v>
      </c>
      <c r="B255" s="82" t="str">
        <f>COUNTIF(P255:IC255, "W")&amp;"勝"</f>
        <v>14勝</v>
      </c>
      <c r="C255" s="82" t="str">
        <f>COUNTIF(P255:IC255, "L")&amp;"敗"</f>
        <v>12敗</v>
      </c>
      <c r="D255" s="82" t="s">
        <v>696</v>
      </c>
      <c r="E255" s="78"/>
      <c r="F255" s="82" t="s">
        <v>759</v>
      </c>
      <c r="G255" s="78"/>
      <c r="H255" s="78"/>
      <c r="I255" s="78"/>
      <c r="J255" s="78"/>
      <c r="K255" s="78"/>
      <c r="L255" s="78"/>
      <c r="M255" s="82"/>
      <c r="N255" s="78"/>
      <c r="O255" s="1" t="s">
        <v>698</v>
      </c>
      <c r="Q255" t="s">
        <v>700</v>
      </c>
      <c r="R255" t="s">
        <v>700</v>
      </c>
      <c r="S255" t="s">
        <v>700</v>
      </c>
      <c r="U255" t="s">
        <v>699</v>
      </c>
      <c r="V255" t="s">
        <v>699</v>
      </c>
      <c r="W255" t="s">
        <v>699</v>
      </c>
      <c r="X255" t="s">
        <v>700</v>
      </c>
      <c r="Y255" t="s">
        <v>700</v>
      </c>
      <c r="Z255" t="s">
        <v>699</v>
      </c>
      <c r="AA255" t="s">
        <v>699</v>
      </c>
      <c r="AC255" t="s">
        <v>700</v>
      </c>
      <c r="AD255" t="s">
        <v>699</v>
      </c>
      <c r="AE255" t="s">
        <v>699</v>
      </c>
      <c r="AF255" t="s">
        <v>699</v>
      </c>
      <c r="AG255" t="s">
        <v>700</v>
      </c>
      <c r="AH255" t="s">
        <v>699</v>
      </c>
      <c r="AI255" t="s">
        <v>700</v>
      </c>
      <c r="AJ255" t="s">
        <v>699</v>
      </c>
      <c r="AK255" t="s">
        <v>699</v>
      </c>
      <c r="AM255" t="s">
        <v>699</v>
      </c>
      <c r="AN255" t="s">
        <v>699</v>
      </c>
      <c r="AO255" t="s">
        <v>700</v>
      </c>
      <c r="AQ255" t="s">
        <v>700</v>
      </c>
      <c r="AS255" t="s">
        <v>700</v>
      </c>
      <c r="AU255" t="s">
        <v>700</v>
      </c>
      <c r="AV255" t="s">
        <v>699</v>
      </c>
    </row>
    <row r="256" spans="1:257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1" t="s">
        <v>701</v>
      </c>
    </row>
    <row r="257" spans="1:257">
      <c r="A257" s="82" t="s">
        <v>702</v>
      </c>
      <c r="B257" s="82" t="str">
        <f>COUNTIF(P257:IC257, "O")&amp;"正"</f>
        <v>16正</v>
      </c>
      <c r="C257" s="82" t="str">
        <f>COUNTIF(P257:IC257, "X")&amp;"負"</f>
        <v>10負</v>
      </c>
      <c r="D257" s="82" t="s">
        <v>703</v>
      </c>
      <c r="E257" s="78"/>
      <c r="F257" s="82" t="s">
        <v>760</v>
      </c>
      <c r="G257" s="78"/>
      <c r="H257" s="78"/>
      <c r="I257" s="78"/>
      <c r="J257" s="78"/>
      <c r="K257" s="78"/>
      <c r="L257" s="78"/>
      <c r="M257" s="82"/>
      <c r="N257" s="78"/>
      <c r="O257" s="1" t="s">
        <v>705</v>
      </c>
      <c r="Q257" t="s">
        <v>684</v>
      </c>
      <c r="R257" t="s">
        <v>683</v>
      </c>
      <c r="S257" t="s">
        <v>683</v>
      </c>
      <c r="U257" t="s">
        <v>683</v>
      </c>
      <c r="V257" t="s">
        <v>683</v>
      </c>
      <c r="W257" t="s">
        <v>683</v>
      </c>
      <c r="X257" t="s">
        <v>684</v>
      </c>
      <c r="Y257" t="s">
        <v>684</v>
      </c>
      <c r="Z257" t="s">
        <v>683</v>
      </c>
      <c r="AA257" t="s">
        <v>683</v>
      </c>
      <c r="AC257" t="s">
        <v>684</v>
      </c>
      <c r="AD257" t="s">
        <v>683</v>
      </c>
      <c r="AE257" t="s">
        <v>683</v>
      </c>
      <c r="AF257" t="s">
        <v>683</v>
      </c>
      <c r="AG257" t="s">
        <v>684</v>
      </c>
      <c r="AH257" t="s">
        <v>683</v>
      </c>
      <c r="AI257" t="s">
        <v>684</v>
      </c>
      <c r="AJ257" t="s">
        <v>683</v>
      </c>
      <c r="AK257" t="s">
        <v>683</v>
      </c>
      <c r="AM257" t="s">
        <v>683</v>
      </c>
      <c r="AN257" t="s">
        <v>683</v>
      </c>
      <c r="AO257" t="s">
        <v>684</v>
      </c>
      <c r="AQ257" t="s">
        <v>684</v>
      </c>
      <c r="AS257" t="s">
        <v>684</v>
      </c>
      <c r="AU257" t="s">
        <v>684</v>
      </c>
      <c r="AV257" t="s">
        <v>683</v>
      </c>
      <c r="IN257" t="str">
        <f ca="1">IFERROR(INDEX($P257:$IC257,1,_xludf.AGGREGATE(14,6,(COLUMN($P257:$IC257)-COLUMN($P257)+1)/($P257:$IC257&lt;&gt;""),1)),"")</f>
        <v/>
      </c>
      <c r="IO257" t="str">
        <f ca="1">IFERROR(INDEX($P257:$IC257,1,_xludf.AGGREGATE(14,6,(COLUMN($P257:$IC257)-COLUMN($P257)+1)/($P257:$IC257&lt;&gt;""),2)),"")</f>
        <v/>
      </c>
      <c r="IP257" t="str">
        <f ca="1">IFERROR(INDEX($P257:$IC257,1,_xludf.AGGREGATE(14,6,(COLUMN($P257:$IC257)-COLUMN($P257)+1)/($P257:$IC257&lt;&gt;""),3)),"")</f>
        <v/>
      </c>
      <c r="IQ257" t="str">
        <f ca="1">IFERROR(INDEX($P257:$IC257,1,_xludf.AGGREGATE(14,6,(COLUMN($P257:$IC257)-COLUMN($P257)+1)/($P257:$IC257&lt;&gt;""),4)),"")</f>
        <v/>
      </c>
      <c r="IR257" t="str">
        <f ca="1">IFERROR(INDEX($P257:$IC257,1,_xludf.AGGREGATE(14,6,(COLUMN($P257:$IC257)-COLUMN($P257)+1)/($P257:$IC257&lt;&gt;""),5)),"")</f>
        <v/>
      </c>
      <c r="IS257" t="str">
        <f ca="1">IFERROR(INDEX($P257:$IC257,1,_xludf.AGGREGATE(14,6,(COLUMN($P257:$IC257)-COLUMN($P257)+1)/($P257:$IC257&lt;&gt;""),6)),"")</f>
        <v/>
      </c>
      <c r="IT257" t="str">
        <f ca="1">IFERROR(INDEX($P257:$IC257,1,_xludf.AGGREGATE(14,6,(COLUMN($P257:$IC257)-COLUMN($P257)+1)/($P257:$IC257&lt;&gt;""),7)),"")</f>
        <v/>
      </c>
      <c r="IU257" t="str">
        <f ca="1">IFERROR(INDEX($P257:$IC257,1,_xludf.AGGREGATE(14,6,(COLUMN($P257:$IC257)-COLUMN($P257)+1)/($P257:$IC257&lt;&gt;""),8)),"")</f>
        <v/>
      </c>
      <c r="IV257" t="str">
        <f ca="1">IFERROR(INDEX($P257:$IC257,1,_xludf.AGGREGATE(14,6,(COLUMN($P257:$IC257)-COLUMN($P257)+1)/($P257:$IC257&lt;&gt;""),9)),"")</f>
        <v/>
      </c>
      <c r="IW257" t="str">
        <f ca="1">IFERROR(INDEX($P257:$IC257,1,_xludf.AGGREGATE(14,6,(COLUMN($P257:$IC257)-COLUMN($P257)+1)/($P257:$IC257&lt;&gt;""),10)),"")</f>
        <v/>
      </c>
    </row>
    <row r="258" spans="1:257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1" t="s">
        <v>706</v>
      </c>
    </row>
    <row r="259" spans="1:257">
      <c r="A259" s="82" t="s">
        <v>707</v>
      </c>
      <c r="B259" s="77"/>
      <c r="C259" s="77"/>
      <c r="D259" s="82" t="s">
        <v>708</v>
      </c>
      <c r="E259" s="78"/>
      <c r="F259" s="82"/>
      <c r="G259" s="78"/>
      <c r="H259" s="78"/>
      <c r="I259" s="78"/>
      <c r="J259" s="78"/>
      <c r="K259" s="78"/>
      <c r="L259" s="78"/>
      <c r="M259" s="82"/>
      <c r="N259" s="78"/>
      <c r="O259" s="1" t="s">
        <v>709</v>
      </c>
    </row>
    <row r="260" spans="1:257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1" t="s">
        <v>710</v>
      </c>
    </row>
    <row r="261" spans="1:257">
      <c r="A261" s="108" t="s">
        <v>48</v>
      </c>
      <c r="B261" s="78"/>
      <c r="C261" s="78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 t="s">
        <v>674</v>
      </c>
      <c r="P261" s="6">
        <v>1</v>
      </c>
      <c r="Q261" s="6">
        <v>2</v>
      </c>
      <c r="R261" s="6">
        <v>3</v>
      </c>
      <c r="S261" s="6">
        <v>4</v>
      </c>
      <c r="T261" s="6">
        <v>5</v>
      </c>
      <c r="U261" s="6">
        <v>6</v>
      </c>
      <c r="V261" s="6">
        <v>7</v>
      </c>
      <c r="W261" s="6">
        <v>8</v>
      </c>
      <c r="X261" s="6">
        <v>9</v>
      </c>
      <c r="Y261" s="6">
        <v>10</v>
      </c>
      <c r="Z261" s="6">
        <v>11</v>
      </c>
      <c r="AA261" s="6">
        <v>12</v>
      </c>
      <c r="AB261" s="6">
        <v>13</v>
      </c>
      <c r="AC261" s="6">
        <v>14</v>
      </c>
      <c r="AD261" s="6">
        <v>15</v>
      </c>
      <c r="AE261" s="6">
        <v>16</v>
      </c>
      <c r="AF261" s="6">
        <v>17</v>
      </c>
      <c r="AG261" s="6">
        <v>18</v>
      </c>
      <c r="AH261" s="6">
        <v>19</v>
      </c>
      <c r="AI261" s="6">
        <v>20</v>
      </c>
      <c r="AJ261" s="6">
        <v>21</v>
      </c>
      <c r="AK261" s="6">
        <v>22</v>
      </c>
      <c r="AL261" s="6">
        <v>23</v>
      </c>
      <c r="AM261" s="6">
        <v>24</v>
      </c>
      <c r="AN261" s="6">
        <v>25</v>
      </c>
      <c r="AO261" s="6">
        <v>26</v>
      </c>
      <c r="AP261" s="6">
        <v>27</v>
      </c>
      <c r="AQ261" s="6">
        <v>28</v>
      </c>
      <c r="AR261" s="6">
        <v>29</v>
      </c>
      <c r="AS261" s="6">
        <v>30</v>
      </c>
      <c r="AT261" s="6">
        <v>31</v>
      </c>
      <c r="AU261" s="6">
        <v>32</v>
      </c>
      <c r="AV261" s="6">
        <v>33</v>
      </c>
      <c r="AW261" s="6">
        <v>34</v>
      </c>
      <c r="AX261" s="6">
        <v>35</v>
      </c>
      <c r="AY261" s="6">
        <v>36</v>
      </c>
      <c r="AZ261" s="6">
        <v>37</v>
      </c>
      <c r="BA261" s="6">
        <v>38</v>
      </c>
      <c r="BB261" s="6">
        <v>39</v>
      </c>
      <c r="BC261" s="6">
        <v>40</v>
      </c>
      <c r="BD261" s="6">
        <v>41</v>
      </c>
      <c r="BE261" s="6">
        <v>42</v>
      </c>
      <c r="BF261" s="6">
        <v>43</v>
      </c>
      <c r="BG261" s="6">
        <v>44</v>
      </c>
      <c r="BH261" s="6">
        <v>45</v>
      </c>
      <c r="BI261" s="6">
        <v>46</v>
      </c>
      <c r="BJ261" s="6">
        <v>47</v>
      </c>
      <c r="BK261" s="6">
        <v>48</v>
      </c>
      <c r="BL261" s="6">
        <v>49</v>
      </c>
      <c r="BM261" s="6">
        <v>50</v>
      </c>
      <c r="BN261" s="6">
        <v>51</v>
      </c>
      <c r="BO261" s="6">
        <v>52</v>
      </c>
      <c r="BP261" s="6">
        <v>53</v>
      </c>
      <c r="BQ261" s="6">
        <v>54</v>
      </c>
      <c r="BR261" s="6">
        <v>55</v>
      </c>
      <c r="BS261" s="6">
        <v>56</v>
      </c>
      <c r="BT261" s="6">
        <v>57</v>
      </c>
      <c r="BU261" s="6">
        <v>58</v>
      </c>
      <c r="BV261" s="6">
        <v>59</v>
      </c>
      <c r="BW261" s="6">
        <v>60</v>
      </c>
      <c r="BX261" s="6">
        <v>61</v>
      </c>
      <c r="BY261" s="6">
        <v>62</v>
      </c>
      <c r="BZ261" s="6">
        <v>63</v>
      </c>
      <c r="CA261" s="6">
        <v>64</v>
      </c>
      <c r="CB261" s="6">
        <v>65</v>
      </c>
      <c r="CC261" s="6">
        <v>66</v>
      </c>
      <c r="CD261" s="6">
        <v>67</v>
      </c>
      <c r="CE261" s="6">
        <v>68</v>
      </c>
      <c r="CF261" s="6">
        <v>69</v>
      </c>
      <c r="CG261" s="6">
        <v>70</v>
      </c>
      <c r="CH261" s="6">
        <v>71</v>
      </c>
      <c r="CI261" s="6">
        <v>72</v>
      </c>
      <c r="CJ261" s="6">
        <v>73</v>
      </c>
      <c r="CK261" s="6">
        <v>74</v>
      </c>
      <c r="CL261" s="6">
        <v>75</v>
      </c>
      <c r="CM261" s="6">
        <v>76</v>
      </c>
      <c r="CN261" s="6">
        <v>77</v>
      </c>
      <c r="CO261" s="6">
        <v>78</v>
      </c>
      <c r="CP261" s="6">
        <v>79</v>
      </c>
      <c r="CQ261" s="6">
        <v>80</v>
      </c>
      <c r="CR261" s="6">
        <v>81</v>
      </c>
      <c r="CS261" s="6">
        <v>82</v>
      </c>
      <c r="CT261" s="6">
        <v>83</v>
      </c>
      <c r="CU261" s="6">
        <v>84</v>
      </c>
      <c r="CV261" s="6">
        <v>85</v>
      </c>
      <c r="CW261" s="6">
        <v>86</v>
      </c>
      <c r="CX261" s="6">
        <v>87</v>
      </c>
      <c r="CY261" s="6">
        <v>88</v>
      </c>
      <c r="CZ261" s="6">
        <v>89</v>
      </c>
      <c r="DA261" s="6">
        <v>90</v>
      </c>
      <c r="DB261" s="6">
        <v>91</v>
      </c>
      <c r="DC261" s="6">
        <v>92</v>
      </c>
      <c r="DD261" s="6">
        <v>93</v>
      </c>
      <c r="DE261" s="6">
        <v>94</v>
      </c>
      <c r="DF261" s="6">
        <v>95</v>
      </c>
      <c r="DG261" s="6">
        <v>96</v>
      </c>
      <c r="DH261" s="6">
        <v>97</v>
      </c>
      <c r="DI261" s="6">
        <v>98</v>
      </c>
      <c r="DJ261" s="6">
        <v>99</v>
      </c>
      <c r="DK261" s="6">
        <v>100</v>
      </c>
      <c r="DL261" s="6">
        <v>101</v>
      </c>
      <c r="DM261" s="6">
        <v>102</v>
      </c>
      <c r="DN261" s="6">
        <v>103</v>
      </c>
      <c r="DO261" s="6">
        <v>104</v>
      </c>
      <c r="DP261" s="6">
        <v>105</v>
      </c>
      <c r="DQ261" s="6">
        <v>106</v>
      </c>
      <c r="DR261" s="6">
        <v>107</v>
      </c>
      <c r="DS261" s="6">
        <v>108</v>
      </c>
      <c r="DT261" s="6">
        <v>109</v>
      </c>
      <c r="DU261" s="6">
        <v>110</v>
      </c>
      <c r="DV261" s="6">
        <v>111</v>
      </c>
      <c r="DW261" s="6">
        <v>112</v>
      </c>
      <c r="DX261" s="6">
        <v>113</v>
      </c>
      <c r="DY261" s="6">
        <v>114</v>
      </c>
      <c r="DZ261" s="6">
        <v>115</v>
      </c>
      <c r="EA261" s="6">
        <v>116</v>
      </c>
      <c r="EB261" s="6">
        <v>117</v>
      </c>
      <c r="EC261" s="6">
        <v>118</v>
      </c>
      <c r="ED261" s="6">
        <v>119</v>
      </c>
      <c r="EE261" s="6">
        <v>120</v>
      </c>
      <c r="EF261" s="6">
        <v>121</v>
      </c>
      <c r="EG261" s="6">
        <v>122</v>
      </c>
      <c r="EH261" s="6">
        <v>123</v>
      </c>
      <c r="EI261" s="6">
        <v>124</v>
      </c>
      <c r="EJ261" s="6">
        <v>125</v>
      </c>
      <c r="EK261" s="6">
        <v>126</v>
      </c>
      <c r="EL261" s="6">
        <v>127</v>
      </c>
      <c r="EM261" s="6">
        <v>128</v>
      </c>
      <c r="EN261" s="6">
        <v>129</v>
      </c>
      <c r="EO261" s="6">
        <v>130</v>
      </c>
      <c r="EP261" s="6">
        <v>131</v>
      </c>
      <c r="EQ261" s="6">
        <v>132</v>
      </c>
      <c r="ER261" s="6">
        <v>133</v>
      </c>
      <c r="ES261" s="6">
        <v>134</v>
      </c>
      <c r="ET261" s="6">
        <v>135</v>
      </c>
      <c r="EU261" s="6">
        <v>136</v>
      </c>
      <c r="EV261" s="6">
        <v>137</v>
      </c>
      <c r="EW261" s="6">
        <v>138</v>
      </c>
      <c r="EX261" s="6">
        <v>139</v>
      </c>
      <c r="EY261" s="6">
        <v>140</v>
      </c>
      <c r="EZ261" s="6">
        <v>141</v>
      </c>
      <c r="FA261" s="6">
        <v>142</v>
      </c>
      <c r="FB261" s="6">
        <v>143</v>
      </c>
      <c r="FC261" s="6">
        <v>144</v>
      </c>
      <c r="FD261" s="6">
        <v>145</v>
      </c>
      <c r="FE261" s="6">
        <v>146</v>
      </c>
      <c r="FF261" s="6">
        <v>147</v>
      </c>
      <c r="FG261" s="6">
        <v>148</v>
      </c>
      <c r="FH261" s="6">
        <v>149</v>
      </c>
      <c r="FI261" s="6">
        <v>150</v>
      </c>
      <c r="FJ261" s="6">
        <v>151</v>
      </c>
      <c r="FK261" s="6">
        <v>152</v>
      </c>
      <c r="FL261" s="6">
        <v>153</v>
      </c>
      <c r="FM261" s="6">
        <v>154</v>
      </c>
      <c r="FN261" s="6">
        <v>155</v>
      </c>
      <c r="FO261" s="6">
        <v>156</v>
      </c>
      <c r="FP261" s="6">
        <v>157</v>
      </c>
      <c r="FQ261" s="6">
        <v>158</v>
      </c>
      <c r="FR261" s="6">
        <v>159</v>
      </c>
      <c r="FS261" s="6">
        <v>160</v>
      </c>
      <c r="FT261" s="6">
        <v>161</v>
      </c>
      <c r="FU261" s="6">
        <v>162</v>
      </c>
      <c r="FV261" s="6">
        <v>163</v>
      </c>
      <c r="FW261" s="6">
        <v>164</v>
      </c>
      <c r="FX261" s="6">
        <v>165</v>
      </c>
      <c r="FY261" s="6">
        <v>166</v>
      </c>
      <c r="FZ261" s="6">
        <v>167</v>
      </c>
      <c r="GA261" s="6">
        <v>168</v>
      </c>
      <c r="GB261" s="6">
        <v>169</v>
      </c>
      <c r="GC261" s="6">
        <v>170</v>
      </c>
      <c r="GD261" s="6">
        <v>171</v>
      </c>
      <c r="GE261" s="6">
        <v>172</v>
      </c>
      <c r="GF261" s="6">
        <v>173</v>
      </c>
      <c r="GG261" s="6">
        <v>174</v>
      </c>
      <c r="GH261" s="6">
        <v>175</v>
      </c>
      <c r="GI261" s="6">
        <v>176</v>
      </c>
      <c r="GJ261" s="6">
        <v>177</v>
      </c>
      <c r="GK261" s="6">
        <v>178</v>
      </c>
      <c r="GL261" s="6">
        <v>179</v>
      </c>
      <c r="GM261" s="6">
        <v>180</v>
      </c>
      <c r="GN261" s="6">
        <v>181</v>
      </c>
      <c r="GO261" s="6">
        <v>182</v>
      </c>
      <c r="GP261" s="6">
        <v>183</v>
      </c>
      <c r="GQ261" s="6">
        <v>184</v>
      </c>
      <c r="GR261" s="6">
        <v>185</v>
      </c>
      <c r="GS261" s="6">
        <v>186</v>
      </c>
      <c r="GT261" s="6">
        <v>187</v>
      </c>
      <c r="GU261" s="6">
        <v>188</v>
      </c>
      <c r="GV261" s="6">
        <v>189</v>
      </c>
      <c r="GW261" s="6">
        <v>190</v>
      </c>
      <c r="GX261" s="6">
        <v>191</v>
      </c>
      <c r="GY261" s="6">
        <v>192</v>
      </c>
      <c r="GZ261" s="6">
        <v>193</v>
      </c>
      <c r="HA261" s="6">
        <v>194</v>
      </c>
      <c r="HB261" s="6">
        <v>195</v>
      </c>
      <c r="HC261" s="6">
        <v>196</v>
      </c>
      <c r="HD261" s="6">
        <v>197</v>
      </c>
      <c r="HE261" s="6">
        <v>198</v>
      </c>
      <c r="HF261" s="6">
        <v>199</v>
      </c>
      <c r="HG261" s="6">
        <v>200</v>
      </c>
      <c r="HH261" s="6">
        <v>201</v>
      </c>
      <c r="HI261" s="6">
        <v>202</v>
      </c>
      <c r="HJ261" s="6">
        <v>203</v>
      </c>
      <c r="HK261" s="6">
        <v>204</v>
      </c>
      <c r="HL261" s="6">
        <v>205</v>
      </c>
      <c r="HM261" s="6">
        <v>206</v>
      </c>
      <c r="HN261" s="6">
        <v>207</v>
      </c>
      <c r="HO261" s="6">
        <v>208</v>
      </c>
      <c r="HP261" s="6">
        <v>209</v>
      </c>
      <c r="HQ261" s="6">
        <v>210</v>
      </c>
      <c r="HR261" s="6">
        <v>211</v>
      </c>
      <c r="HS261" s="6">
        <v>212</v>
      </c>
      <c r="HT261" s="6">
        <v>213</v>
      </c>
      <c r="HU261" s="6">
        <v>214</v>
      </c>
      <c r="HV261" s="6">
        <v>215</v>
      </c>
      <c r="HW261" s="6">
        <v>216</v>
      </c>
      <c r="HX261" s="6">
        <v>217</v>
      </c>
      <c r="HY261" s="6">
        <v>218</v>
      </c>
      <c r="HZ261" s="6">
        <v>219</v>
      </c>
      <c r="IA261" s="6">
        <v>220</v>
      </c>
      <c r="IB261" s="6">
        <v>221</v>
      </c>
      <c r="IC261" s="6">
        <v>222</v>
      </c>
    </row>
    <row r="262" spans="1:257">
      <c r="A262" s="78"/>
      <c r="B262" s="78"/>
      <c r="C262" s="78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5"/>
      <c r="P262" s="51" t="s">
        <v>48</v>
      </c>
      <c r="Q262" s="51" t="s">
        <v>48</v>
      </c>
      <c r="R262" s="51" t="s">
        <v>48</v>
      </c>
      <c r="S262" s="51" t="s">
        <v>48</v>
      </c>
      <c r="T262" s="51" t="s">
        <v>48</v>
      </c>
      <c r="U262" s="51" t="s">
        <v>48</v>
      </c>
      <c r="V262" s="51" t="s">
        <v>48</v>
      </c>
      <c r="W262" s="51" t="s">
        <v>48</v>
      </c>
      <c r="X262" s="51" t="s">
        <v>48</v>
      </c>
      <c r="Y262" s="51" t="s">
        <v>48</v>
      </c>
      <c r="Z262" s="51" t="s">
        <v>48</v>
      </c>
      <c r="AA262" s="51" t="s">
        <v>48</v>
      </c>
      <c r="AB262" s="51" t="s">
        <v>48</v>
      </c>
      <c r="AC262" s="51" t="s">
        <v>48</v>
      </c>
      <c r="AD262" s="51" t="s">
        <v>48</v>
      </c>
      <c r="AE262" s="51" t="s">
        <v>48</v>
      </c>
      <c r="AF262" s="51" t="s">
        <v>48</v>
      </c>
      <c r="AG262" s="51" t="s">
        <v>48</v>
      </c>
      <c r="AH262" s="51" t="s">
        <v>48</v>
      </c>
      <c r="AI262" s="51" t="s">
        <v>48</v>
      </c>
      <c r="AJ262" s="51" t="s">
        <v>48</v>
      </c>
      <c r="AK262" s="51" t="s">
        <v>48</v>
      </c>
      <c r="AL262" s="51" t="s">
        <v>48</v>
      </c>
      <c r="AM262" s="51" t="s">
        <v>48</v>
      </c>
      <c r="AN262" s="51" t="s">
        <v>48</v>
      </c>
      <c r="AO262" s="51" t="s">
        <v>48</v>
      </c>
      <c r="AP262" s="51" t="s">
        <v>48</v>
      </c>
      <c r="AQ262" s="51" t="s">
        <v>48</v>
      </c>
      <c r="AR262" s="51" t="s">
        <v>48</v>
      </c>
      <c r="AS262" s="51" t="s">
        <v>48</v>
      </c>
      <c r="AT262" s="51" t="s">
        <v>48</v>
      </c>
      <c r="AU262" s="51" t="s">
        <v>48</v>
      </c>
      <c r="AV262" s="51" t="s">
        <v>48</v>
      </c>
      <c r="AW262" s="51" t="s">
        <v>48</v>
      </c>
      <c r="AX262" s="51" t="s">
        <v>48</v>
      </c>
      <c r="AY262" s="51" t="s">
        <v>48</v>
      </c>
      <c r="AZ262" s="51" t="s">
        <v>48</v>
      </c>
      <c r="BA262" s="51" t="s">
        <v>48</v>
      </c>
      <c r="BB262" s="51" t="s">
        <v>48</v>
      </c>
      <c r="BC262" s="51" t="s">
        <v>48</v>
      </c>
      <c r="BD262" s="51" t="s">
        <v>48</v>
      </c>
      <c r="BE262" s="51" t="s">
        <v>48</v>
      </c>
      <c r="BF262" s="51" t="s">
        <v>48</v>
      </c>
      <c r="BG262" s="51" t="s">
        <v>48</v>
      </c>
      <c r="BH262" s="51" t="s">
        <v>48</v>
      </c>
      <c r="BI262" s="51" t="s">
        <v>48</v>
      </c>
      <c r="BJ262" s="51" t="s">
        <v>48</v>
      </c>
      <c r="BK262" s="51" t="s">
        <v>48</v>
      </c>
      <c r="BL262" s="51" t="s">
        <v>48</v>
      </c>
      <c r="BM262" s="51" t="s">
        <v>48</v>
      </c>
      <c r="BN262" s="51" t="s">
        <v>48</v>
      </c>
      <c r="BO262" s="51" t="s">
        <v>48</v>
      </c>
      <c r="BP262" s="51" t="s">
        <v>48</v>
      </c>
      <c r="BQ262" s="51" t="s">
        <v>48</v>
      </c>
      <c r="BR262" s="51" t="s">
        <v>48</v>
      </c>
      <c r="BS262" s="51" t="s">
        <v>48</v>
      </c>
      <c r="BT262" s="51" t="s">
        <v>48</v>
      </c>
      <c r="BU262" s="51" t="s">
        <v>48</v>
      </c>
      <c r="BV262" s="51" t="s">
        <v>48</v>
      </c>
      <c r="BW262" s="51" t="s">
        <v>48</v>
      </c>
      <c r="BX262" s="51" t="s">
        <v>48</v>
      </c>
      <c r="BY262" s="51" t="s">
        <v>48</v>
      </c>
      <c r="BZ262" s="51" t="s">
        <v>48</v>
      </c>
      <c r="CA262" s="51" t="s">
        <v>48</v>
      </c>
      <c r="CB262" s="51" t="s">
        <v>48</v>
      </c>
      <c r="CC262" s="51" t="s">
        <v>48</v>
      </c>
      <c r="CD262" s="51" t="s">
        <v>48</v>
      </c>
      <c r="CE262" s="51" t="s">
        <v>48</v>
      </c>
      <c r="CF262" s="51" t="s">
        <v>48</v>
      </c>
      <c r="CG262" s="51" t="s">
        <v>48</v>
      </c>
      <c r="CH262" s="51" t="s">
        <v>48</v>
      </c>
      <c r="CI262" s="51" t="s">
        <v>48</v>
      </c>
      <c r="CJ262" s="51" t="s">
        <v>48</v>
      </c>
      <c r="CK262" s="51" t="s">
        <v>48</v>
      </c>
      <c r="CL262" s="51" t="s">
        <v>48</v>
      </c>
      <c r="CM262" s="51" t="s">
        <v>48</v>
      </c>
      <c r="CN262" s="51" t="s">
        <v>48</v>
      </c>
      <c r="CO262" s="51" t="s">
        <v>48</v>
      </c>
      <c r="CP262" s="51" t="s">
        <v>48</v>
      </c>
      <c r="CQ262" s="51" t="s">
        <v>48</v>
      </c>
      <c r="CR262" s="51" t="s">
        <v>48</v>
      </c>
      <c r="CS262" s="51" t="s">
        <v>48</v>
      </c>
      <c r="CT262" s="51" t="s">
        <v>48</v>
      </c>
      <c r="CU262" s="51" t="s">
        <v>48</v>
      </c>
      <c r="CV262" s="51" t="s">
        <v>48</v>
      </c>
      <c r="CW262" s="51" t="s">
        <v>48</v>
      </c>
      <c r="CX262" s="51" t="s">
        <v>48</v>
      </c>
      <c r="CY262" s="51" t="s">
        <v>48</v>
      </c>
      <c r="CZ262" s="51" t="s">
        <v>48</v>
      </c>
      <c r="DA262" s="51" t="s">
        <v>48</v>
      </c>
      <c r="DB262" s="51" t="s">
        <v>48</v>
      </c>
      <c r="DC262" s="51" t="s">
        <v>48</v>
      </c>
      <c r="DD262" s="51" t="s">
        <v>48</v>
      </c>
      <c r="DE262" s="51" t="s">
        <v>48</v>
      </c>
      <c r="DF262" s="51" t="s">
        <v>48</v>
      </c>
      <c r="DG262" s="51" t="s">
        <v>48</v>
      </c>
      <c r="DH262" s="51" t="s">
        <v>48</v>
      </c>
      <c r="DI262" s="51" t="s">
        <v>48</v>
      </c>
      <c r="DJ262" s="51" t="s">
        <v>48</v>
      </c>
      <c r="DK262" s="51" t="s">
        <v>48</v>
      </c>
      <c r="DL262" s="51" t="s">
        <v>48</v>
      </c>
      <c r="DM262" s="51" t="s">
        <v>48</v>
      </c>
      <c r="DN262" s="51" t="s">
        <v>48</v>
      </c>
      <c r="DO262" s="51" t="s">
        <v>48</v>
      </c>
      <c r="DP262" s="51" t="s">
        <v>48</v>
      </c>
      <c r="DQ262" s="51" t="s">
        <v>48</v>
      </c>
      <c r="DR262" s="51" t="s">
        <v>48</v>
      </c>
      <c r="DS262" s="51" t="s">
        <v>48</v>
      </c>
      <c r="DT262" s="51" t="s">
        <v>48</v>
      </c>
      <c r="DU262" s="51" t="s">
        <v>48</v>
      </c>
      <c r="DV262" s="51" t="s">
        <v>48</v>
      </c>
      <c r="DW262" s="51" t="s">
        <v>48</v>
      </c>
      <c r="DX262" s="51" t="s">
        <v>48</v>
      </c>
      <c r="DY262" s="51" t="s">
        <v>48</v>
      </c>
      <c r="DZ262" s="51" t="s">
        <v>48</v>
      </c>
      <c r="EA262" s="51" t="s">
        <v>48</v>
      </c>
      <c r="EB262" s="51" t="s">
        <v>48</v>
      </c>
      <c r="EC262" s="51" t="s">
        <v>48</v>
      </c>
      <c r="ED262" s="51" t="s">
        <v>48</v>
      </c>
      <c r="EE262" s="51" t="s">
        <v>48</v>
      </c>
      <c r="EF262" s="51" t="s">
        <v>48</v>
      </c>
      <c r="EG262" s="51" t="s">
        <v>48</v>
      </c>
      <c r="EH262" s="51" t="s">
        <v>48</v>
      </c>
      <c r="EI262" s="51" t="s">
        <v>48</v>
      </c>
      <c r="EJ262" s="51" t="s">
        <v>48</v>
      </c>
      <c r="EK262" s="51" t="s">
        <v>48</v>
      </c>
      <c r="EL262" s="51" t="s">
        <v>48</v>
      </c>
      <c r="EM262" s="51" t="s">
        <v>48</v>
      </c>
      <c r="EN262" s="51" t="s">
        <v>48</v>
      </c>
      <c r="EO262" s="51" t="s">
        <v>48</v>
      </c>
      <c r="EP262" s="51" t="s">
        <v>48</v>
      </c>
      <c r="EQ262" s="51" t="s">
        <v>48</v>
      </c>
      <c r="ER262" s="51" t="s">
        <v>48</v>
      </c>
      <c r="ES262" s="51" t="s">
        <v>48</v>
      </c>
      <c r="ET262" s="51" t="s">
        <v>48</v>
      </c>
      <c r="EU262" s="51" t="s">
        <v>48</v>
      </c>
      <c r="EV262" s="51" t="s">
        <v>48</v>
      </c>
      <c r="EW262" s="51" t="s">
        <v>48</v>
      </c>
      <c r="EX262" s="51" t="s">
        <v>48</v>
      </c>
      <c r="EY262" s="51" t="s">
        <v>48</v>
      </c>
      <c r="EZ262" s="51" t="s">
        <v>48</v>
      </c>
      <c r="FA262" s="51" t="s">
        <v>48</v>
      </c>
      <c r="FB262" s="51" t="s">
        <v>48</v>
      </c>
      <c r="FC262" s="51" t="s">
        <v>48</v>
      </c>
      <c r="FD262" s="51" t="s">
        <v>48</v>
      </c>
      <c r="FE262" s="51" t="s">
        <v>48</v>
      </c>
      <c r="FF262" s="51" t="s">
        <v>48</v>
      </c>
      <c r="FG262" s="51" t="s">
        <v>48</v>
      </c>
      <c r="FH262" s="51" t="s">
        <v>48</v>
      </c>
      <c r="FI262" s="51" t="s">
        <v>48</v>
      </c>
      <c r="FJ262" s="51" t="s">
        <v>48</v>
      </c>
      <c r="FK262" s="51" t="s">
        <v>48</v>
      </c>
      <c r="FL262" s="51" t="s">
        <v>48</v>
      </c>
      <c r="FM262" s="51" t="s">
        <v>48</v>
      </c>
      <c r="FN262" s="51" t="s">
        <v>48</v>
      </c>
      <c r="FO262" s="51" t="s">
        <v>48</v>
      </c>
      <c r="FP262" s="51" t="s">
        <v>48</v>
      </c>
      <c r="FQ262" s="51" t="s">
        <v>48</v>
      </c>
      <c r="FR262" s="51" t="s">
        <v>48</v>
      </c>
      <c r="FS262" s="51" t="s">
        <v>48</v>
      </c>
      <c r="FT262" s="51" t="s">
        <v>48</v>
      </c>
      <c r="FU262" s="51" t="s">
        <v>48</v>
      </c>
      <c r="FV262" s="51" t="s">
        <v>48</v>
      </c>
      <c r="FW262" s="51" t="s">
        <v>48</v>
      </c>
      <c r="FX262" s="51" t="s">
        <v>48</v>
      </c>
      <c r="FY262" s="51" t="s">
        <v>48</v>
      </c>
      <c r="FZ262" s="51" t="s">
        <v>48</v>
      </c>
      <c r="GA262" s="51" t="s">
        <v>48</v>
      </c>
      <c r="GB262" s="51" t="s">
        <v>48</v>
      </c>
      <c r="GC262" s="51" t="s">
        <v>48</v>
      </c>
      <c r="GD262" s="51" t="s">
        <v>48</v>
      </c>
      <c r="GE262" s="51" t="s">
        <v>48</v>
      </c>
      <c r="GF262" s="51" t="s">
        <v>48</v>
      </c>
      <c r="GG262" s="51" t="s">
        <v>48</v>
      </c>
      <c r="GH262" s="51" t="s">
        <v>48</v>
      </c>
      <c r="GI262" s="51" t="s">
        <v>48</v>
      </c>
      <c r="GJ262" s="51" t="s">
        <v>48</v>
      </c>
      <c r="GK262" s="51" t="s">
        <v>48</v>
      </c>
      <c r="GL262" s="51" t="s">
        <v>48</v>
      </c>
      <c r="GM262" s="51" t="s">
        <v>48</v>
      </c>
      <c r="GN262" s="51" t="s">
        <v>48</v>
      </c>
      <c r="GO262" s="51" t="s">
        <v>48</v>
      </c>
      <c r="GP262" s="51" t="s">
        <v>48</v>
      </c>
      <c r="GQ262" s="51" t="s">
        <v>48</v>
      </c>
      <c r="GR262" s="51" t="s">
        <v>48</v>
      </c>
      <c r="GS262" s="51" t="s">
        <v>48</v>
      </c>
      <c r="GT262" s="51" t="s">
        <v>48</v>
      </c>
      <c r="GU262" s="51" t="s">
        <v>48</v>
      </c>
      <c r="GV262" s="51" t="s">
        <v>48</v>
      </c>
      <c r="GW262" s="51" t="s">
        <v>48</v>
      </c>
      <c r="GX262" s="51" t="s">
        <v>48</v>
      </c>
      <c r="GY262" s="51" t="s">
        <v>48</v>
      </c>
      <c r="GZ262" s="51" t="s">
        <v>48</v>
      </c>
      <c r="HA262" s="51" t="s">
        <v>48</v>
      </c>
      <c r="HB262" s="51" t="s">
        <v>48</v>
      </c>
      <c r="HC262" s="51" t="s">
        <v>48</v>
      </c>
      <c r="HD262" s="51" t="s">
        <v>48</v>
      </c>
      <c r="HE262" s="51" t="s">
        <v>48</v>
      </c>
      <c r="HF262" s="51" t="s">
        <v>48</v>
      </c>
      <c r="HG262" s="51" t="s">
        <v>48</v>
      </c>
      <c r="HH262" s="51" t="s">
        <v>48</v>
      </c>
      <c r="HI262" s="51" t="s">
        <v>48</v>
      </c>
      <c r="HJ262" s="51" t="s">
        <v>48</v>
      </c>
      <c r="HK262" s="51" t="s">
        <v>48</v>
      </c>
      <c r="HL262" s="51" t="s">
        <v>48</v>
      </c>
      <c r="HM262" s="51" t="s">
        <v>48</v>
      </c>
      <c r="HN262" s="51" t="s">
        <v>48</v>
      </c>
      <c r="HO262" s="51" t="s">
        <v>48</v>
      </c>
      <c r="HP262" s="51" t="s">
        <v>48</v>
      </c>
      <c r="HQ262" s="51" t="s">
        <v>48</v>
      </c>
      <c r="HR262" s="51" t="s">
        <v>48</v>
      </c>
      <c r="HS262" s="51" t="s">
        <v>48</v>
      </c>
      <c r="HT262" s="51" t="s">
        <v>48</v>
      </c>
      <c r="HU262" s="51" t="s">
        <v>48</v>
      </c>
      <c r="HV262" s="51" t="s">
        <v>48</v>
      </c>
      <c r="HW262" s="51" t="s">
        <v>48</v>
      </c>
      <c r="HX262" s="51" t="s">
        <v>48</v>
      </c>
      <c r="HY262" s="51" t="s">
        <v>48</v>
      </c>
      <c r="HZ262" s="51" t="s">
        <v>48</v>
      </c>
      <c r="IA262" s="51" t="s">
        <v>48</v>
      </c>
      <c r="IB262" s="51" t="s">
        <v>48</v>
      </c>
      <c r="IC262" s="51" t="s">
        <v>48</v>
      </c>
    </row>
    <row r="263" spans="1:257">
      <c r="A263" s="4" t="s">
        <v>522</v>
      </c>
      <c r="B263" s="82" t="str">
        <f t="array" ref="B263">_xlfn.LET(
  _xlpm.dates, _xlfn._xlws.FILTER(P263:HO263, (P265:HO265&lt;&gt;"")+(P267:HO267&lt;&gt;"")),
  _xlpm.numDates, IFERROR(VALUE(_xlpm.dates), _xlpm.dates),
  _xlpm.first, TEXT(MIN(_xlpm.numDates), "m/dd"),
  _xlpm.last, TEXT(MAX(_xlpm.numDates), "m/dd"),
  _xlpm.first &amp; "~" &amp; _xlpm.last
)</f>
        <v>3/28~4/27</v>
      </c>
      <c r="C263" s="7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 t="s">
        <v>522</v>
      </c>
      <c r="P263" s="3">
        <v>46107</v>
      </c>
      <c r="Q263" s="3">
        <v>46108</v>
      </c>
      <c r="R263" s="3">
        <v>46109</v>
      </c>
      <c r="S263" s="3">
        <v>46110</v>
      </c>
      <c r="T263" s="3">
        <v>46111</v>
      </c>
      <c r="U263" s="3">
        <v>46112</v>
      </c>
      <c r="V263" s="3">
        <v>46113</v>
      </c>
      <c r="W263" s="3">
        <v>46114</v>
      </c>
      <c r="X263" s="3">
        <v>46115</v>
      </c>
      <c r="Y263" s="3">
        <v>46116</v>
      </c>
      <c r="Z263" s="3">
        <v>46117</v>
      </c>
      <c r="AA263" s="3">
        <v>46118</v>
      </c>
      <c r="AB263" s="3">
        <v>46119</v>
      </c>
      <c r="AC263" s="3">
        <v>46120</v>
      </c>
      <c r="AD263" s="3">
        <v>46121</v>
      </c>
      <c r="AE263" s="3">
        <v>46122</v>
      </c>
      <c r="AF263" s="3">
        <v>46123</v>
      </c>
      <c r="AG263" s="3">
        <v>46124</v>
      </c>
      <c r="AH263" s="3">
        <v>46125</v>
      </c>
      <c r="AI263" s="3">
        <v>46126</v>
      </c>
      <c r="AJ263" s="3">
        <v>46127</v>
      </c>
      <c r="AK263" s="3">
        <v>46128</v>
      </c>
      <c r="AL263" s="3">
        <v>46129</v>
      </c>
      <c r="AM263" s="3">
        <v>46130</v>
      </c>
      <c r="AN263" s="3">
        <v>46131</v>
      </c>
      <c r="AO263" s="3">
        <v>46132</v>
      </c>
      <c r="AP263" s="3">
        <v>46133</v>
      </c>
      <c r="AQ263" s="3">
        <v>46134</v>
      </c>
      <c r="AR263" s="3">
        <v>46135</v>
      </c>
      <c r="AS263" s="3">
        <v>46136</v>
      </c>
      <c r="AT263" s="3">
        <v>46137</v>
      </c>
      <c r="AU263" s="3">
        <v>46138</v>
      </c>
      <c r="AV263" s="3">
        <v>46139</v>
      </c>
      <c r="AW263" s="3">
        <v>46140</v>
      </c>
      <c r="AX263" s="3">
        <v>46141</v>
      </c>
      <c r="AY263" s="3">
        <v>46142</v>
      </c>
      <c r="AZ263" s="3">
        <v>46143</v>
      </c>
      <c r="BA263" s="3">
        <v>46144</v>
      </c>
      <c r="BB263" s="3">
        <v>46145</v>
      </c>
      <c r="BC263" s="3">
        <v>46146</v>
      </c>
      <c r="BD263" s="3">
        <v>46147</v>
      </c>
      <c r="BE263" s="3">
        <v>46148</v>
      </c>
      <c r="BF263" s="3">
        <v>46149</v>
      </c>
      <c r="BG263" s="3">
        <v>46150</v>
      </c>
      <c r="BH263" s="3">
        <v>46151</v>
      </c>
      <c r="BI263" s="3">
        <v>46152</v>
      </c>
      <c r="BJ263" s="3">
        <v>46153</v>
      </c>
      <c r="BK263" s="3">
        <v>46154</v>
      </c>
      <c r="BL263" s="3">
        <v>46155</v>
      </c>
      <c r="BM263" s="3">
        <v>46156</v>
      </c>
      <c r="BN263" s="3">
        <v>46157</v>
      </c>
      <c r="BO263" s="3">
        <v>46158</v>
      </c>
      <c r="BP263" s="3">
        <v>46159</v>
      </c>
      <c r="BQ263" s="3">
        <v>46160</v>
      </c>
      <c r="BR263" s="3">
        <v>46161</v>
      </c>
      <c r="BS263" s="3">
        <v>46162</v>
      </c>
      <c r="BT263" s="3">
        <v>46163</v>
      </c>
      <c r="BU263" s="3">
        <v>46164</v>
      </c>
      <c r="BV263" s="3">
        <v>46165</v>
      </c>
      <c r="BW263" s="3">
        <v>46166</v>
      </c>
      <c r="BX263" s="3">
        <v>46167</v>
      </c>
      <c r="BY263" s="3">
        <v>46168</v>
      </c>
      <c r="BZ263" s="3">
        <v>46169</v>
      </c>
      <c r="CA263" s="3">
        <v>46170</v>
      </c>
      <c r="CB263" s="3">
        <v>46171</v>
      </c>
      <c r="CC263" s="3">
        <v>46172</v>
      </c>
      <c r="CD263" s="3">
        <v>46173</v>
      </c>
      <c r="CE263" s="3">
        <v>46174</v>
      </c>
      <c r="CF263" s="3">
        <v>46175</v>
      </c>
      <c r="CG263" s="3">
        <v>46176</v>
      </c>
      <c r="CH263" s="3">
        <v>46177</v>
      </c>
      <c r="CI263" s="3">
        <v>46178</v>
      </c>
      <c r="CJ263" s="3">
        <v>46179</v>
      </c>
      <c r="CK263" s="3">
        <v>46180</v>
      </c>
      <c r="CL263" s="3">
        <v>46181</v>
      </c>
      <c r="CM263" s="3">
        <v>46182</v>
      </c>
      <c r="CN263" s="3">
        <v>46183</v>
      </c>
      <c r="CO263" s="3">
        <v>46184</v>
      </c>
      <c r="CP263" s="3">
        <v>46185</v>
      </c>
      <c r="CQ263" s="3">
        <v>46186</v>
      </c>
      <c r="CR263" s="3">
        <v>46187</v>
      </c>
      <c r="CS263" s="3">
        <v>46188</v>
      </c>
      <c r="CT263" s="3">
        <v>46189</v>
      </c>
      <c r="CU263" s="3">
        <v>46190</v>
      </c>
      <c r="CV263" s="3">
        <v>46191</v>
      </c>
      <c r="CW263" s="3">
        <v>46192</v>
      </c>
      <c r="CX263" s="3">
        <v>46193</v>
      </c>
      <c r="CY263" s="3">
        <v>46194</v>
      </c>
      <c r="CZ263" s="3">
        <v>46195</v>
      </c>
      <c r="DA263" s="3">
        <v>46196</v>
      </c>
      <c r="DB263" s="3">
        <v>46197</v>
      </c>
      <c r="DC263" s="3">
        <v>46198</v>
      </c>
      <c r="DD263" s="3">
        <v>46199</v>
      </c>
      <c r="DE263" s="3">
        <v>46200</v>
      </c>
      <c r="DF263" s="3">
        <v>46201</v>
      </c>
      <c r="DG263" s="3">
        <v>46202</v>
      </c>
      <c r="DH263" s="3">
        <v>46203</v>
      </c>
      <c r="DI263" s="3">
        <v>46204</v>
      </c>
      <c r="DJ263" s="3">
        <v>46205</v>
      </c>
      <c r="DK263" s="3">
        <v>46206</v>
      </c>
      <c r="DL263" s="3">
        <v>46207</v>
      </c>
      <c r="DM263" s="3">
        <v>46208</v>
      </c>
      <c r="DN263" s="3">
        <v>46209</v>
      </c>
      <c r="DO263" s="3">
        <v>46210</v>
      </c>
      <c r="DP263" s="3">
        <v>46211</v>
      </c>
      <c r="DQ263" s="3">
        <v>46212</v>
      </c>
      <c r="DR263" s="3">
        <v>46213</v>
      </c>
      <c r="DS263" s="3">
        <v>46214</v>
      </c>
      <c r="DT263" s="3">
        <v>46215</v>
      </c>
      <c r="DU263" s="3">
        <v>46216</v>
      </c>
      <c r="DV263" s="3">
        <v>46217</v>
      </c>
      <c r="DW263" s="3">
        <v>46218</v>
      </c>
      <c r="DX263" s="3">
        <v>46219</v>
      </c>
      <c r="DY263" s="3">
        <v>46220</v>
      </c>
      <c r="DZ263" s="3">
        <v>46221</v>
      </c>
      <c r="EA263" s="3">
        <v>46222</v>
      </c>
      <c r="EB263" s="3">
        <v>46223</v>
      </c>
      <c r="EC263" s="3">
        <v>46224</v>
      </c>
      <c r="ED263" s="3">
        <v>46225</v>
      </c>
      <c r="EE263" s="3">
        <v>46226</v>
      </c>
      <c r="EF263" s="3">
        <v>46227</v>
      </c>
      <c r="EG263" s="3">
        <v>46228</v>
      </c>
      <c r="EH263" s="3">
        <v>46229</v>
      </c>
      <c r="EI263" s="3">
        <v>46230</v>
      </c>
      <c r="EJ263" s="3">
        <v>46231</v>
      </c>
      <c r="EK263" s="3">
        <v>46232</v>
      </c>
      <c r="EL263" s="3">
        <v>46233</v>
      </c>
      <c r="EM263" s="3">
        <v>46234</v>
      </c>
      <c r="EN263" s="3">
        <v>46235</v>
      </c>
      <c r="EO263" s="3">
        <v>46236</v>
      </c>
      <c r="EP263" s="3">
        <v>46237</v>
      </c>
      <c r="EQ263" s="3">
        <v>46238</v>
      </c>
      <c r="ER263" s="3">
        <v>46239</v>
      </c>
      <c r="ES263" s="3">
        <v>46240</v>
      </c>
      <c r="ET263" s="3">
        <v>46241</v>
      </c>
      <c r="EU263" s="3">
        <v>46242</v>
      </c>
      <c r="EV263" s="3">
        <v>46243</v>
      </c>
      <c r="EW263" s="3">
        <v>46244</v>
      </c>
      <c r="EX263" s="3">
        <v>46245</v>
      </c>
      <c r="EY263" s="3">
        <v>46246</v>
      </c>
      <c r="EZ263" s="3">
        <v>46247</v>
      </c>
      <c r="FA263" s="3">
        <v>46248</v>
      </c>
      <c r="FB263" s="3">
        <v>46249</v>
      </c>
      <c r="FC263" s="3">
        <v>46250</v>
      </c>
      <c r="FD263" s="3">
        <v>46251</v>
      </c>
      <c r="FE263" s="3">
        <v>46252</v>
      </c>
      <c r="FF263" s="3">
        <v>46253</v>
      </c>
      <c r="FG263" s="3">
        <v>46254</v>
      </c>
      <c r="FH263" s="3">
        <v>46255</v>
      </c>
      <c r="FI263" s="3">
        <v>46256</v>
      </c>
      <c r="FJ263" s="3">
        <v>46257</v>
      </c>
      <c r="FK263" s="3">
        <v>46258</v>
      </c>
      <c r="FL263" s="3">
        <v>46259</v>
      </c>
      <c r="FM263" s="3">
        <v>46260</v>
      </c>
      <c r="FN263" s="3">
        <v>46261</v>
      </c>
      <c r="FO263" s="3">
        <v>46262</v>
      </c>
      <c r="FP263" s="3">
        <v>46263</v>
      </c>
      <c r="FQ263" s="3">
        <v>46264</v>
      </c>
      <c r="FR263" s="3">
        <v>46265</v>
      </c>
      <c r="FS263" s="3">
        <v>46266</v>
      </c>
      <c r="FT263" s="3">
        <v>46267</v>
      </c>
      <c r="FU263" s="3">
        <v>46268</v>
      </c>
      <c r="FV263" s="3">
        <v>46269</v>
      </c>
      <c r="FW263" s="3">
        <v>46270</v>
      </c>
      <c r="FX263" s="3">
        <v>46271</v>
      </c>
      <c r="FY263" s="3">
        <v>46272</v>
      </c>
      <c r="FZ263" s="3">
        <v>46273</v>
      </c>
      <c r="GA263" s="3">
        <v>46274</v>
      </c>
      <c r="GB263" s="3">
        <v>46275</v>
      </c>
      <c r="GC263" s="3">
        <v>46276</v>
      </c>
      <c r="GD263" s="3">
        <v>46277</v>
      </c>
      <c r="GE263" s="3">
        <v>46278</v>
      </c>
      <c r="GF263" s="3">
        <v>46279</v>
      </c>
      <c r="GG263" s="3">
        <v>46280</v>
      </c>
      <c r="GH263" s="3">
        <v>46281</v>
      </c>
      <c r="GI263" s="3">
        <v>46282</v>
      </c>
      <c r="GJ263" s="3">
        <v>46283</v>
      </c>
      <c r="GK263" s="3">
        <v>46284</v>
      </c>
      <c r="GL263" s="3">
        <v>46285</v>
      </c>
      <c r="GM263" s="3">
        <v>46286</v>
      </c>
      <c r="GN263" s="3">
        <v>46287</v>
      </c>
      <c r="GO263" s="3">
        <v>46288</v>
      </c>
      <c r="GP263" s="3">
        <v>46289</v>
      </c>
      <c r="GQ263" s="3">
        <v>46290</v>
      </c>
      <c r="GR263" s="3">
        <v>46291</v>
      </c>
      <c r="GS263" s="3">
        <v>46292</v>
      </c>
      <c r="GT263" s="3">
        <v>46293</v>
      </c>
      <c r="GU263" s="3">
        <v>46294</v>
      </c>
      <c r="GV263" s="3">
        <v>46295</v>
      </c>
      <c r="GW263" s="3">
        <v>46296</v>
      </c>
      <c r="GX263" s="3">
        <v>46297</v>
      </c>
      <c r="GY263" s="3">
        <v>46298</v>
      </c>
      <c r="GZ263" s="3">
        <v>46299</v>
      </c>
      <c r="HA263" s="3">
        <v>46300</v>
      </c>
      <c r="HB263" s="3">
        <v>46301</v>
      </c>
      <c r="HC263" s="3">
        <v>46302</v>
      </c>
      <c r="HD263" s="3">
        <v>46303</v>
      </c>
      <c r="HE263" s="3">
        <v>46304</v>
      </c>
      <c r="HF263" s="3">
        <v>46305</v>
      </c>
      <c r="HG263" s="3">
        <v>46306</v>
      </c>
      <c r="HH263" s="3">
        <v>46307</v>
      </c>
      <c r="HI263" s="3">
        <v>46308</v>
      </c>
      <c r="HJ263" s="3">
        <v>46309</v>
      </c>
      <c r="HK263" s="3">
        <v>46310</v>
      </c>
      <c r="HL263" s="3">
        <v>46311</v>
      </c>
      <c r="HM263" s="3">
        <v>46312</v>
      </c>
      <c r="HN263" s="3">
        <v>46313</v>
      </c>
      <c r="HO263" s="3">
        <v>46314</v>
      </c>
      <c r="HP263" s="3">
        <v>46315</v>
      </c>
      <c r="HQ263" s="3">
        <v>46316</v>
      </c>
      <c r="HR263" s="3">
        <v>46317</v>
      </c>
      <c r="HS263" s="3">
        <v>46318</v>
      </c>
      <c r="HT263" s="3">
        <v>46319</v>
      </c>
      <c r="HU263" s="3">
        <v>46320</v>
      </c>
      <c r="HV263" s="3">
        <v>46321</v>
      </c>
      <c r="HW263" s="3">
        <v>46322</v>
      </c>
      <c r="HX263" s="3">
        <v>46323</v>
      </c>
      <c r="HY263" s="3">
        <v>46324</v>
      </c>
      <c r="HZ263" s="3">
        <v>46325</v>
      </c>
      <c r="IA263" s="3">
        <v>46326</v>
      </c>
      <c r="IB263" s="3">
        <v>46327</v>
      </c>
      <c r="IC263" s="3">
        <v>46328</v>
      </c>
    </row>
    <row r="264" spans="1:257">
      <c r="A264" s="4" t="s">
        <v>694</v>
      </c>
      <c r="B264" s="82" t="str">
        <f t="array" ref="B264">COLUMNS(_xlfn._xlws.FILTER(P263:HO263, (P265:HO265&lt;&gt;"")+(P267:HO267&lt;&gt;""))) &amp; "場"</f>
        <v>27場</v>
      </c>
      <c r="C264" s="7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 t="s">
        <v>675</v>
      </c>
      <c r="P264" s="3" t="s">
        <v>676</v>
      </c>
      <c r="Q264" s="3" t="s">
        <v>677</v>
      </c>
      <c r="R264" s="3" t="s">
        <v>678</v>
      </c>
      <c r="S264" s="3" t="s">
        <v>679</v>
      </c>
      <c r="T264" s="3" t="s">
        <v>680</v>
      </c>
      <c r="U264" s="3" t="s">
        <v>681</v>
      </c>
      <c r="V264" s="3" t="s">
        <v>682</v>
      </c>
      <c r="W264" s="3" t="s">
        <v>676</v>
      </c>
      <c r="X264" s="3" t="s">
        <v>677</v>
      </c>
      <c r="Y264" s="3" t="s">
        <v>678</v>
      </c>
      <c r="Z264" s="3" t="s">
        <v>679</v>
      </c>
      <c r="AA264" s="3" t="s">
        <v>680</v>
      </c>
      <c r="AB264" s="3" t="s">
        <v>681</v>
      </c>
      <c r="AC264" s="3" t="s">
        <v>682</v>
      </c>
      <c r="AD264" s="3" t="s">
        <v>676</v>
      </c>
      <c r="AE264" s="3" t="s">
        <v>677</v>
      </c>
      <c r="AF264" s="3" t="s">
        <v>678</v>
      </c>
      <c r="AG264" s="3" t="s">
        <v>679</v>
      </c>
      <c r="AH264" s="3" t="s">
        <v>680</v>
      </c>
      <c r="AI264" s="3" t="s">
        <v>681</v>
      </c>
      <c r="AJ264" s="3" t="s">
        <v>682</v>
      </c>
      <c r="AK264" s="3" t="s">
        <v>676</v>
      </c>
      <c r="AL264" s="3" t="s">
        <v>677</v>
      </c>
      <c r="AM264" s="3" t="s">
        <v>678</v>
      </c>
      <c r="AN264" s="3" t="s">
        <v>679</v>
      </c>
      <c r="AO264" s="3" t="s">
        <v>680</v>
      </c>
      <c r="AP264" s="3" t="s">
        <v>681</v>
      </c>
      <c r="AQ264" s="3" t="s">
        <v>682</v>
      </c>
      <c r="AR264" s="3" t="s">
        <v>676</v>
      </c>
      <c r="AS264" s="3" t="s">
        <v>677</v>
      </c>
      <c r="AT264" s="3" t="s">
        <v>678</v>
      </c>
      <c r="AU264" s="3" t="s">
        <v>679</v>
      </c>
      <c r="AV264" s="3" t="s">
        <v>680</v>
      </c>
      <c r="AW264" s="3" t="s">
        <v>681</v>
      </c>
      <c r="AX264" s="3" t="s">
        <v>682</v>
      </c>
      <c r="AY264" s="3" t="s">
        <v>676</v>
      </c>
      <c r="AZ264" s="3" t="s">
        <v>677</v>
      </c>
      <c r="BA264" s="3" t="s">
        <v>678</v>
      </c>
      <c r="BB264" s="3" t="s">
        <v>679</v>
      </c>
      <c r="BC264" s="3" t="s">
        <v>680</v>
      </c>
      <c r="BD264" s="3" t="s">
        <v>681</v>
      </c>
      <c r="BE264" s="3" t="s">
        <v>682</v>
      </c>
      <c r="BF264" s="3" t="s">
        <v>676</v>
      </c>
      <c r="BG264" s="3" t="s">
        <v>677</v>
      </c>
      <c r="BH264" s="3" t="s">
        <v>678</v>
      </c>
      <c r="BI264" s="3" t="s">
        <v>679</v>
      </c>
      <c r="BJ264" s="3" t="s">
        <v>680</v>
      </c>
      <c r="BK264" s="3" t="s">
        <v>681</v>
      </c>
      <c r="BL264" s="3" t="s">
        <v>682</v>
      </c>
      <c r="BM264" s="3" t="s">
        <v>676</v>
      </c>
      <c r="BN264" s="3" t="s">
        <v>677</v>
      </c>
      <c r="BO264" s="3" t="s">
        <v>678</v>
      </c>
      <c r="BP264" s="3" t="s">
        <v>679</v>
      </c>
      <c r="BQ264" s="3" t="s">
        <v>680</v>
      </c>
      <c r="BR264" s="3" t="s">
        <v>681</v>
      </c>
      <c r="BS264" s="3" t="s">
        <v>682</v>
      </c>
      <c r="BT264" s="3" t="s">
        <v>676</v>
      </c>
      <c r="BU264" s="3" t="s">
        <v>677</v>
      </c>
      <c r="BV264" s="3" t="s">
        <v>678</v>
      </c>
      <c r="BW264" s="3" t="s">
        <v>679</v>
      </c>
      <c r="BX264" s="3" t="s">
        <v>680</v>
      </c>
      <c r="BY264" s="3" t="s">
        <v>681</v>
      </c>
      <c r="BZ264" s="3" t="s">
        <v>682</v>
      </c>
      <c r="CA264" s="3" t="s">
        <v>676</v>
      </c>
      <c r="CB264" s="3" t="s">
        <v>677</v>
      </c>
      <c r="CC264" s="3" t="s">
        <v>678</v>
      </c>
      <c r="CD264" s="3" t="s">
        <v>679</v>
      </c>
      <c r="CE264" s="3" t="s">
        <v>680</v>
      </c>
      <c r="CF264" s="3" t="s">
        <v>681</v>
      </c>
      <c r="CG264" s="3" t="s">
        <v>682</v>
      </c>
      <c r="CH264" s="3" t="s">
        <v>676</v>
      </c>
      <c r="CI264" s="3" t="s">
        <v>677</v>
      </c>
      <c r="CJ264" s="3" t="s">
        <v>678</v>
      </c>
      <c r="CK264" s="3" t="s">
        <v>679</v>
      </c>
      <c r="CL264" s="3" t="s">
        <v>680</v>
      </c>
      <c r="CM264" s="3" t="s">
        <v>681</v>
      </c>
      <c r="CN264" s="3" t="s">
        <v>682</v>
      </c>
      <c r="CO264" s="3" t="s">
        <v>676</v>
      </c>
      <c r="CP264" s="3" t="s">
        <v>677</v>
      </c>
      <c r="CQ264" s="3" t="s">
        <v>678</v>
      </c>
      <c r="CR264" s="3" t="s">
        <v>679</v>
      </c>
      <c r="CS264" s="3" t="s">
        <v>680</v>
      </c>
      <c r="CT264" s="3" t="s">
        <v>681</v>
      </c>
      <c r="CU264" s="3" t="s">
        <v>682</v>
      </c>
      <c r="CV264" s="3" t="s">
        <v>676</v>
      </c>
      <c r="CW264" s="3" t="s">
        <v>677</v>
      </c>
      <c r="CX264" s="3" t="s">
        <v>678</v>
      </c>
      <c r="CY264" s="3" t="s">
        <v>679</v>
      </c>
      <c r="CZ264" s="3" t="s">
        <v>680</v>
      </c>
      <c r="DA264" s="3" t="s">
        <v>681</v>
      </c>
      <c r="DB264" s="3" t="s">
        <v>682</v>
      </c>
      <c r="DC264" s="3" t="s">
        <v>676</v>
      </c>
      <c r="DD264" s="3" t="s">
        <v>677</v>
      </c>
      <c r="DE264" s="3" t="s">
        <v>678</v>
      </c>
      <c r="DF264" s="3" t="s">
        <v>679</v>
      </c>
      <c r="DG264" s="3" t="s">
        <v>680</v>
      </c>
      <c r="DH264" s="3" t="s">
        <v>681</v>
      </c>
      <c r="DI264" s="3" t="s">
        <v>682</v>
      </c>
      <c r="DJ264" s="3" t="s">
        <v>676</v>
      </c>
      <c r="DK264" s="3" t="s">
        <v>677</v>
      </c>
      <c r="DL264" s="3" t="s">
        <v>678</v>
      </c>
      <c r="DM264" s="3" t="s">
        <v>679</v>
      </c>
      <c r="DN264" s="3" t="s">
        <v>680</v>
      </c>
      <c r="DO264" s="3" t="s">
        <v>681</v>
      </c>
      <c r="DP264" s="3" t="s">
        <v>682</v>
      </c>
      <c r="DQ264" s="3" t="s">
        <v>676</v>
      </c>
      <c r="DR264" s="3" t="s">
        <v>677</v>
      </c>
      <c r="DS264" s="3" t="s">
        <v>678</v>
      </c>
      <c r="DT264" s="3" t="s">
        <v>679</v>
      </c>
      <c r="DU264" s="3" t="s">
        <v>680</v>
      </c>
      <c r="DV264" s="3" t="s">
        <v>681</v>
      </c>
      <c r="DW264" s="3" t="s">
        <v>682</v>
      </c>
      <c r="DX264" s="3" t="s">
        <v>676</v>
      </c>
      <c r="DY264" s="3" t="s">
        <v>677</v>
      </c>
      <c r="DZ264" s="3" t="s">
        <v>678</v>
      </c>
      <c r="EA264" s="3" t="s">
        <v>679</v>
      </c>
      <c r="EB264" s="3" t="s">
        <v>680</v>
      </c>
      <c r="EC264" s="3" t="s">
        <v>681</v>
      </c>
      <c r="ED264" s="3" t="s">
        <v>682</v>
      </c>
      <c r="EE264" s="3" t="s">
        <v>676</v>
      </c>
      <c r="EF264" s="3" t="s">
        <v>677</v>
      </c>
      <c r="EG264" s="3" t="s">
        <v>678</v>
      </c>
      <c r="EH264" s="3" t="s">
        <v>679</v>
      </c>
      <c r="EI264" s="3" t="s">
        <v>680</v>
      </c>
      <c r="EJ264" s="3" t="s">
        <v>681</v>
      </c>
      <c r="EK264" s="3" t="s">
        <v>682</v>
      </c>
      <c r="EL264" s="3" t="s">
        <v>676</v>
      </c>
      <c r="EM264" s="3" t="s">
        <v>677</v>
      </c>
      <c r="EN264" s="3" t="s">
        <v>678</v>
      </c>
      <c r="EO264" s="3" t="s">
        <v>679</v>
      </c>
      <c r="EP264" s="3" t="s">
        <v>680</v>
      </c>
      <c r="EQ264" s="3" t="s">
        <v>681</v>
      </c>
      <c r="ER264" s="3" t="s">
        <v>682</v>
      </c>
      <c r="ES264" s="3" t="s">
        <v>676</v>
      </c>
      <c r="ET264" s="3" t="s">
        <v>677</v>
      </c>
      <c r="EU264" s="3" t="s">
        <v>678</v>
      </c>
      <c r="EV264" s="3" t="s">
        <v>679</v>
      </c>
      <c r="EW264" s="3" t="s">
        <v>680</v>
      </c>
      <c r="EX264" s="3" t="s">
        <v>681</v>
      </c>
      <c r="EY264" s="3" t="s">
        <v>682</v>
      </c>
      <c r="EZ264" s="3" t="s">
        <v>676</v>
      </c>
      <c r="FA264" s="3" t="s">
        <v>677</v>
      </c>
      <c r="FB264" s="3" t="s">
        <v>678</v>
      </c>
      <c r="FC264" s="3" t="s">
        <v>679</v>
      </c>
      <c r="FD264" s="3" t="s">
        <v>680</v>
      </c>
      <c r="FE264" s="3" t="s">
        <v>681</v>
      </c>
      <c r="FF264" s="3" t="s">
        <v>682</v>
      </c>
      <c r="FG264" s="3" t="s">
        <v>676</v>
      </c>
      <c r="FH264" s="3" t="s">
        <v>677</v>
      </c>
      <c r="FI264" s="3" t="s">
        <v>678</v>
      </c>
      <c r="FJ264" s="3" t="s">
        <v>679</v>
      </c>
      <c r="FK264" s="3" t="s">
        <v>680</v>
      </c>
      <c r="FL264" s="3" t="s">
        <v>681</v>
      </c>
      <c r="FM264" s="3" t="s">
        <v>682</v>
      </c>
      <c r="FN264" s="3" t="s">
        <v>676</v>
      </c>
      <c r="FO264" s="3" t="s">
        <v>677</v>
      </c>
      <c r="FP264" s="3" t="s">
        <v>678</v>
      </c>
      <c r="FQ264" s="3" t="s">
        <v>679</v>
      </c>
      <c r="FR264" s="3" t="s">
        <v>680</v>
      </c>
      <c r="FS264" s="3" t="s">
        <v>681</v>
      </c>
      <c r="FT264" s="3" t="s">
        <v>682</v>
      </c>
      <c r="FU264" s="3" t="s">
        <v>676</v>
      </c>
      <c r="FV264" s="3" t="s">
        <v>677</v>
      </c>
      <c r="FW264" s="3" t="s">
        <v>678</v>
      </c>
      <c r="FX264" s="3" t="s">
        <v>679</v>
      </c>
      <c r="FY264" s="3" t="s">
        <v>680</v>
      </c>
      <c r="FZ264" s="3" t="s">
        <v>681</v>
      </c>
      <c r="GA264" s="3" t="s">
        <v>682</v>
      </c>
      <c r="GB264" s="3" t="s">
        <v>676</v>
      </c>
      <c r="GC264" s="3" t="s">
        <v>677</v>
      </c>
      <c r="GD264" s="3" t="s">
        <v>678</v>
      </c>
      <c r="GE264" s="3" t="s">
        <v>679</v>
      </c>
      <c r="GF264" s="3" t="s">
        <v>680</v>
      </c>
      <c r="GG264" s="3" t="s">
        <v>681</v>
      </c>
      <c r="GH264" s="3" t="s">
        <v>682</v>
      </c>
      <c r="GI264" s="3" t="s">
        <v>676</v>
      </c>
      <c r="GJ264" s="3" t="s">
        <v>677</v>
      </c>
      <c r="GK264" s="3" t="s">
        <v>678</v>
      </c>
      <c r="GL264" s="3" t="s">
        <v>679</v>
      </c>
      <c r="GM264" s="3" t="s">
        <v>680</v>
      </c>
      <c r="GN264" s="3" t="s">
        <v>681</v>
      </c>
      <c r="GO264" s="3" t="s">
        <v>682</v>
      </c>
      <c r="GP264" s="3" t="s">
        <v>676</v>
      </c>
      <c r="GQ264" s="3" t="s">
        <v>677</v>
      </c>
      <c r="GR264" s="3" t="s">
        <v>678</v>
      </c>
      <c r="GS264" s="3" t="s">
        <v>679</v>
      </c>
      <c r="GT264" s="3" t="s">
        <v>680</v>
      </c>
      <c r="GU264" s="3" t="s">
        <v>681</v>
      </c>
      <c r="GV264" s="3" t="s">
        <v>682</v>
      </c>
      <c r="GW264" s="3" t="s">
        <v>676</v>
      </c>
      <c r="GX264" s="3" t="s">
        <v>677</v>
      </c>
      <c r="GY264" s="3" t="s">
        <v>678</v>
      </c>
      <c r="GZ264" s="3" t="s">
        <v>679</v>
      </c>
      <c r="HA264" s="3" t="s">
        <v>680</v>
      </c>
      <c r="HB264" s="3" t="s">
        <v>681</v>
      </c>
      <c r="HC264" s="3" t="s">
        <v>682</v>
      </c>
      <c r="HD264" s="3" t="s">
        <v>676</v>
      </c>
      <c r="HE264" s="3" t="s">
        <v>677</v>
      </c>
      <c r="HF264" s="3" t="s">
        <v>678</v>
      </c>
      <c r="HG264" s="3" t="s">
        <v>679</v>
      </c>
      <c r="HH264" s="3" t="s">
        <v>680</v>
      </c>
      <c r="HI264" s="3" t="s">
        <v>681</v>
      </c>
      <c r="HJ264" s="3" t="s">
        <v>682</v>
      </c>
      <c r="HK264" s="3" t="s">
        <v>676</v>
      </c>
      <c r="HL264" s="3" t="s">
        <v>677</v>
      </c>
      <c r="HM264" s="3" t="s">
        <v>678</v>
      </c>
      <c r="HN264" s="3" t="s">
        <v>679</v>
      </c>
      <c r="HO264" s="3" t="s">
        <v>680</v>
      </c>
      <c r="HP264" s="3" t="s">
        <v>681</v>
      </c>
      <c r="HQ264" s="3" t="s">
        <v>682</v>
      </c>
      <c r="HR264" s="3" t="s">
        <v>676</v>
      </c>
      <c r="HS264" s="3" t="s">
        <v>677</v>
      </c>
      <c r="HT264" s="3" t="s">
        <v>678</v>
      </c>
      <c r="HU264" s="3" t="s">
        <v>679</v>
      </c>
      <c r="HV264" s="3" t="s">
        <v>680</v>
      </c>
      <c r="HW264" s="3" t="s">
        <v>681</v>
      </c>
      <c r="HX264" s="3" t="s">
        <v>682</v>
      </c>
      <c r="HY264" s="3" t="s">
        <v>676</v>
      </c>
      <c r="HZ264" s="3" t="s">
        <v>677</v>
      </c>
      <c r="IA264" s="3" t="s">
        <v>678</v>
      </c>
      <c r="IB264" s="3" t="s">
        <v>679</v>
      </c>
      <c r="IC264" s="3" t="s">
        <v>680</v>
      </c>
    </row>
    <row r="265" spans="1:257">
      <c r="A265" s="82" t="s">
        <v>695</v>
      </c>
      <c r="B265" s="82" t="str">
        <f>COUNTIF(P265:IC265, "W")&amp;"勝"</f>
        <v>11勝</v>
      </c>
      <c r="C265" s="82" t="str">
        <f>COUNTIF(P265:IC265, "L")&amp;"敗"</f>
        <v>16敗</v>
      </c>
      <c r="D265" s="82" t="s">
        <v>696</v>
      </c>
      <c r="E265" s="78"/>
      <c r="F265" s="82" t="s">
        <v>761</v>
      </c>
      <c r="G265" s="78"/>
      <c r="H265" s="78"/>
      <c r="I265" s="78"/>
      <c r="J265" s="78"/>
      <c r="K265" s="78"/>
      <c r="L265" s="78"/>
      <c r="M265" s="82"/>
      <c r="N265" s="78"/>
      <c r="O265" s="1" t="s">
        <v>698</v>
      </c>
      <c r="R265" t="s">
        <v>700</v>
      </c>
      <c r="S265" t="s">
        <v>700</v>
      </c>
      <c r="T265" t="s">
        <v>700</v>
      </c>
      <c r="U265" t="s">
        <v>699</v>
      </c>
      <c r="V265" t="s">
        <v>700</v>
      </c>
      <c r="W265" t="s">
        <v>699</v>
      </c>
      <c r="Y265" t="s">
        <v>700</v>
      </c>
      <c r="Z265" t="s">
        <v>700</v>
      </c>
      <c r="AA265" t="s">
        <v>699</v>
      </c>
      <c r="AB265" t="s">
        <v>699</v>
      </c>
      <c r="AC265" t="s">
        <v>699</v>
      </c>
      <c r="AD265" t="s">
        <v>699</v>
      </c>
      <c r="AE265" t="s">
        <v>700</v>
      </c>
      <c r="AF265" t="s">
        <v>700</v>
      </c>
      <c r="AG265" t="s">
        <v>700</v>
      </c>
      <c r="AH265" t="s">
        <v>700</v>
      </c>
      <c r="AJ265" t="s">
        <v>700</v>
      </c>
      <c r="AK265" t="s">
        <v>700</v>
      </c>
      <c r="AL265" t="s">
        <v>699</v>
      </c>
      <c r="AM265" t="s">
        <v>700</v>
      </c>
      <c r="AN265" t="s">
        <v>699</v>
      </c>
      <c r="AO265" t="s">
        <v>699</v>
      </c>
      <c r="AP265" t="s">
        <v>700</v>
      </c>
      <c r="AQ265" t="s">
        <v>700</v>
      </c>
      <c r="AS265" t="s">
        <v>700</v>
      </c>
      <c r="AT265" t="s">
        <v>699</v>
      </c>
      <c r="AV265" t="s">
        <v>699</v>
      </c>
    </row>
    <row r="266" spans="1:257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1" t="s">
        <v>701</v>
      </c>
    </row>
    <row r="267" spans="1:257">
      <c r="A267" s="82" t="s">
        <v>702</v>
      </c>
      <c r="B267" s="82" t="str">
        <f>COUNTIF(P267:IC267, "O")&amp;"正"</f>
        <v>17正</v>
      </c>
      <c r="C267" s="82" t="str">
        <f>COUNTIF(P267:IC267, "X")&amp;"負"</f>
        <v>10負</v>
      </c>
      <c r="D267" s="82" t="s">
        <v>703</v>
      </c>
      <c r="E267" s="78"/>
      <c r="F267" s="82" t="s">
        <v>762</v>
      </c>
      <c r="G267" s="78"/>
      <c r="H267" s="78"/>
      <c r="I267" s="78"/>
      <c r="J267" s="78"/>
      <c r="K267" s="78"/>
      <c r="L267" s="78"/>
      <c r="M267" s="82"/>
      <c r="N267" s="78"/>
      <c r="O267" s="1" t="s">
        <v>705</v>
      </c>
      <c r="R267" t="s">
        <v>683</v>
      </c>
      <c r="S267" t="s">
        <v>683</v>
      </c>
      <c r="T267" t="s">
        <v>683</v>
      </c>
      <c r="U267" t="s">
        <v>683</v>
      </c>
      <c r="V267" t="s">
        <v>684</v>
      </c>
      <c r="W267" t="s">
        <v>683</v>
      </c>
      <c r="Y267" t="s">
        <v>684</v>
      </c>
      <c r="Z267" t="s">
        <v>683</v>
      </c>
      <c r="AA267" t="s">
        <v>683</v>
      </c>
      <c r="AB267" t="s">
        <v>683</v>
      </c>
      <c r="AC267" t="s">
        <v>683</v>
      </c>
      <c r="AD267" t="s">
        <v>683</v>
      </c>
      <c r="AE267" t="s">
        <v>684</v>
      </c>
      <c r="AF267" t="s">
        <v>684</v>
      </c>
      <c r="AG267" t="s">
        <v>684</v>
      </c>
      <c r="AH267" t="s">
        <v>684</v>
      </c>
      <c r="AJ267" t="s">
        <v>683</v>
      </c>
      <c r="AK267" t="s">
        <v>684</v>
      </c>
      <c r="AL267" t="s">
        <v>683</v>
      </c>
      <c r="AM267" t="s">
        <v>684</v>
      </c>
      <c r="AN267" t="s">
        <v>683</v>
      </c>
      <c r="AO267" t="s">
        <v>683</v>
      </c>
      <c r="AP267" t="s">
        <v>684</v>
      </c>
      <c r="AQ267" t="s">
        <v>683</v>
      </c>
      <c r="AS267" t="s">
        <v>684</v>
      </c>
      <c r="AT267" t="s">
        <v>683</v>
      </c>
      <c r="AV267" t="s">
        <v>683</v>
      </c>
      <c r="IN267" t="str">
        <f ca="1">IFERROR(INDEX($P267:$IC267,1,_xludf.AGGREGATE(14,6,(COLUMN($P267:$IC267)-COLUMN($P267)+1)/($P267:$IC267&lt;&gt;""),1)),"")</f>
        <v/>
      </c>
      <c r="IO267" t="str">
        <f ca="1">IFERROR(INDEX($P267:$IC267,1,_xludf.AGGREGATE(14,6,(COLUMN($P267:$IC267)-COLUMN($P267)+1)/($P267:$IC267&lt;&gt;""),2)),"")</f>
        <v/>
      </c>
      <c r="IP267" t="str">
        <f ca="1">IFERROR(INDEX($P267:$IC267,1,_xludf.AGGREGATE(14,6,(COLUMN($P267:$IC267)-COLUMN($P267)+1)/($P267:$IC267&lt;&gt;""),3)),"")</f>
        <v/>
      </c>
      <c r="IQ267" t="str">
        <f ca="1">IFERROR(INDEX($P267:$IC267,1,_xludf.AGGREGATE(14,6,(COLUMN($P267:$IC267)-COLUMN($P267)+1)/($P267:$IC267&lt;&gt;""),4)),"")</f>
        <v/>
      </c>
      <c r="IR267" t="str">
        <f ca="1">IFERROR(INDEX($P267:$IC267,1,_xludf.AGGREGATE(14,6,(COLUMN($P267:$IC267)-COLUMN($P267)+1)/($P267:$IC267&lt;&gt;""),5)),"")</f>
        <v/>
      </c>
      <c r="IS267" t="str">
        <f ca="1">IFERROR(INDEX($P267:$IC267,1,_xludf.AGGREGATE(14,6,(COLUMN($P267:$IC267)-COLUMN($P267)+1)/($P267:$IC267&lt;&gt;""),6)),"")</f>
        <v/>
      </c>
      <c r="IT267" t="str">
        <f ca="1">IFERROR(INDEX($P267:$IC267,1,_xludf.AGGREGATE(14,6,(COLUMN($P267:$IC267)-COLUMN($P267)+1)/($P267:$IC267&lt;&gt;""),7)),"")</f>
        <v/>
      </c>
      <c r="IU267" t="str">
        <f ca="1">IFERROR(INDEX($P267:$IC267,1,_xludf.AGGREGATE(14,6,(COLUMN($P267:$IC267)-COLUMN($P267)+1)/($P267:$IC267&lt;&gt;""),8)),"")</f>
        <v/>
      </c>
      <c r="IV267" t="str">
        <f ca="1">IFERROR(INDEX($P267:$IC267,1,_xludf.AGGREGATE(14,6,(COLUMN($P267:$IC267)-COLUMN($P267)+1)/($P267:$IC267&lt;&gt;""),9)),"")</f>
        <v/>
      </c>
      <c r="IW267" t="str">
        <f ca="1">IFERROR(INDEX($P267:$IC267,1,_xludf.AGGREGATE(14,6,(COLUMN($P267:$IC267)-COLUMN($P267)+1)/($P267:$IC267&lt;&gt;""),10)),"")</f>
        <v/>
      </c>
    </row>
    <row r="268" spans="1:257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1" t="s">
        <v>706</v>
      </c>
    </row>
    <row r="269" spans="1:257">
      <c r="A269" s="82" t="s">
        <v>707</v>
      </c>
      <c r="B269" s="77"/>
      <c r="C269" s="77"/>
      <c r="D269" s="82" t="s">
        <v>708</v>
      </c>
      <c r="E269" s="78"/>
      <c r="F269" s="82"/>
      <c r="G269" s="78"/>
      <c r="H269" s="78"/>
      <c r="I269" s="78"/>
      <c r="J269" s="78"/>
      <c r="K269" s="78"/>
      <c r="L269" s="78"/>
      <c r="M269" s="82"/>
      <c r="N269" s="78"/>
      <c r="O269" s="1" t="s">
        <v>709</v>
      </c>
    </row>
    <row r="270" spans="1:257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1" t="s">
        <v>710</v>
      </c>
    </row>
    <row r="271" spans="1:257">
      <c r="A271" s="109" t="s">
        <v>11</v>
      </c>
      <c r="B271" s="78"/>
      <c r="C271" s="7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 t="s">
        <v>674</v>
      </c>
      <c r="P271" s="8">
        <v>1</v>
      </c>
      <c r="Q271" s="8">
        <v>2</v>
      </c>
      <c r="R271" s="8">
        <v>3</v>
      </c>
      <c r="S271" s="8">
        <v>4</v>
      </c>
      <c r="T271" s="8">
        <v>5</v>
      </c>
      <c r="U271" s="8">
        <v>6</v>
      </c>
      <c r="V271" s="8">
        <v>7</v>
      </c>
      <c r="W271" s="8">
        <v>8</v>
      </c>
      <c r="X271" s="8">
        <v>9</v>
      </c>
      <c r="Y271" s="8">
        <v>10</v>
      </c>
      <c r="Z271" s="8">
        <v>11</v>
      </c>
      <c r="AA271" s="8">
        <v>12</v>
      </c>
      <c r="AB271" s="8">
        <v>13</v>
      </c>
      <c r="AC271" s="8">
        <v>14</v>
      </c>
      <c r="AD271" s="8">
        <v>15</v>
      </c>
      <c r="AE271" s="8">
        <v>16</v>
      </c>
      <c r="AF271" s="8">
        <v>17</v>
      </c>
      <c r="AG271" s="8">
        <v>18</v>
      </c>
      <c r="AH271" s="8">
        <v>19</v>
      </c>
      <c r="AI271" s="8">
        <v>20</v>
      </c>
      <c r="AJ271" s="8">
        <v>21</v>
      </c>
      <c r="AK271" s="8">
        <v>22</v>
      </c>
      <c r="AL271" s="8">
        <v>23</v>
      </c>
      <c r="AM271" s="8">
        <v>24</v>
      </c>
      <c r="AN271" s="8">
        <v>25</v>
      </c>
      <c r="AO271" s="8">
        <v>26</v>
      </c>
      <c r="AP271" s="8">
        <v>27</v>
      </c>
      <c r="AQ271" s="8">
        <v>28</v>
      </c>
      <c r="AR271" s="8">
        <v>29</v>
      </c>
      <c r="AS271" s="8">
        <v>30</v>
      </c>
      <c r="AT271" s="8">
        <v>31</v>
      </c>
      <c r="AU271" s="8">
        <v>32</v>
      </c>
      <c r="AV271" s="8">
        <v>33</v>
      </c>
      <c r="AW271" s="8">
        <v>34</v>
      </c>
      <c r="AX271" s="8">
        <v>35</v>
      </c>
      <c r="AY271" s="8">
        <v>36</v>
      </c>
      <c r="AZ271" s="8">
        <v>37</v>
      </c>
      <c r="BA271" s="8">
        <v>38</v>
      </c>
      <c r="BB271" s="8">
        <v>39</v>
      </c>
      <c r="BC271" s="8">
        <v>40</v>
      </c>
      <c r="BD271" s="8">
        <v>41</v>
      </c>
      <c r="BE271" s="8">
        <v>42</v>
      </c>
      <c r="BF271" s="8">
        <v>43</v>
      </c>
      <c r="BG271" s="8">
        <v>44</v>
      </c>
      <c r="BH271" s="8">
        <v>45</v>
      </c>
      <c r="BI271" s="8">
        <v>46</v>
      </c>
      <c r="BJ271" s="8">
        <v>47</v>
      </c>
      <c r="BK271" s="8">
        <v>48</v>
      </c>
      <c r="BL271" s="8">
        <v>49</v>
      </c>
      <c r="BM271" s="8">
        <v>50</v>
      </c>
      <c r="BN271" s="8">
        <v>51</v>
      </c>
      <c r="BO271" s="8">
        <v>52</v>
      </c>
      <c r="BP271" s="8">
        <v>53</v>
      </c>
      <c r="BQ271" s="8">
        <v>54</v>
      </c>
      <c r="BR271" s="8">
        <v>55</v>
      </c>
      <c r="BS271" s="8">
        <v>56</v>
      </c>
      <c r="BT271" s="8">
        <v>57</v>
      </c>
      <c r="BU271" s="8">
        <v>58</v>
      </c>
      <c r="BV271" s="8">
        <v>59</v>
      </c>
      <c r="BW271" s="8">
        <v>60</v>
      </c>
      <c r="BX271" s="8">
        <v>61</v>
      </c>
      <c r="BY271" s="8">
        <v>62</v>
      </c>
      <c r="BZ271" s="8">
        <v>63</v>
      </c>
      <c r="CA271" s="8">
        <v>64</v>
      </c>
      <c r="CB271" s="8">
        <v>65</v>
      </c>
      <c r="CC271" s="8">
        <v>66</v>
      </c>
      <c r="CD271" s="8">
        <v>67</v>
      </c>
      <c r="CE271" s="8">
        <v>68</v>
      </c>
      <c r="CF271" s="8">
        <v>69</v>
      </c>
      <c r="CG271" s="8">
        <v>70</v>
      </c>
      <c r="CH271" s="8">
        <v>71</v>
      </c>
      <c r="CI271" s="8">
        <v>72</v>
      </c>
      <c r="CJ271" s="8">
        <v>73</v>
      </c>
      <c r="CK271" s="8">
        <v>74</v>
      </c>
      <c r="CL271" s="8">
        <v>75</v>
      </c>
      <c r="CM271" s="8">
        <v>76</v>
      </c>
      <c r="CN271" s="8">
        <v>77</v>
      </c>
      <c r="CO271" s="8">
        <v>78</v>
      </c>
      <c r="CP271" s="8">
        <v>79</v>
      </c>
      <c r="CQ271" s="8">
        <v>80</v>
      </c>
      <c r="CR271" s="8">
        <v>81</v>
      </c>
      <c r="CS271" s="8">
        <v>82</v>
      </c>
      <c r="CT271" s="8">
        <v>83</v>
      </c>
      <c r="CU271" s="8">
        <v>84</v>
      </c>
      <c r="CV271" s="8">
        <v>85</v>
      </c>
      <c r="CW271" s="8">
        <v>86</v>
      </c>
      <c r="CX271" s="8">
        <v>87</v>
      </c>
      <c r="CY271" s="8">
        <v>88</v>
      </c>
      <c r="CZ271" s="8">
        <v>89</v>
      </c>
      <c r="DA271" s="8">
        <v>90</v>
      </c>
      <c r="DB271" s="8">
        <v>91</v>
      </c>
      <c r="DC271" s="8">
        <v>92</v>
      </c>
      <c r="DD271" s="8">
        <v>93</v>
      </c>
      <c r="DE271" s="8">
        <v>94</v>
      </c>
      <c r="DF271" s="8">
        <v>95</v>
      </c>
      <c r="DG271" s="8">
        <v>96</v>
      </c>
      <c r="DH271" s="8">
        <v>97</v>
      </c>
      <c r="DI271" s="8">
        <v>98</v>
      </c>
      <c r="DJ271" s="8">
        <v>99</v>
      </c>
      <c r="DK271" s="8">
        <v>100</v>
      </c>
      <c r="DL271" s="8">
        <v>101</v>
      </c>
      <c r="DM271" s="8">
        <v>102</v>
      </c>
      <c r="DN271" s="8">
        <v>103</v>
      </c>
      <c r="DO271" s="8">
        <v>104</v>
      </c>
      <c r="DP271" s="8">
        <v>105</v>
      </c>
      <c r="DQ271" s="8">
        <v>106</v>
      </c>
      <c r="DR271" s="8">
        <v>107</v>
      </c>
      <c r="DS271" s="8">
        <v>108</v>
      </c>
      <c r="DT271" s="8">
        <v>109</v>
      </c>
      <c r="DU271" s="8">
        <v>110</v>
      </c>
      <c r="DV271" s="8">
        <v>111</v>
      </c>
      <c r="DW271" s="8">
        <v>112</v>
      </c>
      <c r="DX271" s="8">
        <v>113</v>
      </c>
      <c r="DY271" s="8">
        <v>114</v>
      </c>
      <c r="DZ271" s="8">
        <v>115</v>
      </c>
      <c r="EA271" s="8">
        <v>116</v>
      </c>
      <c r="EB271" s="8">
        <v>117</v>
      </c>
      <c r="EC271" s="8">
        <v>118</v>
      </c>
      <c r="ED271" s="8">
        <v>119</v>
      </c>
      <c r="EE271" s="8">
        <v>120</v>
      </c>
      <c r="EF271" s="8">
        <v>121</v>
      </c>
      <c r="EG271" s="8">
        <v>122</v>
      </c>
      <c r="EH271" s="8">
        <v>123</v>
      </c>
      <c r="EI271" s="8">
        <v>124</v>
      </c>
      <c r="EJ271" s="8">
        <v>125</v>
      </c>
      <c r="EK271" s="8">
        <v>126</v>
      </c>
      <c r="EL271" s="8">
        <v>127</v>
      </c>
      <c r="EM271" s="8">
        <v>128</v>
      </c>
      <c r="EN271" s="8">
        <v>129</v>
      </c>
      <c r="EO271" s="8">
        <v>130</v>
      </c>
      <c r="EP271" s="8">
        <v>131</v>
      </c>
      <c r="EQ271" s="8">
        <v>132</v>
      </c>
      <c r="ER271" s="8">
        <v>133</v>
      </c>
      <c r="ES271" s="8">
        <v>134</v>
      </c>
      <c r="ET271" s="8">
        <v>135</v>
      </c>
      <c r="EU271" s="8">
        <v>136</v>
      </c>
      <c r="EV271" s="8">
        <v>137</v>
      </c>
      <c r="EW271" s="8">
        <v>138</v>
      </c>
      <c r="EX271" s="8">
        <v>139</v>
      </c>
      <c r="EY271" s="8">
        <v>140</v>
      </c>
      <c r="EZ271" s="8">
        <v>141</v>
      </c>
      <c r="FA271" s="8">
        <v>142</v>
      </c>
      <c r="FB271" s="8">
        <v>143</v>
      </c>
      <c r="FC271" s="8">
        <v>144</v>
      </c>
      <c r="FD271" s="8">
        <v>145</v>
      </c>
      <c r="FE271" s="8">
        <v>146</v>
      </c>
      <c r="FF271" s="8">
        <v>147</v>
      </c>
      <c r="FG271" s="8">
        <v>148</v>
      </c>
      <c r="FH271" s="8">
        <v>149</v>
      </c>
      <c r="FI271" s="8">
        <v>150</v>
      </c>
      <c r="FJ271" s="8">
        <v>151</v>
      </c>
      <c r="FK271" s="8">
        <v>152</v>
      </c>
      <c r="FL271" s="8">
        <v>153</v>
      </c>
      <c r="FM271" s="8">
        <v>154</v>
      </c>
      <c r="FN271" s="8">
        <v>155</v>
      </c>
      <c r="FO271" s="8">
        <v>156</v>
      </c>
      <c r="FP271" s="8">
        <v>157</v>
      </c>
      <c r="FQ271" s="8">
        <v>158</v>
      </c>
      <c r="FR271" s="8">
        <v>159</v>
      </c>
      <c r="FS271" s="8">
        <v>160</v>
      </c>
      <c r="FT271" s="8">
        <v>161</v>
      </c>
      <c r="FU271" s="8">
        <v>162</v>
      </c>
      <c r="FV271" s="8">
        <v>163</v>
      </c>
      <c r="FW271" s="8">
        <v>164</v>
      </c>
      <c r="FX271" s="8">
        <v>165</v>
      </c>
      <c r="FY271" s="8">
        <v>166</v>
      </c>
      <c r="FZ271" s="8">
        <v>167</v>
      </c>
      <c r="GA271" s="8">
        <v>168</v>
      </c>
      <c r="GB271" s="8">
        <v>169</v>
      </c>
      <c r="GC271" s="8">
        <v>170</v>
      </c>
      <c r="GD271" s="8">
        <v>171</v>
      </c>
      <c r="GE271" s="8">
        <v>172</v>
      </c>
      <c r="GF271" s="8">
        <v>173</v>
      </c>
      <c r="GG271" s="8">
        <v>174</v>
      </c>
      <c r="GH271" s="8">
        <v>175</v>
      </c>
      <c r="GI271" s="8">
        <v>176</v>
      </c>
      <c r="GJ271" s="8">
        <v>177</v>
      </c>
      <c r="GK271" s="8">
        <v>178</v>
      </c>
      <c r="GL271" s="8">
        <v>179</v>
      </c>
      <c r="GM271" s="8">
        <v>180</v>
      </c>
      <c r="GN271" s="8">
        <v>181</v>
      </c>
      <c r="GO271" s="8">
        <v>182</v>
      </c>
      <c r="GP271" s="8">
        <v>183</v>
      </c>
      <c r="GQ271" s="8">
        <v>184</v>
      </c>
      <c r="GR271" s="8">
        <v>185</v>
      </c>
      <c r="GS271" s="8">
        <v>186</v>
      </c>
      <c r="GT271" s="8">
        <v>187</v>
      </c>
      <c r="GU271" s="8">
        <v>188</v>
      </c>
      <c r="GV271" s="8">
        <v>189</v>
      </c>
      <c r="GW271" s="8">
        <v>190</v>
      </c>
      <c r="GX271" s="8">
        <v>191</v>
      </c>
      <c r="GY271" s="8">
        <v>192</v>
      </c>
      <c r="GZ271" s="8">
        <v>193</v>
      </c>
      <c r="HA271" s="8">
        <v>194</v>
      </c>
      <c r="HB271" s="8">
        <v>195</v>
      </c>
      <c r="HC271" s="8">
        <v>196</v>
      </c>
      <c r="HD271" s="8">
        <v>197</v>
      </c>
      <c r="HE271" s="8">
        <v>198</v>
      </c>
      <c r="HF271" s="8">
        <v>199</v>
      </c>
      <c r="HG271" s="8">
        <v>200</v>
      </c>
      <c r="HH271" s="8">
        <v>201</v>
      </c>
      <c r="HI271" s="8">
        <v>202</v>
      </c>
      <c r="HJ271" s="8">
        <v>203</v>
      </c>
      <c r="HK271" s="8">
        <v>204</v>
      </c>
      <c r="HL271" s="8">
        <v>205</v>
      </c>
      <c r="HM271" s="8">
        <v>206</v>
      </c>
      <c r="HN271" s="8">
        <v>207</v>
      </c>
      <c r="HO271" s="8">
        <v>208</v>
      </c>
      <c r="HP271" s="8">
        <v>209</v>
      </c>
      <c r="HQ271" s="8">
        <v>210</v>
      </c>
      <c r="HR271" s="8">
        <v>211</v>
      </c>
      <c r="HS271" s="8">
        <v>212</v>
      </c>
      <c r="HT271" s="8">
        <v>213</v>
      </c>
      <c r="HU271" s="8">
        <v>214</v>
      </c>
      <c r="HV271" s="8">
        <v>215</v>
      </c>
      <c r="HW271" s="8">
        <v>216</v>
      </c>
      <c r="HX271" s="8">
        <v>217</v>
      </c>
      <c r="HY271" s="8">
        <v>218</v>
      </c>
      <c r="HZ271" s="8">
        <v>219</v>
      </c>
      <c r="IA271" s="8">
        <v>220</v>
      </c>
      <c r="IB271" s="8">
        <v>221</v>
      </c>
      <c r="IC271" s="8">
        <v>222</v>
      </c>
    </row>
    <row r="272" spans="1:257">
      <c r="A272" s="78"/>
      <c r="B272" s="78"/>
      <c r="C272" s="7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7"/>
      <c r="P272" s="50" t="s">
        <v>11</v>
      </c>
      <c r="Q272" s="50" t="s">
        <v>11</v>
      </c>
      <c r="R272" s="50" t="s">
        <v>11</v>
      </c>
      <c r="S272" s="50" t="s">
        <v>11</v>
      </c>
      <c r="T272" s="50" t="s">
        <v>11</v>
      </c>
      <c r="U272" s="50" t="s">
        <v>11</v>
      </c>
      <c r="V272" s="50" t="s">
        <v>11</v>
      </c>
      <c r="W272" s="50" t="s">
        <v>11</v>
      </c>
      <c r="X272" s="50" t="s">
        <v>11</v>
      </c>
      <c r="Y272" s="50" t="s">
        <v>11</v>
      </c>
      <c r="Z272" s="50" t="s">
        <v>11</v>
      </c>
      <c r="AA272" s="50" t="s">
        <v>11</v>
      </c>
      <c r="AB272" s="50" t="s">
        <v>11</v>
      </c>
      <c r="AC272" s="50" t="s">
        <v>11</v>
      </c>
      <c r="AD272" s="50" t="s">
        <v>11</v>
      </c>
      <c r="AE272" s="50" t="s">
        <v>11</v>
      </c>
      <c r="AF272" s="50" t="s">
        <v>11</v>
      </c>
      <c r="AG272" s="50" t="s">
        <v>11</v>
      </c>
      <c r="AH272" s="50" t="s">
        <v>11</v>
      </c>
      <c r="AI272" s="50" t="s">
        <v>11</v>
      </c>
      <c r="AJ272" s="50" t="s">
        <v>11</v>
      </c>
      <c r="AK272" s="50" t="s">
        <v>11</v>
      </c>
      <c r="AL272" s="50" t="s">
        <v>11</v>
      </c>
      <c r="AM272" s="50" t="s">
        <v>11</v>
      </c>
      <c r="AN272" s="50" t="s">
        <v>11</v>
      </c>
      <c r="AO272" s="50" t="s">
        <v>11</v>
      </c>
      <c r="AP272" s="50" t="s">
        <v>11</v>
      </c>
      <c r="AQ272" s="50" t="s">
        <v>11</v>
      </c>
      <c r="AR272" s="50" t="s">
        <v>11</v>
      </c>
      <c r="AS272" s="50" t="s">
        <v>11</v>
      </c>
      <c r="AT272" s="50" t="s">
        <v>11</v>
      </c>
      <c r="AU272" s="50" t="s">
        <v>11</v>
      </c>
      <c r="AV272" s="50" t="s">
        <v>11</v>
      </c>
      <c r="AW272" s="50" t="s">
        <v>11</v>
      </c>
      <c r="AX272" s="50" t="s">
        <v>11</v>
      </c>
      <c r="AY272" s="50" t="s">
        <v>11</v>
      </c>
      <c r="AZ272" s="50" t="s">
        <v>11</v>
      </c>
      <c r="BA272" s="50" t="s">
        <v>11</v>
      </c>
      <c r="BB272" s="50" t="s">
        <v>11</v>
      </c>
      <c r="BC272" s="50" t="s">
        <v>11</v>
      </c>
      <c r="BD272" s="50" t="s">
        <v>11</v>
      </c>
      <c r="BE272" s="50" t="s">
        <v>11</v>
      </c>
      <c r="BF272" s="50" t="s">
        <v>11</v>
      </c>
      <c r="BG272" s="50" t="s">
        <v>11</v>
      </c>
      <c r="BH272" s="50" t="s">
        <v>11</v>
      </c>
      <c r="BI272" s="50" t="s">
        <v>11</v>
      </c>
      <c r="BJ272" s="50" t="s">
        <v>11</v>
      </c>
      <c r="BK272" s="50" t="s">
        <v>11</v>
      </c>
      <c r="BL272" s="50" t="s">
        <v>11</v>
      </c>
      <c r="BM272" s="50" t="s">
        <v>11</v>
      </c>
      <c r="BN272" s="50" t="s">
        <v>11</v>
      </c>
      <c r="BO272" s="50" t="s">
        <v>11</v>
      </c>
      <c r="BP272" s="50" t="s">
        <v>11</v>
      </c>
      <c r="BQ272" s="50" t="s">
        <v>11</v>
      </c>
      <c r="BR272" s="50" t="s">
        <v>11</v>
      </c>
      <c r="BS272" s="50" t="s">
        <v>11</v>
      </c>
      <c r="BT272" s="50" t="s">
        <v>11</v>
      </c>
      <c r="BU272" s="50" t="s">
        <v>11</v>
      </c>
      <c r="BV272" s="50" t="s">
        <v>11</v>
      </c>
      <c r="BW272" s="50" t="s">
        <v>11</v>
      </c>
      <c r="BX272" s="50" t="s">
        <v>11</v>
      </c>
      <c r="BY272" s="50" t="s">
        <v>11</v>
      </c>
      <c r="BZ272" s="50" t="s">
        <v>11</v>
      </c>
      <c r="CA272" s="50" t="s">
        <v>11</v>
      </c>
      <c r="CB272" s="50" t="s">
        <v>11</v>
      </c>
      <c r="CC272" s="50" t="s">
        <v>11</v>
      </c>
      <c r="CD272" s="50" t="s">
        <v>11</v>
      </c>
      <c r="CE272" s="50" t="s">
        <v>11</v>
      </c>
      <c r="CF272" s="50" t="s">
        <v>11</v>
      </c>
      <c r="CG272" s="50" t="s">
        <v>11</v>
      </c>
      <c r="CH272" s="50" t="s">
        <v>11</v>
      </c>
      <c r="CI272" s="50" t="s">
        <v>11</v>
      </c>
      <c r="CJ272" s="50" t="s">
        <v>11</v>
      </c>
      <c r="CK272" s="50" t="s">
        <v>11</v>
      </c>
      <c r="CL272" s="50" t="s">
        <v>11</v>
      </c>
      <c r="CM272" s="50" t="s">
        <v>11</v>
      </c>
      <c r="CN272" s="50" t="s">
        <v>11</v>
      </c>
      <c r="CO272" s="50" t="s">
        <v>11</v>
      </c>
      <c r="CP272" s="50" t="s">
        <v>11</v>
      </c>
      <c r="CQ272" s="50" t="s">
        <v>11</v>
      </c>
      <c r="CR272" s="50" t="s">
        <v>11</v>
      </c>
      <c r="CS272" s="50" t="s">
        <v>11</v>
      </c>
      <c r="CT272" s="50" t="s">
        <v>11</v>
      </c>
      <c r="CU272" s="50" t="s">
        <v>11</v>
      </c>
      <c r="CV272" s="50" t="s">
        <v>11</v>
      </c>
      <c r="CW272" s="50" t="s">
        <v>11</v>
      </c>
      <c r="CX272" s="50" t="s">
        <v>11</v>
      </c>
      <c r="CY272" s="50" t="s">
        <v>11</v>
      </c>
      <c r="CZ272" s="50" t="s">
        <v>11</v>
      </c>
      <c r="DA272" s="50" t="s">
        <v>11</v>
      </c>
      <c r="DB272" s="50" t="s">
        <v>11</v>
      </c>
      <c r="DC272" s="50" t="s">
        <v>11</v>
      </c>
      <c r="DD272" s="50" t="s">
        <v>11</v>
      </c>
      <c r="DE272" s="50" t="s">
        <v>11</v>
      </c>
      <c r="DF272" s="50" t="s">
        <v>11</v>
      </c>
      <c r="DG272" s="50" t="s">
        <v>11</v>
      </c>
      <c r="DH272" s="50" t="s">
        <v>11</v>
      </c>
      <c r="DI272" s="50" t="s">
        <v>11</v>
      </c>
      <c r="DJ272" s="50" t="s">
        <v>11</v>
      </c>
      <c r="DK272" s="50" t="s">
        <v>11</v>
      </c>
      <c r="DL272" s="50" t="s">
        <v>11</v>
      </c>
      <c r="DM272" s="50" t="s">
        <v>11</v>
      </c>
      <c r="DN272" s="50" t="s">
        <v>11</v>
      </c>
      <c r="DO272" s="50" t="s">
        <v>11</v>
      </c>
      <c r="DP272" s="50" t="s">
        <v>11</v>
      </c>
      <c r="DQ272" s="50" t="s">
        <v>11</v>
      </c>
      <c r="DR272" s="50" t="s">
        <v>11</v>
      </c>
      <c r="DS272" s="50" t="s">
        <v>11</v>
      </c>
      <c r="DT272" s="50" t="s">
        <v>11</v>
      </c>
      <c r="DU272" s="50" t="s">
        <v>11</v>
      </c>
      <c r="DV272" s="50" t="s">
        <v>11</v>
      </c>
      <c r="DW272" s="50" t="s">
        <v>11</v>
      </c>
      <c r="DX272" s="50" t="s">
        <v>11</v>
      </c>
      <c r="DY272" s="50" t="s">
        <v>11</v>
      </c>
      <c r="DZ272" s="50" t="s">
        <v>11</v>
      </c>
      <c r="EA272" s="50" t="s">
        <v>11</v>
      </c>
      <c r="EB272" s="50" t="s">
        <v>11</v>
      </c>
      <c r="EC272" s="50" t="s">
        <v>11</v>
      </c>
      <c r="ED272" s="50" t="s">
        <v>11</v>
      </c>
      <c r="EE272" s="50" t="s">
        <v>11</v>
      </c>
      <c r="EF272" s="50" t="s">
        <v>11</v>
      </c>
      <c r="EG272" s="50" t="s">
        <v>11</v>
      </c>
      <c r="EH272" s="50" t="s">
        <v>11</v>
      </c>
      <c r="EI272" s="50" t="s">
        <v>11</v>
      </c>
      <c r="EJ272" s="50" t="s">
        <v>11</v>
      </c>
      <c r="EK272" s="50" t="s">
        <v>11</v>
      </c>
      <c r="EL272" s="50" t="s">
        <v>11</v>
      </c>
      <c r="EM272" s="50" t="s">
        <v>11</v>
      </c>
      <c r="EN272" s="50" t="s">
        <v>11</v>
      </c>
      <c r="EO272" s="50" t="s">
        <v>11</v>
      </c>
      <c r="EP272" s="50" t="s">
        <v>11</v>
      </c>
      <c r="EQ272" s="50" t="s">
        <v>11</v>
      </c>
      <c r="ER272" s="50" t="s">
        <v>11</v>
      </c>
      <c r="ES272" s="50" t="s">
        <v>11</v>
      </c>
      <c r="ET272" s="50" t="s">
        <v>11</v>
      </c>
      <c r="EU272" s="50" t="s">
        <v>11</v>
      </c>
      <c r="EV272" s="50" t="s">
        <v>11</v>
      </c>
      <c r="EW272" s="50" t="s">
        <v>11</v>
      </c>
      <c r="EX272" s="50" t="s">
        <v>11</v>
      </c>
      <c r="EY272" s="50" t="s">
        <v>11</v>
      </c>
      <c r="EZ272" s="50" t="s">
        <v>11</v>
      </c>
      <c r="FA272" s="50" t="s">
        <v>11</v>
      </c>
      <c r="FB272" s="50" t="s">
        <v>11</v>
      </c>
      <c r="FC272" s="50" t="s">
        <v>11</v>
      </c>
      <c r="FD272" s="50" t="s">
        <v>11</v>
      </c>
      <c r="FE272" s="50" t="s">
        <v>11</v>
      </c>
      <c r="FF272" s="50" t="s">
        <v>11</v>
      </c>
      <c r="FG272" s="50" t="s">
        <v>11</v>
      </c>
      <c r="FH272" s="50" t="s">
        <v>11</v>
      </c>
      <c r="FI272" s="50" t="s">
        <v>11</v>
      </c>
      <c r="FJ272" s="50" t="s">
        <v>11</v>
      </c>
      <c r="FK272" s="50" t="s">
        <v>11</v>
      </c>
      <c r="FL272" s="50" t="s">
        <v>11</v>
      </c>
      <c r="FM272" s="50" t="s">
        <v>11</v>
      </c>
      <c r="FN272" s="50" t="s">
        <v>11</v>
      </c>
      <c r="FO272" s="50" t="s">
        <v>11</v>
      </c>
      <c r="FP272" s="50" t="s">
        <v>11</v>
      </c>
      <c r="FQ272" s="50" t="s">
        <v>11</v>
      </c>
      <c r="FR272" s="50" t="s">
        <v>11</v>
      </c>
      <c r="FS272" s="50" t="s">
        <v>11</v>
      </c>
      <c r="FT272" s="50" t="s">
        <v>11</v>
      </c>
      <c r="FU272" s="50" t="s">
        <v>11</v>
      </c>
      <c r="FV272" s="50" t="s">
        <v>11</v>
      </c>
      <c r="FW272" s="50" t="s">
        <v>11</v>
      </c>
      <c r="FX272" s="50" t="s">
        <v>11</v>
      </c>
      <c r="FY272" s="50" t="s">
        <v>11</v>
      </c>
      <c r="FZ272" s="50" t="s">
        <v>11</v>
      </c>
      <c r="GA272" s="50" t="s">
        <v>11</v>
      </c>
      <c r="GB272" s="50" t="s">
        <v>11</v>
      </c>
      <c r="GC272" s="50" t="s">
        <v>11</v>
      </c>
      <c r="GD272" s="50" t="s">
        <v>11</v>
      </c>
      <c r="GE272" s="50" t="s">
        <v>11</v>
      </c>
      <c r="GF272" s="50" t="s">
        <v>11</v>
      </c>
      <c r="GG272" s="50" t="s">
        <v>11</v>
      </c>
      <c r="GH272" s="50" t="s">
        <v>11</v>
      </c>
      <c r="GI272" s="50" t="s">
        <v>11</v>
      </c>
      <c r="GJ272" s="50" t="s">
        <v>11</v>
      </c>
      <c r="GK272" s="50" t="s">
        <v>11</v>
      </c>
      <c r="GL272" s="50" t="s">
        <v>11</v>
      </c>
      <c r="GM272" s="50" t="s">
        <v>11</v>
      </c>
      <c r="GN272" s="50" t="s">
        <v>11</v>
      </c>
      <c r="GO272" s="50" t="s">
        <v>11</v>
      </c>
      <c r="GP272" s="50" t="s">
        <v>11</v>
      </c>
      <c r="GQ272" s="50" t="s">
        <v>11</v>
      </c>
      <c r="GR272" s="50" t="s">
        <v>11</v>
      </c>
      <c r="GS272" s="50" t="s">
        <v>11</v>
      </c>
      <c r="GT272" s="50" t="s">
        <v>11</v>
      </c>
      <c r="GU272" s="50" t="s">
        <v>11</v>
      </c>
      <c r="GV272" s="50" t="s">
        <v>11</v>
      </c>
      <c r="GW272" s="50" t="s">
        <v>11</v>
      </c>
      <c r="GX272" s="50" t="s">
        <v>11</v>
      </c>
      <c r="GY272" s="50" t="s">
        <v>11</v>
      </c>
      <c r="GZ272" s="50" t="s">
        <v>11</v>
      </c>
      <c r="HA272" s="50" t="s">
        <v>11</v>
      </c>
      <c r="HB272" s="50" t="s">
        <v>11</v>
      </c>
      <c r="HC272" s="50" t="s">
        <v>11</v>
      </c>
      <c r="HD272" s="50" t="s">
        <v>11</v>
      </c>
      <c r="HE272" s="50" t="s">
        <v>11</v>
      </c>
      <c r="HF272" s="50" t="s">
        <v>11</v>
      </c>
      <c r="HG272" s="50" t="s">
        <v>11</v>
      </c>
      <c r="HH272" s="50" t="s">
        <v>11</v>
      </c>
      <c r="HI272" s="50" t="s">
        <v>11</v>
      </c>
      <c r="HJ272" s="50" t="s">
        <v>11</v>
      </c>
      <c r="HK272" s="50" t="s">
        <v>11</v>
      </c>
      <c r="HL272" s="50" t="s">
        <v>11</v>
      </c>
      <c r="HM272" s="50" t="s">
        <v>11</v>
      </c>
      <c r="HN272" s="50" t="s">
        <v>11</v>
      </c>
      <c r="HO272" s="50" t="s">
        <v>11</v>
      </c>
      <c r="HP272" s="50" t="s">
        <v>11</v>
      </c>
      <c r="HQ272" s="50" t="s">
        <v>11</v>
      </c>
      <c r="HR272" s="50" t="s">
        <v>11</v>
      </c>
      <c r="HS272" s="50" t="s">
        <v>11</v>
      </c>
      <c r="HT272" s="50" t="s">
        <v>11</v>
      </c>
      <c r="HU272" s="50" t="s">
        <v>11</v>
      </c>
      <c r="HV272" s="50" t="s">
        <v>11</v>
      </c>
      <c r="HW272" s="50" t="s">
        <v>11</v>
      </c>
      <c r="HX272" s="50" t="s">
        <v>11</v>
      </c>
      <c r="HY272" s="50" t="s">
        <v>11</v>
      </c>
      <c r="HZ272" s="50" t="s">
        <v>11</v>
      </c>
      <c r="IA272" s="50" t="s">
        <v>11</v>
      </c>
      <c r="IB272" s="50" t="s">
        <v>11</v>
      </c>
      <c r="IC272" s="50" t="s">
        <v>11</v>
      </c>
    </row>
    <row r="273" spans="1:257">
      <c r="A273" s="4" t="s">
        <v>522</v>
      </c>
      <c r="B273" s="82" t="str">
        <f t="array" ref="B273">_xlfn.LET(
  _xlpm.dates, _xlfn._xlws.FILTER(P273:HO273, (P275:HO275&lt;&gt;"")+(P277:HO277&lt;&gt;"")),
  _xlpm.numDates, IFERROR(VALUE(_xlpm.dates), _xlpm.dates),
  _xlpm.first, TEXT(MIN(_xlpm.numDates), "m/dd"),
  _xlpm.last, TEXT(MAX(_xlpm.numDates), "m/dd"),
  _xlpm.first &amp; "~" &amp; _xlpm.last
)</f>
        <v>3/27~4/27</v>
      </c>
      <c r="C273" s="7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 t="s">
        <v>522</v>
      </c>
      <c r="P273" s="3">
        <v>46107</v>
      </c>
      <c r="Q273" s="3">
        <v>46108</v>
      </c>
      <c r="R273" s="3">
        <v>46109</v>
      </c>
      <c r="S273" s="3">
        <v>46110</v>
      </c>
      <c r="T273" s="3">
        <v>46111</v>
      </c>
      <c r="U273" s="3">
        <v>46112</v>
      </c>
      <c r="V273" s="3">
        <v>46113</v>
      </c>
      <c r="W273" s="3">
        <v>46114</v>
      </c>
      <c r="X273" s="3">
        <v>46115</v>
      </c>
      <c r="Y273" s="3">
        <v>46116</v>
      </c>
      <c r="Z273" s="3">
        <v>46117</v>
      </c>
      <c r="AA273" s="3">
        <v>46118</v>
      </c>
      <c r="AB273" s="3">
        <v>46119</v>
      </c>
      <c r="AC273" s="3">
        <v>46120</v>
      </c>
      <c r="AD273" s="3">
        <v>46121</v>
      </c>
      <c r="AE273" s="3">
        <v>46122</v>
      </c>
      <c r="AF273" s="3">
        <v>46123</v>
      </c>
      <c r="AG273" s="3">
        <v>46124</v>
      </c>
      <c r="AH273" s="3">
        <v>46125</v>
      </c>
      <c r="AI273" s="3">
        <v>46126</v>
      </c>
      <c r="AJ273" s="3">
        <v>46127</v>
      </c>
      <c r="AK273" s="3">
        <v>46128</v>
      </c>
      <c r="AL273" s="3">
        <v>46129</v>
      </c>
      <c r="AM273" s="3">
        <v>46130</v>
      </c>
      <c r="AN273" s="3">
        <v>46131</v>
      </c>
      <c r="AO273" s="3">
        <v>46132</v>
      </c>
      <c r="AP273" s="3">
        <v>46133</v>
      </c>
      <c r="AQ273" s="3">
        <v>46134</v>
      </c>
      <c r="AR273" s="3">
        <v>46135</v>
      </c>
      <c r="AS273" s="3">
        <v>46136</v>
      </c>
      <c r="AT273" s="3">
        <v>46137</v>
      </c>
      <c r="AU273" s="3">
        <v>46138</v>
      </c>
      <c r="AV273" s="3">
        <v>46139</v>
      </c>
      <c r="AW273" s="3">
        <v>46140</v>
      </c>
      <c r="AX273" s="3">
        <v>46141</v>
      </c>
      <c r="AY273" s="3">
        <v>46142</v>
      </c>
      <c r="AZ273" s="3">
        <v>46143</v>
      </c>
      <c r="BA273" s="3">
        <v>46144</v>
      </c>
      <c r="BB273" s="3">
        <v>46145</v>
      </c>
      <c r="BC273" s="3">
        <v>46146</v>
      </c>
      <c r="BD273" s="3">
        <v>46147</v>
      </c>
      <c r="BE273" s="3">
        <v>46148</v>
      </c>
      <c r="BF273" s="3">
        <v>46149</v>
      </c>
      <c r="BG273" s="3">
        <v>46150</v>
      </c>
      <c r="BH273" s="3">
        <v>46151</v>
      </c>
      <c r="BI273" s="3">
        <v>46152</v>
      </c>
      <c r="BJ273" s="3">
        <v>46153</v>
      </c>
      <c r="BK273" s="3">
        <v>46154</v>
      </c>
      <c r="BL273" s="3">
        <v>46155</v>
      </c>
      <c r="BM273" s="3">
        <v>46156</v>
      </c>
      <c r="BN273" s="3">
        <v>46157</v>
      </c>
      <c r="BO273" s="3">
        <v>46158</v>
      </c>
      <c r="BP273" s="3">
        <v>46159</v>
      </c>
      <c r="BQ273" s="3">
        <v>46160</v>
      </c>
      <c r="BR273" s="3">
        <v>46161</v>
      </c>
      <c r="BS273" s="3">
        <v>46162</v>
      </c>
      <c r="BT273" s="3">
        <v>46163</v>
      </c>
      <c r="BU273" s="3">
        <v>46164</v>
      </c>
      <c r="BV273" s="3">
        <v>46165</v>
      </c>
      <c r="BW273" s="3">
        <v>46166</v>
      </c>
      <c r="BX273" s="3">
        <v>46167</v>
      </c>
      <c r="BY273" s="3">
        <v>46168</v>
      </c>
      <c r="BZ273" s="3">
        <v>46169</v>
      </c>
      <c r="CA273" s="3">
        <v>46170</v>
      </c>
      <c r="CB273" s="3">
        <v>46171</v>
      </c>
      <c r="CC273" s="3">
        <v>46172</v>
      </c>
      <c r="CD273" s="3">
        <v>46173</v>
      </c>
      <c r="CE273" s="3">
        <v>46174</v>
      </c>
      <c r="CF273" s="3">
        <v>46175</v>
      </c>
      <c r="CG273" s="3">
        <v>46176</v>
      </c>
      <c r="CH273" s="3">
        <v>46177</v>
      </c>
      <c r="CI273" s="3">
        <v>46178</v>
      </c>
      <c r="CJ273" s="3">
        <v>46179</v>
      </c>
      <c r="CK273" s="3">
        <v>46180</v>
      </c>
      <c r="CL273" s="3">
        <v>46181</v>
      </c>
      <c r="CM273" s="3">
        <v>46182</v>
      </c>
      <c r="CN273" s="3">
        <v>46183</v>
      </c>
      <c r="CO273" s="3">
        <v>46184</v>
      </c>
      <c r="CP273" s="3">
        <v>46185</v>
      </c>
      <c r="CQ273" s="3">
        <v>46186</v>
      </c>
      <c r="CR273" s="3">
        <v>46187</v>
      </c>
      <c r="CS273" s="3">
        <v>46188</v>
      </c>
      <c r="CT273" s="3">
        <v>46189</v>
      </c>
      <c r="CU273" s="3">
        <v>46190</v>
      </c>
      <c r="CV273" s="3">
        <v>46191</v>
      </c>
      <c r="CW273" s="3">
        <v>46192</v>
      </c>
      <c r="CX273" s="3">
        <v>46193</v>
      </c>
      <c r="CY273" s="3">
        <v>46194</v>
      </c>
      <c r="CZ273" s="3">
        <v>46195</v>
      </c>
      <c r="DA273" s="3">
        <v>46196</v>
      </c>
      <c r="DB273" s="3">
        <v>46197</v>
      </c>
      <c r="DC273" s="3">
        <v>46198</v>
      </c>
      <c r="DD273" s="3">
        <v>46199</v>
      </c>
      <c r="DE273" s="3">
        <v>46200</v>
      </c>
      <c r="DF273" s="3">
        <v>46201</v>
      </c>
      <c r="DG273" s="3">
        <v>46202</v>
      </c>
      <c r="DH273" s="3">
        <v>46203</v>
      </c>
      <c r="DI273" s="3">
        <v>46204</v>
      </c>
      <c r="DJ273" s="3">
        <v>46205</v>
      </c>
      <c r="DK273" s="3">
        <v>46206</v>
      </c>
      <c r="DL273" s="3">
        <v>46207</v>
      </c>
      <c r="DM273" s="3">
        <v>46208</v>
      </c>
      <c r="DN273" s="3">
        <v>46209</v>
      </c>
      <c r="DO273" s="3">
        <v>46210</v>
      </c>
      <c r="DP273" s="3">
        <v>46211</v>
      </c>
      <c r="DQ273" s="3">
        <v>46212</v>
      </c>
      <c r="DR273" s="3">
        <v>46213</v>
      </c>
      <c r="DS273" s="3">
        <v>46214</v>
      </c>
      <c r="DT273" s="3">
        <v>46215</v>
      </c>
      <c r="DU273" s="3">
        <v>46216</v>
      </c>
      <c r="DV273" s="3">
        <v>46217</v>
      </c>
      <c r="DW273" s="3">
        <v>46218</v>
      </c>
      <c r="DX273" s="3">
        <v>46219</v>
      </c>
      <c r="DY273" s="3">
        <v>46220</v>
      </c>
      <c r="DZ273" s="3">
        <v>46221</v>
      </c>
      <c r="EA273" s="3">
        <v>46222</v>
      </c>
      <c r="EB273" s="3">
        <v>46223</v>
      </c>
      <c r="EC273" s="3">
        <v>46224</v>
      </c>
      <c r="ED273" s="3">
        <v>46225</v>
      </c>
      <c r="EE273" s="3">
        <v>46226</v>
      </c>
      <c r="EF273" s="3">
        <v>46227</v>
      </c>
      <c r="EG273" s="3">
        <v>46228</v>
      </c>
      <c r="EH273" s="3">
        <v>46229</v>
      </c>
      <c r="EI273" s="3">
        <v>46230</v>
      </c>
      <c r="EJ273" s="3">
        <v>46231</v>
      </c>
      <c r="EK273" s="3">
        <v>46232</v>
      </c>
      <c r="EL273" s="3">
        <v>46233</v>
      </c>
      <c r="EM273" s="3">
        <v>46234</v>
      </c>
      <c r="EN273" s="3">
        <v>46235</v>
      </c>
      <c r="EO273" s="3">
        <v>46236</v>
      </c>
      <c r="EP273" s="3">
        <v>46237</v>
      </c>
      <c r="EQ273" s="3">
        <v>46238</v>
      </c>
      <c r="ER273" s="3">
        <v>46239</v>
      </c>
      <c r="ES273" s="3">
        <v>46240</v>
      </c>
      <c r="ET273" s="3">
        <v>46241</v>
      </c>
      <c r="EU273" s="3">
        <v>46242</v>
      </c>
      <c r="EV273" s="3">
        <v>46243</v>
      </c>
      <c r="EW273" s="3">
        <v>46244</v>
      </c>
      <c r="EX273" s="3">
        <v>46245</v>
      </c>
      <c r="EY273" s="3">
        <v>46246</v>
      </c>
      <c r="EZ273" s="3">
        <v>46247</v>
      </c>
      <c r="FA273" s="3">
        <v>46248</v>
      </c>
      <c r="FB273" s="3">
        <v>46249</v>
      </c>
      <c r="FC273" s="3">
        <v>46250</v>
      </c>
      <c r="FD273" s="3">
        <v>46251</v>
      </c>
      <c r="FE273" s="3">
        <v>46252</v>
      </c>
      <c r="FF273" s="3">
        <v>46253</v>
      </c>
      <c r="FG273" s="3">
        <v>46254</v>
      </c>
      <c r="FH273" s="3">
        <v>46255</v>
      </c>
      <c r="FI273" s="3">
        <v>46256</v>
      </c>
      <c r="FJ273" s="3">
        <v>46257</v>
      </c>
      <c r="FK273" s="3">
        <v>46258</v>
      </c>
      <c r="FL273" s="3">
        <v>46259</v>
      </c>
      <c r="FM273" s="3">
        <v>46260</v>
      </c>
      <c r="FN273" s="3">
        <v>46261</v>
      </c>
      <c r="FO273" s="3">
        <v>46262</v>
      </c>
      <c r="FP273" s="3">
        <v>46263</v>
      </c>
      <c r="FQ273" s="3">
        <v>46264</v>
      </c>
      <c r="FR273" s="3">
        <v>46265</v>
      </c>
      <c r="FS273" s="3">
        <v>46266</v>
      </c>
      <c r="FT273" s="3">
        <v>46267</v>
      </c>
      <c r="FU273" s="3">
        <v>46268</v>
      </c>
      <c r="FV273" s="3">
        <v>46269</v>
      </c>
      <c r="FW273" s="3">
        <v>46270</v>
      </c>
      <c r="FX273" s="3">
        <v>46271</v>
      </c>
      <c r="FY273" s="3">
        <v>46272</v>
      </c>
      <c r="FZ273" s="3">
        <v>46273</v>
      </c>
      <c r="GA273" s="3">
        <v>46274</v>
      </c>
      <c r="GB273" s="3">
        <v>46275</v>
      </c>
      <c r="GC273" s="3">
        <v>46276</v>
      </c>
      <c r="GD273" s="3">
        <v>46277</v>
      </c>
      <c r="GE273" s="3">
        <v>46278</v>
      </c>
      <c r="GF273" s="3">
        <v>46279</v>
      </c>
      <c r="GG273" s="3">
        <v>46280</v>
      </c>
      <c r="GH273" s="3">
        <v>46281</v>
      </c>
      <c r="GI273" s="3">
        <v>46282</v>
      </c>
      <c r="GJ273" s="3">
        <v>46283</v>
      </c>
      <c r="GK273" s="3">
        <v>46284</v>
      </c>
      <c r="GL273" s="3">
        <v>46285</v>
      </c>
      <c r="GM273" s="3">
        <v>46286</v>
      </c>
      <c r="GN273" s="3">
        <v>46287</v>
      </c>
      <c r="GO273" s="3">
        <v>46288</v>
      </c>
      <c r="GP273" s="3">
        <v>46289</v>
      </c>
      <c r="GQ273" s="3">
        <v>46290</v>
      </c>
      <c r="GR273" s="3">
        <v>46291</v>
      </c>
      <c r="GS273" s="3">
        <v>46292</v>
      </c>
      <c r="GT273" s="3">
        <v>46293</v>
      </c>
      <c r="GU273" s="3">
        <v>46294</v>
      </c>
      <c r="GV273" s="3">
        <v>46295</v>
      </c>
      <c r="GW273" s="3">
        <v>46296</v>
      </c>
      <c r="GX273" s="3">
        <v>46297</v>
      </c>
      <c r="GY273" s="3">
        <v>46298</v>
      </c>
      <c r="GZ273" s="3">
        <v>46299</v>
      </c>
      <c r="HA273" s="3">
        <v>46300</v>
      </c>
      <c r="HB273" s="3">
        <v>46301</v>
      </c>
      <c r="HC273" s="3">
        <v>46302</v>
      </c>
      <c r="HD273" s="3">
        <v>46303</v>
      </c>
      <c r="HE273" s="3">
        <v>46304</v>
      </c>
      <c r="HF273" s="3">
        <v>46305</v>
      </c>
      <c r="HG273" s="3">
        <v>46306</v>
      </c>
      <c r="HH273" s="3">
        <v>46307</v>
      </c>
      <c r="HI273" s="3">
        <v>46308</v>
      </c>
      <c r="HJ273" s="3">
        <v>46309</v>
      </c>
      <c r="HK273" s="3">
        <v>46310</v>
      </c>
      <c r="HL273" s="3">
        <v>46311</v>
      </c>
      <c r="HM273" s="3">
        <v>46312</v>
      </c>
      <c r="HN273" s="3">
        <v>46313</v>
      </c>
      <c r="HO273" s="3">
        <v>46314</v>
      </c>
      <c r="HP273" s="3">
        <v>46315</v>
      </c>
      <c r="HQ273" s="3">
        <v>46316</v>
      </c>
      <c r="HR273" s="3">
        <v>46317</v>
      </c>
      <c r="HS273" s="3">
        <v>46318</v>
      </c>
      <c r="HT273" s="3">
        <v>46319</v>
      </c>
      <c r="HU273" s="3">
        <v>46320</v>
      </c>
      <c r="HV273" s="3">
        <v>46321</v>
      </c>
      <c r="HW273" s="3">
        <v>46322</v>
      </c>
      <c r="HX273" s="3">
        <v>46323</v>
      </c>
      <c r="HY273" s="3">
        <v>46324</v>
      </c>
      <c r="HZ273" s="3">
        <v>46325</v>
      </c>
      <c r="IA273" s="3">
        <v>46326</v>
      </c>
      <c r="IB273" s="3">
        <v>46327</v>
      </c>
      <c r="IC273" s="3">
        <v>46328</v>
      </c>
    </row>
    <row r="274" spans="1:257">
      <c r="A274" s="4" t="s">
        <v>694</v>
      </c>
      <c r="B274" s="82" t="str">
        <f t="array" ref="B274">COLUMNS(_xlfn._xlws.FILTER(P273:HO273, (P275:HO275&lt;&gt;"")+(P277:HO277&lt;&gt;""))) &amp; "場"</f>
        <v>27場</v>
      </c>
      <c r="C274" s="7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 t="s">
        <v>675</v>
      </c>
      <c r="P274" s="3" t="s">
        <v>676</v>
      </c>
      <c r="Q274" s="3" t="s">
        <v>677</v>
      </c>
      <c r="R274" s="3" t="s">
        <v>678</v>
      </c>
      <c r="S274" s="3" t="s">
        <v>679</v>
      </c>
      <c r="T274" s="3" t="s">
        <v>680</v>
      </c>
      <c r="U274" s="3" t="s">
        <v>681</v>
      </c>
      <c r="V274" s="3" t="s">
        <v>682</v>
      </c>
      <c r="W274" s="3" t="s">
        <v>676</v>
      </c>
      <c r="X274" s="3" t="s">
        <v>677</v>
      </c>
      <c r="Y274" s="3" t="s">
        <v>678</v>
      </c>
      <c r="Z274" s="3" t="s">
        <v>679</v>
      </c>
      <c r="AA274" s="3" t="s">
        <v>680</v>
      </c>
      <c r="AB274" s="3" t="s">
        <v>681</v>
      </c>
      <c r="AC274" s="3" t="s">
        <v>682</v>
      </c>
      <c r="AD274" s="3" t="s">
        <v>676</v>
      </c>
      <c r="AE274" s="3" t="s">
        <v>677</v>
      </c>
      <c r="AF274" s="3" t="s">
        <v>678</v>
      </c>
      <c r="AG274" s="3" t="s">
        <v>679</v>
      </c>
      <c r="AH274" s="3" t="s">
        <v>680</v>
      </c>
      <c r="AI274" s="3" t="s">
        <v>681</v>
      </c>
      <c r="AJ274" s="3" t="s">
        <v>682</v>
      </c>
      <c r="AK274" s="3" t="s">
        <v>676</v>
      </c>
      <c r="AL274" s="3" t="s">
        <v>677</v>
      </c>
      <c r="AM274" s="3" t="s">
        <v>678</v>
      </c>
      <c r="AN274" s="3" t="s">
        <v>679</v>
      </c>
      <c r="AO274" s="3" t="s">
        <v>680</v>
      </c>
      <c r="AP274" s="3" t="s">
        <v>681</v>
      </c>
      <c r="AQ274" s="3" t="s">
        <v>682</v>
      </c>
      <c r="AR274" s="3" t="s">
        <v>676</v>
      </c>
      <c r="AS274" s="3" t="s">
        <v>677</v>
      </c>
      <c r="AT274" s="3" t="s">
        <v>678</v>
      </c>
      <c r="AU274" s="3" t="s">
        <v>679</v>
      </c>
      <c r="AV274" s="3" t="s">
        <v>680</v>
      </c>
      <c r="AW274" s="3" t="s">
        <v>681</v>
      </c>
      <c r="AX274" s="3" t="s">
        <v>682</v>
      </c>
      <c r="AY274" s="3" t="s">
        <v>676</v>
      </c>
      <c r="AZ274" s="3" t="s">
        <v>677</v>
      </c>
      <c r="BA274" s="3" t="s">
        <v>678</v>
      </c>
      <c r="BB274" s="3" t="s">
        <v>679</v>
      </c>
      <c r="BC274" s="3" t="s">
        <v>680</v>
      </c>
      <c r="BD274" s="3" t="s">
        <v>681</v>
      </c>
      <c r="BE274" s="3" t="s">
        <v>682</v>
      </c>
      <c r="BF274" s="3" t="s">
        <v>676</v>
      </c>
      <c r="BG274" s="3" t="s">
        <v>677</v>
      </c>
      <c r="BH274" s="3" t="s">
        <v>678</v>
      </c>
      <c r="BI274" s="3" t="s">
        <v>679</v>
      </c>
      <c r="BJ274" s="3" t="s">
        <v>680</v>
      </c>
      <c r="BK274" s="3" t="s">
        <v>681</v>
      </c>
      <c r="BL274" s="3" t="s">
        <v>682</v>
      </c>
      <c r="BM274" s="3" t="s">
        <v>676</v>
      </c>
      <c r="BN274" s="3" t="s">
        <v>677</v>
      </c>
      <c r="BO274" s="3" t="s">
        <v>678</v>
      </c>
      <c r="BP274" s="3" t="s">
        <v>679</v>
      </c>
      <c r="BQ274" s="3" t="s">
        <v>680</v>
      </c>
      <c r="BR274" s="3" t="s">
        <v>681</v>
      </c>
      <c r="BS274" s="3" t="s">
        <v>682</v>
      </c>
      <c r="BT274" s="3" t="s">
        <v>676</v>
      </c>
      <c r="BU274" s="3" t="s">
        <v>677</v>
      </c>
      <c r="BV274" s="3" t="s">
        <v>678</v>
      </c>
      <c r="BW274" s="3" t="s">
        <v>679</v>
      </c>
      <c r="BX274" s="3" t="s">
        <v>680</v>
      </c>
      <c r="BY274" s="3" t="s">
        <v>681</v>
      </c>
      <c r="BZ274" s="3" t="s">
        <v>682</v>
      </c>
      <c r="CA274" s="3" t="s">
        <v>676</v>
      </c>
      <c r="CB274" s="3" t="s">
        <v>677</v>
      </c>
      <c r="CC274" s="3" t="s">
        <v>678</v>
      </c>
      <c r="CD274" s="3" t="s">
        <v>679</v>
      </c>
      <c r="CE274" s="3" t="s">
        <v>680</v>
      </c>
      <c r="CF274" s="3" t="s">
        <v>681</v>
      </c>
      <c r="CG274" s="3" t="s">
        <v>682</v>
      </c>
      <c r="CH274" s="3" t="s">
        <v>676</v>
      </c>
      <c r="CI274" s="3" t="s">
        <v>677</v>
      </c>
      <c r="CJ274" s="3" t="s">
        <v>678</v>
      </c>
      <c r="CK274" s="3" t="s">
        <v>679</v>
      </c>
      <c r="CL274" s="3" t="s">
        <v>680</v>
      </c>
      <c r="CM274" s="3" t="s">
        <v>681</v>
      </c>
      <c r="CN274" s="3" t="s">
        <v>682</v>
      </c>
      <c r="CO274" s="3" t="s">
        <v>676</v>
      </c>
      <c r="CP274" s="3" t="s">
        <v>677</v>
      </c>
      <c r="CQ274" s="3" t="s">
        <v>678</v>
      </c>
      <c r="CR274" s="3" t="s">
        <v>679</v>
      </c>
      <c r="CS274" s="3" t="s">
        <v>680</v>
      </c>
      <c r="CT274" s="3" t="s">
        <v>681</v>
      </c>
      <c r="CU274" s="3" t="s">
        <v>682</v>
      </c>
      <c r="CV274" s="3" t="s">
        <v>676</v>
      </c>
      <c r="CW274" s="3" t="s">
        <v>677</v>
      </c>
      <c r="CX274" s="3" t="s">
        <v>678</v>
      </c>
      <c r="CY274" s="3" t="s">
        <v>679</v>
      </c>
      <c r="CZ274" s="3" t="s">
        <v>680</v>
      </c>
      <c r="DA274" s="3" t="s">
        <v>681</v>
      </c>
      <c r="DB274" s="3" t="s">
        <v>682</v>
      </c>
      <c r="DC274" s="3" t="s">
        <v>676</v>
      </c>
      <c r="DD274" s="3" t="s">
        <v>677</v>
      </c>
      <c r="DE274" s="3" t="s">
        <v>678</v>
      </c>
      <c r="DF274" s="3" t="s">
        <v>679</v>
      </c>
      <c r="DG274" s="3" t="s">
        <v>680</v>
      </c>
      <c r="DH274" s="3" t="s">
        <v>681</v>
      </c>
      <c r="DI274" s="3" t="s">
        <v>682</v>
      </c>
      <c r="DJ274" s="3" t="s">
        <v>676</v>
      </c>
      <c r="DK274" s="3" t="s">
        <v>677</v>
      </c>
      <c r="DL274" s="3" t="s">
        <v>678</v>
      </c>
      <c r="DM274" s="3" t="s">
        <v>679</v>
      </c>
      <c r="DN274" s="3" t="s">
        <v>680</v>
      </c>
      <c r="DO274" s="3" t="s">
        <v>681</v>
      </c>
      <c r="DP274" s="3" t="s">
        <v>682</v>
      </c>
      <c r="DQ274" s="3" t="s">
        <v>676</v>
      </c>
      <c r="DR274" s="3" t="s">
        <v>677</v>
      </c>
      <c r="DS274" s="3" t="s">
        <v>678</v>
      </c>
      <c r="DT274" s="3" t="s">
        <v>679</v>
      </c>
      <c r="DU274" s="3" t="s">
        <v>680</v>
      </c>
      <c r="DV274" s="3" t="s">
        <v>681</v>
      </c>
      <c r="DW274" s="3" t="s">
        <v>682</v>
      </c>
      <c r="DX274" s="3" t="s">
        <v>676</v>
      </c>
      <c r="DY274" s="3" t="s">
        <v>677</v>
      </c>
      <c r="DZ274" s="3" t="s">
        <v>678</v>
      </c>
      <c r="EA274" s="3" t="s">
        <v>679</v>
      </c>
      <c r="EB274" s="3" t="s">
        <v>680</v>
      </c>
      <c r="EC274" s="3" t="s">
        <v>681</v>
      </c>
      <c r="ED274" s="3" t="s">
        <v>682</v>
      </c>
      <c r="EE274" s="3" t="s">
        <v>676</v>
      </c>
      <c r="EF274" s="3" t="s">
        <v>677</v>
      </c>
      <c r="EG274" s="3" t="s">
        <v>678</v>
      </c>
      <c r="EH274" s="3" t="s">
        <v>679</v>
      </c>
      <c r="EI274" s="3" t="s">
        <v>680</v>
      </c>
      <c r="EJ274" s="3" t="s">
        <v>681</v>
      </c>
      <c r="EK274" s="3" t="s">
        <v>682</v>
      </c>
      <c r="EL274" s="3" t="s">
        <v>676</v>
      </c>
      <c r="EM274" s="3" t="s">
        <v>677</v>
      </c>
      <c r="EN274" s="3" t="s">
        <v>678</v>
      </c>
      <c r="EO274" s="3" t="s">
        <v>679</v>
      </c>
      <c r="EP274" s="3" t="s">
        <v>680</v>
      </c>
      <c r="EQ274" s="3" t="s">
        <v>681</v>
      </c>
      <c r="ER274" s="3" t="s">
        <v>682</v>
      </c>
      <c r="ES274" s="3" t="s">
        <v>676</v>
      </c>
      <c r="ET274" s="3" t="s">
        <v>677</v>
      </c>
      <c r="EU274" s="3" t="s">
        <v>678</v>
      </c>
      <c r="EV274" s="3" t="s">
        <v>679</v>
      </c>
      <c r="EW274" s="3" t="s">
        <v>680</v>
      </c>
      <c r="EX274" s="3" t="s">
        <v>681</v>
      </c>
      <c r="EY274" s="3" t="s">
        <v>682</v>
      </c>
      <c r="EZ274" s="3" t="s">
        <v>676</v>
      </c>
      <c r="FA274" s="3" t="s">
        <v>677</v>
      </c>
      <c r="FB274" s="3" t="s">
        <v>678</v>
      </c>
      <c r="FC274" s="3" t="s">
        <v>679</v>
      </c>
      <c r="FD274" s="3" t="s">
        <v>680</v>
      </c>
      <c r="FE274" s="3" t="s">
        <v>681</v>
      </c>
      <c r="FF274" s="3" t="s">
        <v>682</v>
      </c>
      <c r="FG274" s="3" t="s">
        <v>676</v>
      </c>
      <c r="FH274" s="3" t="s">
        <v>677</v>
      </c>
      <c r="FI274" s="3" t="s">
        <v>678</v>
      </c>
      <c r="FJ274" s="3" t="s">
        <v>679</v>
      </c>
      <c r="FK274" s="3" t="s">
        <v>680</v>
      </c>
      <c r="FL274" s="3" t="s">
        <v>681</v>
      </c>
      <c r="FM274" s="3" t="s">
        <v>682</v>
      </c>
      <c r="FN274" s="3" t="s">
        <v>676</v>
      </c>
      <c r="FO274" s="3" t="s">
        <v>677</v>
      </c>
      <c r="FP274" s="3" t="s">
        <v>678</v>
      </c>
      <c r="FQ274" s="3" t="s">
        <v>679</v>
      </c>
      <c r="FR274" s="3" t="s">
        <v>680</v>
      </c>
      <c r="FS274" s="3" t="s">
        <v>681</v>
      </c>
      <c r="FT274" s="3" t="s">
        <v>682</v>
      </c>
      <c r="FU274" s="3" t="s">
        <v>676</v>
      </c>
      <c r="FV274" s="3" t="s">
        <v>677</v>
      </c>
      <c r="FW274" s="3" t="s">
        <v>678</v>
      </c>
      <c r="FX274" s="3" t="s">
        <v>679</v>
      </c>
      <c r="FY274" s="3" t="s">
        <v>680</v>
      </c>
      <c r="FZ274" s="3" t="s">
        <v>681</v>
      </c>
      <c r="GA274" s="3" t="s">
        <v>682</v>
      </c>
      <c r="GB274" s="3" t="s">
        <v>676</v>
      </c>
      <c r="GC274" s="3" t="s">
        <v>677</v>
      </c>
      <c r="GD274" s="3" t="s">
        <v>678</v>
      </c>
      <c r="GE274" s="3" t="s">
        <v>679</v>
      </c>
      <c r="GF274" s="3" t="s">
        <v>680</v>
      </c>
      <c r="GG274" s="3" t="s">
        <v>681</v>
      </c>
      <c r="GH274" s="3" t="s">
        <v>682</v>
      </c>
      <c r="GI274" s="3" t="s">
        <v>676</v>
      </c>
      <c r="GJ274" s="3" t="s">
        <v>677</v>
      </c>
      <c r="GK274" s="3" t="s">
        <v>678</v>
      </c>
      <c r="GL274" s="3" t="s">
        <v>679</v>
      </c>
      <c r="GM274" s="3" t="s">
        <v>680</v>
      </c>
      <c r="GN274" s="3" t="s">
        <v>681</v>
      </c>
      <c r="GO274" s="3" t="s">
        <v>682</v>
      </c>
      <c r="GP274" s="3" t="s">
        <v>676</v>
      </c>
      <c r="GQ274" s="3" t="s">
        <v>677</v>
      </c>
      <c r="GR274" s="3" t="s">
        <v>678</v>
      </c>
      <c r="GS274" s="3" t="s">
        <v>679</v>
      </c>
      <c r="GT274" s="3" t="s">
        <v>680</v>
      </c>
      <c r="GU274" s="3" t="s">
        <v>681</v>
      </c>
      <c r="GV274" s="3" t="s">
        <v>682</v>
      </c>
      <c r="GW274" s="3" t="s">
        <v>676</v>
      </c>
      <c r="GX274" s="3" t="s">
        <v>677</v>
      </c>
      <c r="GY274" s="3" t="s">
        <v>678</v>
      </c>
      <c r="GZ274" s="3" t="s">
        <v>679</v>
      </c>
      <c r="HA274" s="3" t="s">
        <v>680</v>
      </c>
      <c r="HB274" s="3" t="s">
        <v>681</v>
      </c>
      <c r="HC274" s="3" t="s">
        <v>682</v>
      </c>
      <c r="HD274" s="3" t="s">
        <v>676</v>
      </c>
      <c r="HE274" s="3" t="s">
        <v>677</v>
      </c>
      <c r="HF274" s="3" t="s">
        <v>678</v>
      </c>
      <c r="HG274" s="3" t="s">
        <v>679</v>
      </c>
      <c r="HH274" s="3" t="s">
        <v>680</v>
      </c>
      <c r="HI274" s="3" t="s">
        <v>681</v>
      </c>
      <c r="HJ274" s="3" t="s">
        <v>682</v>
      </c>
      <c r="HK274" s="3" t="s">
        <v>676</v>
      </c>
      <c r="HL274" s="3" t="s">
        <v>677</v>
      </c>
      <c r="HM274" s="3" t="s">
        <v>678</v>
      </c>
      <c r="HN274" s="3" t="s">
        <v>679</v>
      </c>
      <c r="HO274" s="3" t="s">
        <v>680</v>
      </c>
      <c r="HP274" s="3" t="s">
        <v>681</v>
      </c>
      <c r="HQ274" s="3" t="s">
        <v>682</v>
      </c>
      <c r="HR274" s="3" t="s">
        <v>676</v>
      </c>
      <c r="HS274" s="3" t="s">
        <v>677</v>
      </c>
      <c r="HT274" s="3" t="s">
        <v>678</v>
      </c>
      <c r="HU274" s="3" t="s">
        <v>679</v>
      </c>
      <c r="HV274" s="3" t="s">
        <v>680</v>
      </c>
      <c r="HW274" s="3" t="s">
        <v>681</v>
      </c>
      <c r="HX274" s="3" t="s">
        <v>682</v>
      </c>
      <c r="HY274" s="3" t="s">
        <v>676</v>
      </c>
      <c r="HZ274" s="3" t="s">
        <v>677</v>
      </c>
      <c r="IA274" s="3" t="s">
        <v>678</v>
      </c>
      <c r="IB274" s="3" t="s">
        <v>679</v>
      </c>
      <c r="IC274" s="3" t="s">
        <v>680</v>
      </c>
    </row>
    <row r="275" spans="1:257">
      <c r="A275" s="82" t="s">
        <v>695</v>
      </c>
      <c r="B275" s="82" t="str">
        <f>COUNTIF(P275:IC275, "W")&amp;"勝"</f>
        <v>19勝</v>
      </c>
      <c r="C275" s="82" t="str">
        <f>COUNTIF(P275:IC275, "L")&amp;"敗"</f>
        <v>8敗</v>
      </c>
      <c r="D275" s="82" t="s">
        <v>696</v>
      </c>
      <c r="E275" s="78"/>
      <c r="F275" s="82" t="s">
        <v>763</v>
      </c>
      <c r="G275" s="78"/>
      <c r="H275" s="78"/>
      <c r="I275" s="78"/>
      <c r="J275" s="78"/>
      <c r="K275" s="78"/>
      <c r="L275" s="78"/>
      <c r="M275" s="82"/>
      <c r="N275" s="78"/>
      <c r="O275" s="1" t="s">
        <v>698</v>
      </c>
      <c r="Q275" t="s">
        <v>699</v>
      </c>
      <c r="R275" t="s">
        <v>699</v>
      </c>
      <c r="S275" t="s">
        <v>699</v>
      </c>
      <c r="U275" t="s">
        <v>700</v>
      </c>
      <c r="V275" t="s">
        <v>699</v>
      </c>
      <c r="W275" t="s">
        <v>700</v>
      </c>
      <c r="Y275" t="s">
        <v>699</v>
      </c>
      <c r="Z275" t="s">
        <v>699</v>
      </c>
      <c r="AA275" t="s">
        <v>699</v>
      </c>
      <c r="AB275" t="s">
        <v>699</v>
      </c>
      <c r="AC275" t="s">
        <v>699</v>
      </c>
      <c r="AD275" t="s">
        <v>700</v>
      </c>
      <c r="AF275" t="s">
        <v>699</v>
      </c>
      <c r="AG275" t="s">
        <v>699</v>
      </c>
      <c r="AH275" t="s">
        <v>700</v>
      </c>
      <c r="AI275" t="s">
        <v>699</v>
      </c>
      <c r="AJ275" t="s">
        <v>699</v>
      </c>
      <c r="AK275" t="s">
        <v>699</v>
      </c>
      <c r="AM275" t="s">
        <v>699</v>
      </c>
      <c r="AN275" t="s">
        <v>700</v>
      </c>
      <c r="AO275" t="s">
        <v>700</v>
      </c>
      <c r="AP275" t="s">
        <v>699</v>
      </c>
      <c r="AQ275" t="s">
        <v>700</v>
      </c>
      <c r="AS275" t="s">
        <v>699</v>
      </c>
      <c r="AT275" t="s">
        <v>700</v>
      </c>
      <c r="AU275" t="s">
        <v>699</v>
      </c>
      <c r="AV275" t="s">
        <v>699</v>
      </c>
    </row>
    <row r="276" spans="1:257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1" t="s">
        <v>701</v>
      </c>
    </row>
    <row r="277" spans="1:257">
      <c r="A277" s="82" t="s">
        <v>702</v>
      </c>
      <c r="B277" s="82" t="str">
        <f>COUNTIF(P277:IC277, "O")&amp;"正"</f>
        <v>15正</v>
      </c>
      <c r="C277" s="82" t="str">
        <f>COUNTIF(P277:IC277, "X")&amp;"負"</f>
        <v>12負</v>
      </c>
      <c r="D277" s="82" t="s">
        <v>703</v>
      </c>
      <c r="E277" s="78"/>
      <c r="F277" s="82" t="s">
        <v>764</v>
      </c>
      <c r="G277" s="78"/>
      <c r="H277" s="78"/>
      <c r="I277" s="78"/>
      <c r="J277" s="78"/>
      <c r="K277" s="78"/>
      <c r="L277" s="78"/>
      <c r="M277" s="82"/>
      <c r="N277" s="78"/>
      <c r="O277" s="1" t="s">
        <v>705</v>
      </c>
      <c r="Q277" t="s">
        <v>683</v>
      </c>
      <c r="R277" t="s">
        <v>684</v>
      </c>
      <c r="S277" t="s">
        <v>684</v>
      </c>
      <c r="U277" t="s">
        <v>684</v>
      </c>
      <c r="V277" t="s">
        <v>683</v>
      </c>
      <c r="W277" t="s">
        <v>684</v>
      </c>
      <c r="Y277" t="s">
        <v>683</v>
      </c>
      <c r="Z277" t="s">
        <v>683</v>
      </c>
      <c r="AA277" t="s">
        <v>683</v>
      </c>
      <c r="AB277" t="s">
        <v>683</v>
      </c>
      <c r="AC277" t="s">
        <v>683</v>
      </c>
      <c r="AD277" t="s">
        <v>684</v>
      </c>
      <c r="AF277" t="s">
        <v>684</v>
      </c>
      <c r="AG277" t="s">
        <v>683</v>
      </c>
      <c r="AH277" t="s">
        <v>684</v>
      </c>
      <c r="AI277" t="s">
        <v>683</v>
      </c>
      <c r="AJ277" t="s">
        <v>684</v>
      </c>
      <c r="AK277" t="s">
        <v>683</v>
      </c>
      <c r="AM277" t="s">
        <v>683</v>
      </c>
      <c r="AN277" t="s">
        <v>684</v>
      </c>
      <c r="AO277" t="s">
        <v>684</v>
      </c>
      <c r="AP277" t="s">
        <v>683</v>
      </c>
      <c r="AQ277" t="s">
        <v>684</v>
      </c>
      <c r="AS277" t="s">
        <v>683</v>
      </c>
      <c r="AT277" t="s">
        <v>684</v>
      </c>
      <c r="AU277" t="s">
        <v>683</v>
      </c>
      <c r="AV277" t="s">
        <v>683</v>
      </c>
      <c r="IN277" t="str">
        <f ca="1">IFERROR(INDEX($P277:$IC277,1,_xludf.AGGREGATE(14,6,(COLUMN($P277:$IC277)-COLUMN($P277)+1)/($P277:$IC277&lt;&gt;""),1)),"")</f>
        <v/>
      </c>
      <c r="IO277" t="str">
        <f ca="1">IFERROR(INDEX($P277:$IC277,1,_xludf.AGGREGATE(14,6,(COLUMN($P277:$IC277)-COLUMN($P277)+1)/($P277:$IC277&lt;&gt;""),2)),"")</f>
        <v/>
      </c>
      <c r="IP277" t="str">
        <f ca="1">IFERROR(INDEX($P277:$IC277,1,_xludf.AGGREGATE(14,6,(COLUMN($P277:$IC277)-COLUMN($P277)+1)/($P277:$IC277&lt;&gt;""),3)),"")</f>
        <v/>
      </c>
      <c r="IQ277" t="str">
        <f ca="1">IFERROR(INDEX($P277:$IC277,1,_xludf.AGGREGATE(14,6,(COLUMN($P277:$IC277)-COLUMN($P277)+1)/($P277:$IC277&lt;&gt;""),4)),"")</f>
        <v/>
      </c>
      <c r="IR277" t="str">
        <f ca="1">IFERROR(INDEX($P277:$IC277,1,_xludf.AGGREGATE(14,6,(COLUMN($P277:$IC277)-COLUMN($P277)+1)/($P277:$IC277&lt;&gt;""),5)),"")</f>
        <v/>
      </c>
      <c r="IS277" t="str">
        <f ca="1">IFERROR(INDEX($P277:$IC277,1,_xludf.AGGREGATE(14,6,(COLUMN($P277:$IC277)-COLUMN($P277)+1)/($P277:$IC277&lt;&gt;""),6)),"")</f>
        <v/>
      </c>
      <c r="IT277" t="str">
        <f ca="1">IFERROR(INDEX($P277:$IC277,1,_xludf.AGGREGATE(14,6,(COLUMN($P277:$IC277)-COLUMN($P277)+1)/($P277:$IC277&lt;&gt;""),7)),"")</f>
        <v/>
      </c>
      <c r="IU277" t="str">
        <f ca="1">IFERROR(INDEX($P277:$IC277,1,_xludf.AGGREGATE(14,6,(COLUMN($P277:$IC277)-COLUMN($P277)+1)/($P277:$IC277&lt;&gt;""),8)),"")</f>
        <v/>
      </c>
      <c r="IV277" t="str">
        <f ca="1">IFERROR(INDEX($P277:$IC277,1,_xludf.AGGREGATE(14,6,(COLUMN($P277:$IC277)-COLUMN($P277)+1)/($P277:$IC277&lt;&gt;""),9)),"")</f>
        <v/>
      </c>
      <c r="IW277" t="str">
        <f ca="1">IFERROR(INDEX($P277:$IC277,1,_xludf.AGGREGATE(14,6,(COLUMN($P277:$IC277)-COLUMN($P277)+1)/($P277:$IC277&lt;&gt;""),10)),"")</f>
        <v/>
      </c>
    </row>
    <row r="278" spans="1:257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1" t="s">
        <v>706</v>
      </c>
    </row>
    <row r="279" spans="1:257">
      <c r="A279" s="82" t="s">
        <v>707</v>
      </c>
      <c r="B279" s="77"/>
      <c r="C279" s="77"/>
      <c r="D279" s="82" t="s">
        <v>708</v>
      </c>
      <c r="E279" s="78"/>
      <c r="F279" s="82"/>
      <c r="G279" s="78"/>
      <c r="H279" s="78"/>
      <c r="I279" s="78"/>
      <c r="J279" s="78"/>
      <c r="K279" s="78"/>
      <c r="L279" s="78"/>
      <c r="M279" s="82"/>
      <c r="N279" s="78"/>
      <c r="O279" s="1" t="s">
        <v>709</v>
      </c>
    </row>
    <row r="280" spans="1:257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1" t="s">
        <v>710</v>
      </c>
    </row>
    <row r="281" spans="1:257">
      <c r="A281" s="108" t="s">
        <v>175</v>
      </c>
      <c r="B281" s="78"/>
      <c r="C281" s="78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 t="s">
        <v>674</v>
      </c>
      <c r="P281" s="6">
        <v>1</v>
      </c>
      <c r="Q281" s="6">
        <v>2</v>
      </c>
      <c r="R281" s="6">
        <v>3</v>
      </c>
      <c r="S281" s="6">
        <v>4</v>
      </c>
      <c r="T281" s="6">
        <v>5</v>
      </c>
      <c r="U281" s="6">
        <v>6</v>
      </c>
      <c r="V281" s="6">
        <v>7</v>
      </c>
      <c r="W281" s="6">
        <v>8</v>
      </c>
      <c r="X281" s="6">
        <v>9</v>
      </c>
      <c r="Y281" s="6">
        <v>10</v>
      </c>
      <c r="Z281" s="6">
        <v>11</v>
      </c>
      <c r="AA281" s="6">
        <v>12</v>
      </c>
      <c r="AB281" s="6">
        <v>13</v>
      </c>
      <c r="AC281" s="6">
        <v>14</v>
      </c>
      <c r="AD281" s="6">
        <v>15</v>
      </c>
      <c r="AE281" s="6">
        <v>16</v>
      </c>
      <c r="AF281" s="6">
        <v>17</v>
      </c>
      <c r="AG281" s="6">
        <v>18</v>
      </c>
      <c r="AH281" s="6">
        <v>19</v>
      </c>
      <c r="AI281" s="6">
        <v>20</v>
      </c>
      <c r="AJ281" s="6">
        <v>21</v>
      </c>
      <c r="AK281" s="6">
        <v>22</v>
      </c>
      <c r="AL281" s="6">
        <v>23</v>
      </c>
      <c r="AM281" s="6">
        <v>24</v>
      </c>
      <c r="AN281" s="6">
        <v>25</v>
      </c>
      <c r="AO281" s="6">
        <v>26</v>
      </c>
      <c r="AP281" s="6">
        <v>27</v>
      </c>
      <c r="AQ281" s="6">
        <v>28</v>
      </c>
      <c r="AR281" s="6">
        <v>29</v>
      </c>
      <c r="AS281" s="6">
        <v>30</v>
      </c>
      <c r="AT281" s="6">
        <v>31</v>
      </c>
      <c r="AU281" s="6">
        <v>32</v>
      </c>
      <c r="AV281" s="6">
        <v>33</v>
      </c>
      <c r="AW281" s="6">
        <v>34</v>
      </c>
      <c r="AX281" s="6">
        <v>35</v>
      </c>
      <c r="AY281" s="6">
        <v>36</v>
      </c>
      <c r="AZ281" s="6">
        <v>37</v>
      </c>
      <c r="BA281" s="6">
        <v>38</v>
      </c>
      <c r="BB281" s="6">
        <v>39</v>
      </c>
      <c r="BC281" s="6">
        <v>40</v>
      </c>
      <c r="BD281" s="6">
        <v>41</v>
      </c>
      <c r="BE281" s="6">
        <v>42</v>
      </c>
      <c r="BF281" s="6">
        <v>43</v>
      </c>
      <c r="BG281" s="6">
        <v>44</v>
      </c>
      <c r="BH281" s="6">
        <v>45</v>
      </c>
      <c r="BI281" s="6">
        <v>46</v>
      </c>
      <c r="BJ281" s="6">
        <v>47</v>
      </c>
      <c r="BK281" s="6">
        <v>48</v>
      </c>
      <c r="BL281" s="6">
        <v>49</v>
      </c>
      <c r="BM281" s="6">
        <v>50</v>
      </c>
      <c r="BN281" s="6">
        <v>51</v>
      </c>
      <c r="BO281" s="6">
        <v>52</v>
      </c>
      <c r="BP281" s="6">
        <v>53</v>
      </c>
      <c r="BQ281" s="6">
        <v>54</v>
      </c>
      <c r="BR281" s="6">
        <v>55</v>
      </c>
      <c r="BS281" s="6">
        <v>56</v>
      </c>
      <c r="BT281" s="6">
        <v>57</v>
      </c>
      <c r="BU281" s="6">
        <v>58</v>
      </c>
      <c r="BV281" s="6">
        <v>59</v>
      </c>
      <c r="BW281" s="6">
        <v>60</v>
      </c>
      <c r="BX281" s="6">
        <v>61</v>
      </c>
      <c r="BY281" s="6">
        <v>62</v>
      </c>
      <c r="BZ281" s="6">
        <v>63</v>
      </c>
      <c r="CA281" s="6">
        <v>64</v>
      </c>
      <c r="CB281" s="6">
        <v>65</v>
      </c>
      <c r="CC281" s="6">
        <v>66</v>
      </c>
      <c r="CD281" s="6">
        <v>67</v>
      </c>
      <c r="CE281" s="6">
        <v>68</v>
      </c>
      <c r="CF281" s="6">
        <v>69</v>
      </c>
      <c r="CG281" s="6">
        <v>70</v>
      </c>
      <c r="CH281" s="6">
        <v>71</v>
      </c>
      <c r="CI281" s="6">
        <v>72</v>
      </c>
      <c r="CJ281" s="6">
        <v>73</v>
      </c>
      <c r="CK281" s="6">
        <v>74</v>
      </c>
      <c r="CL281" s="6">
        <v>75</v>
      </c>
      <c r="CM281" s="6">
        <v>76</v>
      </c>
      <c r="CN281" s="6">
        <v>77</v>
      </c>
      <c r="CO281" s="6">
        <v>78</v>
      </c>
      <c r="CP281" s="6">
        <v>79</v>
      </c>
      <c r="CQ281" s="6">
        <v>80</v>
      </c>
      <c r="CR281" s="6">
        <v>81</v>
      </c>
      <c r="CS281" s="6">
        <v>82</v>
      </c>
      <c r="CT281" s="6">
        <v>83</v>
      </c>
      <c r="CU281" s="6">
        <v>84</v>
      </c>
      <c r="CV281" s="6">
        <v>85</v>
      </c>
      <c r="CW281" s="6">
        <v>86</v>
      </c>
      <c r="CX281" s="6">
        <v>87</v>
      </c>
      <c r="CY281" s="6">
        <v>88</v>
      </c>
      <c r="CZ281" s="6">
        <v>89</v>
      </c>
      <c r="DA281" s="6">
        <v>90</v>
      </c>
      <c r="DB281" s="6">
        <v>91</v>
      </c>
      <c r="DC281" s="6">
        <v>92</v>
      </c>
      <c r="DD281" s="6">
        <v>93</v>
      </c>
      <c r="DE281" s="6">
        <v>94</v>
      </c>
      <c r="DF281" s="6">
        <v>95</v>
      </c>
      <c r="DG281" s="6">
        <v>96</v>
      </c>
      <c r="DH281" s="6">
        <v>97</v>
      </c>
      <c r="DI281" s="6">
        <v>98</v>
      </c>
      <c r="DJ281" s="6">
        <v>99</v>
      </c>
      <c r="DK281" s="6">
        <v>100</v>
      </c>
      <c r="DL281" s="6">
        <v>101</v>
      </c>
      <c r="DM281" s="6">
        <v>102</v>
      </c>
      <c r="DN281" s="6">
        <v>103</v>
      </c>
      <c r="DO281" s="6">
        <v>104</v>
      </c>
      <c r="DP281" s="6">
        <v>105</v>
      </c>
      <c r="DQ281" s="6">
        <v>106</v>
      </c>
      <c r="DR281" s="6">
        <v>107</v>
      </c>
      <c r="DS281" s="6">
        <v>108</v>
      </c>
      <c r="DT281" s="6">
        <v>109</v>
      </c>
      <c r="DU281" s="6">
        <v>110</v>
      </c>
      <c r="DV281" s="6">
        <v>111</v>
      </c>
      <c r="DW281" s="6">
        <v>112</v>
      </c>
      <c r="DX281" s="6">
        <v>113</v>
      </c>
      <c r="DY281" s="6">
        <v>114</v>
      </c>
      <c r="DZ281" s="6">
        <v>115</v>
      </c>
      <c r="EA281" s="6">
        <v>116</v>
      </c>
      <c r="EB281" s="6">
        <v>117</v>
      </c>
      <c r="EC281" s="6">
        <v>118</v>
      </c>
      <c r="ED281" s="6">
        <v>119</v>
      </c>
      <c r="EE281" s="6">
        <v>120</v>
      </c>
      <c r="EF281" s="6">
        <v>121</v>
      </c>
      <c r="EG281" s="6">
        <v>122</v>
      </c>
      <c r="EH281" s="6">
        <v>123</v>
      </c>
      <c r="EI281" s="6">
        <v>124</v>
      </c>
      <c r="EJ281" s="6">
        <v>125</v>
      </c>
      <c r="EK281" s="6">
        <v>126</v>
      </c>
      <c r="EL281" s="6">
        <v>127</v>
      </c>
      <c r="EM281" s="6">
        <v>128</v>
      </c>
      <c r="EN281" s="6">
        <v>129</v>
      </c>
      <c r="EO281" s="6">
        <v>130</v>
      </c>
      <c r="EP281" s="6">
        <v>131</v>
      </c>
      <c r="EQ281" s="6">
        <v>132</v>
      </c>
      <c r="ER281" s="6">
        <v>133</v>
      </c>
      <c r="ES281" s="6">
        <v>134</v>
      </c>
      <c r="ET281" s="6">
        <v>135</v>
      </c>
      <c r="EU281" s="6">
        <v>136</v>
      </c>
      <c r="EV281" s="6">
        <v>137</v>
      </c>
      <c r="EW281" s="6">
        <v>138</v>
      </c>
      <c r="EX281" s="6">
        <v>139</v>
      </c>
      <c r="EY281" s="6">
        <v>140</v>
      </c>
      <c r="EZ281" s="6">
        <v>141</v>
      </c>
      <c r="FA281" s="6">
        <v>142</v>
      </c>
      <c r="FB281" s="6">
        <v>143</v>
      </c>
      <c r="FC281" s="6">
        <v>144</v>
      </c>
      <c r="FD281" s="6">
        <v>145</v>
      </c>
      <c r="FE281" s="6">
        <v>146</v>
      </c>
      <c r="FF281" s="6">
        <v>147</v>
      </c>
      <c r="FG281" s="6">
        <v>148</v>
      </c>
      <c r="FH281" s="6">
        <v>149</v>
      </c>
      <c r="FI281" s="6">
        <v>150</v>
      </c>
      <c r="FJ281" s="6">
        <v>151</v>
      </c>
      <c r="FK281" s="6">
        <v>152</v>
      </c>
      <c r="FL281" s="6">
        <v>153</v>
      </c>
      <c r="FM281" s="6">
        <v>154</v>
      </c>
      <c r="FN281" s="6">
        <v>155</v>
      </c>
      <c r="FO281" s="6">
        <v>156</v>
      </c>
      <c r="FP281" s="6">
        <v>157</v>
      </c>
      <c r="FQ281" s="6">
        <v>158</v>
      </c>
      <c r="FR281" s="6">
        <v>159</v>
      </c>
      <c r="FS281" s="6">
        <v>160</v>
      </c>
      <c r="FT281" s="6">
        <v>161</v>
      </c>
      <c r="FU281" s="6">
        <v>162</v>
      </c>
      <c r="FV281" s="6">
        <v>163</v>
      </c>
      <c r="FW281" s="6">
        <v>164</v>
      </c>
      <c r="FX281" s="6">
        <v>165</v>
      </c>
      <c r="FY281" s="6">
        <v>166</v>
      </c>
      <c r="FZ281" s="6">
        <v>167</v>
      </c>
      <c r="GA281" s="6">
        <v>168</v>
      </c>
      <c r="GB281" s="6">
        <v>169</v>
      </c>
      <c r="GC281" s="6">
        <v>170</v>
      </c>
      <c r="GD281" s="6">
        <v>171</v>
      </c>
      <c r="GE281" s="6">
        <v>172</v>
      </c>
      <c r="GF281" s="6">
        <v>173</v>
      </c>
      <c r="GG281" s="6">
        <v>174</v>
      </c>
      <c r="GH281" s="6">
        <v>175</v>
      </c>
      <c r="GI281" s="6">
        <v>176</v>
      </c>
      <c r="GJ281" s="6">
        <v>177</v>
      </c>
      <c r="GK281" s="6">
        <v>178</v>
      </c>
      <c r="GL281" s="6">
        <v>179</v>
      </c>
      <c r="GM281" s="6">
        <v>180</v>
      </c>
      <c r="GN281" s="6">
        <v>181</v>
      </c>
      <c r="GO281" s="6">
        <v>182</v>
      </c>
      <c r="GP281" s="6">
        <v>183</v>
      </c>
      <c r="GQ281" s="6">
        <v>184</v>
      </c>
      <c r="GR281" s="6">
        <v>185</v>
      </c>
      <c r="GS281" s="6">
        <v>186</v>
      </c>
      <c r="GT281" s="6">
        <v>187</v>
      </c>
      <c r="GU281" s="6">
        <v>188</v>
      </c>
      <c r="GV281" s="6">
        <v>189</v>
      </c>
      <c r="GW281" s="6">
        <v>190</v>
      </c>
      <c r="GX281" s="6">
        <v>191</v>
      </c>
      <c r="GY281" s="6">
        <v>192</v>
      </c>
      <c r="GZ281" s="6">
        <v>193</v>
      </c>
      <c r="HA281" s="6">
        <v>194</v>
      </c>
      <c r="HB281" s="6">
        <v>195</v>
      </c>
      <c r="HC281" s="6">
        <v>196</v>
      </c>
      <c r="HD281" s="6">
        <v>197</v>
      </c>
      <c r="HE281" s="6">
        <v>198</v>
      </c>
      <c r="HF281" s="6">
        <v>199</v>
      </c>
      <c r="HG281" s="6">
        <v>200</v>
      </c>
      <c r="HH281" s="6">
        <v>201</v>
      </c>
      <c r="HI281" s="6">
        <v>202</v>
      </c>
      <c r="HJ281" s="6">
        <v>203</v>
      </c>
      <c r="HK281" s="6">
        <v>204</v>
      </c>
      <c r="HL281" s="6">
        <v>205</v>
      </c>
      <c r="HM281" s="6">
        <v>206</v>
      </c>
      <c r="HN281" s="6">
        <v>207</v>
      </c>
      <c r="HO281" s="6">
        <v>208</v>
      </c>
      <c r="HP281" s="6">
        <v>209</v>
      </c>
      <c r="HQ281" s="6">
        <v>210</v>
      </c>
      <c r="HR281" s="6">
        <v>211</v>
      </c>
      <c r="HS281" s="6">
        <v>212</v>
      </c>
      <c r="HT281" s="6">
        <v>213</v>
      </c>
      <c r="HU281" s="6">
        <v>214</v>
      </c>
      <c r="HV281" s="6">
        <v>215</v>
      </c>
      <c r="HW281" s="6">
        <v>216</v>
      </c>
      <c r="HX281" s="6">
        <v>217</v>
      </c>
      <c r="HY281" s="6">
        <v>218</v>
      </c>
      <c r="HZ281" s="6">
        <v>219</v>
      </c>
      <c r="IA281" s="6">
        <v>220</v>
      </c>
      <c r="IB281" s="6">
        <v>221</v>
      </c>
      <c r="IC281" s="6">
        <v>222</v>
      </c>
    </row>
    <row r="282" spans="1:257">
      <c r="A282" s="78"/>
      <c r="B282" s="78"/>
      <c r="C282" s="78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5"/>
      <c r="P282" s="51" t="s">
        <v>175</v>
      </c>
      <c r="Q282" s="51" t="s">
        <v>175</v>
      </c>
      <c r="R282" s="51" t="s">
        <v>175</v>
      </c>
      <c r="S282" s="51" t="s">
        <v>175</v>
      </c>
      <c r="T282" s="51" t="s">
        <v>175</v>
      </c>
      <c r="U282" s="51" t="s">
        <v>175</v>
      </c>
      <c r="V282" s="51" t="s">
        <v>175</v>
      </c>
      <c r="W282" s="51" t="s">
        <v>175</v>
      </c>
      <c r="X282" s="51" t="s">
        <v>175</v>
      </c>
      <c r="Y282" s="51" t="s">
        <v>175</v>
      </c>
      <c r="Z282" s="51" t="s">
        <v>175</v>
      </c>
      <c r="AA282" s="51" t="s">
        <v>175</v>
      </c>
      <c r="AB282" s="51" t="s">
        <v>175</v>
      </c>
      <c r="AC282" s="51" t="s">
        <v>175</v>
      </c>
      <c r="AD282" s="51" t="s">
        <v>175</v>
      </c>
      <c r="AE282" s="51" t="s">
        <v>175</v>
      </c>
      <c r="AF282" s="51" t="s">
        <v>175</v>
      </c>
      <c r="AG282" s="51" t="s">
        <v>175</v>
      </c>
      <c r="AH282" s="51" t="s">
        <v>175</v>
      </c>
      <c r="AI282" s="51" t="s">
        <v>175</v>
      </c>
      <c r="AJ282" s="51" t="s">
        <v>175</v>
      </c>
      <c r="AK282" s="51" t="s">
        <v>175</v>
      </c>
      <c r="AL282" s="51" t="s">
        <v>175</v>
      </c>
      <c r="AM282" s="51" t="s">
        <v>175</v>
      </c>
      <c r="AN282" s="51" t="s">
        <v>175</v>
      </c>
      <c r="AO282" s="51" t="s">
        <v>175</v>
      </c>
      <c r="AP282" s="51" t="s">
        <v>175</v>
      </c>
      <c r="AQ282" s="51" t="s">
        <v>175</v>
      </c>
      <c r="AR282" s="51" t="s">
        <v>175</v>
      </c>
      <c r="AS282" s="51" t="s">
        <v>175</v>
      </c>
      <c r="AT282" s="51" t="s">
        <v>175</v>
      </c>
      <c r="AU282" s="51" t="s">
        <v>175</v>
      </c>
      <c r="AV282" s="51" t="s">
        <v>175</v>
      </c>
      <c r="AW282" s="51" t="s">
        <v>175</v>
      </c>
      <c r="AX282" s="51" t="s">
        <v>175</v>
      </c>
      <c r="AY282" s="51" t="s">
        <v>175</v>
      </c>
      <c r="AZ282" s="51" t="s">
        <v>175</v>
      </c>
      <c r="BA282" s="51" t="s">
        <v>175</v>
      </c>
      <c r="BB282" s="51" t="s">
        <v>175</v>
      </c>
      <c r="BC282" s="51" t="s">
        <v>175</v>
      </c>
      <c r="BD282" s="51" t="s">
        <v>175</v>
      </c>
      <c r="BE282" s="51" t="s">
        <v>175</v>
      </c>
      <c r="BF282" s="51" t="s">
        <v>175</v>
      </c>
      <c r="BG282" s="51" t="s">
        <v>175</v>
      </c>
      <c r="BH282" s="51" t="s">
        <v>175</v>
      </c>
      <c r="BI282" s="51" t="s">
        <v>175</v>
      </c>
      <c r="BJ282" s="51" t="s">
        <v>175</v>
      </c>
      <c r="BK282" s="51" t="s">
        <v>175</v>
      </c>
      <c r="BL282" s="51" t="s">
        <v>175</v>
      </c>
      <c r="BM282" s="51" t="s">
        <v>175</v>
      </c>
      <c r="BN282" s="51" t="s">
        <v>175</v>
      </c>
      <c r="BO282" s="51" t="s">
        <v>175</v>
      </c>
      <c r="BP282" s="51" t="s">
        <v>175</v>
      </c>
      <c r="BQ282" s="51" t="s">
        <v>175</v>
      </c>
      <c r="BR282" s="51" t="s">
        <v>175</v>
      </c>
      <c r="BS282" s="51" t="s">
        <v>175</v>
      </c>
      <c r="BT282" s="51" t="s">
        <v>175</v>
      </c>
      <c r="BU282" s="51" t="s">
        <v>175</v>
      </c>
      <c r="BV282" s="51" t="s">
        <v>175</v>
      </c>
      <c r="BW282" s="51" t="s">
        <v>175</v>
      </c>
      <c r="BX282" s="51" t="s">
        <v>175</v>
      </c>
      <c r="BY282" s="51" t="s">
        <v>175</v>
      </c>
      <c r="BZ282" s="51" t="s">
        <v>175</v>
      </c>
      <c r="CA282" s="51" t="s">
        <v>175</v>
      </c>
      <c r="CB282" s="51" t="s">
        <v>175</v>
      </c>
      <c r="CC282" s="51" t="s">
        <v>175</v>
      </c>
      <c r="CD282" s="51" t="s">
        <v>175</v>
      </c>
      <c r="CE282" s="51" t="s">
        <v>175</v>
      </c>
      <c r="CF282" s="51" t="s">
        <v>175</v>
      </c>
      <c r="CG282" s="51" t="s">
        <v>175</v>
      </c>
      <c r="CH282" s="51" t="s">
        <v>175</v>
      </c>
      <c r="CI282" s="51" t="s">
        <v>175</v>
      </c>
      <c r="CJ282" s="51" t="s">
        <v>175</v>
      </c>
      <c r="CK282" s="51" t="s">
        <v>175</v>
      </c>
      <c r="CL282" s="51" t="s">
        <v>175</v>
      </c>
      <c r="CM282" s="51" t="s">
        <v>175</v>
      </c>
      <c r="CN282" s="51" t="s">
        <v>175</v>
      </c>
      <c r="CO282" s="51" t="s">
        <v>175</v>
      </c>
      <c r="CP282" s="51" t="s">
        <v>175</v>
      </c>
      <c r="CQ282" s="51" t="s">
        <v>175</v>
      </c>
      <c r="CR282" s="51" t="s">
        <v>175</v>
      </c>
      <c r="CS282" s="51" t="s">
        <v>175</v>
      </c>
      <c r="CT282" s="51" t="s">
        <v>175</v>
      </c>
      <c r="CU282" s="51" t="s">
        <v>175</v>
      </c>
      <c r="CV282" s="51" t="s">
        <v>175</v>
      </c>
      <c r="CW282" s="51" t="s">
        <v>175</v>
      </c>
      <c r="CX282" s="51" t="s">
        <v>175</v>
      </c>
      <c r="CY282" s="51" t="s">
        <v>175</v>
      </c>
      <c r="CZ282" s="51" t="s">
        <v>175</v>
      </c>
      <c r="DA282" s="51" t="s">
        <v>175</v>
      </c>
      <c r="DB282" s="51" t="s">
        <v>175</v>
      </c>
      <c r="DC282" s="51" t="s">
        <v>175</v>
      </c>
      <c r="DD282" s="51" t="s">
        <v>175</v>
      </c>
      <c r="DE282" s="51" t="s">
        <v>175</v>
      </c>
      <c r="DF282" s="51" t="s">
        <v>175</v>
      </c>
      <c r="DG282" s="51" t="s">
        <v>175</v>
      </c>
      <c r="DH282" s="51" t="s">
        <v>175</v>
      </c>
      <c r="DI282" s="51" t="s">
        <v>175</v>
      </c>
      <c r="DJ282" s="51" t="s">
        <v>175</v>
      </c>
      <c r="DK282" s="51" t="s">
        <v>175</v>
      </c>
      <c r="DL282" s="51" t="s">
        <v>175</v>
      </c>
      <c r="DM282" s="51" t="s">
        <v>175</v>
      </c>
      <c r="DN282" s="51" t="s">
        <v>175</v>
      </c>
      <c r="DO282" s="51" t="s">
        <v>175</v>
      </c>
      <c r="DP282" s="51" t="s">
        <v>175</v>
      </c>
      <c r="DQ282" s="51" t="s">
        <v>175</v>
      </c>
      <c r="DR282" s="51" t="s">
        <v>175</v>
      </c>
      <c r="DS282" s="51" t="s">
        <v>175</v>
      </c>
      <c r="DT282" s="51" t="s">
        <v>175</v>
      </c>
      <c r="DU282" s="51" t="s">
        <v>175</v>
      </c>
      <c r="DV282" s="51" t="s">
        <v>175</v>
      </c>
      <c r="DW282" s="51" t="s">
        <v>175</v>
      </c>
      <c r="DX282" s="51" t="s">
        <v>175</v>
      </c>
      <c r="DY282" s="51" t="s">
        <v>175</v>
      </c>
      <c r="DZ282" s="51" t="s">
        <v>175</v>
      </c>
      <c r="EA282" s="51" t="s">
        <v>175</v>
      </c>
      <c r="EB282" s="51" t="s">
        <v>175</v>
      </c>
      <c r="EC282" s="51" t="s">
        <v>175</v>
      </c>
      <c r="ED282" s="51" t="s">
        <v>175</v>
      </c>
      <c r="EE282" s="51" t="s">
        <v>175</v>
      </c>
      <c r="EF282" s="51" t="s">
        <v>175</v>
      </c>
      <c r="EG282" s="51" t="s">
        <v>175</v>
      </c>
      <c r="EH282" s="51" t="s">
        <v>175</v>
      </c>
      <c r="EI282" s="51" t="s">
        <v>175</v>
      </c>
      <c r="EJ282" s="51" t="s">
        <v>175</v>
      </c>
      <c r="EK282" s="51" t="s">
        <v>175</v>
      </c>
      <c r="EL282" s="51" t="s">
        <v>175</v>
      </c>
      <c r="EM282" s="51" t="s">
        <v>175</v>
      </c>
      <c r="EN282" s="51" t="s">
        <v>175</v>
      </c>
      <c r="EO282" s="51" t="s">
        <v>175</v>
      </c>
      <c r="EP282" s="51" t="s">
        <v>175</v>
      </c>
      <c r="EQ282" s="51" t="s">
        <v>175</v>
      </c>
      <c r="ER282" s="51" t="s">
        <v>175</v>
      </c>
      <c r="ES282" s="51" t="s">
        <v>175</v>
      </c>
      <c r="ET282" s="51" t="s">
        <v>175</v>
      </c>
      <c r="EU282" s="51" t="s">
        <v>175</v>
      </c>
      <c r="EV282" s="51" t="s">
        <v>175</v>
      </c>
      <c r="EW282" s="51" t="s">
        <v>175</v>
      </c>
      <c r="EX282" s="51" t="s">
        <v>175</v>
      </c>
      <c r="EY282" s="51" t="s">
        <v>175</v>
      </c>
      <c r="EZ282" s="51" t="s">
        <v>175</v>
      </c>
      <c r="FA282" s="51" t="s">
        <v>175</v>
      </c>
      <c r="FB282" s="51" t="s">
        <v>175</v>
      </c>
      <c r="FC282" s="51" t="s">
        <v>175</v>
      </c>
      <c r="FD282" s="51" t="s">
        <v>175</v>
      </c>
      <c r="FE282" s="51" t="s">
        <v>175</v>
      </c>
      <c r="FF282" s="51" t="s">
        <v>175</v>
      </c>
      <c r="FG282" s="51" t="s">
        <v>175</v>
      </c>
      <c r="FH282" s="51" t="s">
        <v>175</v>
      </c>
      <c r="FI282" s="51" t="s">
        <v>175</v>
      </c>
      <c r="FJ282" s="51" t="s">
        <v>175</v>
      </c>
      <c r="FK282" s="51" t="s">
        <v>175</v>
      </c>
      <c r="FL282" s="51" t="s">
        <v>175</v>
      </c>
      <c r="FM282" s="51" t="s">
        <v>175</v>
      </c>
      <c r="FN282" s="51" t="s">
        <v>175</v>
      </c>
      <c r="FO282" s="51" t="s">
        <v>175</v>
      </c>
      <c r="FP282" s="51" t="s">
        <v>175</v>
      </c>
      <c r="FQ282" s="51" t="s">
        <v>175</v>
      </c>
      <c r="FR282" s="51" t="s">
        <v>175</v>
      </c>
      <c r="FS282" s="51" t="s">
        <v>175</v>
      </c>
      <c r="FT282" s="51" t="s">
        <v>175</v>
      </c>
      <c r="FU282" s="51" t="s">
        <v>175</v>
      </c>
      <c r="FV282" s="51" t="s">
        <v>175</v>
      </c>
      <c r="FW282" s="51" t="s">
        <v>175</v>
      </c>
      <c r="FX282" s="51" t="s">
        <v>175</v>
      </c>
      <c r="FY282" s="51" t="s">
        <v>175</v>
      </c>
      <c r="FZ282" s="51" t="s">
        <v>175</v>
      </c>
      <c r="GA282" s="51" t="s">
        <v>175</v>
      </c>
      <c r="GB282" s="51" t="s">
        <v>175</v>
      </c>
      <c r="GC282" s="51" t="s">
        <v>175</v>
      </c>
      <c r="GD282" s="51" t="s">
        <v>175</v>
      </c>
      <c r="GE282" s="51" t="s">
        <v>175</v>
      </c>
      <c r="GF282" s="51" t="s">
        <v>175</v>
      </c>
      <c r="GG282" s="51" t="s">
        <v>175</v>
      </c>
      <c r="GH282" s="51" t="s">
        <v>175</v>
      </c>
      <c r="GI282" s="51" t="s">
        <v>175</v>
      </c>
      <c r="GJ282" s="51" t="s">
        <v>175</v>
      </c>
      <c r="GK282" s="51" t="s">
        <v>175</v>
      </c>
      <c r="GL282" s="51" t="s">
        <v>175</v>
      </c>
      <c r="GM282" s="51" t="s">
        <v>175</v>
      </c>
      <c r="GN282" s="51" t="s">
        <v>175</v>
      </c>
      <c r="GO282" s="51" t="s">
        <v>175</v>
      </c>
      <c r="GP282" s="51" t="s">
        <v>175</v>
      </c>
      <c r="GQ282" s="51" t="s">
        <v>175</v>
      </c>
      <c r="GR282" s="51" t="s">
        <v>175</v>
      </c>
      <c r="GS282" s="51" t="s">
        <v>175</v>
      </c>
      <c r="GT282" s="51" t="s">
        <v>175</v>
      </c>
      <c r="GU282" s="51" t="s">
        <v>175</v>
      </c>
      <c r="GV282" s="51" t="s">
        <v>175</v>
      </c>
      <c r="GW282" s="51" t="s">
        <v>175</v>
      </c>
      <c r="GX282" s="51" t="s">
        <v>175</v>
      </c>
      <c r="GY282" s="51" t="s">
        <v>175</v>
      </c>
      <c r="GZ282" s="51" t="s">
        <v>175</v>
      </c>
      <c r="HA282" s="51" t="s">
        <v>175</v>
      </c>
      <c r="HB282" s="51" t="s">
        <v>175</v>
      </c>
      <c r="HC282" s="51" t="s">
        <v>175</v>
      </c>
      <c r="HD282" s="51" t="s">
        <v>175</v>
      </c>
      <c r="HE282" s="51" t="s">
        <v>175</v>
      </c>
      <c r="HF282" s="51" t="s">
        <v>175</v>
      </c>
      <c r="HG282" s="51" t="s">
        <v>175</v>
      </c>
      <c r="HH282" s="51" t="s">
        <v>175</v>
      </c>
      <c r="HI282" s="51" t="s">
        <v>175</v>
      </c>
      <c r="HJ282" s="51" t="s">
        <v>175</v>
      </c>
      <c r="HK282" s="51" t="s">
        <v>175</v>
      </c>
      <c r="HL282" s="51" t="s">
        <v>175</v>
      </c>
      <c r="HM282" s="51" t="s">
        <v>175</v>
      </c>
      <c r="HN282" s="51" t="s">
        <v>175</v>
      </c>
      <c r="HO282" s="51" t="s">
        <v>175</v>
      </c>
      <c r="HP282" s="51" t="s">
        <v>175</v>
      </c>
      <c r="HQ282" s="51" t="s">
        <v>175</v>
      </c>
      <c r="HR282" s="51" t="s">
        <v>175</v>
      </c>
      <c r="HS282" s="51" t="s">
        <v>175</v>
      </c>
      <c r="HT282" s="51" t="s">
        <v>175</v>
      </c>
      <c r="HU282" s="51" t="s">
        <v>175</v>
      </c>
      <c r="HV282" s="51" t="s">
        <v>175</v>
      </c>
      <c r="HW282" s="51" t="s">
        <v>175</v>
      </c>
      <c r="HX282" s="51" t="s">
        <v>175</v>
      </c>
      <c r="HY282" s="51" t="s">
        <v>175</v>
      </c>
      <c r="HZ282" s="51" t="s">
        <v>175</v>
      </c>
      <c r="IA282" s="51" t="s">
        <v>175</v>
      </c>
      <c r="IB282" s="51" t="s">
        <v>175</v>
      </c>
      <c r="IC282" s="51" t="s">
        <v>175</v>
      </c>
    </row>
    <row r="283" spans="1:257">
      <c r="A283" s="4" t="s">
        <v>522</v>
      </c>
      <c r="B283" s="82" t="str">
        <f t="array" ref="B283">_xlfn.LET(
  _xlpm.dates, _xlfn._xlws.FILTER(P283:HO283, (P285:HO285&lt;&gt;"")+(P287:HO287&lt;&gt;"")),
  _xlpm.numDates, IFERROR(VALUE(_xlpm.dates), _xlpm.dates),
  _xlpm.first, TEXT(MIN(_xlpm.numDates), "m/dd"),
  _xlpm.last, TEXT(MAX(_xlpm.numDates), "m/dd"),
  _xlpm.first &amp; "~" &amp; _xlpm.last
)</f>
        <v>3/27~4/27</v>
      </c>
      <c r="C283" s="7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 t="s">
        <v>522</v>
      </c>
      <c r="P283" s="3">
        <v>46107</v>
      </c>
      <c r="Q283" s="3">
        <v>46108</v>
      </c>
      <c r="R283" s="3">
        <v>46109</v>
      </c>
      <c r="S283" s="3">
        <v>46110</v>
      </c>
      <c r="T283" s="3">
        <v>46111</v>
      </c>
      <c r="U283" s="3">
        <v>46112</v>
      </c>
      <c r="V283" s="3">
        <v>46113</v>
      </c>
      <c r="W283" s="3">
        <v>46114</v>
      </c>
      <c r="X283" s="3">
        <v>46115</v>
      </c>
      <c r="Y283" s="3">
        <v>46116</v>
      </c>
      <c r="Z283" s="3">
        <v>46117</v>
      </c>
      <c r="AA283" s="3">
        <v>46118</v>
      </c>
      <c r="AB283" s="3">
        <v>46119</v>
      </c>
      <c r="AC283" s="3">
        <v>46120</v>
      </c>
      <c r="AD283" s="3">
        <v>46121</v>
      </c>
      <c r="AE283" s="3">
        <v>46122</v>
      </c>
      <c r="AF283" s="3">
        <v>46123</v>
      </c>
      <c r="AG283" s="3">
        <v>46124</v>
      </c>
      <c r="AH283" s="3">
        <v>46125</v>
      </c>
      <c r="AI283" s="3">
        <v>46126</v>
      </c>
      <c r="AJ283" s="3">
        <v>46127</v>
      </c>
      <c r="AK283" s="3">
        <v>46128</v>
      </c>
      <c r="AL283" s="3">
        <v>46129</v>
      </c>
      <c r="AM283" s="3">
        <v>46130</v>
      </c>
      <c r="AN283" s="3">
        <v>46131</v>
      </c>
      <c r="AO283" s="3">
        <v>46132</v>
      </c>
      <c r="AP283" s="3">
        <v>46133</v>
      </c>
      <c r="AQ283" s="3">
        <v>46134</v>
      </c>
      <c r="AR283" s="3">
        <v>46135</v>
      </c>
      <c r="AS283" s="3">
        <v>46136</v>
      </c>
      <c r="AT283" s="3">
        <v>46137</v>
      </c>
      <c r="AU283" s="3">
        <v>46138</v>
      </c>
      <c r="AV283" s="3">
        <v>46139</v>
      </c>
      <c r="AW283" s="3">
        <v>46140</v>
      </c>
      <c r="AX283" s="3">
        <v>46141</v>
      </c>
      <c r="AY283" s="3">
        <v>46142</v>
      </c>
      <c r="AZ283" s="3">
        <v>46143</v>
      </c>
      <c r="BA283" s="3">
        <v>46144</v>
      </c>
      <c r="BB283" s="3">
        <v>46145</v>
      </c>
      <c r="BC283" s="3">
        <v>46146</v>
      </c>
      <c r="BD283" s="3">
        <v>46147</v>
      </c>
      <c r="BE283" s="3">
        <v>46148</v>
      </c>
      <c r="BF283" s="3">
        <v>46149</v>
      </c>
      <c r="BG283" s="3">
        <v>46150</v>
      </c>
      <c r="BH283" s="3">
        <v>46151</v>
      </c>
      <c r="BI283" s="3">
        <v>46152</v>
      </c>
      <c r="BJ283" s="3">
        <v>46153</v>
      </c>
      <c r="BK283" s="3">
        <v>46154</v>
      </c>
      <c r="BL283" s="3">
        <v>46155</v>
      </c>
      <c r="BM283" s="3">
        <v>46156</v>
      </c>
      <c r="BN283" s="3">
        <v>46157</v>
      </c>
      <c r="BO283" s="3">
        <v>46158</v>
      </c>
      <c r="BP283" s="3">
        <v>46159</v>
      </c>
      <c r="BQ283" s="3">
        <v>46160</v>
      </c>
      <c r="BR283" s="3">
        <v>46161</v>
      </c>
      <c r="BS283" s="3">
        <v>46162</v>
      </c>
      <c r="BT283" s="3">
        <v>46163</v>
      </c>
      <c r="BU283" s="3">
        <v>46164</v>
      </c>
      <c r="BV283" s="3">
        <v>46165</v>
      </c>
      <c r="BW283" s="3">
        <v>46166</v>
      </c>
      <c r="BX283" s="3">
        <v>46167</v>
      </c>
      <c r="BY283" s="3">
        <v>46168</v>
      </c>
      <c r="BZ283" s="3">
        <v>46169</v>
      </c>
      <c r="CA283" s="3">
        <v>46170</v>
      </c>
      <c r="CB283" s="3">
        <v>46171</v>
      </c>
      <c r="CC283" s="3">
        <v>46172</v>
      </c>
      <c r="CD283" s="3">
        <v>46173</v>
      </c>
      <c r="CE283" s="3">
        <v>46174</v>
      </c>
      <c r="CF283" s="3">
        <v>46175</v>
      </c>
      <c r="CG283" s="3">
        <v>46176</v>
      </c>
      <c r="CH283" s="3">
        <v>46177</v>
      </c>
      <c r="CI283" s="3">
        <v>46178</v>
      </c>
      <c r="CJ283" s="3">
        <v>46179</v>
      </c>
      <c r="CK283" s="3">
        <v>46180</v>
      </c>
      <c r="CL283" s="3">
        <v>46181</v>
      </c>
      <c r="CM283" s="3">
        <v>46182</v>
      </c>
      <c r="CN283" s="3">
        <v>46183</v>
      </c>
      <c r="CO283" s="3">
        <v>46184</v>
      </c>
      <c r="CP283" s="3">
        <v>46185</v>
      </c>
      <c r="CQ283" s="3">
        <v>46186</v>
      </c>
      <c r="CR283" s="3">
        <v>46187</v>
      </c>
      <c r="CS283" s="3">
        <v>46188</v>
      </c>
      <c r="CT283" s="3">
        <v>46189</v>
      </c>
      <c r="CU283" s="3">
        <v>46190</v>
      </c>
      <c r="CV283" s="3">
        <v>46191</v>
      </c>
      <c r="CW283" s="3">
        <v>46192</v>
      </c>
      <c r="CX283" s="3">
        <v>46193</v>
      </c>
      <c r="CY283" s="3">
        <v>46194</v>
      </c>
      <c r="CZ283" s="3">
        <v>46195</v>
      </c>
      <c r="DA283" s="3">
        <v>46196</v>
      </c>
      <c r="DB283" s="3">
        <v>46197</v>
      </c>
      <c r="DC283" s="3">
        <v>46198</v>
      </c>
      <c r="DD283" s="3">
        <v>46199</v>
      </c>
      <c r="DE283" s="3">
        <v>46200</v>
      </c>
      <c r="DF283" s="3">
        <v>46201</v>
      </c>
      <c r="DG283" s="3">
        <v>46202</v>
      </c>
      <c r="DH283" s="3">
        <v>46203</v>
      </c>
      <c r="DI283" s="3">
        <v>46204</v>
      </c>
      <c r="DJ283" s="3">
        <v>46205</v>
      </c>
      <c r="DK283" s="3">
        <v>46206</v>
      </c>
      <c r="DL283" s="3">
        <v>46207</v>
      </c>
      <c r="DM283" s="3">
        <v>46208</v>
      </c>
      <c r="DN283" s="3">
        <v>46209</v>
      </c>
      <c r="DO283" s="3">
        <v>46210</v>
      </c>
      <c r="DP283" s="3">
        <v>46211</v>
      </c>
      <c r="DQ283" s="3">
        <v>46212</v>
      </c>
      <c r="DR283" s="3">
        <v>46213</v>
      </c>
      <c r="DS283" s="3">
        <v>46214</v>
      </c>
      <c r="DT283" s="3">
        <v>46215</v>
      </c>
      <c r="DU283" s="3">
        <v>46216</v>
      </c>
      <c r="DV283" s="3">
        <v>46217</v>
      </c>
      <c r="DW283" s="3">
        <v>46218</v>
      </c>
      <c r="DX283" s="3">
        <v>46219</v>
      </c>
      <c r="DY283" s="3">
        <v>46220</v>
      </c>
      <c r="DZ283" s="3">
        <v>46221</v>
      </c>
      <c r="EA283" s="3">
        <v>46222</v>
      </c>
      <c r="EB283" s="3">
        <v>46223</v>
      </c>
      <c r="EC283" s="3">
        <v>46224</v>
      </c>
      <c r="ED283" s="3">
        <v>46225</v>
      </c>
      <c r="EE283" s="3">
        <v>46226</v>
      </c>
      <c r="EF283" s="3">
        <v>46227</v>
      </c>
      <c r="EG283" s="3">
        <v>46228</v>
      </c>
      <c r="EH283" s="3">
        <v>46229</v>
      </c>
      <c r="EI283" s="3">
        <v>46230</v>
      </c>
      <c r="EJ283" s="3">
        <v>46231</v>
      </c>
      <c r="EK283" s="3">
        <v>46232</v>
      </c>
      <c r="EL283" s="3">
        <v>46233</v>
      </c>
      <c r="EM283" s="3">
        <v>46234</v>
      </c>
      <c r="EN283" s="3">
        <v>46235</v>
      </c>
      <c r="EO283" s="3">
        <v>46236</v>
      </c>
      <c r="EP283" s="3">
        <v>46237</v>
      </c>
      <c r="EQ283" s="3">
        <v>46238</v>
      </c>
      <c r="ER283" s="3">
        <v>46239</v>
      </c>
      <c r="ES283" s="3">
        <v>46240</v>
      </c>
      <c r="ET283" s="3">
        <v>46241</v>
      </c>
      <c r="EU283" s="3">
        <v>46242</v>
      </c>
      <c r="EV283" s="3">
        <v>46243</v>
      </c>
      <c r="EW283" s="3">
        <v>46244</v>
      </c>
      <c r="EX283" s="3">
        <v>46245</v>
      </c>
      <c r="EY283" s="3">
        <v>46246</v>
      </c>
      <c r="EZ283" s="3">
        <v>46247</v>
      </c>
      <c r="FA283" s="3">
        <v>46248</v>
      </c>
      <c r="FB283" s="3">
        <v>46249</v>
      </c>
      <c r="FC283" s="3">
        <v>46250</v>
      </c>
      <c r="FD283" s="3">
        <v>46251</v>
      </c>
      <c r="FE283" s="3">
        <v>46252</v>
      </c>
      <c r="FF283" s="3">
        <v>46253</v>
      </c>
      <c r="FG283" s="3">
        <v>46254</v>
      </c>
      <c r="FH283" s="3">
        <v>46255</v>
      </c>
      <c r="FI283" s="3">
        <v>46256</v>
      </c>
      <c r="FJ283" s="3">
        <v>46257</v>
      </c>
      <c r="FK283" s="3">
        <v>46258</v>
      </c>
      <c r="FL283" s="3">
        <v>46259</v>
      </c>
      <c r="FM283" s="3">
        <v>46260</v>
      </c>
      <c r="FN283" s="3">
        <v>46261</v>
      </c>
      <c r="FO283" s="3">
        <v>46262</v>
      </c>
      <c r="FP283" s="3">
        <v>46263</v>
      </c>
      <c r="FQ283" s="3">
        <v>46264</v>
      </c>
      <c r="FR283" s="3">
        <v>46265</v>
      </c>
      <c r="FS283" s="3">
        <v>46266</v>
      </c>
      <c r="FT283" s="3">
        <v>46267</v>
      </c>
      <c r="FU283" s="3">
        <v>46268</v>
      </c>
      <c r="FV283" s="3">
        <v>46269</v>
      </c>
      <c r="FW283" s="3">
        <v>46270</v>
      </c>
      <c r="FX283" s="3">
        <v>46271</v>
      </c>
      <c r="FY283" s="3">
        <v>46272</v>
      </c>
      <c r="FZ283" s="3">
        <v>46273</v>
      </c>
      <c r="GA283" s="3">
        <v>46274</v>
      </c>
      <c r="GB283" s="3">
        <v>46275</v>
      </c>
      <c r="GC283" s="3">
        <v>46276</v>
      </c>
      <c r="GD283" s="3">
        <v>46277</v>
      </c>
      <c r="GE283" s="3">
        <v>46278</v>
      </c>
      <c r="GF283" s="3">
        <v>46279</v>
      </c>
      <c r="GG283" s="3">
        <v>46280</v>
      </c>
      <c r="GH283" s="3">
        <v>46281</v>
      </c>
      <c r="GI283" s="3">
        <v>46282</v>
      </c>
      <c r="GJ283" s="3">
        <v>46283</v>
      </c>
      <c r="GK283" s="3">
        <v>46284</v>
      </c>
      <c r="GL283" s="3">
        <v>46285</v>
      </c>
      <c r="GM283" s="3">
        <v>46286</v>
      </c>
      <c r="GN283" s="3">
        <v>46287</v>
      </c>
      <c r="GO283" s="3">
        <v>46288</v>
      </c>
      <c r="GP283" s="3">
        <v>46289</v>
      </c>
      <c r="GQ283" s="3">
        <v>46290</v>
      </c>
      <c r="GR283" s="3">
        <v>46291</v>
      </c>
      <c r="GS283" s="3">
        <v>46292</v>
      </c>
      <c r="GT283" s="3">
        <v>46293</v>
      </c>
      <c r="GU283" s="3">
        <v>46294</v>
      </c>
      <c r="GV283" s="3">
        <v>46295</v>
      </c>
      <c r="GW283" s="3">
        <v>46296</v>
      </c>
      <c r="GX283" s="3">
        <v>46297</v>
      </c>
      <c r="GY283" s="3">
        <v>46298</v>
      </c>
      <c r="GZ283" s="3">
        <v>46299</v>
      </c>
      <c r="HA283" s="3">
        <v>46300</v>
      </c>
      <c r="HB283" s="3">
        <v>46301</v>
      </c>
      <c r="HC283" s="3">
        <v>46302</v>
      </c>
      <c r="HD283" s="3">
        <v>46303</v>
      </c>
      <c r="HE283" s="3">
        <v>46304</v>
      </c>
      <c r="HF283" s="3">
        <v>46305</v>
      </c>
      <c r="HG283" s="3">
        <v>46306</v>
      </c>
      <c r="HH283" s="3">
        <v>46307</v>
      </c>
      <c r="HI283" s="3">
        <v>46308</v>
      </c>
      <c r="HJ283" s="3">
        <v>46309</v>
      </c>
      <c r="HK283" s="3">
        <v>46310</v>
      </c>
      <c r="HL283" s="3">
        <v>46311</v>
      </c>
      <c r="HM283" s="3">
        <v>46312</v>
      </c>
      <c r="HN283" s="3">
        <v>46313</v>
      </c>
      <c r="HO283" s="3">
        <v>46314</v>
      </c>
      <c r="HP283" s="3">
        <v>46315</v>
      </c>
      <c r="HQ283" s="3">
        <v>46316</v>
      </c>
      <c r="HR283" s="3">
        <v>46317</v>
      </c>
      <c r="HS283" s="3">
        <v>46318</v>
      </c>
      <c r="HT283" s="3">
        <v>46319</v>
      </c>
      <c r="HU283" s="3">
        <v>46320</v>
      </c>
      <c r="HV283" s="3">
        <v>46321</v>
      </c>
      <c r="HW283" s="3">
        <v>46322</v>
      </c>
      <c r="HX283" s="3">
        <v>46323</v>
      </c>
      <c r="HY283" s="3">
        <v>46324</v>
      </c>
      <c r="HZ283" s="3">
        <v>46325</v>
      </c>
      <c r="IA283" s="3">
        <v>46326</v>
      </c>
      <c r="IB283" s="3">
        <v>46327</v>
      </c>
      <c r="IC283" s="3">
        <v>46328</v>
      </c>
    </row>
    <row r="284" spans="1:257">
      <c r="A284" s="4" t="s">
        <v>694</v>
      </c>
      <c r="B284" s="82" t="str">
        <f t="array" ref="B284">COLUMNS(_xlfn._xlws.FILTER(P283:HO283, (P285:HO285&lt;&gt;"")+(P287:HO287&lt;&gt;""))) &amp; "場"</f>
        <v>26場</v>
      </c>
      <c r="C284" s="7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 t="s">
        <v>675</v>
      </c>
      <c r="P284" s="3" t="s">
        <v>676</v>
      </c>
      <c r="Q284" s="3" t="s">
        <v>677</v>
      </c>
      <c r="R284" s="3" t="s">
        <v>678</v>
      </c>
      <c r="S284" s="3" t="s">
        <v>679</v>
      </c>
      <c r="T284" s="3" t="s">
        <v>680</v>
      </c>
      <c r="U284" s="3" t="s">
        <v>681</v>
      </c>
      <c r="V284" s="3" t="s">
        <v>682</v>
      </c>
      <c r="W284" s="3" t="s">
        <v>676</v>
      </c>
      <c r="X284" s="3" t="s">
        <v>677</v>
      </c>
      <c r="Y284" s="3" t="s">
        <v>678</v>
      </c>
      <c r="Z284" s="3" t="s">
        <v>679</v>
      </c>
      <c r="AA284" s="3" t="s">
        <v>680</v>
      </c>
      <c r="AB284" s="3" t="s">
        <v>681</v>
      </c>
      <c r="AC284" s="3" t="s">
        <v>682</v>
      </c>
      <c r="AD284" s="3" t="s">
        <v>676</v>
      </c>
      <c r="AE284" s="3" t="s">
        <v>677</v>
      </c>
      <c r="AF284" s="3" t="s">
        <v>678</v>
      </c>
      <c r="AG284" s="3" t="s">
        <v>679</v>
      </c>
      <c r="AH284" s="3" t="s">
        <v>680</v>
      </c>
      <c r="AI284" s="3" t="s">
        <v>681</v>
      </c>
      <c r="AJ284" s="3" t="s">
        <v>682</v>
      </c>
      <c r="AK284" s="3" t="s">
        <v>676</v>
      </c>
      <c r="AL284" s="3" t="s">
        <v>677</v>
      </c>
      <c r="AM284" s="3" t="s">
        <v>678</v>
      </c>
      <c r="AN284" s="3" t="s">
        <v>679</v>
      </c>
      <c r="AO284" s="3" t="s">
        <v>680</v>
      </c>
      <c r="AP284" s="3" t="s">
        <v>681</v>
      </c>
      <c r="AQ284" s="3" t="s">
        <v>682</v>
      </c>
      <c r="AR284" s="3" t="s">
        <v>676</v>
      </c>
      <c r="AS284" s="3" t="s">
        <v>677</v>
      </c>
      <c r="AT284" s="3" t="s">
        <v>678</v>
      </c>
      <c r="AU284" s="3" t="s">
        <v>679</v>
      </c>
      <c r="AV284" s="3" t="s">
        <v>680</v>
      </c>
      <c r="AW284" s="3" t="s">
        <v>681</v>
      </c>
      <c r="AX284" s="3" t="s">
        <v>682</v>
      </c>
      <c r="AY284" s="3" t="s">
        <v>676</v>
      </c>
      <c r="AZ284" s="3" t="s">
        <v>677</v>
      </c>
      <c r="BA284" s="3" t="s">
        <v>678</v>
      </c>
      <c r="BB284" s="3" t="s">
        <v>679</v>
      </c>
      <c r="BC284" s="3" t="s">
        <v>680</v>
      </c>
      <c r="BD284" s="3" t="s">
        <v>681</v>
      </c>
      <c r="BE284" s="3" t="s">
        <v>682</v>
      </c>
      <c r="BF284" s="3" t="s">
        <v>676</v>
      </c>
      <c r="BG284" s="3" t="s">
        <v>677</v>
      </c>
      <c r="BH284" s="3" t="s">
        <v>678</v>
      </c>
      <c r="BI284" s="3" t="s">
        <v>679</v>
      </c>
      <c r="BJ284" s="3" t="s">
        <v>680</v>
      </c>
      <c r="BK284" s="3" t="s">
        <v>681</v>
      </c>
      <c r="BL284" s="3" t="s">
        <v>682</v>
      </c>
      <c r="BM284" s="3" t="s">
        <v>676</v>
      </c>
      <c r="BN284" s="3" t="s">
        <v>677</v>
      </c>
      <c r="BO284" s="3" t="s">
        <v>678</v>
      </c>
      <c r="BP284" s="3" t="s">
        <v>679</v>
      </c>
      <c r="BQ284" s="3" t="s">
        <v>680</v>
      </c>
      <c r="BR284" s="3" t="s">
        <v>681</v>
      </c>
      <c r="BS284" s="3" t="s">
        <v>682</v>
      </c>
      <c r="BT284" s="3" t="s">
        <v>676</v>
      </c>
      <c r="BU284" s="3" t="s">
        <v>677</v>
      </c>
      <c r="BV284" s="3" t="s">
        <v>678</v>
      </c>
      <c r="BW284" s="3" t="s">
        <v>679</v>
      </c>
      <c r="BX284" s="3" t="s">
        <v>680</v>
      </c>
      <c r="BY284" s="3" t="s">
        <v>681</v>
      </c>
      <c r="BZ284" s="3" t="s">
        <v>682</v>
      </c>
      <c r="CA284" s="3" t="s">
        <v>676</v>
      </c>
      <c r="CB284" s="3" t="s">
        <v>677</v>
      </c>
      <c r="CC284" s="3" t="s">
        <v>678</v>
      </c>
      <c r="CD284" s="3" t="s">
        <v>679</v>
      </c>
      <c r="CE284" s="3" t="s">
        <v>680</v>
      </c>
      <c r="CF284" s="3" t="s">
        <v>681</v>
      </c>
      <c r="CG284" s="3" t="s">
        <v>682</v>
      </c>
      <c r="CH284" s="3" t="s">
        <v>676</v>
      </c>
      <c r="CI284" s="3" t="s">
        <v>677</v>
      </c>
      <c r="CJ284" s="3" t="s">
        <v>678</v>
      </c>
      <c r="CK284" s="3" t="s">
        <v>679</v>
      </c>
      <c r="CL284" s="3" t="s">
        <v>680</v>
      </c>
      <c r="CM284" s="3" t="s">
        <v>681</v>
      </c>
      <c r="CN284" s="3" t="s">
        <v>682</v>
      </c>
      <c r="CO284" s="3" t="s">
        <v>676</v>
      </c>
      <c r="CP284" s="3" t="s">
        <v>677</v>
      </c>
      <c r="CQ284" s="3" t="s">
        <v>678</v>
      </c>
      <c r="CR284" s="3" t="s">
        <v>679</v>
      </c>
      <c r="CS284" s="3" t="s">
        <v>680</v>
      </c>
      <c r="CT284" s="3" t="s">
        <v>681</v>
      </c>
      <c r="CU284" s="3" t="s">
        <v>682</v>
      </c>
      <c r="CV284" s="3" t="s">
        <v>676</v>
      </c>
      <c r="CW284" s="3" t="s">
        <v>677</v>
      </c>
      <c r="CX284" s="3" t="s">
        <v>678</v>
      </c>
      <c r="CY284" s="3" t="s">
        <v>679</v>
      </c>
      <c r="CZ284" s="3" t="s">
        <v>680</v>
      </c>
      <c r="DA284" s="3" t="s">
        <v>681</v>
      </c>
      <c r="DB284" s="3" t="s">
        <v>682</v>
      </c>
      <c r="DC284" s="3" t="s">
        <v>676</v>
      </c>
      <c r="DD284" s="3" t="s">
        <v>677</v>
      </c>
      <c r="DE284" s="3" t="s">
        <v>678</v>
      </c>
      <c r="DF284" s="3" t="s">
        <v>679</v>
      </c>
      <c r="DG284" s="3" t="s">
        <v>680</v>
      </c>
      <c r="DH284" s="3" t="s">
        <v>681</v>
      </c>
      <c r="DI284" s="3" t="s">
        <v>682</v>
      </c>
      <c r="DJ284" s="3" t="s">
        <v>676</v>
      </c>
      <c r="DK284" s="3" t="s">
        <v>677</v>
      </c>
      <c r="DL284" s="3" t="s">
        <v>678</v>
      </c>
      <c r="DM284" s="3" t="s">
        <v>679</v>
      </c>
      <c r="DN284" s="3" t="s">
        <v>680</v>
      </c>
      <c r="DO284" s="3" t="s">
        <v>681</v>
      </c>
      <c r="DP284" s="3" t="s">
        <v>682</v>
      </c>
      <c r="DQ284" s="3" t="s">
        <v>676</v>
      </c>
      <c r="DR284" s="3" t="s">
        <v>677</v>
      </c>
      <c r="DS284" s="3" t="s">
        <v>678</v>
      </c>
      <c r="DT284" s="3" t="s">
        <v>679</v>
      </c>
      <c r="DU284" s="3" t="s">
        <v>680</v>
      </c>
      <c r="DV284" s="3" t="s">
        <v>681</v>
      </c>
      <c r="DW284" s="3" t="s">
        <v>682</v>
      </c>
      <c r="DX284" s="3" t="s">
        <v>676</v>
      </c>
      <c r="DY284" s="3" t="s">
        <v>677</v>
      </c>
      <c r="DZ284" s="3" t="s">
        <v>678</v>
      </c>
      <c r="EA284" s="3" t="s">
        <v>679</v>
      </c>
      <c r="EB284" s="3" t="s">
        <v>680</v>
      </c>
      <c r="EC284" s="3" t="s">
        <v>681</v>
      </c>
      <c r="ED284" s="3" t="s">
        <v>682</v>
      </c>
      <c r="EE284" s="3" t="s">
        <v>676</v>
      </c>
      <c r="EF284" s="3" t="s">
        <v>677</v>
      </c>
      <c r="EG284" s="3" t="s">
        <v>678</v>
      </c>
      <c r="EH284" s="3" t="s">
        <v>679</v>
      </c>
      <c r="EI284" s="3" t="s">
        <v>680</v>
      </c>
      <c r="EJ284" s="3" t="s">
        <v>681</v>
      </c>
      <c r="EK284" s="3" t="s">
        <v>682</v>
      </c>
      <c r="EL284" s="3" t="s">
        <v>676</v>
      </c>
      <c r="EM284" s="3" t="s">
        <v>677</v>
      </c>
      <c r="EN284" s="3" t="s">
        <v>678</v>
      </c>
      <c r="EO284" s="3" t="s">
        <v>679</v>
      </c>
      <c r="EP284" s="3" t="s">
        <v>680</v>
      </c>
      <c r="EQ284" s="3" t="s">
        <v>681</v>
      </c>
      <c r="ER284" s="3" t="s">
        <v>682</v>
      </c>
      <c r="ES284" s="3" t="s">
        <v>676</v>
      </c>
      <c r="ET284" s="3" t="s">
        <v>677</v>
      </c>
      <c r="EU284" s="3" t="s">
        <v>678</v>
      </c>
      <c r="EV284" s="3" t="s">
        <v>679</v>
      </c>
      <c r="EW284" s="3" t="s">
        <v>680</v>
      </c>
      <c r="EX284" s="3" t="s">
        <v>681</v>
      </c>
      <c r="EY284" s="3" t="s">
        <v>682</v>
      </c>
      <c r="EZ284" s="3" t="s">
        <v>676</v>
      </c>
      <c r="FA284" s="3" t="s">
        <v>677</v>
      </c>
      <c r="FB284" s="3" t="s">
        <v>678</v>
      </c>
      <c r="FC284" s="3" t="s">
        <v>679</v>
      </c>
      <c r="FD284" s="3" t="s">
        <v>680</v>
      </c>
      <c r="FE284" s="3" t="s">
        <v>681</v>
      </c>
      <c r="FF284" s="3" t="s">
        <v>682</v>
      </c>
      <c r="FG284" s="3" t="s">
        <v>676</v>
      </c>
      <c r="FH284" s="3" t="s">
        <v>677</v>
      </c>
      <c r="FI284" s="3" t="s">
        <v>678</v>
      </c>
      <c r="FJ284" s="3" t="s">
        <v>679</v>
      </c>
      <c r="FK284" s="3" t="s">
        <v>680</v>
      </c>
      <c r="FL284" s="3" t="s">
        <v>681</v>
      </c>
      <c r="FM284" s="3" t="s">
        <v>682</v>
      </c>
      <c r="FN284" s="3" t="s">
        <v>676</v>
      </c>
      <c r="FO284" s="3" t="s">
        <v>677</v>
      </c>
      <c r="FP284" s="3" t="s">
        <v>678</v>
      </c>
      <c r="FQ284" s="3" t="s">
        <v>679</v>
      </c>
      <c r="FR284" s="3" t="s">
        <v>680</v>
      </c>
      <c r="FS284" s="3" t="s">
        <v>681</v>
      </c>
      <c r="FT284" s="3" t="s">
        <v>682</v>
      </c>
      <c r="FU284" s="3" t="s">
        <v>676</v>
      </c>
      <c r="FV284" s="3" t="s">
        <v>677</v>
      </c>
      <c r="FW284" s="3" t="s">
        <v>678</v>
      </c>
      <c r="FX284" s="3" t="s">
        <v>679</v>
      </c>
      <c r="FY284" s="3" t="s">
        <v>680</v>
      </c>
      <c r="FZ284" s="3" t="s">
        <v>681</v>
      </c>
      <c r="GA284" s="3" t="s">
        <v>682</v>
      </c>
      <c r="GB284" s="3" t="s">
        <v>676</v>
      </c>
      <c r="GC284" s="3" t="s">
        <v>677</v>
      </c>
      <c r="GD284" s="3" t="s">
        <v>678</v>
      </c>
      <c r="GE284" s="3" t="s">
        <v>679</v>
      </c>
      <c r="GF284" s="3" t="s">
        <v>680</v>
      </c>
      <c r="GG284" s="3" t="s">
        <v>681</v>
      </c>
      <c r="GH284" s="3" t="s">
        <v>682</v>
      </c>
      <c r="GI284" s="3" t="s">
        <v>676</v>
      </c>
      <c r="GJ284" s="3" t="s">
        <v>677</v>
      </c>
      <c r="GK284" s="3" t="s">
        <v>678</v>
      </c>
      <c r="GL284" s="3" t="s">
        <v>679</v>
      </c>
      <c r="GM284" s="3" t="s">
        <v>680</v>
      </c>
      <c r="GN284" s="3" t="s">
        <v>681</v>
      </c>
      <c r="GO284" s="3" t="s">
        <v>682</v>
      </c>
      <c r="GP284" s="3" t="s">
        <v>676</v>
      </c>
      <c r="GQ284" s="3" t="s">
        <v>677</v>
      </c>
      <c r="GR284" s="3" t="s">
        <v>678</v>
      </c>
      <c r="GS284" s="3" t="s">
        <v>679</v>
      </c>
      <c r="GT284" s="3" t="s">
        <v>680</v>
      </c>
      <c r="GU284" s="3" t="s">
        <v>681</v>
      </c>
      <c r="GV284" s="3" t="s">
        <v>682</v>
      </c>
      <c r="GW284" s="3" t="s">
        <v>676</v>
      </c>
      <c r="GX284" s="3" t="s">
        <v>677</v>
      </c>
      <c r="GY284" s="3" t="s">
        <v>678</v>
      </c>
      <c r="GZ284" s="3" t="s">
        <v>679</v>
      </c>
      <c r="HA284" s="3" t="s">
        <v>680</v>
      </c>
      <c r="HB284" s="3" t="s">
        <v>681</v>
      </c>
      <c r="HC284" s="3" t="s">
        <v>682</v>
      </c>
      <c r="HD284" s="3" t="s">
        <v>676</v>
      </c>
      <c r="HE284" s="3" t="s">
        <v>677</v>
      </c>
      <c r="HF284" s="3" t="s">
        <v>678</v>
      </c>
      <c r="HG284" s="3" t="s">
        <v>679</v>
      </c>
      <c r="HH284" s="3" t="s">
        <v>680</v>
      </c>
      <c r="HI284" s="3" t="s">
        <v>681</v>
      </c>
      <c r="HJ284" s="3" t="s">
        <v>682</v>
      </c>
      <c r="HK284" s="3" t="s">
        <v>676</v>
      </c>
      <c r="HL284" s="3" t="s">
        <v>677</v>
      </c>
      <c r="HM284" s="3" t="s">
        <v>678</v>
      </c>
      <c r="HN284" s="3" t="s">
        <v>679</v>
      </c>
      <c r="HO284" s="3" t="s">
        <v>680</v>
      </c>
      <c r="HP284" s="3" t="s">
        <v>681</v>
      </c>
      <c r="HQ284" s="3" t="s">
        <v>682</v>
      </c>
      <c r="HR284" s="3" t="s">
        <v>676</v>
      </c>
      <c r="HS284" s="3" t="s">
        <v>677</v>
      </c>
      <c r="HT284" s="3" t="s">
        <v>678</v>
      </c>
      <c r="HU284" s="3" t="s">
        <v>679</v>
      </c>
      <c r="HV284" s="3" t="s">
        <v>680</v>
      </c>
      <c r="HW284" s="3" t="s">
        <v>681</v>
      </c>
      <c r="HX284" s="3" t="s">
        <v>682</v>
      </c>
      <c r="HY284" s="3" t="s">
        <v>676</v>
      </c>
      <c r="HZ284" s="3" t="s">
        <v>677</v>
      </c>
      <c r="IA284" s="3" t="s">
        <v>678</v>
      </c>
      <c r="IB284" s="3" t="s">
        <v>679</v>
      </c>
      <c r="IC284" s="3" t="s">
        <v>680</v>
      </c>
    </row>
    <row r="285" spans="1:257">
      <c r="A285" s="82" t="s">
        <v>695</v>
      </c>
      <c r="B285" s="82" t="str">
        <f>COUNTIF(P285:IC285, "W")&amp;"勝"</f>
        <v>18勝</v>
      </c>
      <c r="C285" s="82" t="str">
        <f>COUNTIF(P285:IC285, "L")&amp;"敗"</f>
        <v>8敗</v>
      </c>
      <c r="D285" s="82" t="s">
        <v>696</v>
      </c>
      <c r="E285" s="78"/>
      <c r="F285" s="82" t="s">
        <v>765</v>
      </c>
      <c r="G285" s="78"/>
      <c r="H285" s="78"/>
      <c r="I285" s="78"/>
      <c r="J285" s="78"/>
      <c r="K285" s="78"/>
      <c r="L285" s="78"/>
      <c r="M285" s="82"/>
      <c r="N285" s="78"/>
      <c r="O285" s="1" t="s">
        <v>698</v>
      </c>
      <c r="Q285" t="s">
        <v>700</v>
      </c>
      <c r="R285" t="s">
        <v>700</v>
      </c>
      <c r="S285" t="s">
        <v>699</v>
      </c>
      <c r="U285" t="s">
        <v>700</v>
      </c>
      <c r="V285" t="s">
        <v>700</v>
      </c>
      <c r="W285" t="s">
        <v>699</v>
      </c>
      <c r="Y285" t="s">
        <v>700</v>
      </c>
      <c r="Z285" t="s">
        <v>699</v>
      </c>
      <c r="AA285" t="s">
        <v>699</v>
      </c>
      <c r="AB285" t="s">
        <v>699</v>
      </c>
      <c r="AC285" t="s">
        <v>700</v>
      </c>
      <c r="AD285" t="s">
        <v>699</v>
      </c>
      <c r="AE285" t="s">
        <v>699</v>
      </c>
      <c r="AF285" t="s">
        <v>699</v>
      </c>
      <c r="AG285" t="s">
        <v>699</v>
      </c>
      <c r="AH285" t="s">
        <v>699</v>
      </c>
      <c r="AJ285" t="s">
        <v>699</v>
      </c>
      <c r="AK285" t="s">
        <v>699</v>
      </c>
      <c r="AL285" t="s">
        <v>699</v>
      </c>
      <c r="AM285" t="s">
        <v>700</v>
      </c>
      <c r="AN285" t="s">
        <v>699</v>
      </c>
      <c r="AO285" t="s">
        <v>699</v>
      </c>
      <c r="AQ285" t="s">
        <v>699</v>
      </c>
      <c r="AS285" t="s">
        <v>699</v>
      </c>
      <c r="AU285" t="s">
        <v>699</v>
      </c>
      <c r="AV285" t="s">
        <v>700</v>
      </c>
    </row>
    <row r="286" spans="1:257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1" t="s">
        <v>701</v>
      </c>
    </row>
    <row r="287" spans="1:257">
      <c r="A287" s="82" t="s">
        <v>702</v>
      </c>
      <c r="B287" s="82" t="str">
        <f>COUNTIF(P287:IC287, "O")&amp;"正"</f>
        <v>16正</v>
      </c>
      <c r="C287" s="82" t="str">
        <f>COUNTIF(P287:IC287, "X")&amp;"負"</f>
        <v>10負</v>
      </c>
      <c r="D287" s="82" t="s">
        <v>703</v>
      </c>
      <c r="E287" s="78"/>
      <c r="F287" s="82" t="s">
        <v>766</v>
      </c>
      <c r="G287" s="78"/>
      <c r="H287" s="78"/>
      <c r="I287" s="78"/>
      <c r="J287" s="78"/>
      <c r="K287" s="78"/>
      <c r="L287" s="78"/>
      <c r="M287" s="82"/>
      <c r="N287" s="78"/>
      <c r="O287" s="1" t="s">
        <v>705</v>
      </c>
      <c r="Q287" t="s">
        <v>684</v>
      </c>
      <c r="R287" t="s">
        <v>684</v>
      </c>
      <c r="S287" t="s">
        <v>683</v>
      </c>
      <c r="U287" t="s">
        <v>684</v>
      </c>
      <c r="V287" t="s">
        <v>684</v>
      </c>
      <c r="W287" t="s">
        <v>683</v>
      </c>
      <c r="Y287" t="s">
        <v>684</v>
      </c>
      <c r="Z287" t="s">
        <v>683</v>
      </c>
      <c r="AA287" t="s">
        <v>683</v>
      </c>
      <c r="AB287" t="s">
        <v>683</v>
      </c>
      <c r="AC287" t="s">
        <v>684</v>
      </c>
      <c r="AD287" t="s">
        <v>683</v>
      </c>
      <c r="AE287" t="s">
        <v>683</v>
      </c>
      <c r="AF287" t="s">
        <v>683</v>
      </c>
      <c r="AG287" t="s">
        <v>683</v>
      </c>
      <c r="AH287" t="s">
        <v>683</v>
      </c>
      <c r="AJ287" t="s">
        <v>683</v>
      </c>
      <c r="AK287" t="s">
        <v>683</v>
      </c>
      <c r="AL287" t="s">
        <v>683</v>
      </c>
      <c r="AM287" t="s">
        <v>684</v>
      </c>
      <c r="AN287" t="s">
        <v>683</v>
      </c>
      <c r="AO287" t="s">
        <v>684</v>
      </c>
      <c r="AQ287" t="s">
        <v>684</v>
      </c>
      <c r="AS287" t="s">
        <v>683</v>
      </c>
      <c r="AU287" t="s">
        <v>683</v>
      </c>
      <c r="AV287" t="s">
        <v>684</v>
      </c>
      <c r="IN287" t="str">
        <f ca="1">IFERROR(INDEX($P287:$IC287,1,_xludf.AGGREGATE(14,6,(COLUMN($P287:$IC287)-COLUMN($P287)+1)/($P287:$IC287&lt;&gt;""),1)),"")</f>
        <v/>
      </c>
      <c r="IO287" t="str">
        <f ca="1">IFERROR(INDEX($P287:$IC287,1,_xludf.AGGREGATE(14,6,(COLUMN($P287:$IC287)-COLUMN($P287)+1)/($P287:$IC287&lt;&gt;""),2)),"")</f>
        <v/>
      </c>
      <c r="IP287" t="str">
        <f ca="1">IFERROR(INDEX($P287:$IC287,1,_xludf.AGGREGATE(14,6,(COLUMN($P287:$IC287)-COLUMN($P287)+1)/($P287:$IC287&lt;&gt;""),3)),"")</f>
        <v/>
      </c>
      <c r="IQ287" t="str">
        <f ca="1">IFERROR(INDEX($P287:$IC287,1,_xludf.AGGREGATE(14,6,(COLUMN($P287:$IC287)-COLUMN($P287)+1)/($P287:$IC287&lt;&gt;""),4)),"")</f>
        <v/>
      </c>
      <c r="IR287" t="str">
        <f ca="1">IFERROR(INDEX($P287:$IC287,1,_xludf.AGGREGATE(14,6,(COLUMN($P287:$IC287)-COLUMN($P287)+1)/($P287:$IC287&lt;&gt;""),5)),"")</f>
        <v/>
      </c>
      <c r="IS287" t="str">
        <f ca="1">IFERROR(INDEX($P287:$IC287,1,_xludf.AGGREGATE(14,6,(COLUMN($P287:$IC287)-COLUMN($P287)+1)/($P287:$IC287&lt;&gt;""),6)),"")</f>
        <v/>
      </c>
      <c r="IT287" t="str">
        <f ca="1">IFERROR(INDEX($P287:$IC287,1,_xludf.AGGREGATE(14,6,(COLUMN($P287:$IC287)-COLUMN($P287)+1)/($P287:$IC287&lt;&gt;""),7)),"")</f>
        <v/>
      </c>
      <c r="IU287" t="str">
        <f ca="1">IFERROR(INDEX($P287:$IC287,1,_xludf.AGGREGATE(14,6,(COLUMN($P287:$IC287)-COLUMN($P287)+1)/($P287:$IC287&lt;&gt;""),8)),"")</f>
        <v/>
      </c>
      <c r="IV287" t="str">
        <f ca="1">IFERROR(INDEX($P287:$IC287,1,_xludf.AGGREGATE(14,6,(COLUMN($P287:$IC287)-COLUMN($P287)+1)/($P287:$IC287&lt;&gt;""),9)),"")</f>
        <v/>
      </c>
      <c r="IW287" t="str">
        <f ca="1">IFERROR(INDEX($P287:$IC287,1,_xludf.AGGREGATE(14,6,(COLUMN($P287:$IC287)-COLUMN($P287)+1)/($P287:$IC287&lt;&gt;""),10)),"")</f>
        <v/>
      </c>
    </row>
    <row r="288" spans="1:257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1" t="s">
        <v>706</v>
      </c>
    </row>
    <row r="289" spans="1:257">
      <c r="A289" s="82" t="s">
        <v>707</v>
      </c>
      <c r="B289" s="77"/>
      <c r="C289" s="77"/>
      <c r="D289" s="82" t="s">
        <v>708</v>
      </c>
      <c r="E289" s="78"/>
      <c r="F289" s="82"/>
      <c r="G289" s="78"/>
      <c r="H289" s="78"/>
      <c r="I289" s="78"/>
      <c r="J289" s="78"/>
      <c r="K289" s="78"/>
      <c r="L289" s="78"/>
      <c r="M289" s="82"/>
      <c r="N289" s="78"/>
      <c r="O289" s="1" t="s">
        <v>709</v>
      </c>
    </row>
    <row r="290" spans="1:257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1" t="s">
        <v>710</v>
      </c>
    </row>
    <row r="291" spans="1:257">
      <c r="A291" s="109" t="s">
        <v>110</v>
      </c>
      <c r="B291" s="78"/>
      <c r="C291" s="7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 t="s">
        <v>674</v>
      </c>
      <c r="P291" s="8">
        <v>1</v>
      </c>
      <c r="Q291" s="8">
        <v>2</v>
      </c>
      <c r="R291" s="8">
        <v>3</v>
      </c>
      <c r="S291" s="8">
        <v>4</v>
      </c>
      <c r="T291" s="8">
        <v>5</v>
      </c>
      <c r="U291" s="8">
        <v>6</v>
      </c>
      <c r="V291" s="8">
        <v>7</v>
      </c>
      <c r="W291" s="8">
        <v>8</v>
      </c>
      <c r="X291" s="8">
        <v>9</v>
      </c>
      <c r="Y291" s="8">
        <v>10</v>
      </c>
      <c r="Z291" s="8">
        <v>11</v>
      </c>
      <c r="AA291" s="8">
        <v>12</v>
      </c>
      <c r="AB291" s="8">
        <v>13</v>
      </c>
      <c r="AC291" s="8">
        <v>14</v>
      </c>
      <c r="AD291" s="8">
        <v>15</v>
      </c>
      <c r="AE291" s="8">
        <v>16</v>
      </c>
      <c r="AF291" s="8">
        <v>17</v>
      </c>
      <c r="AG291" s="8">
        <v>18</v>
      </c>
      <c r="AH291" s="8">
        <v>19</v>
      </c>
      <c r="AI291" s="8">
        <v>20</v>
      </c>
      <c r="AJ291" s="8">
        <v>21</v>
      </c>
      <c r="AK291" s="8">
        <v>22</v>
      </c>
      <c r="AL291" s="8">
        <v>23</v>
      </c>
      <c r="AM291" s="8">
        <v>24</v>
      </c>
      <c r="AN291" s="8">
        <v>25</v>
      </c>
      <c r="AO291" s="8">
        <v>26</v>
      </c>
      <c r="AP291" s="8">
        <v>27</v>
      </c>
      <c r="AQ291" s="8">
        <v>28</v>
      </c>
      <c r="AR291" s="8">
        <v>29</v>
      </c>
      <c r="AS291" s="8">
        <v>30</v>
      </c>
      <c r="AT291" s="8">
        <v>31</v>
      </c>
      <c r="AU291" s="8">
        <v>32</v>
      </c>
      <c r="AV291" s="8">
        <v>33</v>
      </c>
      <c r="AW291" s="8">
        <v>34</v>
      </c>
      <c r="AX291" s="8">
        <v>35</v>
      </c>
      <c r="AY291" s="8">
        <v>36</v>
      </c>
      <c r="AZ291" s="8">
        <v>37</v>
      </c>
      <c r="BA291" s="8">
        <v>38</v>
      </c>
      <c r="BB291" s="8">
        <v>39</v>
      </c>
      <c r="BC291" s="8">
        <v>40</v>
      </c>
      <c r="BD291" s="8">
        <v>41</v>
      </c>
      <c r="BE291" s="8">
        <v>42</v>
      </c>
      <c r="BF291" s="8">
        <v>43</v>
      </c>
      <c r="BG291" s="8">
        <v>44</v>
      </c>
      <c r="BH291" s="8">
        <v>45</v>
      </c>
      <c r="BI291" s="8">
        <v>46</v>
      </c>
      <c r="BJ291" s="8">
        <v>47</v>
      </c>
      <c r="BK291" s="8">
        <v>48</v>
      </c>
      <c r="BL291" s="8">
        <v>49</v>
      </c>
      <c r="BM291" s="8">
        <v>50</v>
      </c>
      <c r="BN291" s="8">
        <v>51</v>
      </c>
      <c r="BO291" s="8">
        <v>52</v>
      </c>
      <c r="BP291" s="8">
        <v>53</v>
      </c>
      <c r="BQ291" s="8">
        <v>54</v>
      </c>
      <c r="BR291" s="8">
        <v>55</v>
      </c>
      <c r="BS291" s="8">
        <v>56</v>
      </c>
      <c r="BT291" s="8">
        <v>57</v>
      </c>
      <c r="BU291" s="8">
        <v>58</v>
      </c>
      <c r="BV291" s="8">
        <v>59</v>
      </c>
      <c r="BW291" s="8">
        <v>60</v>
      </c>
      <c r="BX291" s="8">
        <v>61</v>
      </c>
      <c r="BY291" s="8">
        <v>62</v>
      </c>
      <c r="BZ291" s="8">
        <v>63</v>
      </c>
      <c r="CA291" s="8">
        <v>64</v>
      </c>
      <c r="CB291" s="8">
        <v>65</v>
      </c>
      <c r="CC291" s="8">
        <v>66</v>
      </c>
      <c r="CD291" s="8">
        <v>67</v>
      </c>
      <c r="CE291" s="8">
        <v>68</v>
      </c>
      <c r="CF291" s="8">
        <v>69</v>
      </c>
      <c r="CG291" s="8">
        <v>70</v>
      </c>
      <c r="CH291" s="8">
        <v>71</v>
      </c>
      <c r="CI291" s="8">
        <v>72</v>
      </c>
      <c r="CJ291" s="8">
        <v>73</v>
      </c>
      <c r="CK291" s="8">
        <v>74</v>
      </c>
      <c r="CL291" s="8">
        <v>75</v>
      </c>
      <c r="CM291" s="8">
        <v>76</v>
      </c>
      <c r="CN291" s="8">
        <v>77</v>
      </c>
      <c r="CO291" s="8">
        <v>78</v>
      </c>
      <c r="CP291" s="8">
        <v>79</v>
      </c>
      <c r="CQ291" s="8">
        <v>80</v>
      </c>
      <c r="CR291" s="8">
        <v>81</v>
      </c>
      <c r="CS291" s="8">
        <v>82</v>
      </c>
      <c r="CT291" s="8">
        <v>83</v>
      </c>
      <c r="CU291" s="8">
        <v>84</v>
      </c>
      <c r="CV291" s="8">
        <v>85</v>
      </c>
      <c r="CW291" s="8">
        <v>86</v>
      </c>
      <c r="CX291" s="8">
        <v>87</v>
      </c>
      <c r="CY291" s="8">
        <v>88</v>
      </c>
      <c r="CZ291" s="8">
        <v>89</v>
      </c>
      <c r="DA291" s="8">
        <v>90</v>
      </c>
      <c r="DB291" s="8">
        <v>91</v>
      </c>
      <c r="DC291" s="8">
        <v>92</v>
      </c>
      <c r="DD291" s="8">
        <v>93</v>
      </c>
      <c r="DE291" s="8">
        <v>94</v>
      </c>
      <c r="DF291" s="8">
        <v>95</v>
      </c>
      <c r="DG291" s="8">
        <v>96</v>
      </c>
      <c r="DH291" s="8">
        <v>97</v>
      </c>
      <c r="DI291" s="8">
        <v>98</v>
      </c>
      <c r="DJ291" s="8">
        <v>99</v>
      </c>
      <c r="DK291" s="8">
        <v>100</v>
      </c>
      <c r="DL291" s="8">
        <v>101</v>
      </c>
      <c r="DM291" s="8">
        <v>102</v>
      </c>
      <c r="DN291" s="8">
        <v>103</v>
      </c>
      <c r="DO291" s="8">
        <v>104</v>
      </c>
      <c r="DP291" s="8">
        <v>105</v>
      </c>
      <c r="DQ291" s="8">
        <v>106</v>
      </c>
      <c r="DR291" s="8">
        <v>107</v>
      </c>
      <c r="DS291" s="8">
        <v>108</v>
      </c>
      <c r="DT291" s="8">
        <v>109</v>
      </c>
      <c r="DU291" s="8">
        <v>110</v>
      </c>
      <c r="DV291" s="8">
        <v>111</v>
      </c>
      <c r="DW291" s="8">
        <v>112</v>
      </c>
      <c r="DX291" s="8">
        <v>113</v>
      </c>
      <c r="DY291" s="8">
        <v>114</v>
      </c>
      <c r="DZ291" s="8">
        <v>115</v>
      </c>
      <c r="EA291" s="8">
        <v>116</v>
      </c>
      <c r="EB291" s="8">
        <v>117</v>
      </c>
      <c r="EC291" s="8">
        <v>118</v>
      </c>
      <c r="ED291" s="8">
        <v>119</v>
      </c>
      <c r="EE291" s="8">
        <v>120</v>
      </c>
      <c r="EF291" s="8">
        <v>121</v>
      </c>
      <c r="EG291" s="8">
        <v>122</v>
      </c>
      <c r="EH291" s="8">
        <v>123</v>
      </c>
      <c r="EI291" s="8">
        <v>124</v>
      </c>
      <c r="EJ291" s="8">
        <v>125</v>
      </c>
      <c r="EK291" s="8">
        <v>126</v>
      </c>
      <c r="EL291" s="8">
        <v>127</v>
      </c>
      <c r="EM291" s="8">
        <v>128</v>
      </c>
      <c r="EN291" s="8">
        <v>129</v>
      </c>
      <c r="EO291" s="8">
        <v>130</v>
      </c>
      <c r="EP291" s="8">
        <v>131</v>
      </c>
      <c r="EQ291" s="8">
        <v>132</v>
      </c>
      <c r="ER291" s="8">
        <v>133</v>
      </c>
      <c r="ES291" s="8">
        <v>134</v>
      </c>
      <c r="ET291" s="8">
        <v>135</v>
      </c>
      <c r="EU291" s="8">
        <v>136</v>
      </c>
      <c r="EV291" s="8">
        <v>137</v>
      </c>
      <c r="EW291" s="8">
        <v>138</v>
      </c>
      <c r="EX291" s="8">
        <v>139</v>
      </c>
      <c r="EY291" s="8">
        <v>140</v>
      </c>
      <c r="EZ291" s="8">
        <v>141</v>
      </c>
      <c r="FA291" s="8">
        <v>142</v>
      </c>
      <c r="FB291" s="8">
        <v>143</v>
      </c>
      <c r="FC291" s="8">
        <v>144</v>
      </c>
      <c r="FD291" s="8">
        <v>145</v>
      </c>
      <c r="FE291" s="8">
        <v>146</v>
      </c>
      <c r="FF291" s="8">
        <v>147</v>
      </c>
      <c r="FG291" s="8">
        <v>148</v>
      </c>
      <c r="FH291" s="8">
        <v>149</v>
      </c>
      <c r="FI291" s="8">
        <v>150</v>
      </c>
      <c r="FJ291" s="8">
        <v>151</v>
      </c>
      <c r="FK291" s="8">
        <v>152</v>
      </c>
      <c r="FL291" s="8">
        <v>153</v>
      </c>
      <c r="FM291" s="8">
        <v>154</v>
      </c>
      <c r="FN291" s="8">
        <v>155</v>
      </c>
      <c r="FO291" s="8">
        <v>156</v>
      </c>
      <c r="FP291" s="8">
        <v>157</v>
      </c>
      <c r="FQ291" s="8">
        <v>158</v>
      </c>
      <c r="FR291" s="8">
        <v>159</v>
      </c>
      <c r="FS291" s="8">
        <v>160</v>
      </c>
      <c r="FT291" s="8">
        <v>161</v>
      </c>
      <c r="FU291" s="8">
        <v>162</v>
      </c>
      <c r="FV291" s="8">
        <v>163</v>
      </c>
      <c r="FW291" s="8">
        <v>164</v>
      </c>
      <c r="FX291" s="8">
        <v>165</v>
      </c>
      <c r="FY291" s="8">
        <v>166</v>
      </c>
      <c r="FZ291" s="8">
        <v>167</v>
      </c>
      <c r="GA291" s="8">
        <v>168</v>
      </c>
      <c r="GB291" s="8">
        <v>169</v>
      </c>
      <c r="GC291" s="8">
        <v>170</v>
      </c>
      <c r="GD291" s="8">
        <v>171</v>
      </c>
      <c r="GE291" s="8">
        <v>172</v>
      </c>
      <c r="GF291" s="8">
        <v>173</v>
      </c>
      <c r="GG291" s="8">
        <v>174</v>
      </c>
      <c r="GH291" s="8">
        <v>175</v>
      </c>
      <c r="GI291" s="8">
        <v>176</v>
      </c>
      <c r="GJ291" s="8">
        <v>177</v>
      </c>
      <c r="GK291" s="8">
        <v>178</v>
      </c>
      <c r="GL291" s="8">
        <v>179</v>
      </c>
      <c r="GM291" s="8">
        <v>180</v>
      </c>
      <c r="GN291" s="8">
        <v>181</v>
      </c>
      <c r="GO291" s="8">
        <v>182</v>
      </c>
      <c r="GP291" s="8">
        <v>183</v>
      </c>
      <c r="GQ291" s="8">
        <v>184</v>
      </c>
      <c r="GR291" s="8">
        <v>185</v>
      </c>
      <c r="GS291" s="8">
        <v>186</v>
      </c>
      <c r="GT291" s="8">
        <v>187</v>
      </c>
      <c r="GU291" s="8">
        <v>188</v>
      </c>
      <c r="GV291" s="8">
        <v>189</v>
      </c>
      <c r="GW291" s="8">
        <v>190</v>
      </c>
      <c r="GX291" s="8">
        <v>191</v>
      </c>
      <c r="GY291" s="8">
        <v>192</v>
      </c>
      <c r="GZ291" s="8">
        <v>193</v>
      </c>
      <c r="HA291" s="8">
        <v>194</v>
      </c>
      <c r="HB291" s="8">
        <v>195</v>
      </c>
      <c r="HC291" s="8">
        <v>196</v>
      </c>
      <c r="HD291" s="8">
        <v>197</v>
      </c>
      <c r="HE291" s="8">
        <v>198</v>
      </c>
      <c r="HF291" s="8">
        <v>199</v>
      </c>
      <c r="HG291" s="8">
        <v>200</v>
      </c>
      <c r="HH291" s="8">
        <v>201</v>
      </c>
      <c r="HI291" s="8">
        <v>202</v>
      </c>
      <c r="HJ291" s="8">
        <v>203</v>
      </c>
      <c r="HK291" s="8">
        <v>204</v>
      </c>
      <c r="HL291" s="8">
        <v>205</v>
      </c>
      <c r="HM291" s="8">
        <v>206</v>
      </c>
      <c r="HN291" s="8">
        <v>207</v>
      </c>
      <c r="HO291" s="8">
        <v>208</v>
      </c>
      <c r="HP291" s="8">
        <v>209</v>
      </c>
      <c r="HQ291" s="8">
        <v>210</v>
      </c>
      <c r="HR291" s="8">
        <v>211</v>
      </c>
      <c r="HS291" s="8">
        <v>212</v>
      </c>
      <c r="HT291" s="8">
        <v>213</v>
      </c>
      <c r="HU291" s="8">
        <v>214</v>
      </c>
      <c r="HV291" s="8">
        <v>215</v>
      </c>
      <c r="HW291" s="8">
        <v>216</v>
      </c>
      <c r="HX291" s="8">
        <v>217</v>
      </c>
      <c r="HY291" s="8">
        <v>218</v>
      </c>
      <c r="HZ291" s="8">
        <v>219</v>
      </c>
      <c r="IA291" s="8">
        <v>220</v>
      </c>
      <c r="IB291" s="8">
        <v>221</v>
      </c>
      <c r="IC291" s="8">
        <v>222</v>
      </c>
    </row>
    <row r="292" spans="1:257">
      <c r="A292" s="78"/>
      <c r="B292" s="78"/>
      <c r="C292" s="7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7"/>
      <c r="P292" s="50" t="s">
        <v>110</v>
      </c>
      <c r="Q292" s="50" t="s">
        <v>110</v>
      </c>
      <c r="R292" s="50" t="s">
        <v>110</v>
      </c>
      <c r="S292" s="50" t="s">
        <v>110</v>
      </c>
      <c r="T292" s="50" t="s">
        <v>110</v>
      </c>
      <c r="U292" s="50" t="s">
        <v>110</v>
      </c>
      <c r="V292" s="50" t="s">
        <v>110</v>
      </c>
      <c r="W292" s="50" t="s">
        <v>110</v>
      </c>
      <c r="X292" s="50" t="s">
        <v>110</v>
      </c>
      <c r="Y292" s="50" t="s">
        <v>110</v>
      </c>
      <c r="Z292" s="50" t="s">
        <v>110</v>
      </c>
      <c r="AA292" s="50" t="s">
        <v>110</v>
      </c>
      <c r="AB292" s="50" t="s">
        <v>110</v>
      </c>
      <c r="AC292" s="50" t="s">
        <v>110</v>
      </c>
      <c r="AD292" s="50" t="s">
        <v>110</v>
      </c>
      <c r="AE292" s="50" t="s">
        <v>110</v>
      </c>
      <c r="AF292" s="50" t="s">
        <v>110</v>
      </c>
      <c r="AG292" s="50" t="s">
        <v>110</v>
      </c>
      <c r="AH292" s="50" t="s">
        <v>110</v>
      </c>
      <c r="AI292" s="50" t="s">
        <v>110</v>
      </c>
      <c r="AJ292" s="50" t="s">
        <v>110</v>
      </c>
      <c r="AK292" s="50" t="s">
        <v>110</v>
      </c>
      <c r="AL292" s="50" t="s">
        <v>110</v>
      </c>
      <c r="AM292" s="50" t="s">
        <v>110</v>
      </c>
      <c r="AN292" s="50" t="s">
        <v>110</v>
      </c>
      <c r="AO292" s="50" t="s">
        <v>110</v>
      </c>
      <c r="AP292" s="50" t="s">
        <v>110</v>
      </c>
      <c r="AQ292" s="50" t="s">
        <v>110</v>
      </c>
      <c r="AR292" s="50" t="s">
        <v>110</v>
      </c>
      <c r="AS292" s="50" t="s">
        <v>110</v>
      </c>
      <c r="AT292" s="50" t="s">
        <v>110</v>
      </c>
      <c r="AU292" s="50" t="s">
        <v>110</v>
      </c>
      <c r="AV292" s="50" t="s">
        <v>110</v>
      </c>
      <c r="AW292" s="50" t="s">
        <v>110</v>
      </c>
      <c r="AX292" s="50" t="s">
        <v>110</v>
      </c>
      <c r="AY292" s="50" t="s">
        <v>110</v>
      </c>
      <c r="AZ292" s="50" t="s">
        <v>110</v>
      </c>
      <c r="BA292" s="50" t="s">
        <v>110</v>
      </c>
      <c r="BB292" s="50" t="s">
        <v>110</v>
      </c>
      <c r="BC292" s="50" t="s">
        <v>110</v>
      </c>
      <c r="BD292" s="50" t="s">
        <v>110</v>
      </c>
      <c r="BE292" s="50" t="s">
        <v>110</v>
      </c>
      <c r="BF292" s="50" t="s">
        <v>110</v>
      </c>
      <c r="BG292" s="50" t="s">
        <v>110</v>
      </c>
      <c r="BH292" s="50" t="s">
        <v>110</v>
      </c>
      <c r="BI292" s="50" t="s">
        <v>110</v>
      </c>
      <c r="BJ292" s="50" t="s">
        <v>110</v>
      </c>
      <c r="BK292" s="50" t="s">
        <v>110</v>
      </c>
      <c r="BL292" s="50" t="s">
        <v>110</v>
      </c>
      <c r="BM292" s="50" t="s">
        <v>110</v>
      </c>
      <c r="BN292" s="50" t="s">
        <v>110</v>
      </c>
      <c r="BO292" s="50" t="s">
        <v>110</v>
      </c>
      <c r="BP292" s="50" t="s">
        <v>110</v>
      </c>
      <c r="BQ292" s="50" t="s">
        <v>110</v>
      </c>
      <c r="BR292" s="50" t="s">
        <v>110</v>
      </c>
      <c r="BS292" s="50" t="s">
        <v>110</v>
      </c>
      <c r="BT292" s="50" t="s">
        <v>110</v>
      </c>
      <c r="BU292" s="50" t="s">
        <v>110</v>
      </c>
      <c r="BV292" s="50" t="s">
        <v>110</v>
      </c>
      <c r="BW292" s="50" t="s">
        <v>110</v>
      </c>
      <c r="BX292" s="50" t="s">
        <v>110</v>
      </c>
      <c r="BY292" s="50" t="s">
        <v>110</v>
      </c>
      <c r="BZ292" s="50" t="s">
        <v>110</v>
      </c>
      <c r="CA292" s="50" t="s">
        <v>110</v>
      </c>
      <c r="CB292" s="50" t="s">
        <v>110</v>
      </c>
      <c r="CC292" s="50" t="s">
        <v>110</v>
      </c>
      <c r="CD292" s="50" t="s">
        <v>110</v>
      </c>
      <c r="CE292" s="50" t="s">
        <v>110</v>
      </c>
      <c r="CF292" s="50" t="s">
        <v>110</v>
      </c>
      <c r="CG292" s="50" t="s">
        <v>110</v>
      </c>
      <c r="CH292" s="50" t="s">
        <v>110</v>
      </c>
      <c r="CI292" s="50" t="s">
        <v>110</v>
      </c>
      <c r="CJ292" s="50" t="s">
        <v>110</v>
      </c>
      <c r="CK292" s="50" t="s">
        <v>110</v>
      </c>
      <c r="CL292" s="50" t="s">
        <v>110</v>
      </c>
      <c r="CM292" s="50" t="s">
        <v>110</v>
      </c>
      <c r="CN292" s="50" t="s">
        <v>110</v>
      </c>
      <c r="CO292" s="50" t="s">
        <v>110</v>
      </c>
      <c r="CP292" s="50" t="s">
        <v>110</v>
      </c>
      <c r="CQ292" s="50" t="s">
        <v>110</v>
      </c>
      <c r="CR292" s="50" t="s">
        <v>110</v>
      </c>
      <c r="CS292" s="50" t="s">
        <v>110</v>
      </c>
      <c r="CT292" s="50" t="s">
        <v>110</v>
      </c>
      <c r="CU292" s="50" t="s">
        <v>110</v>
      </c>
      <c r="CV292" s="50" t="s">
        <v>110</v>
      </c>
      <c r="CW292" s="50" t="s">
        <v>110</v>
      </c>
      <c r="CX292" s="50" t="s">
        <v>110</v>
      </c>
      <c r="CY292" s="50" t="s">
        <v>110</v>
      </c>
      <c r="CZ292" s="50" t="s">
        <v>110</v>
      </c>
      <c r="DA292" s="50" t="s">
        <v>110</v>
      </c>
      <c r="DB292" s="50" t="s">
        <v>110</v>
      </c>
      <c r="DC292" s="50" t="s">
        <v>110</v>
      </c>
      <c r="DD292" s="50" t="s">
        <v>110</v>
      </c>
      <c r="DE292" s="50" t="s">
        <v>110</v>
      </c>
      <c r="DF292" s="50" t="s">
        <v>110</v>
      </c>
      <c r="DG292" s="50" t="s">
        <v>110</v>
      </c>
      <c r="DH292" s="50" t="s">
        <v>110</v>
      </c>
      <c r="DI292" s="50" t="s">
        <v>110</v>
      </c>
      <c r="DJ292" s="50" t="s">
        <v>110</v>
      </c>
      <c r="DK292" s="50" t="s">
        <v>110</v>
      </c>
      <c r="DL292" s="50" t="s">
        <v>110</v>
      </c>
      <c r="DM292" s="50" t="s">
        <v>110</v>
      </c>
      <c r="DN292" s="50" t="s">
        <v>110</v>
      </c>
      <c r="DO292" s="50" t="s">
        <v>110</v>
      </c>
      <c r="DP292" s="50" t="s">
        <v>110</v>
      </c>
      <c r="DQ292" s="50" t="s">
        <v>110</v>
      </c>
      <c r="DR292" s="50" t="s">
        <v>110</v>
      </c>
      <c r="DS292" s="50" t="s">
        <v>110</v>
      </c>
      <c r="DT292" s="50" t="s">
        <v>110</v>
      </c>
      <c r="DU292" s="50" t="s">
        <v>110</v>
      </c>
      <c r="DV292" s="50" t="s">
        <v>110</v>
      </c>
      <c r="DW292" s="50" t="s">
        <v>110</v>
      </c>
      <c r="DX292" s="50" t="s">
        <v>110</v>
      </c>
      <c r="DY292" s="50" t="s">
        <v>110</v>
      </c>
      <c r="DZ292" s="50" t="s">
        <v>110</v>
      </c>
      <c r="EA292" s="50" t="s">
        <v>110</v>
      </c>
      <c r="EB292" s="50" t="s">
        <v>110</v>
      </c>
      <c r="EC292" s="50" t="s">
        <v>110</v>
      </c>
      <c r="ED292" s="50" t="s">
        <v>110</v>
      </c>
      <c r="EE292" s="50" t="s">
        <v>110</v>
      </c>
      <c r="EF292" s="50" t="s">
        <v>110</v>
      </c>
      <c r="EG292" s="50" t="s">
        <v>110</v>
      </c>
      <c r="EH292" s="50" t="s">
        <v>110</v>
      </c>
      <c r="EI292" s="50" t="s">
        <v>110</v>
      </c>
      <c r="EJ292" s="50" t="s">
        <v>110</v>
      </c>
      <c r="EK292" s="50" t="s">
        <v>110</v>
      </c>
      <c r="EL292" s="50" t="s">
        <v>110</v>
      </c>
      <c r="EM292" s="50" t="s">
        <v>110</v>
      </c>
      <c r="EN292" s="50" t="s">
        <v>110</v>
      </c>
      <c r="EO292" s="50" t="s">
        <v>110</v>
      </c>
      <c r="EP292" s="50" t="s">
        <v>110</v>
      </c>
      <c r="EQ292" s="50" t="s">
        <v>110</v>
      </c>
      <c r="ER292" s="50" t="s">
        <v>110</v>
      </c>
      <c r="ES292" s="50" t="s">
        <v>110</v>
      </c>
      <c r="ET292" s="50" t="s">
        <v>110</v>
      </c>
      <c r="EU292" s="50" t="s">
        <v>110</v>
      </c>
      <c r="EV292" s="50" t="s">
        <v>110</v>
      </c>
      <c r="EW292" s="50" t="s">
        <v>110</v>
      </c>
      <c r="EX292" s="50" t="s">
        <v>110</v>
      </c>
      <c r="EY292" s="50" t="s">
        <v>110</v>
      </c>
      <c r="EZ292" s="50" t="s">
        <v>110</v>
      </c>
      <c r="FA292" s="50" t="s">
        <v>110</v>
      </c>
      <c r="FB292" s="50" t="s">
        <v>110</v>
      </c>
      <c r="FC292" s="50" t="s">
        <v>110</v>
      </c>
      <c r="FD292" s="50" t="s">
        <v>110</v>
      </c>
      <c r="FE292" s="50" t="s">
        <v>110</v>
      </c>
      <c r="FF292" s="50" t="s">
        <v>110</v>
      </c>
      <c r="FG292" s="50" t="s">
        <v>110</v>
      </c>
      <c r="FH292" s="50" t="s">
        <v>110</v>
      </c>
      <c r="FI292" s="50" t="s">
        <v>110</v>
      </c>
      <c r="FJ292" s="50" t="s">
        <v>110</v>
      </c>
      <c r="FK292" s="50" t="s">
        <v>110</v>
      </c>
      <c r="FL292" s="50" t="s">
        <v>110</v>
      </c>
      <c r="FM292" s="50" t="s">
        <v>110</v>
      </c>
      <c r="FN292" s="50" t="s">
        <v>110</v>
      </c>
      <c r="FO292" s="50" t="s">
        <v>110</v>
      </c>
      <c r="FP292" s="50" t="s">
        <v>110</v>
      </c>
      <c r="FQ292" s="50" t="s">
        <v>110</v>
      </c>
      <c r="FR292" s="50" t="s">
        <v>110</v>
      </c>
      <c r="FS292" s="50" t="s">
        <v>110</v>
      </c>
      <c r="FT292" s="50" t="s">
        <v>110</v>
      </c>
      <c r="FU292" s="50" t="s">
        <v>110</v>
      </c>
      <c r="FV292" s="50" t="s">
        <v>110</v>
      </c>
      <c r="FW292" s="50" t="s">
        <v>110</v>
      </c>
      <c r="FX292" s="50" t="s">
        <v>110</v>
      </c>
      <c r="FY292" s="50" t="s">
        <v>110</v>
      </c>
      <c r="FZ292" s="50" t="s">
        <v>110</v>
      </c>
      <c r="GA292" s="50" t="s">
        <v>110</v>
      </c>
      <c r="GB292" s="50" t="s">
        <v>110</v>
      </c>
      <c r="GC292" s="50" t="s">
        <v>110</v>
      </c>
      <c r="GD292" s="50" t="s">
        <v>110</v>
      </c>
      <c r="GE292" s="50" t="s">
        <v>110</v>
      </c>
      <c r="GF292" s="50" t="s">
        <v>110</v>
      </c>
      <c r="GG292" s="50" t="s">
        <v>110</v>
      </c>
      <c r="GH292" s="50" t="s">
        <v>110</v>
      </c>
      <c r="GI292" s="50" t="s">
        <v>110</v>
      </c>
      <c r="GJ292" s="50" t="s">
        <v>110</v>
      </c>
      <c r="GK292" s="50" t="s">
        <v>110</v>
      </c>
      <c r="GL292" s="50" t="s">
        <v>110</v>
      </c>
      <c r="GM292" s="50" t="s">
        <v>110</v>
      </c>
      <c r="GN292" s="50" t="s">
        <v>110</v>
      </c>
      <c r="GO292" s="50" t="s">
        <v>110</v>
      </c>
      <c r="GP292" s="50" t="s">
        <v>110</v>
      </c>
      <c r="GQ292" s="50" t="s">
        <v>110</v>
      </c>
      <c r="GR292" s="50" t="s">
        <v>110</v>
      </c>
      <c r="GS292" s="50" t="s">
        <v>110</v>
      </c>
      <c r="GT292" s="50" t="s">
        <v>110</v>
      </c>
      <c r="GU292" s="50" t="s">
        <v>110</v>
      </c>
      <c r="GV292" s="50" t="s">
        <v>110</v>
      </c>
      <c r="GW292" s="50" t="s">
        <v>110</v>
      </c>
      <c r="GX292" s="50" t="s">
        <v>110</v>
      </c>
      <c r="GY292" s="50" t="s">
        <v>110</v>
      </c>
      <c r="GZ292" s="50" t="s">
        <v>110</v>
      </c>
      <c r="HA292" s="50" t="s">
        <v>110</v>
      </c>
      <c r="HB292" s="50" t="s">
        <v>110</v>
      </c>
      <c r="HC292" s="50" t="s">
        <v>110</v>
      </c>
      <c r="HD292" s="50" t="s">
        <v>110</v>
      </c>
      <c r="HE292" s="50" t="s">
        <v>110</v>
      </c>
      <c r="HF292" s="50" t="s">
        <v>110</v>
      </c>
      <c r="HG292" s="50" t="s">
        <v>110</v>
      </c>
      <c r="HH292" s="50" t="s">
        <v>110</v>
      </c>
      <c r="HI292" s="50" t="s">
        <v>110</v>
      </c>
      <c r="HJ292" s="50" t="s">
        <v>110</v>
      </c>
      <c r="HK292" s="50" t="s">
        <v>110</v>
      </c>
      <c r="HL292" s="50" t="s">
        <v>110</v>
      </c>
      <c r="HM292" s="50" t="s">
        <v>110</v>
      </c>
      <c r="HN292" s="50" t="s">
        <v>110</v>
      </c>
      <c r="HO292" s="50" t="s">
        <v>110</v>
      </c>
      <c r="HP292" s="50" t="s">
        <v>110</v>
      </c>
      <c r="HQ292" s="50" t="s">
        <v>110</v>
      </c>
      <c r="HR292" s="50" t="s">
        <v>110</v>
      </c>
      <c r="HS292" s="50" t="s">
        <v>110</v>
      </c>
      <c r="HT292" s="50" t="s">
        <v>110</v>
      </c>
      <c r="HU292" s="50" t="s">
        <v>110</v>
      </c>
      <c r="HV292" s="50" t="s">
        <v>110</v>
      </c>
      <c r="HW292" s="50" t="s">
        <v>110</v>
      </c>
      <c r="HX292" s="50" t="s">
        <v>110</v>
      </c>
      <c r="HY292" s="50" t="s">
        <v>110</v>
      </c>
      <c r="HZ292" s="50" t="s">
        <v>110</v>
      </c>
      <c r="IA292" s="50" t="s">
        <v>110</v>
      </c>
      <c r="IB292" s="50" t="s">
        <v>110</v>
      </c>
      <c r="IC292" s="50" t="s">
        <v>110</v>
      </c>
    </row>
    <row r="293" spans="1:257">
      <c r="A293" s="4" t="s">
        <v>522</v>
      </c>
      <c r="B293" s="82" t="str">
        <f t="array" ref="B293">_xlfn.LET(
  _xlpm.dates, _xlfn._xlws.FILTER(P293:HO293, (P295:HO295&lt;&gt;"")+(P297:HO297&lt;&gt;"")),
  _xlpm.numDates, IFERROR(VALUE(_xlpm.dates), _xlpm.dates),
  _xlpm.first, TEXT(MIN(_xlpm.numDates), "m/dd"),
  _xlpm.last, TEXT(MAX(_xlpm.numDates), "m/dd"),
  _xlpm.first &amp; "~" &amp; _xlpm.last
)</f>
        <v>3/26~4/27</v>
      </c>
      <c r="C293" s="7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 t="s">
        <v>522</v>
      </c>
      <c r="P293" s="3">
        <v>46107</v>
      </c>
      <c r="Q293" s="3">
        <v>46108</v>
      </c>
      <c r="R293" s="3">
        <v>46109</v>
      </c>
      <c r="S293" s="3">
        <v>46110</v>
      </c>
      <c r="T293" s="3">
        <v>46111</v>
      </c>
      <c r="U293" s="3">
        <v>46112</v>
      </c>
      <c r="V293" s="3">
        <v>46113</v>
      </c>
      <c r="W293" s="3">
        <v>46114</v>
      </c>
      <c r="X293" s="3">
        <v>46115</v>
      </c>
      <c r="Y293" s="3">
        <v>46116</v>
      </c>
      <c r="Z293" s="3">
        <v>46117</v>
      </c>
      <c r="AA293" s="3">
        <v>46118</v>
      </c>
      <c r="AB293" s="3">
        <v>46119</v>
      </c>
      <c r="AC293" s="3">
        <v>46120</v>
      </c>
      <c r="AD293" s="3">
        <v>46121</v>
      </c>
      <c r="AE293" s="3">
        <v>46122</v>
      </c>
      <c r="AF293" s="3">
        <v>46123</v>
      </c>
      <c r="AG293" s="3">
        <v>46124</v>
      </c>
      <c r="AH293" s="3">
        <v>46125</v>
      </c>
      <c r="AI293" s="3">
        <v>46126</v>
      </c>
      <c r="AJ293" s="3">
        <v>46127</v>
      </c>
      <c r="AK293" s="3">
        <v>46128</v>
      </c>
      <c r="AL293" s="3">
        <v>46129</v>
      </c>
      <c r="AM293" s="3">
        <v>46130</v>
      </c>
      <c r="AN293" s="3">
        <v>46131</v>
      </c>
      <c r="AO293" s="3">
        <v>46132</v>
      </c>
      <c r="AP293" s="3">
        <v>46133</v>
      </c>
      <c r="AQ293" s="3">
        <v>46134</v>
      </c>
      <c r="AR293" s="3">
        <v>46135</v>
      </c>
      <c r="AS293" s="3">
        <v>46136</v>
      </c>
      <c r="AT293" s="3">
        <v>46137</v>
      </c>
      <c r="AU293" s="3">
        <v>46138</v>
      </c>
      <c r="AV293" s="3">
        <v>46139</v>
      </c>
      <c r="AW293" s="3">
        <v>46140</v>
      </c>
      <c r="AX293" s="3">
        <v>46141</v>
      </c>
      <c r="AY293" s="3">
        <v>46142</v>
      </c>
      <c r="AZ293" s="3">
        <v>46143</v>
      </c>
      <c r="BA293" s="3">
        <v>46144</v>
      </c>
      <c r="BB293" s="3">
        <v>46145</v>
      </c>
      <c r="BC293" s="3">
        <v>46146</v>
      </c>
      <c r="BD293" s="3">
        <v>46147</v>
      </c>
      <c r="BE293" s="3">
        <v>46148</v>
      </c>
      <c r="BF293" s="3">
        <v>46149</v>
      </c>
      <c r="BG293" s="3">
        <v>46150</v>
      </c>
      <c r="BH293" s="3">
        <v>46151</v>
      </c>
      <c r="BI293" s="3">
        <v>46152</v>
      </c>
      <c r="BJ293" s="3">
        <v>46153</v>
      </c>
      <c r="BK293" s="3">
        <v>46154</v>
      </c>
      <c r="BL293" s="3">
        <v>46155</v>
      </c>
      <c r="BM293" s="3">
        <v>46156</v>
      </c>
      <c r="BN293" s="3">
        <v>46157</v>
      </c>
      <c r="BO293" s="3">
        <v>46158</v>
      </c>
      <c r="BP293" s="3">
        <v>46159</v>
      </c>
      <c r="BQ293" s="3">
        <v>46160</v>
      </c>
      <c r="BR293" s="3">
        <v>46161</v>
      </c>
      <c r="BS293" s="3">
        <v>46162</v>
      </c>
      <c r="BT293" s="3">
        <v>46163</v>
      </c>
      <c r="BU293" s="3">
        <v>46164</v>
      </c>
      <c r="BV293" s="3">
        <v>46165</v>
      </c>
      <c r="BW293" s="3">
        <v>46166</v>
      </c>
      <c r="BX293" s="3">
        <v>46167</v>
      </c>
      <c r="BY293" s="3">
        <v>46168</v>
      </c>
      <c r="BZ293" s="3">
        <v>46169</v>
      </c>
      <c r="CA293" s="3">
        <v>46170</v>
      </c>
      <c r="CB293" s="3">
        <v>46171</v>
      </c>
      <c r="CC293" s="3">
        <v>46172</v>
      </c>
      <c r="CD293" s="3">
        <v>46173</v>
      </c>
      <c r="CE293" s="3">
        <v>46174</v>
      </c>
      <c r="CF293" s="3">
        <v>46175</v>
      </c>
      <c r="CG293" s="3">
        <v>46176</v>
      </c>
      <c r="CH293" s="3">
        <v>46177</v>
      </c>
      <c r="CI293" s="3">
        <v>46178</v>
      </c>
      <c r="CJ293" s="3">
        <v>46179</v>
      </c>
      <c r="CK293" s="3">
        <v>46180</v>
      </c>
      <c r="CL293" s="3">
        <v>46181</v>
      </c>
      <c r="CM293" s="3">
        <v>46182</v>
      </c>
      <c r="CN293" s="3">
        <v>46183</v>
      </c>
      <c r="CO293" s="3">
        <v>46184</v>
      </c>
      <c r="CP293" s="3">
        <v>46185</v>
      </c>
      <c r="CQ293" s="3">
        <v>46186</v>
      </c>
      <c r="CR293" s="3">
        <v>46187</v>
      </c>
      <c r="CS293" s="3">
        <v>46188</v>
      </c>
      <c r="CT293" s="3">
        <v>46189</v>
      </c>
      <c r="CU293" s="3">
        <v>46190</v>
      </c>
      <c r="CV293" s="3">
        <v>46191</v>
      </c>
      <c r="CW293" s="3">
        <v>46192</v>
      </c>
      <c r="CX293" s="3">
        <v>46193</v>
      </c>
      <c r="CY293" s="3">
        <v>46194</v>
      </c>
      <c r="CZ293" s="3">
        <v>46195</v>
      </c>
      <c r="DA293" s="3">
        <v>46196</v>
      </c>
      <c r="DB293" s="3">
        <v>46197</v>
      </c>
      <c r="DC293" s="3">
        <v>46198</v>
      </c>
      <c r="DD293" s="3">
        <v>46199</v>
      </c>
      <c r="DE293" s="3">
        <v>46200</v>
      </c>
      <c r="DF293" s="3">
        <v>46201</v>
      </c>
      <c r="DG293" s="3">
        <v>46202</v>
      </c>
      <c r="DH293" s="3">
        <v>46203</v>
      </c>
      <c r="DI293" s="3">
        <v>46204</v>
      </c>
      <c r="DJ293" s="3">
        <v>46205</v>
      </c>
      <c r="DK293" s="3">
        <v>46206</v>
      </c>
      <c r="DL293" s="3">
        <v>46207</v>
      </c>
      <c r="DM293" s="3">
        <v>46208</v>
      </c>
      <c r="DN293" s="3">
        <v>46209</v>
      </c>
      <c r="DO293" s="3">
        <v>46210</v>
      </c>
      <c r="DP293" s="3">
        <v>46211</v>
      </c>
      <c r="DQ293" s="3">
        <v>46212</v>
      </c>
      <c r="DR293" s="3">
        <v>46213</v>
      </c>
      <c r="DS293" s="3">
        <v>46214</v>
      </c>
      <c r="DT293" s="3">
        <v>46215</v>
      </c>
      <c r="DU293" s="3">
        <v>46216</v>
      </c>
      <c r="DV293" s="3">
        <v>46217</v>
      </c>
      <c r="DW293" s="3">
        <v>46218</v>
      </c>
      <c r="DX293" s="3">
        <v>46219</v>
      </c>
      <c r="DY293" s="3">
        <v>46220</v>
      </c>
      <c r="DZ293" s="3">
        <v>46221</v>
      </c>
      <c r="EA293" s="3">
        <v>46222</v>
      </c>
      <c r="EB293" s="3">
        <v>46223</v>
      </c>
      <c r="EC293" s="3">
        <v>46224</v>
      </c>
      <c r="ED293" s="3">
        <v>46225</v>
      </c>
      <c r="EE293" s="3">
        <v>46226</v>
      </c>
      <c r="EF293" s="3">
        <v>46227</v>
      </c>
      <c r="EG293" s="3">
        <v>46228</v>
      </c>
      <c r="EH293" s="3">
        <v>46229</v>
      </c>
      <c r="EI293" s="3">
        <v>46230</v>
      </c>
      <c r="EJ293" s="3">
        <v>46231</v>
      </c>
      <c r="EK293" s="3">
        <v>46232</v>
      </c>
      <c r="EL293" s="3">
        <v>46233</v>
      </c>
      <c r="EM293" s="3">
        <v>46234</v>
      </c>
      <c r="EN293" s="3">
        <v>46235</v>
      </c>
      <c r="EO293" s="3">
        <v>46236</v>
      </c>
      <c r="EP293" s="3">
        <v>46237</v>
      </c>
      <c r="EQ293" s="3">
        <v>46238</v>
      </c>
      <c r="ER293" s="3">
        <v>46239</v>
      </c>
      <c r="ES293" s="3">
        <v>46240</v>
      </c>
      <c r="ET293" s="3">
        <v>46241</v>
      </c>
      <c r="EU293" s="3">
        <v>46242</v>
      </c>
      <c r="EV293" s="3">
        <v>46243</v>
      </c>
      <c r="EW293" s="3">
        <v>46244</v>
      </c>
      <c r="EX293" s="3">
        <v>46245</v>
      </c>
      <c r="EY293" s="3">
        <v>46246</v>
      </c>
      <c r="EZ293" s="3">
        <v>46247</v>
      </c>
      <c r="FA293" s="3">
        <v>46248</v>
      </c>
      <c r="FB293" s="3">
        <v>46249</v>
      </c>
      <c r="FC293" s="3">
        <v>46250</v>
      </c>
      <c r="FD293" s="3">
        <v>46251</v>
      </c>
      <c r="FE293" s="3">
        <v>46252</v>
      </c>
      <c r="FF293" s="3">
        <v>46253</v>
      </c>
      <c r="FG293" s="3">
        <v>46254</v>
      </c>
      <c r="FH293" s="3">
        <v>46255</v>
      </c>
      <c r="FI293" s="3">
        <v>46256</v>
      </c>
      <c r="FJ293" s="3">
        <v>46257</v>
      </c>
      <c r="FK293" s="3">
        <v>46258</v>
      </c>
      <c r="FL293" s="3">
        <v>46259</v>
      </c>
      <c r="FM293" s="3">
        <v>46260</v>
      </c>
      <c r="FN293" s="3">
        <v>46261</v>
      </c>
      <c r="FO293" s="3">
        <v>46262</v>
      </c>
      <c r="FP293" s="3">
        <v>46263</v>
      </c>
      <c r="FQ293" s="3">
        <v>46264</v>
      </c>
      <c r="FR293" s="3">
        <v>46265</v>
      </c>
      <c r="FS293" s="3">
        <v>46266</v>
      </c>
      <c r="FT293" s="3">
        <v>46267</v>
      </c>
      <c r="FU293" s="3">
        <v>46268</v>
      </c>
      <c r="FV293" s="3">
        <v>46269</v>
      </c>
      <c r="FW293" s="3">
        <v>46270</v>
      </c>
      <c r="FX293" s="3">
        <v>46271</v>
      </c>
      <c r="FY293" s="3">
        <v>46272</v>
      </c>
      <c r="FZ293" s="3">
        <v>46273</v>
      </c>
      <c r="GA293" s="3">
        <v>46274</v>
      </c>
      <c r="GB293" s="3">
        <v>46275</v>
      </c>
      <c r="GC293" s="3">
        <v>46276</v>
      </c>
      <c r="GD293" s="3">
        <v>46277</v>
      </c>
      <c r="GE293" s="3">
        <v>46278</v>
      </c>
      <c r="GF293" s="3">
        <v>46279</v>
      </c>
      <c r="GG293" s="3">
        <v>46280</v>
      </c>
      <c r="GH293" s="3">
        <v>46281</v>
      </c>
      <c r="GI293" s="3">
        <v>46282</v>
      </c>
      <c r="GJ293" s="3">
        <v>46283</v>
      </c>
      <c r="GK293" s="3">
        <v>46284</v>
      </c>
      <c r="GL293" s="3">
        <v>46285</v>
      </c>
      <c r="GM293" s="3">
        <v>46286</v>
      </c>
      <c r="GN293" s="3">
        <v>46287</v>
      </c>
      <c r="GO293" s="3">
        <v>46288</v>
      </c>
      <c r="GP293" s="3">
        <v>46289</v>
      </c>
      <c r="GQ293" s="3">
        <v>46290</v>
      </c>
      <c r="GR293" s="3">
        <v>46291</v>
      </c>
      <c r="GS293" s="3">
        <v>46292</v>
      </c>
      <c r="GT293" s="3">
        <v>46293</v>
      </c>
      <c r="GU293" s="3">
        <v>46294</v>
      </c>
      <c r="GV293" s="3">
        <v>46295</v>
      </c>
      <c r="GW293" s="3">
        <v>46296</v>
      </c>
      <c r="GX293" s="3">
        <v>46297</v>
      </c>
      <c r="GY293" s="3">
        <v>46298</v>
      </c>
      <c r="GZ293" s="3">
        <v>46299</v>
      </c>
      <c r="HA293" s="3">
        <v>46300</v>
      </c>
      <c r="HB293" s="3">
        <v>46301</v>
      </c>
      <c r="HC293" s="3">
        <v>46302</v>
      </c>
      <c r="HD293" s="3">
        <v>46303</v>
      </c>
      <c r="HE293" s="3">
        <v>46304</v>
      </c>
      <c r="HF293" s="3">
        <v>46305</v>
      </c>
      <c r="HG293" s="3">
        <v>46306</v>
      </c>
      <c r="HH293" s="3">
        <v>46307</v>
      </c>
      <c r="HI293" s="3">
        <v>46308</v>
      </c>
      <c r="HJ293" s="3">
        <v>46309</v>
      </c>
      <c r="HK293" s="3">
        <v>46310</v>
      </c>
      <c r="HL293" s="3">
        <v>46311</v>
      </c>
      <c r="HM293" s="3">
        <v>46312</v>
      </c>
      <c r="HN293" s="3">
        <v>46313</v>
      </c>
      <c r="HO293" s="3">
        <v>46314</v>
      </c>
      <c r="HP293" s="3">
        <v>46315</v>
      </c>
      <c r="HQ293" s="3">
        <v>46316</v>
      </c>
      <c r="HR293" s="3">
        <v>46317</v>
      </c>
      <c r="HS293" s="3">
        <v>46318</v>
      </c>
      <c r="HT293" s="3">
        <v>46319</v>
      </c>
      <c r="HU293" s="3">
        <v>46320</v>
      </c>
      <c r="HV293" s="3">
        <v>46321</v>
      </c>
      <c r="HW293" s="3">
        <v>46322</v>
      </c>
      <c r="HX293" s="3">
        <v>46323</v>
      </c>
      <c r="HY293" s="3">
        <v>46324</v>
      </c>
      <c r="HZ293" s="3">
        <v>46325</v>
      </c>
      <c r="IA293" s="3">
        <v>46326</v>
      </c>
      <c r="IB293" s="3">
        <v>46327</v>
      </c>
      <c r="IC293" s="3">
        <v>46328</v>
      </c>
    </row>
    <row r="294" spans="1:257">
      <c r="A294" s="4" t="s">
        <v>694</v>
      </c>
      <c r="B294" s="82" t="str">
        <f t="array" ref="B294">COLUMNS(_xlfn._xlws.FILTER(P293:HO293, (P295:HO295&lt;&gt;"")+(P297:HO297&lt;&gt;""))) &amp; "場"</f>
        <v>27場</v>
      </c>
      <c r="C294" s="7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 t="s">
        <v>675</v>
      </c>
      <c r="P294" s="3" t="s">
        <v>676</v>
      </c>
      <c r="Q294" s="3" t="s">
        <v>677</v>
      </c>
      <c r="R294" s="3" t="s">
        <v>678</v>
      </c>
      <c r="S294" s="3" t="s">
        <v>679</v>
      </c>
      <c r="T294" s="3" t="s">
        <v>680</v>
      </c>
      <c r="U294" s="3" t="s">
        <v>681</v>
      </c>
      <c r="V294" s="3" t="s">
        <v>682</v>
      </c>
      <c r="W294" s="3" t="s">
        <v>676</v>
      </c>
      <c r="X294" s="3" t="s">
        <v>677</v>
      </c>
      <c r="Y294" s="3" t="s">
        <v>678</v>
      </c>
      <c r="Z294" s="3" t="s">
        <v>679</v>
      </c>
      <c r="AA294" s="3" t="s">
        <v>680</v>
      </c>
      <c r="AB294" s="3" t="s">
        <v>681</v>
      </c>
      <c r="AC294" s="3" t="s">
        <v>682</v>
      </c>
      <c r="AD294" s="3" t="s">
        <v>676</v>
      </c>
      <c r="AE294" s="3" t="s">
        <v>677</v>
      </c>
      <c r="AF294" s="3" t="s">
        <v>678</v>
      </c>
      <c r="AG294" s="3" t="s">
        <v>679</v>
      </c>
      <c r="AH294" s="3" t="s">
        <v>680</v>
      </c>
      <c r="AI294" s="3" t="s">
        <v>681</v>
      </c>
      <c r="AJ294" s="3" t="s">
        <v>682</v>
      </c>
      <c r="AK294" s="3" t="s">
        <v>676</v>
      </c>
      <c r="AL294" s="3" t="s">
        <v>677</v>
      </c>
      <c r="AM294" s="3" t="s">
        <v>678</v>
      </c>
      <c r="AN294" s="3" t="s">
        <v>679</v>
      </c>
      <c r="AO294" s="3" t="s">
        <v>680</v>
      </c>
      <c r="AP294" s="3" t="s">
        <v>681</v>
      </c>
      <c r="AQ294" s="3" t="s">
        <v>682</v>
      </c>
      <c r="AR294" s="3" t="s">
        <v>676</v>
      </c>
      <c r="AS294" s="3" t="s">
        <v>677</v>
      </c>
      <c r="AT294" s="3" t="s">
        <v>678</v>
      </c>
      <c r="AU294" s="3" t="s">
        <v>679</v>
      </c>
      <c r="AV294" s="3" t="s">
        <v>680</v>
      </c>
      <c r="AW294" s="3" t="s">
        <v>681</v>
      </c>
      <c r="AX294" s="3" t="s">
        <v>682</v>
      </c>
      <c r="AY294" s="3" t="s">
        <v>676</v>
      </c>
      <c r="AZ294" s="3" t="s">
        <v>677</v>
      </c>
      <c r="BA294" s="3" t="s">
        <v>678</v>
      </c>
      <c r="BB294" s="3" t="s">
        <v>679</v>
      </c>
      <c r="BC294" s="3" t="s">
        <v>680</v>
      </c>
      <c r="BD294" s="3" t="s">
        <v>681</v>
      </c>
      <c r="BE294" s="3" t="s">
        <v>682</v>
      </c>
      <c r="BF294" s="3" t="s">
        <v>676</v>
      </c>
      <c r="BG294" s="3" t="s">
        <v>677</v>
      </c>
      <c r="BH294" s="3" t="s">
        <v>678</v>
      </c>
      <c r="BI294" s="3" t="s">
        <v>679</v>
      </c>
      <c r="BJ294" s="3" t="s">
        <v>680</v>
      </c>
      <c r="BK294" s="3" t="s">
        <v>681</v>
      </c>
      <c r="BL294" s="3" t="s">
        <v>682</v>
      </c>
      <c r="BM294" s="3" t="s">
        <v>676</v>
      </c>
      <c r="BN294" s="3" t="s">
        <v>677</v>
      </c>
      <c r="BO294" s="3" t="s">
        <v>678</v>
      </c>
      <c r="BP294" s="3" t="s">
        <v>679</v>
      </c>
      <c r="BQ294" s="3" t="s">
        <v>680</v>
      </c>
      <c r="BR294" s="3" t="s">
        <v>681</v>
      </c>
      <c r="BS294" s="3" t="s">
        <v>682</v>
      </c>
      <c r="BT294" s="3" t="s">
        <v>676</v>
      </c>
      <c r="BU294" s="3" t="s">
        <v>677</v>
      </c>
      <c r="BV294" s="3" t="s">
        <v>678</v>
      </c>
      <c r="BW294" s="3" t="s">
        <v>679</v>
      </c>
      <c r="BX294" s="3" t="s">
        <v>680</v>
      </c>
      <c r="BY294" s="3" t="s">
        <v>681</v>
      </c>
      <c r="BZ294" s="3" t="s">
        <v>682</v>
      </c>
      <c r="CA294" s="3" t="s">
        <v>676</v>
      </c>
      <c r="CB294" s="3" t="s">
        <v>677</v>
      </c>
      <c r="CC294" s="3" t="s">
        <v>678</v>
      </c>
      <c r="CD294" s="3" t="s">
        <v>679</v>
      </c>
      <c r="CE294" s="3" t="s">
        <v>680</v>
      </c>
      <c r="CF294" s="3" t="s">
        <v>681</v>
      </c>
      <c r="CG294" s="3" t="s">
        <v>682</v>
      </c>
      <c r="CH294" s="3" t="s">
        <v>676</v>
      </c>
      <c r="CI294" s="3" t="s">
        <v>677</v>
      </c>
      <c r="CJ294" s="3" t="s">
        <v>678</v>
      </c>
      <c r="CK294" s="3" t="s">
        <v>679</v>
      </c>
      <c r="CL294" s="3" t="s">
        <v>680</v>
      </c>
      <c r="CM294" s="3" t="s">
        <v>681</v>
      </c>
      <c r="CN294" s="3" t="s">
        <v>682</v>
      </c>
      <c r="CO294" s="3" t="s">
        <v>676</v>
      </c>
      <c r="CP294" s="3" t="s">
        <v>677</v>
      </c>
      <c r="CQ294" s="3" t="s">
        <v>678</v>
      </c>
      <c r="CR294" s="3" t="s">
        <v>679</v>
      </c>
      <c r="CS294" s="3" t="s">
        <v>680</v>
      </c>
      <c r="CT294" s="3" t="s">
        <v>681</v>
      </c>
      <c r="CU294" s="3" t="s">
        <v>682</v>
      </c>
      <c r="CV294" s="3" t="s">
        <v>676</v>
      </c>
      <c r="CW294" s="3" t="s">
        <v>677</v>
      </c>
      <c r="CX294" s="3" t="s">
        <v>678</v>
      </c>
      <c r="CY294" s="3" t="s">
        <v>679</v>
      </c>
      <c r="CZ294" s="3" t="s">
        <v>680</v>
      </c>
      <c r="DA294" s="3" t="s">
        <v>681</v>
      </c>
      <c r="DB294" s="3" t="s">
        <v>682</v>
      </c>
      <c r="DC294" s="3" t="s">
        <v>676</v>
      </c>
      <c r="DD294" s="3" t="s">
        <v>677</v>
      </c>
      <c r="DE294" s="3" t="s">
        <v>678</v>
      </c>
      <c r="DF294" s="3" t="s">
        <v>679</v>
      </c>
      <c r="DG294" s="3" t="s">
        <v>680</v>
      </c>
      <c r="DH294" s="3" t="s">
        <v>681</v>
      </c>
      <c r="DI294" s="3" t="s">
        <v>682</v>
      </c>
      <c r="DJ294" s="3" t="s">
        <v>676</v>
      </c>
      <c r="DK294" s="3" t="s">
        <v>677</v>
      </c>
      <c r="DL294" s="3" t="s">
        <v>678</v>
      </c>
      <c r="DM294" s="3" t="s">
        <v>679</v>
      </c>
      <c r="DN294" s="3" t="s">
        <v>680</v>
      </c>
      <c r="DO294" s="3" t="s">
        <v>681</v>
      </c>
      <c r="DP294" s="3" t="s">
        <v>682</v>
      </c>
      <c r="DQ294" s="3" t="s">
        <v>676</v>
      </c>
      <c r="DR294" s="3" t="s">
        <v>677</v>
      </c>
      <c r="DS294" s="3" t="s">
        <v>678</v>
      </c>
      <c r="DT294" s="3" t="s">
        <v>679</v>
      </c>
      <c r="DU294" s="3" t="s">
        <v>680</v>
      </c>
      <c r="DV294" s="3" t="s">
        <v>681</v>
      </c>
      <c r="DW294" s="3" t="s">
        <v>682</v>
      </c>
      <c r="DX294" s="3" t="s">
        <v>676</v>
      </c>
      <c r="DY294" s="3" t="s">
        <v>677</v>
      </c>
      <c r="DZ294" s="3" t="s">
        <v>678</v>
      </c>
      <c r="EA294" s="3" t="s">
        <v>679</v>
      </c>
      <c r="EB294" s="3" t="s">
        <v>680</v>
      </c>
      <c r="EC294" s="3" t="s">
        <v>681</v>
      </c>
      <c r="ED294" s="3" t="s">
        <v>682</v>
      </c>
      <c r="EE294" s="3" t="s">
        <v>676</v>
      </c>
      <c r="EF294" s="3" t="s">
        <v>677</v>
      </c>
      <c r="EG294" s="3" t="s">
        <v>678</v>
      </c>
      <c r="EH294" s="3" t="s">
        <v>679</v>
      </c>
      <c r="EI294" s="3" t="s">
        <v>680</v>
      </c>
      <c r="EJ294" s="3" t="s">
        <v>681</v>
      </c>
      <c r="EK294" s="3" t="s">
        <v>682</v>
      </c>
      <c r="EL294" s="3" t="s">
        <v>676</v>
      </c>
      <c r="EM294" s="3" t="s">
        <v>677</v>
      </c>
      <c r="EN294" s="3" t="s">
        <v>678</v>
      </c>
      <c r="EO294" s="3" t="s">
        <v>679</v>
      </c>
      <c r="EP294" s="3" t="s">
        <v>680</v>
      </c>
      <c r="EQ294" s="3" t="s">
        <v>681</v>
      </c>
      <c r="ER294" s="3" t="s">
        <v>682</v>
      </c>
      <c r="ES294" s="3" t="s">
        <v>676</v>
      </c>
      <c r="ET294" s="3" t="s">
        <v>677</v>
      </c>
      <c r="EU294" s="3" t="s">
        <v>678</v>
      </c>
      <c r="EV294" s="3" t="s">
        <v>679</v>
      </c>
      <c r="EW294" s="3" t="s">
        <v>680</v>
      </c>
      <c r="EX294" s="3" t="s">
        <v>681</v>
      </c>
      <c r="EY294" s="3" t="s">
        <v>682</v>
      </c>
      <c r="EZ294" s="3" t="s">
        <v>676</v>
      </c>
      <c r="FA294" s="3" t="s">
        <v>677</v>
      </c>
      <c r="FB294" s="3" t="s">
        <v>678</v>
      </c>
      <c r="FC294" s="3" t="s">
        <v>679</v>
      </c>
      <c r="FD294" s="3" t="s">
        <v>680</v>
      </c>
      <c r="FE294" s="3" t="s">
        <v>681</v>
      </c>
      <c r="FF294" s="3" t="s">
        <v>682</v>
      </c>
      <c r="FG294" s="3" t="s">
        <v>676</v>
      </c>
      <c r="FH294" s="3" t="s">
        <v>677</v>
      </c>
      <c r="FI294" s="3" t="s">
        <v>678</v>
      </c>
      <c r="FJ294" s="3" t="s">
        <v>679</v>
      </c>
      <c r="FK294" s="3" t="s">
        <v>680</v>
      </c>
      <c r="FL294" s="3" t="s">
        <v>681</v>
      </c>
      <c r="FM294" s="3" t="s">
        <v>682</v>
      </c>
      <c r="FN294" s="3" t="s">
        <v>676</v>
      </c>
      <c r="FO294" s="3" t="s">
        <v>677</v>
      </c>
      <c r="FP294" s="3" t="s">
        <v>678</v>
      </c>
      <c r="FQ294" s="3" t="s">
        <v>679</v>
      </c>
      <c r="FR294" s="3" t="s">
        <v>680</v>
      </c>
      <c r="FS294" s="3" t="s">
        <v>681</v>
      </c>
      <c r="FT294" s="3" t="s">
        <v>682</v>
      </c>
      <c r="FU294" s="3" t="s">
        <v>676</v>
      </c>
      <c r="FV294" s="3" t="s">
        <v>677</v>
      </c>
      <c r="FW294" s="3" t="s">
        <v>678</v>
      </c>
      <c r="FX294" s="3" t="s">
        <v>679</v>
      </c>
      <c r="FY294" s="3" t="s">
        <v>680</v>
      </c>
      <c r="FZ294" s="3" t="s">
        <v>681</v>
      </c>
      <c r="GA294" s="3" t="s">
        <v>682</v>
      </c>
      <c r="GB294" s="3" t="s">
        <v>676</v>
      </c>
      <c r="GC294" s="3" t="s">
        <v>677</v>
      </c>
      <c r="GD294" s="3" t="s">
        <v>678</v>
      </c>
      <c r="GE294" s="3" t="s">
        <v>679</v>
      </c>
      <c r="GF294" s="3" t="s">
        <v>680</v>
      </c>
      <c r="GG294" s="3" t="s">
        <v>681</v>
      </c>
      <c r="GH294" s="3" t="s">
        <v>682</v>
      </c>
      <c r="GI294" s="3" t="s">
        <v>676</v>
      </c>
      <c r="GJ294" s="3" t="s">
        <v>677</v>
      </c>
      <c r="GK294" s="3" t="s">
        <v>678</v>
      </c>
      <c r="GL294" s="3" t="s">
        <v>679</v>
      </c>
      <c r="GM294" s="3" t="s">
        <v>680</v>
      </c>
      <c r="GN294" s="3" t="s">
        <v>681</v>
      </c>
      <c r="GO294" s="3" t="s">
        <v>682</v>
      </c>
      <c r="GP294" s="3" t="s">
        <v>676</v>
      </c>
      <c r="GQ294" s="3" t="s">
        <v>677</v>
      </c>
      <c r="GR294" s="3" t="s">
        <v>678</v>
      </c>
      <c r="GS294" s="3" t="s">
        <v>679</v>
      </c>
      <c r="GT294" s="3" t="s">
        <v>680</v>
      </c>
      <c r="GU294" s="3" t="s">
        <v>681</v>
      </c>
      <c r="GV294" s="3" t="s">
        <v>682</v>
      </c>
      <c r="GW294" s="3" t="s">
        <v>676</v>
      </c>
      <c r="GX294" s="3" t="s">
        <v>677</v>
      </c>
      <c r="GY294" s="3" t="s">
        <v>678</v>
      </c>
      <c r="GZ294" s="3" t="s">
        <v>679</v>
      </c>
      <c r="HA294" s="3" t="s">
        <v>680</v>
      </c>
      <c r="HB294" s="3" t="s">
        <v>681</v>
      </c>
      <c r="HC294" s="3" t="s">
        <v>682</v>
      </c>
      <c r="HD294" s="3" t="s">
        <v>676</v>
      </c>
      <c r="HE294" s="3" t="s">
        <v>677</v>
      </c>
      <c r="HF294" s="3" t="s">
        <v>678</v>
      </c>
      <c r="HG294" s="3" t="s">
        <v>679</v>
      </c>
      <c r="HH294" s="3" t="s">
        <v>680</v>
      </c>
      <c r="HI294" s="3" t="s">
        <v>681</v>
      </c>
      <c r="HJ294" s="3" t="s">
        <v>682</v>
      </c>
      <c r="HK294" s="3" t="s">
        <v>676</v>
      </c>
      <c r="HL294" s="3" t="s">
        <v>677</v>
      </c>
      <c r="HM294" s="3" t="s">
        <v>678</v>
      </c>
      <c r="HN294" s="3" t="s">
        <v>679</v>
      </c>
      <c r="HO294" s="3" t="s">
        <v>680</v>
      </c>
      <c r="HP294" s="3" t="s">
        <v>681</v>
      </c>
      <c r="HQ294" s="3" t="s">
        <v>682</v>
      </c>
      <c r="HR294" s="3" t="s">
        <v>676</v>
      </c>
      <c r="HS294" s="3" t="s">
        <v>677</v>
      </c>
      <c r="HT294" s="3" t="s">
        <v>678</v>
      </c>
      <c r="HU294" s="3" t="s">
        <v>679</v>
      </c>
      <c r="HV294" s="3" t="s">
        <v>680</v>
      </c>
      <c r="HW294" s="3" t="s">
        <v>681</v>
      </c>
      <c r="HX294" s="3" t="s">
        <v>682</v>
      </c>
      <c r="HY294" s="3" t="s">
        <v>676</v>
      </c>
      <c r="HZ294" s="3" t="s">
        <v>677</v>
      </c>
      <c r="IA294" s="3" t="s">
        <v>678</v>
      </c>
      <c r="IB294" s="3" t="s">
        <v>679</v>
      </c>
      <c r="IC294" s="3" t="s">
        <v>680</v>
      </c>
    </row>
    <row r="295" spans="1:257">
      <c r="A295" s="82" t="s">
        <v>695</v>
      </c>
      <c r="B295" s="82" t="str">
        <f>COUNTIF(P295:IC295, "W")&amp;"勝"</f>
        <v>12勝</v>
      </c>
      <c r="C295" s="82" t="str">
        <f>COUNTIF(P295:IC295, "L")&amp;"敗"</f>
        <v>15敗</v>
      </c>
      <c r="D295" s="82" t="s">
        <v>696</v>
      </c>
      <c r="E295" s="78"/>
      <c r="F295" s="82" t="s">
        <v>767</v>
      </c>
      <c r="G295" s="78"/>
      <c r="H295" s="78"/>
      <c r="I295" s="78"/>
      <c r="J295" s="78"/>
      <c r="K295" s="78"/>
      <c r="L295" s="78"/>
      <c r="M295" s="82"/>
      <c r="N295" s="78"/>
      <c r="O295" s="1" t="s">
        <v>698</v>
      </c>
      <c r="P295" t="s">
        <v>700</v>
      </c>
      <c r="R295" t="s">
        <v>700</v>
      </c>
      <c r="S295" t="s">
        <v>700</v>
      </c>
      <c r="U295" t="s">
        <v>699</v>
      </c>
      <c r="V295" t="s">
        <v>699</v>
      </c>
      <c r="W295" t="s">
        <v>700</v>
      </c>
      <c r="X295" t="s">
        <v>699</v>
      </c>
      <c r="Y295" t="s">
        <v>700</v>
      </c>
      <c r="Z295" t="s">
        <v>700</v>
      </c>
      <c r="AA295" t="s">
        <v>700</v>
      </c>
      <c r="AB295" t="s">
        <v>700</v>
      </c>
      <c r="AC295" t="s">
        <v>699</v>
      </c>
      <c r="AD295" t="s">
        <v>699</v>
      </c>
      <c r="AF295" t="s">
        <v>699</v>
      </c>
      <c r="AG295" t="s">
        <v>700</v>
      </c>
      <c r="AH295" t="s">
        <v>700</v>
      </c>
      <c r="AJ295" t="s">
        <v>700</v>
      </c>
      <c r="AK295" t="s">
        <v>700</v>
      </c>
      <c r="AL295" t="s">
        <v>699</v>
      </c>
      <c r="AM295" t="s">
        <v>699</v>
      </c>
      <c r="AN295" t="s">
        <v>699</v>
      </c>
      <c r="AO295" t="s">
        <v>700</v>
      </c>
      <c r="AQ295" t="s">
        <v>699</v>
      </c>
      <c r="AS295" t="s">
        <v>700</v>
      </c>
      <c r="AT295" t="s">
        <v>700</v>
      </c>
      <c r="AU295" t="s">
        <v>699</v>
      </c>
      <c r="AV295" t="s">
        <v>699</v>
      </c>
    </row>
    <row r="296" spans="1:257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1" t="s">
        <v>701</v>
      </c>
    </row>
    <row r="297" spans="1:257">
      <c r="A297" s="82" t="s">
        <v>702</v>
      </c>
      <c r="B297" s="82" t="str">
        <f>COUNTIF(P297:IC297, "O")&amp;"正"</f>
        <v>12正</v>
      </c>
      <c r="C297" s="82" t="str">
        <f>COUNTIF(P297:IC297, "X")&amp;"負"</f>
        <v>15負</v>
      </c>
      <c r="D297" s="82" t="s">
        <v>703</v>
      </c>
      <c r="E297" s="78"/>
      <c r="F297" s="82" t="s">
        <v>768</v>
      </c>
      <c r="G297" s="78"/>
      <c r="H297" s="78"/>
      <c r="I297" s="78"/>
      <c r="J297" s="78"/>
      <c r="K297" s="78"/>
      <c r="L297" s="78"/>
      <c r="M297" s="82"/>
      <c r="N297" s="78"/>
      <c r="O297" s="1" t="s">
        <v>705</v>
      </c>
      <c r="P297" t="s">
        <v>684</v>
      </c>
      <c r="R297" t="s">
        <v>684</v>
      </c>
      <c r="S297" t="s">
        <v>684</v>
      </c>
      <c r="U297" t="s">
        <v>683</v>
      </c>
      <c r="V297" t="s">
        <v>683</v>
      </c>
      <c r="W297" t="s">
        <v>684</v>
      </c>
      <c r="X297" t="s">
        <v>683</v>
      </c>
      <c r="Y297" t="s">
        <v>684</v>
      </c>
      <c r="Z297" t="s">
        <v>684</v>
      </c>
      <c r="AA297" t="s">
        <v>684</v>
      </c>
      <c r="AB297" t="s">
        <v>684</v>
      </c>
      <c r="AC297" t="s">
        <v>683</v>
      </c>
      <c r="AD297" t="s">
        <v>683</v>
      </c>
      <c r="AF297" t="s">
        <v>683</v>
      </c>
      <c r="AG297" t="s">
        <v>684</v>
      </c>
      <c r="AH297" t="s">
        <v>684</v>
      </c>
      <c r="AJ297" t="s">
        <v>684</v>
      </c>
      <c r="AK297" t="s">
        <v>684</v>
      </c>
      <c r="AL297" t="s">
        <v>683</v>
      </c>
      <c r="AM297" t="s">
        <v>683</v>
      </c>
      <c r="AN297" t="s">
        <v>683</v>
      </c>
      <c r="AO297" t="s">
        <v>684</v>
      </c>
      <c r="AQ297" t="s">
        <v>683</v>
      </c>
      <c r="AS297" t="s">
        <v>684</v>
      </c>
      <c r="AT297" t="s">
        <v>684</v>
      </c>
      <c r="AU297" t="s">
        <v>683</v>
      </c>
      <c r="AV297" t="s">
        <v>683</v>
      </c>
      <c r="IN297" t="str">
        <f ca="1">IFERROR(INDEX($P297:$IC297,1,_xludf.AGGREGATE(14,6,(COLUMN($P297:$IC297)-COLUMN($P297)+1)/($P297:$IC297&lt;&gt;""),1)),"")</f>
        <v/>
      </c>
      <c r="IO297" t="str">
        <f ca="1">IFERROR(INDEX($P297:$IC297,1,_xludf.AGGREGATE(14,6,(COLUMN($P297:$IC297)-COLUMN($P297)+1)/($P297:$IC297&lt;&gt;""),2)),"")</f>
        <v/>
      </c>
      <c r="IP297" t="str">
        <f ca="1">IFERROR(INDEX($P297:$IC297,1,_xludf.AGGREGATE(14,6,(COLUMN($P297:$IC297)-COLUMN($P297)+1)/($P297:$IC297&lt;&gt;""),3)),"")</f>
        <v/>
      </c>
      <c r="IQ297" t="str">
        <f ca="1">IFERROR(INDEX($P297:$IC297,1,_xludf.AGGREGATE(14,6,(COLUMN($P297:$IC297)-COLUMN($P297)+1)/($P297:$IC297&lt;&gt;""),4)),"")</f>
        <v/>
      </c>
      <c r="IR297" t="str">
        <f ca="1">IFERROR(INDEX($P297:$IC297,1,_xludf.AGGREGATE(14,6,(COLUMN($P297:$IC297)-COLUMN($P297)+1)/($P297:$IC297&lt;&gt;""),5)),"")</f>
        <v/>
      </c>
      <c r="IS297" t="str">
        <f ca="1">IFERROR(INDEX($P297:$IC297,1,_xludf.AGGREGATE(14,6,(COLUMN($P297:$IC297)-COLUMN($P297)+1)/($P297:$IC297&lt;&gt;""),6)),"")</f>
        <v/>
      </c>
      <c r="IT297" t="str">
        <f ca="1">IFERROR(INDEX($P297:$IC297,1,_xludf.AGGREGATE(14,6,(COLUMN($P297:$IC297)-COLUMN($P297)+1)/($P297:$IC297&lt;&gt;""),7)),"")</f>
        <v/>
      </c>
      <c r="IU297" t="str">
        <f ca="1">IFERROR(INDEX($P297:$IC297,1,_xludf.AGGREGATE(14,6,(COLUMN($P297:$IC297)-COLUMN($P297)+1)/($P297:$IC297&lt;&gt;""),8)),"")</f>
        <v/>
      </c>
      <c r="IV297" t="str">
        <f ca="1">IFERROR(INDEX($P297:$IC297,1,_xludf.AGGREGATE(14,6,(COLUMN($P297:$IC297)-COLUMN($P297)+1)/($P297:$IC297&lt;&gt;""),9)),"")</f>
        <v/>
      </c>
      <c r="IW297" t="str">
        <f ca="1">IFERROR(INDEX($P297:$IC297,1,_xludf.AGGREGATE(14,6,(COLUMN($P297:$IC297)-COLUMN($P297)+1)/($P297:$IC297&lt;&gt;""),10)),"")</f>
        <v/>
      </c>
    </row>
    <row r="298" spans="1:257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1" t="s">
        <v>706</v>
      </c>
    </row>
    <row r="299" spans="1:257">
      <c r="A299" s="82" t="s">
        <v>707</v>
      </c>
      <c r="B299" s="77"/>
      <c r="C299" s="77"/>
      <c r="D299" s="82" t="s">
        <v>708</v>
      </c>
      <c r="E299" s="78"/>
      <c r="F299" s="82"/>
      <c r="G299" s="78"/>
      <c r="H299" s="78"/>
      <c r="I299" s="78"/>
      <c r="J299" s="78"/>
      <c r="K299" s="78"/>
      <c r="L299" s="78"/>
      <c r="M299" s="82"/>
      <c r="N299" s="78"/>
      <c r="O299" s="1" t="s">
        <v>709</v>
      </c>
    </row>
    <row r="300" spans="1:257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1" t="s">
        <v>710</v>
      </c>
    </row>
  </sheetData>
  <mergeCells count="741">
    <mergeCell ref="M15:N16"/>
    <mergeCell ref="GP2:GQ2"/>
    <mergeCell ref="M109:N110"/>
    <mergeCell ref="M157:N158"/>
    <mergeCell ref="B284:C284"/>
    <mergeCell ref="D217:E218"/>
    <mergeCell ref="D17:E18"/>
    <mergeCell ref="A279:A280"/>
    <mergeCell ref="C37:C38"/>
    <mergeCell ref="F257:L258"/>
    <mergeCell ref="C279:C280"/>
    <mergeCell ref="B123:C123"/>
    <mergeCell ref="GJ2:GK2"/>
    <mergeCell ref="M179:N180"/>
    <mergeCell ref="A189:A190"/>
    <mergeCell ref="D235:E236"/>
    <mergeCell ref="B293:C293"/>
    <mergeCell ref="A55:A56"/>
    <mergeCell ref="C117:C118"/>
    <mergeCell ref="C55:C56"/>
    <mergeCell ref="F75:L76"/>
    <mergeCell ref="B137:B138"/>
    <mergeCell ref="M9:N10"/>
    <mergeCell ref="A41:C42"/>
    <mergeCell ref="C119:C120"/>
    <mergeCell ref="B87:B88"/>
    <mergeCell ref="B147:B148"/>
    <mergeCell ref="B245:B246"/>
    <mergeCell ref="B139:B140"/>
    <mergeCell ref="A29:A30"/>
    <mergeCell ref="F245:L246"/>
    <mergeCell ref="F239:L240"/>
    <mergeCell ref="F39:L40"/>
    <mergeCell ref="A265:A266"/>
    <mergeCell ref="M207:N208"/>
    <mergeCell ref="B285:B286"/>
    <mergeCell ref="M295:N296"/>
    <mergeCell ref="B99:B100"/>
    <mergeCell ref="CP2:CQ2"/>
    <mergeCell ref="M167:N168"/>
    <mergeCell ref="M219:N220"/>
    <mergeCell ref="AR2:AS2"/>
    <mergeCell ref="B133:C133"/>
    <mergeCell ref="F57:L58"/>
    <mergeCell ref="AT2:AU2"/>
    <mergeCell ref="B204:C204"/>
    <mergeCell ref="M169:N170"/>
    <mergeCell ref="C235:C236"/>
    <mergeCell ref="D267:E268"/>
    <mergeCell ref="B173:C173"/>
    <mergeCell ref="B4:C4"/>
    <mergeCell ref="B233:C233"/>
    <mergeCell ref="M227:N228"/>
    <mergeCell ref="D269:E270"/>
    <mergeCell ref="D125:E126"/>
    <mergeCell ref="C89:C90"/>
    <mergeCell ref="B219:B220"/>
    <mergeCell ref="B273:C273"/>
    <mergeCell ref="C187:C188"/>
    <mergeCell ref="F267:L268"/>
    <mergeCell ref="M277:N278"/>
    <mergeCell ref="M77:N78"/>
    <mergeCell ref="D137:E138"/>
    <mergeCell ref="B195:B196"/>
    <mergeCell ref="B43:C43"/>
    <mergeCell ref="B214:C214"/>
    <mergeCell ref="C255:C256"/>
    <mergeCell ref="M135:N136"/>
    <mergeCell ref="HX2:HY2"/>
    <mergeCell ref="M85:N86"/>
    <mergeCell ref="D89:E90"/>
    <mergeCell ref="C167:C168"/>
    <mergeCell ref="F125:L126"/>
    <mergeCell ref="C219:C220"/>
    <mergeCell ref="C169:C170"/>
    <mergeCell ref="M59:N60"/>
    <mergeCell ref="F249:L250"/>
    <mergeCell ref="EB2:EC2"/>
    <mergeCell ref="CF2:CG2"/>
    <mergeCell ref="A201:C202"/>
    <mergeCell ref="C205:C206"/>
    <mergeCell ref="D127:E128"/>
    <mergeCell ref="F217:L218"/>
    <mergeCell ref="GH2:GI2"/>
    <mergeCell ref="EV2:EW2"/>
    <mergeCell ref="C87:C88"/>
    <mergeCell ref="EX2:EY2"/>
    <mergeCell ref="A245:A246"/>
    <mergeCell ref="D275:E276"/>
    <mergeCell ref="D219:E220"/>
    <mergeCell ref="C245:C246"/>
    <mergeCell ref="A39:A40"/>
    <mergeCell ref="C179:C180"/>
    <mergeCell ref="C239:C240"/>
    <mergeCell ref="B7:B8"/>
    <mergeCell ref="F107:L108"/>
    <mergeCell ref="D185:E186"/>
    <mergeCell ref="M275:N276"/>
    <mergeCell ref="C5:C6"/>
    <mergeCell ref="B215:B216"/>
    <mergeCell ref="B54:C54"/>
    <mergeCell ref="A261:C262"/>
    <mergeCell ref="A205:A206"/>
    <mergeCell ref="A187:A188"/>
    <mergeCell ref="C9:C10"/>
    <mergeCell ref="B89:B90"/>
    <mergeCell ref="B5:B6"/>
    <mergeCell ref="A215:A216"/>
    <mergeCell ref="M287:N288"/>
    <mergeCell ref="A255:A256"/>
    <mergeCell ref="F25:L26"/>
    <mergeCell ref="D277:E278"/>
    <mergeCell ref="HD2:HE2"/>
    <mergeCell ref="C97:C98"/>
    <mergeCell ref="M145:N146"/>
    <mergeCell ref="A111:C112"/>
    <mergeCell ref="F79:L80"/>
    <mergeCell ref="B287:B288"/>
    <mergeCell ref="M209:N210"/>
    <mergeCell ref="M87:N88"/>
    <mergeCell ref="B187:B188"/>
    <mergeCell ref="M147:N148"/>
    <mergeCell ref="P2:Q2"/>
    <mergeCell ref="F287:L288"/>
    <mergeCell ref="DJ2:DK2"/>
    <mergeCell ref="DL2:DM2"/>
    <mergeCell ref="A57:A58"/>
    <mergeCell ref="BT2:BU2"/>
    <mergeCell ref="BV2:BW2"/>
    <mergeCell ref="D59:E60"/>
    <mergeCell ref="BX2:BY2"/>
    <mergeCell ref="B55:B56"/>
    <mergeCell ref="FZ2:GA2"/>
    <mergeCell ref="B205:B206"/>
    <mergeCell ref="FR2:FS2"/>
    <mergeCell ref="GB2:GC2"/>
    <mergeCell ref="FT2:FU2"/>
    <mergeCell ref="F105:L106"/>
    <mergeCell ref="A251:C252"/>
    <mergeCell ref="A125:A126"/>
    <mergeCell ref="A77:A78"/>
    <mergeCell ref="M67:N68"/>
    <mergeCell ref="M5:N6"/>
    <mergeCell ref="ED2:EE2"/>
    <mergeCell ref="A91:C92"/>
    <mergeCell ref="A35:A36"/>
    <mergeCell ref="B197:B198"/>
    <mergeCell ref="B183:C183"/>
    <mergeCell ref="B33:C33"/>
    <mergeCell ref="A127:A128"/>
    <mergeCell ref="B104:C104"/>
    <mergeCell ref="M69:N70"/>
    <mergeCell ref="B164:C164"/>
    <mergeCell ref="B169:B170"/>
    <mergeCell ref="B27:B28"/>
    <mergeCell ref="D119:E120"/>
    <mergeCell ref="GV2:GW2"/>
    <mergeCell ref="C25:C26"/>
    <mergeCell ref="F35:L36"/>
    <mergeCell ref="D167:E168"/>
    <mergeCell ref="B274:C274"/>
    <mergeCell ref="D169:E170"/>
    <mergeCell ref="A165:A166"/>
    <mergeCell ref="F9:L10"/>
    <mergeCell ref="C287:C288"/>
    <mergeCell ref="C165:C166"/>
    <mergeCell ref="D27:E28"/>
    <mergeCell ref="M117:N118"/>
    <mergeCell ref="M55:N56"/>
    <mergeCell ref="F207:L208"/>
    <mergeCell ref="C145:C146"/>
    <mergeCell ref="F157:L158"/>
    <mergeCell ref="M119:N120"/>
    <mergeCell ref="DB2:DC2"/>
    <mergeCell ref="B115:B116"/>
    <mergeCell ref="C147:C148"/>
    <mergeCell ref="F15:L16"/>
    <mergeCell ref="B179:B180"/>
    <mergeCell ref="A7:A8"/>
    <mergeCell ref="B193:C193"/>
    <mergeCell ref="M289:N290"/>
    <mergeCell ref="F199:L200"/>
    <mergeCell ref="B44:C44"/>
    <mergeCell ref="B49:B50"/>
    <mergeCell ref="M19:N20"/>
    <mergeCell ref="F149:L150"/>
    <mergeCell ref="A175:A176"/>
    <mergeCell ref="AB2:AC2"/>
    <mergeCell ref="B207:B208"/>
    <mergeCell ref="Z2:AA2"/>
    <mergeCell ref="C39:C40"/>
    <mergeCell ref="D115:E116"/>
    <mergeCell ref="B83:C83"/>
    <mergeCell ref="B254:C254"/>
    <mergeCell ref="B143:C143"/>
    <mergeCell ref="A155:A156"/>
    <mergeCell ref="B265:B266"/>
    <mergeCell ref="C155:C156"/>
    <mergeCell ref="D77:E78"/>
    <mergeCell ref="D179:E180"/>
    <mergeCell ref="M129:N130"/>
    <mergeCell ref="C195:C196"/>
    <mergeCell ref="B125:B126"/>
    <mergeCell ref="C157:C158"/>
    <mergeCell ref="HZ2:IA2"/>
    <mergeCell ref="A149:A150"/>
    <mergeCell ref="A171:C172"/>
    <mergeCell ref="HR2:HS2"/>
    <mergeCell ref="D97:E98"/>
    <mergeCell ref="F277:L278"/>
    <mergeCell ref="B184:C184"/>
    <mergeCell ref="C215:C216"/>
    <mergeCell ref="B105:B106"/>
    <mergeCell ref="C115:C116"/>
    <mergeCell ref="F135:L136"/>
    <mergeCell ref="B107:B108"/>
    <mergeCell ref="M205:N206"/>
    <mergeCell ref="GT2:GU2"/>
    <mergeCell ref="D19:E20"/>
    <mergeCell ref="M47:N48"/>
    <mergeCell ref="AD2:AE2"/>
    <mergeCell ref="BL2:BM2"/>
    <mergeCell ref="BN2:BO2"/>
    <mergeCell ref="BF2:BG2"/>
    <mergeCell ref="F225:L226"/>
    <mergeCell ref="D135:E136"/>
    <mergeCell ref="FH2:FI2"/>
    <mergeCell ref="A197:A198"/>
    <mergeCell ref="GN2:GO2"/>
    <mergeCell ref="A9:A10"/>
    <mergeCell ref="F19:L20"/>
    <mergeCell ref="M187:N188"/>
    <mergeCell ref="D229:E230"/>
    <mergeCell ref="A49:A50"/>
    <mergeCell ref="C49:C50"/>
    <mergeCell ref="A207:A208"/>
    <mergeCell ref="D95:E96"/>
    <mergeCell ref="B153:C153"/>
    <mergeCell ref="B224:C224"/>
    <mergeCell ref="A157:A158"/>
    <mergeCell ref="D87:E88"/>
    <mergeCell ref="D209:E210"/>
    <mergeCell ref="D147:E148"/>
    <mergeCell ref="FJ2:FK2"/>
    <mergeCell ref="C197:C198"/>
    <mergeCell ref="A211:C212"/>
    <mergeCell ref="M37:N38"/>
    <mergeCell ref="F227:L228"/>
    <mergeCell ref="M195:N196"/>
    <mergeCell ref="A161:C162"/>
    <mergeCell ref="M189:N190"/>
    <mergeCell ref="A75:A76"/>
    <mergeCell ref="HP2:HQ2"/>
    <mergeCell ref="D245:E246"/>
    <mergeCell ref="A65:A66"/>
    <mergeCell ref="C65:C66"/>
    <mergeCell ref="BD2:BE2"/>
    <mergeCell ref="B253:C253"/>
    <mergeCell ref="AV2:AW2"/>
    <mergeCell ref="D67:E68"/>
    <mergeCell ref="AX2:AY2"/>
    <mergeCell ref="D5:E6"/>
    <mergeCell ref="B239:B240"/>
    <mergeCell ref="A129:A130"/>
    <mergeCell ref="C129:C130"/>
    <mergeCell ref="F209:L210"/>
    <mergeCell ref="F159:L160"/>
    <mergeCell ref="M29:N30"/>
    <mergeCell ref="D69:E70"/>
    <mergeCell ref="C95:C96"/>
    <mergeCell ref="F97:L98"/>
    <mergeCell ref="CH2:CI2"/>
    <mergeCell ref="CJ2:CK2"/>
    <mergeCell ref="C189:C190"/>
    <mergeCell ref="B79:B80"/>
    <mergeCell ref="GL2:GM2"/>
    <mergeCell ref="HH2:HI2"/>
    <mergeCell ref="B283:C283"/>
    <mergeCell ref="HJ2:HK2"/>
    <mergeCell ref="A199:A200"/>
    <mergeCell ref="C199:C200"/>
    <mergeCell ref="F67:L68"/>
    <mergeCell ref="D145:E146"/>
    <mergeCell ref="B64:C64"/>
    <mergeCell ref="A151:C152"/>
    <mergeCell ref="A101:C102"/>
    <mergeCell ref="F275:L276"/>
    <mergeCell ref="A59:A60"/>
    <mergeCell ref="B25:B26"/>
    <mergeCell ref="F269:L270"/>
    <mergeCell ref="F69:L70"/>
    <mergeCell ref="GD2:GE2"/>
    <mergeCell ref="M237:N238"/>
    <mergeCell ref="B35:B36"/>
    <mergeCell ref="C265:C266"/>
    <mergeCell ref="B155:B156"/>
    <mergeCell ref="B3:C3"/>
    <mergeCell ref="F127:L128"/>
    <mergeCell ref="M239:N240"/>
    <mergeCell ref="M45:N46"/>
    <mergeCell ref="FB2:FC2"/>
    <mergeCell ref="A217:A218"/>
    <mergeCell ref="B249:B250"/>
    <mergeCell ref="M159:N160"/>
    <mergeCell ref="M97:N98"/>
    <mergeCell ref="A269:A270"/>
    <mergeCell ref="DD2:DE2"/>
    <mergeCell ref="M115:N116"/>
    <mergeCell ref="D79:E80"/>
    <mergeCell ref="B15:B16"/>
    <mergeCell ref="C105:C106"/>
    <mergeCell ref="B145:B146"/>
    <mergeCell ref="B257:B258"/>
    <mergeCell ref="C259:C260"/>
    <mergeCell ref="D255:E256"/>
    <mergeCell ref="B39:B40"/>
    <mergeCell ref="M17:N18"/>
    <mergeCell ref="C75:C76"/>
    <mergeCell ref="F85:L86"/>
    <mergeCell ref="D37:E38"/>
    <mergeCell ref="M197:N198"/>
    <mergeCell ref="A25:A26"/>
    <mergeCell ref="AJ2:AK2"/>
    <mergeCell ref="B93:C93"/>
    <mergeCell ref="CB2:CC2"/>
    <mergeCell ref="F139:L140"/>
    <mergeCell ref="B247:B248"/>
    <mergeCell ref="M95:N96"/>
    <mergeCell ref="F285:L286"/>
    <mergeCell ref="F247:L248"/>
    <mergeCell ref="F185:L186"/>
    <mergeCell ref="M57:N58"/>
    <mergeCell ref="EZ2:FA2"/>
    <mergeCell ref="B157:B158"/>
    <mergeCell ref="A281:C282"/>
    <mergeCell ref="A105:A106"/>
    <mergeCell ref="B264:C264"/>
    <mergeCell ref="AL2:AM2"/>
    <mergeCell ref="M185:N186"/>
    <mergeCell ref="D9:E10"/>
    <mergeCell ref="EN2:EO2"/>
    <mergeCell ref="EP2:EQ2"/>
    <mergeCell ref="D207:E208"/>
    <mergeCell ref="F235:L236"/>
    <mergeCell ref="CR2:CS2"/>
    <mergeCell ref="M259:N260"/>
    <mergeCell ref="D157:E158"/>
    <mergeCell ref="A219:A220"/>
    <mergeCell ref="HF2:HG2"/>
    <mergeCell ref="M229:N230"/>
    <mergeCell ref="B129:B130"/>
    <mergeCell ref="B74:C74"/>
    <mergeCell ref="A295:A296"/>
    <mergeCell ref="D195:E196"/>
    <mergeCell ref="B114:C114"/>
    <mergeCell ref="R2:S2"/>
    <mergeCell ref="F279:L280"/>
    <mergeCell ref="A15:A16"/>
    <mergeCell ref="A257:A258"/>
    <mergeCell ref="C15:C16"/>
    <mergeCell ref="M247:N248"/>
    <mergeCell ref="B203:C203"/>
    <mergeCell ref="D139:E140"/>
    <mergeCell ref="F119:L120"/>
    <mergeCell ref="D259:E260"/>
    <mergeCell ref="D197:E198"/>
    <mergeCell ref="F137:L138"/>
    <mergeCell ref="C79:C80"/>
    <mergeCell ref="M105:N106"/>
    <mergeCell ref="C29:C30"/>
    <mergeCell ref="BZ2:CA2"/>
    <mergeCell ref="BR2:BS2"/>
    <mergeCell ref="A291:C292"/>
    <mergeCell ref="F17:L18"/>
    <mergeCell ref="F259:L260"/>
    <mergeCell ref="C99:C100"/>
    <mergeCell ref="A135:A136"/>
    <mergeCell ref="B299:B300"/>
    <mergeCell ref="C135:C136"/>
    <mergeCell ref="B19:B20"/>
    <mergeCell ref="B73:C73"/>
    <mergeCell ref="C237:C238"/>
    <mergeCell ref="B65:B66"/>
    <mergeCell ref="A285:A286"/>
    <mergeCell ref="A289:A290"/>
    <mergeCell ref="C289:C290"/>
    <mergeCell ref="F297:L298"/>
    <mergeCell ref="B255:B256"/>
    <mergeCell ref="F155:L156"/>
    <mergeCell ref="B289:B290"/>
    <mergeCell ref="D295:E296"/>
    <mergeCell ref="A115:A116"/>
    <mergeCell ref="D285:E286"/>
    <mergeCell ref="D297:E298"/>
    <mergeCell ref="CT2:CU2"/>
    <mergeCell ref="M137:N138"/>
    <mergeCell ref="CV2:CW2"/>
    <mergeCell ref="B85:B86"/>
    <mergeCell ref="A67:A68"/>
    <mergeCell ref="B199:B200"/>
    <mergeCell ref="F177:L178"/>
    <mergeCell ref="D287:E288"/>
    <mergeCell ref="B149:B150"/>
    <mergeCell ref="M139:N140"/>
    <mergeCell ref="D7:E8"/>
    <mergeCell ref="A275:A276"/>
    <mergeCell ref="D205:E206"/>
    <mergeCell ref="A69:A70"/>
    <mergeCell ref="M89:N90"/>
    <mergeCell ref="C269:C270"/>
    <mergeCell ref="A267:A268"/>
    <mergeCell ref="D289:E290"/>
    <mergeCell ref="A277:A278"/>
    <mergeCell ref="C35:C36"/>
    <mergeCell ref="A31:C32"/>
    <mergeCell ref="D117:E118"/>
    <mergeCell ref="D55:E56"/>
    <mergeCell ref="A299:A300"/>
    <mergeCell ref="DR2:DS2"/>
    <mergeCell ref="C299:C300"/>
    <mergeCell ref="A19:A20"/>
    <mergeCell ref="C19:C20"/>
    <mergeCell ref="D239:E240"/>
    <mergeCell ref="A21:C22"/>
    <mergeCell ref="GX2:GY2"/>
    <mergeCell ref="GZ2:HA2"/>
    <mergeCell ref="D45:E46"/>
    <mergeCell ref="A107:A108"/>
    <mergeCell ref="M35:N36"/>
    <mergeCell ref="C107:C108"/>
    <mergeCell ref="F187:L188"/>
    <mergeCell ref="A121:C122"/>
    <mergeCell ref="M149:N150"/>
    <mergeCell ref="A181:C182"/>
    <mergeCell ref="D47:E48"/>
    <mergeCell ref="B134:C134"/>
    <mergeCell ref="M99:N100"/>
    <mergeCell ref="B194:C194"/>
    <mergeCell ref="F189:L190"/>
    <mergeCell ref="B297:B298"/>
    <mergeCell ref="B235:B236"/>
    <mergeCell ref="A297:A298"/>
    <mergeCell ref="A235:A236"/>
    <mergeCell ref="FN2:FO2"/>
    <mergeCell ref="C297:C298"/>
    <mergeCell ref="B127:B128"/>
    <mergeCell ref="FP2:FQ2"/>
    <mergeCell ref="A17:A18"/>
    <mergeCell ref="T2:U2"/>
    <mergeCell ref="B103:C103"/>
    <mergeCell ref="F27:L28"/>
    <mergeCell ref="B174:C174"/>
    <mergeCell ref="C17:C18"/>
    <mergeCell ref="A259:A260"/>
    <mergeCell ref="D237:E238"/>
    <mergeCell ref="DX2:DY2"/>
    <mergeCell ref="DZ2:EA2"/>
    <mergeCell ref="B57:B58"/>
    <mergeCell ref="B294:C294"/>
    <mergeCell ref="D129:E130"/>
    <mergeCell ref="A247:A248"/>
    <mergeCell ref="A185:A186"/>
    <mergeCell ref="M175:N176"/>
    <mergeCell ref="C247:C248"/>
    <mergeCell ref="B9:B10"/>
    <mergeCell ref="F295:L296"/>
    <mergeCell ref="F95:L96"/>
    <mergeCell ref="A177:A178"/>
    <mergeCell ref="C177:C178"/>
    <mergeCell ref="B67:B68"/>
    <mergeCell ref="F45:L46"/>
    <mergeCell ref="A191:C192"/>
    <mergeCell ref="M265:N266"/>
    <mergeCell ref="A37:A38"/>
    <mergeCell ref="B69:B70"/>
    <mergeCell ref="F47:L48"/>
    <mergeCell ref="F169:L170"/>
    <mergeCell ref="A195:A196"/>
    <mergeCell ref="M215:N216"/>
    <mergeCell ref="F109:L110"/>
    <mergeCell ref="D187:E188"/>
    <mergeCell ref="F167:L168"/>
    <mergeCell ref="A249:A250"/>
    <mergeCell ref="C249:C250"/>
    <mergeCell ref="B217:B218"/>
    <mergeCell ref="F117:L118"/>
    <mergeCell ref="M279:N280"/>
    <mergeCell ref="M79:N80"/>
    <mergeCell ref="D189:E190"/>
    <mergeCell ref="IB2:IC2"/>
    <mergeCell ref="C149:C150"/>
    <mergeCell ref="A71:C72"/>
    <mergeCell ref="B275:B276"/>
    <mergeCell ref="F77:L78"/>
    <mergeCell ref="HV2:HW2"/>
    <mergeCell ref="M245:N246"/>
    <mergeCell ref="F179:L180"/>
    <mergeCell ref="M49:N50"/>
    <mergeCell ref="D249:E250"/>
    <mergeCell ref="B185:B186"/>
    <mergeCell ref="GF2:GG2"/>
    <mergeCell ref="B24:C24"/>
    <mergeCell ref="C69:C70"/>
    <mergeCell ref="A167:A168"/>
    <mergeCell ref="B227:B228"/>
    <mergeCell ref="A117:A118"/>
    <mergeCell ref="B63:C63"/>
    <mergeCell ref="D57:E58"/>
    <mergeCell ref="F237:L238"/>
    <mergeCell ref="A119:A120"/>
    <mergeCell ref="C175:C176"/>
    <mergeCell ref="F59:L60"/>
    <mergeCell ref="C85:C86"/>
    <mergeCell ref="B295:B296"/>
    <mergeCell ref="M65:N66"/>
    <mergeCell ref="D107:E108"/>
    <mergeCell ref="A169:A170"/>
    <mergeCell ref="A225:A226"/>
    <mergeCell ref="C225:C226"/>
    <mergeCell ref="CL2:CM2"/>
    <mergeCell ref="CN2:CO2"/>
    <mergeCell ref="D165:E166"/>
    <mergeCell ref="A227:A228"/>
    <mergeCell ref="A27:A28"/>
    <mergeCell ref="C227:C228"/>
    <mergeCell ref="B117:B118"/>
    <mergeCell ref="A241:C242"/>
    <mergeCell ref="D29:E30"/>
    <mergeCell ref="M225:N226"/>
    <mergeCell ref="D265:E266"/>
    <mergeCell ref="A85:A86"/>
    <mergeCell ref="A51:C52"/>
    <mergeCell ref="B119:B120"/>
    <mergeCell ref="D39:E40"/>
    <mergeCell ref="F219:L220"/>
    <mergeCell ref="C57:C58"/>
    <mergeCell ref="F115:L116"/>
    <mergeCell ref="HT2:HU2"/>
    <mergeCell ref="F29:L30"/>
    <mergeCell ref="M257:N258"/>
    <mergeCell ref="B237:B238"/>
    <mergeCell ref="AZ2:BA2"/>
    <mergeCell ref="BB2:BC2"/>
    <mergeCell ref="D105:E106"/>
    <mergeCell ref="B163:C163"/>
    <mergeCell ref="F87:L88"/>
    <mergeCell ref="M199:N200"/>
    <mergeCell ref="M255:N256"/>
    <mergeCell ref="A231:C232"/>
    <mergeCell ref="B59:B60"/>
    <mergeCell ref="B113:C113"/>
    <mergeCell ref="A81:C82"/>
    <mergeCell ref="ET2:EU2"/>
    <mergeCell ref="D247:E248"/>
    <mergeCell ref="BP2:BQ2"/>
    <mergeCell ref="FL2:FM2"/>
    <mergeCell ref="C7:C8"/>
    <mergeCell ref="AN2:AO2"/>
    <mergeCell ref="AP2:AQ2"/>
    <mergeCell ref="B124:C124"/>
    <mergeCell ref="B75:B76"/>
    <mergeCell ref="A5:A6"/>
    <mergeCell ref="C67:C68"/>
    <mergeCell ref="C159:C160"/>
    <mergeCell ref="A109:A110"/>
    <mergeCell ref="F165:L166"/>
    <mergeCell ref="A47:A48"/>
    <mergeCell ref="C125:C126"/>
    <mergeCell ref="D49:E50"/>
    <mergeCell ref="B189:B190"/>
    <mergeCell ref="B135:B136"/>
    <mergeCell ref="F175:L176"/>
    <mergeCell ref="C127:C128"/>
    <mergeCell ref="C285:C286"/>
    <mergeCell ref="B109:B110"/>
    <mergeCell ref="B47:B48"/>
    <mergeCell ref="M267:N268"/>
    <mergeCell ref="HL2:HM2"/>
    <mergeCell ref="HN2:HO2"/>
    <mergeCell ref="F145:L146"/>
    <mergeCell ref="M217:N218"/>
    <mergeCell ref="F89:L90"/>
    <mergeCell ref="B263:C263"/>
    <mergeCell ref="F5:L6"/>
    <mergeCell ref="D25:E26"/>
    <mergeCell ref="ER2:ES2"/>
    <mergeCell ref="B244:C244"/>
    <mergeCell ref="B175:B176"/>
    <mergeCell ref="C207:C208"/>
    <mergeCell ref="D177:E178"/>
    <mergeCell ref="B23:C23"/>
    <mergeCell ref="B267:B268"/>
    <mergeCell ref="B177:B178"/>
    <mergeCell ref="F229:L230"/>
    <mergeCell ref="B277:B278"/>
    <mergeCell ref="EF2:EG2"/>
    <mergeCell ref="EH2:EI2"/>
    <mergeCell ref="C295:C296"/>
    <mergeCell ref="D279:E280"/>
    <mergeCell ref="B259:B260"/>
    <mergeCell ref="A11:C12"/>
    <mergeCell ref="M269:N270"/>
    <mergeCell ref="M125:N126"/>
    <mergeCell ref="C257:C258"/>
    <mergeCell ref="B225:B226"/>
    <mergeCell ref="A271:C272"/>
    <mergeCell ref="B279:B280"/>
    <mergeCell ref="A221:C222"/>
    <mergeCell ref="M127:N128"/>
    <mergeCell ref="M249:N250"/>
    <mergeCell ref="M285:N286"/>
    <mergeCell ref="B234:C234"/>
    <mergeCell ref="B34:C34"/>
    <mergeCell ref="A209:A210"/>
    <mergeCell ref="C209:C210"/>
    <mergeCell ref="D35:E36"/>
    <mergeCell ref="B269:B270"/>
    <mergeCell ref="A159:A160"/>
    <mergeCell ref="D155:E156"/>
    <mergeCell ref="A97:A98"/>
    <mergeCell ref="M39:N40"/>
    <mergeCell ref="FV2:FW2"/>
    <mergeCell ref="D175:E176"/>
    <mergeCell ref="FX2:FY2"/>
    <mergeCell ref="D215:E216"/>
    <mergeCell ref="D15:E16"/>
    <mergeCell ref="F99:L100"/>
    <mergeCell ref="C277:C278"/>
    <mergeCell ref="B167:B168"/>
    <mergeCell ref="C59:C60"/>
    <mergeCell ref="CD2:CE2"/>
    <mergeCell ref="D149:E150"/>
    <mergeCell ref="D99:E100"/>
    <mergeCell ref="AH2:AI2"/>
    <mergeCell ref="D257:E258"/>
    <mergeCell ref="C217:C218"/>
    <mergeCell ref="C77:C78"/>
    <mergeCell ref="B94:C94"/>
    <mergeCell ref="C275:C276"/>
    <mergeCell ref="DN2:DO2"/>
    <mergeCell ref="DF2:DG2"/>
    <mergeCell ref="DP2:DQ2"/>
    <mergeCell ref="DH2:DI2"/>
    <mergeCell ref="F7:L8"/>
    <mergeCell ref="M165:N166"/>
    <mergeCell ref="M177:N178"/>
    <mergeCell ref="AF2:AG2"/>
    <mergeCell ref="C267:C268"/>
    <mergeCell ref="B84:C84"/>
    <mergeCell ref="F37:L38"/>
    <mergeCell ref="B95:B96"/>
    <mergeCell ref="F195:L196"/>
    <mergeCell ref="EJ2:EK2"/>
    <mergeCell ref="EL2:EM2"/>
    <mergeCell ref="B45:B46"/>
    <mergeCell ref="D109:E110"/>
    <mergeCell ref="M107:N108"/>
    <mergeCell ref="B213:C213"/>
    <mergeCell ref="M7:N8"/>
    <mergeCell ref="F197:L198"/>
    <mergeCell ref="A131:C132"/>
    <mergeCell ref="F147:L148"/>
    <mergeCell ref="A229:A230"/>
    <mergeCell ref="C229:C230"/>
    <mergeCell ref="B144:C144"/>
    <mergeCell ref="A237:A238"/>
    <mergeCell ref="A179:A180"/>
    <mergeCell ref="A239:A240"/>
    <mergeCell ref="A95:A96"/>
    <mergeCell ref="GR2:GS2"/>
    <mergeCell ref="A141:C142"/>
    <mergeCell ref="B209:B210"/>
    <mergeCell ref="B154:C154"/>
    <mergeCell ref="B159:B160"/>
    <mergeCell ref="B97:B98"/>
    <mergeCell ref="C185:C186"/>
    <mergeCell ref="A79:A80"/>
    <mergeCell ref="M25:N26"/>
    <mergeCell ref="B17:B18"/>
    <mergeCell ref="A45:A46"/>
    <mergeCell ref="B77:B78"/>
    <mergeCell ref="C45:C46"/>
    <mergeCell ref="F55:L56"/>
    <mergeCell ref="A87:A88"/>
    <mergeCell ref="C109:C110"/>
    <mergeCell ref="C47:C48"/>
    <mergeCell ref="A145:A146"/>
    <mergeCell ref="A139:A140"/>
    <mergeCell ref="C139:C140"/>
    <mergeCell ref="A61:C62"/>
    <mergeCell ref="CX2:CY2"/>
    <mergeCell ref="A89:A90"/>
    <mergeCell ref="CZ2:DA2"/>
    <mergeCell ref="DT2:DU2"/>
    <mergeCell ref="DV2:DW2"/>
    <mergeCell ref="B229:B230"/>
    <mergeCell ref="B29:B30"/>
    <mergeCell ref="F129:L130"/>
    <mergeCell ref="M297:N298"/>
    <mergeCell ref="M235:N236"/>
    <mergeCell ref="A1:C2"/>
    <mergeCell ref="HB2:HC2"/>
    <mergeCell ref="BH2:BI2"/>
    <mergeCell ref="A99:A100"/>
    <mergeCell ref="BJ2:BK2"/>
    <mergeCell ref="B14:C14"/>
    <mergeCell ref="M155:N156"/>
    <mergeCell ref="B37:B38"/>
    <mergeCell ref="FD2:FE2"/>
    <mergeCell ref="B13:C13"/>
    <mergeCell ref="FF2:FG2"/>
    <mergeCell ref="D159:E160"/>
    <mergeCell ref="B243:C243"/>
    <mergeCell ref="C27:C28"/>
    <mergeCell ref="D199:E200"/>
    <mergeCell ref="D65:E66"/>
    <mergeCell ref="F49:L50"/>
    <mergeCell ref="D75:E76"/>
    <mergeCell ref="F299:L300"/>
    <mergeCell ref="F255:L256"/>
    <mergeCell ref="A137:A138"/>
    <mergeCell ref="V2:W2"/>
    <mergeCell ref="C137:C138"/>
    <mergeCell ref="X2:Y2"/>
    <mergeCell ref="B165:B166"/>
    <mergeCell ref="M75:N76"/>
    <mergeCell ref="F205:L206"/>
    <mergeCell ref="F265:L266"/>
    <mergeCell ref="F65:L66"/>
    <mergeCell ref="M27:N28"/>
    <mergeCell ref="M299:N300"/>
    <mergeCell ref="D299:E300"/>
    <mergeCell ref="F289:L290"/>
    <mergeCell ref="D225:E226"/>
    <mergeCell ref="A287:A288"/>
    <mergeCell ref="B223:C223"/>
    <mergeCell ref="D227:E228"/>
    <mergeCell ref="D85:E86"/>
    <mergeCell ref="B53:C53"/>
    <mergeCell ref="A147:A148"/>
    <mergeCell ref="F215:L21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57"/>
  <sheetViews>
    <sheetView workbookViewId="0">
      <selection activeCell="A2" sqref="A2:B457"/>
    </sheetView>
  </sheetViews>
  <sheetFormatPr defaultRowHeight="15"/>
  <cols>
    <col min="1" max="1" width="10.5" bestFit="1" customWidth="1"/>
    <col min="2" max="2" width="28" bestFit="1" customWidth="1"/>
    <col min="4" max="4" width="9.25" style="1" bestFit="1" customWidth="1"/>
    <col min="5" max="5" width="9.5" style="1" bestFit="1" customWidth="1"/>
    <col min="6" max="6" width="8" style="1" bestFit="1" customWidth="1"/>
    <col min="7" max="7" width="8.125" style="1" bestFit="1" customWidth="1"/>
    <col min="8" max="9" width="11.375" style="1" bestFit="1" customWidth="1"/>
    <col min="10" max="10" width="11.875" style="1" bestFit="1" customWidth="1"/>
    <col min="11" max="11" width="10.125" style="1" bestFit="1" customWidth="1"/>
    <col min="12" max="12" width="11.625" style="1" bestFit="1" customWidth="1"/>
    <col min="13" max="13" width="9.375" style="1" bestFit="1" customWidth="1"/>
    <col min="14" max="14" width="9.25" style="1" bestFit="1" customWidth="1"/>
    <col min="15" max="15" width="9.125" style="1" bestFit="1" customWidth="1"/>
    <col min="16" max="16" width="13.75" style="1" bestFit="1" customWidth="1"/>
    <col min="17" max="17" width="13.125" style="1" bestFit="1" customWidth="1"/>
    <col min="18" max="18" width="13" style="1" bestFit="1" customWidth="1"/>
    <col min="19" max="19" width="20.375" style="1" bestFit="1" customWidth="1"/>
    <col min="20" max="20" width="19.125" style="1" bestFit="1" customWidth="1"/>
    <col min="21" max="21" width="14.25" style="1" bestFit="1" customWidth="1"/>
    <col min="22" max="22" width="26.875" style="1" bestFit="1" customWidth="1"/>
    <col min="23" max="23" width="15.375" style="1" bestFit="1" customWidth="1"/>
    <col min="24" max="24" width="19.125" style="1" bestFit="1" customWidth="1"/>
    <col min="25" max="25" width="16.25" style="1" bestFit="1" customWidth="1"/>
    <col min="26" max="26" width="22" style="1" bestFit="1" customWidth="1"/>
    <col min="27" max="27" width="21.125" style="1" bestFit="1" customWidth="1"/>
    <col min="28" max="28" width="13.625" style="1" bestFit="1" customWidth="1"/>
    <col min="29" max="29" width="9.25" style="1" bestFit="1" customWidth="1"/>
    <col min="30" max="30" width="23.25" style="1" bestFit="1" customWidth="1"/>
  </cols>
  <sheetData>
    <row r="1" spans="1:30">
      <c r="A1" t="s">
        <v>769</v>
      </c>
      <c r="B1" t="s">
        <v>770</v>
      </c>
      <c r="C1" t="s">
        <v>771</v>
      </c>
      <c r="D1" s="1" t="s">
        <v>486</v>
      </c>
      <c r="E1" s="1" t="s">
        <v>489</v>
      </c>
      <c r="F1" s="1" t="s">
        <v>490</v>
      </c>
      <c r="G1" s="1" t="s">
        <v>491</v>
      </c>
      <c r="H1" s="1" t="s">
        <v>492</v>
      </c>
      <c r="I1" s="1" t="s">
        <v>493</v>
      </c>
      <c r="J1" s="1" t="s">
        <v>494</v>
      </c>
      <c r="K1" s="1" t="s">
        <v>495</v>
      </c>
      <c r="L1" s="1" t="s">
        <v>496</v>
      </c>
      <c r="M1" s="1" t="s">
        <v>497</v>
      </c>
      <c r="N1" s="1" t="s">
        <v>498</v>
      </c>
      <c r="O1" s="1" t="s">
        <v>499</v>
      </c>
      <c r="P1" s="1" t="s">
        <v>500</v>
      </c>
      <c r="Q1" s="1" t="s">
        <v>501</v>
      </c>
      <c r="R1" s="1" t="s">
        <v>502</v>
      </c>
      <c r="S1" s="1" t="s">
        <v>503</v>
      </c>
      <c r="T1" s="1" t="s">
        <v>504</v>
      </c>
      <c r="U1" s="1" t="s">
        <v>505</v>
      </c>
      <c r="V1" s="1" t="s">
        <v>506</v>
      </c>
      <c r="W1" s="1" t="s">
        <v>507</v>
      </c>
      <c r="X1" s="1" t="s">
        <v>508</v>
      </c>
      <c r="Y1" s="1" t="s">
        <v>509</v>
      </c>
      <c r="Z1" s="1" t="s">
        <v>510</v>
      </c>
      <c r="AA1" s="1" t="s">
        <v>511</v>
      </c>
      <c r="AB1" s="1" t="s">
        <v>512</v>
      </c>
      <c r="AC1" s="1" t="s">
        <v>513</v>
      </c>
      <c r="AD1" s="1" t="s">
        <v>514</v>
      </c>
    </row>
    <row r="2" spans="1:30">
      <c r="A2" t="s">
        <v>33</v>
      </c>
      <c r="B2" t="s">
        <v>180</v>
      </c>
      <c r="C2" t="s">
        <v>772</v>
      </c>
      <c r="D2" t="s">
        <v>773</v>
      </c>
      <c r="E2" t="s">
        <v>774</v>
      </c>
      <c r="F2" t="s">
        <v>775</v>
      </c>
      <c r="G2" t="s">
        <v>776</v>
      </c>
      <c r="H2" t="s">
        <v>777</v>
      </c>
      <c r="I2" t="s">
        <v>778</v>
      </c>
      <c r="J2" t="s">
        <v>779</v>
      </c>
      <c r="K2" t="s">
        <v>780</v>
      </c>
      <c r="L2" t="s">
        <v>781</v>
      </c>
      <c r="M2" t="s">
        <v>782</v>
      </c>
      <c r="N2" t="s">
        <v>783</v>
      </c>
      <c r="O2" t="s">
        <v>777</v>
      </c>
      <c r="P2" t="s">
        <v>784</v>
      </c>
      <c r="Q2" t="s">
        <v>785</v>
      </c>
      <c r="R2" t="s">
        <v>786</v>
      </c>
      <c r="S2" t="s">
        <v>787</v>
      </c>
      <c r="T2" t="s">
        <v>788</v>
      </c>
      <c r="U2" t="s">
        <v>789</v>
      </c>
      <c r="V2" t="s">
        <v>790</v>
      </c>
      <c r="W2" t="s">
        <v>791</v>
      </c>
      <c r="X2" t="s">
        <v>792</v>
      </c>
      <c r="Y2" t="s">
        <v>793</v>
      </c>
      <c r="Z2" t="s">
        <v>794</v>
      </c>
      <c r="AA2" t="s">
        <v>795</v>
      </c>
      <c r="AB2" t="s">
        <v>796</v>
      </c>
      <c r="AC2" t="s">
        <v>797</v>
      </c>
      <c r="AD2" t="s">
        <v>798</v>
      </c>
    </row>
    <row r="3" spans="1:30">
      <c r="A3" t="s">
        <v>33</v>
      </c>
      <c r="B3" t="s">
        <v>426</v>
      </c>
      <c r="C3" t="s">
        <v>799</v>
      </c>
      <c r="D3" t="s">
        <v>773</v>
      </c>
      <c r="E3" t="s">
        <v>800</v>
      </c>
      <c r="F3" t="s">
        <v>796</v>
      </c>
      <c r="G3" t="s">
        <v>801</v>
      </c>
      <c r="H3" t="s">
        <v>802</v>
      </c>
      <c r="I3" t="s">
        <v>803</v>
      </c>
      <c r="J3" t="s">
        <v>778</v>
      </c>
      <c r="K3" t="s">
        <v>782</v>
      </c>
      <c r="L3" t="s">
        <v>804</v>
      </c>
      <c r="M3" t="s">
        <v>805</v>
      </c>
      <c r="N3" t="s">
        <v>775</v>
      </c>
      <c r="O3" t="s">
        <v>778</v>
      </c>
      <c r="P3" t="s">
        <v>806</v>
      </c>
      <c r="Q3" t="s">
        <v>807</v>
      </c>
      <c r="R3" t="s">
        <v>808</v>
      </c>
      <c r="S3" t="s">
        <v>809</v>
      </c>
      <c r="T3" t="s">
        <v>810</v>
      </c>
      <c r="U3" t="s">
        <v>811</v>
      </c>
      <c r="V3" t="s">
        <v>812</v>
      </c>
      <c r="W3" t="s">
        <v>813</v>
      </c>
      <c r="X3" t="s">
        <v>814</v>
      </c>
      <c r="Y3" t="s">
        <v>815</v>
      </c>
      <c r="Z3" t="s">
        <v>816</v>
      </c>
      <c r="AA3" t="s">
        <v>817</v>
      </c>
      <c r="AB3" t="s">
        <v>796</v>
      </c>
      <c r="AC3" t="s">
        <v>797</v>
      </c>
      <c r="AD3" t="s">
        <v>818</v>
      </c>
    </row>
    <row r="4" spans="1:30">
      <c r="A4" t="s">
        <v>33</v>
      </c>
      <c r="B4" t="s">
        <v>358</v>
      </c>
      <c r="C4" t="s">
        <v>819</v>
      </c>
      <c r="D4" t="s">
        <v>773</v>
      </c>
      <c r="E4" t="s">
        <v>820</v>
      </c>
      <c r="F4" t="s">
        <v>802</v>
      </c>
      <c r="G4" t="s">
        <v>805</v>
      </c>
      <c r="H4" t="s">
        <v>821</v>
      </c>
      <c r="I4" t="s">
        <v>803</v>
      </c>
      <c r="J4" t="s">
        <v>822</v>
      </c>
      <c r="K4" t="s">
        <v>823</v>
      </c>
      <c r="L4" t="s">
        <v>824</v>
      </c>
      <c r="M4" t="s">
        <v>825</v>
      </c>
      <c r="N4" t="s">
        <v>826</v>
      </c>
      <c r="O4" t="s">
        <v>778</v>
      </c>
      <c r="P4" t="s">
        <v>827</v>
      </c>
      <c r="Q4" t="s">
        <v>828</v>
      </c>
      <c r="R4" t="s">
        <v>829</v>
      </c>
      <c r="S4" t="s">
        <v>830</v>
      </c>
      <c r="T4" t="s">
        <v>831</v>
      </c>
      <c r="U4" t="s">
        <v>832</v>
      </c>
      <c r="V4" t="s">
        <v>833</v>
      </c>
      <c r="W4" t="s">
        <v>834</v>
      </c>
      <c r="X4" t="s">
        <v>835</v>
      </c>
      <c r="Y4" t="s">
        <v>836</v>
      </c>
      <c r="Z4" t="s">
        <v>837</v>
      </c>
      <c r="AA4" t="s">
        <v>838</v>
      </c>
      <c r="AB4" t="s">
        <v>779</v>
      </c>
      <c r="AC4" t="s">
        <v>839</v>
      </c>
      <c r="AD4" t="s">
        <v>840</v>
      </c>
    </row>
    <row r="5" spans="1:30">
      <c r="A5" t="s">
        <v>33</v>
      </c>
      <c r="B5" t="s">
        <v>221</v>
      </c>
      <c r="C5" t="s">
        <v>841</v>
      </c>
      <c r="D5" t="s">
        <v>842</v>
      </c>
      <c r="E5" t="s">
        <v>843</v>
      </c>
      <c r="F5" t="s">
        <v>779</v>
      </c>
      <c r="G5" t="s">
        <v>844</v>
      </c>
      <c r="H5" t="s">
        <v>845</v>
      </c>
      <c r="I5" t="s">
        <v>803</v>
      </c>
      <c r="J5" t="s">
        <v>846</v>
      </c>
      <c r="K5" t="s">
        <v>775</v>
      </c>
      <c r="L5" t="s">
        <v>783</v>
      </c>
      <c r="M5" t="s">
        <v>845</v>
      </c>
      <c r="N5" t="s">
        <v>805</v>
      </c>
      <c r="O5" t="s">
        <v>778</v>
      </c>
      <c r="P5" t="s">
        <v>847</v>
      </c>
      <c r="Q5" t="s">
        <v>837</v>
      </c>
      <c r="R5" t="s">
        <v>848</v>
      </c>
      <c r="S5" t="s">
        <v>849</v>
      </c>
      <c r="T5" t="s">
        <v>850</v>
      </c>
      <c r="U5" t="s">
        <v>851</v>
      </c>
      <c r="V5" t="s">
        <v>852</v>
      </c>
      <c r="W5" t="s">
        <v>853</v>
      </c>
      <c r="X5" t="s">
        <v>854</v>
      </c>
      <c r="Y5" t="s">
        <v>855</v>
      </c>
      <c r="Z5" t="s">
        <v>856</v>
      </c>
      <c r="AA5" t="s">
        <v>857</v>
      </c>
      <c r="AB5" t="s">
        <v>858</v>
      </c>
      <c r="AC5" t="s">
        <v>859</v>
      </c>
      <c r="AD5" t="s">
        <v>860</v>
      </c>
    </row>
    <row r="6" spans="1:30">
      <c r="A6" t="s">
        <v>33</v>
      </c>
      <c r="B6" t="s">
        <v>387</v>
      </c>
      <c r="C6" t="s">
        <v>536</v>
      </c>
      <c r="D6" t="s">
        <v>805</v>
      </c>
      <c r="E6" t="s">
        <v>861</v>
      </c>
      <c r="F6" t="s">
        <v>823</v>
      </c>
      <c r="G6" t="s">
        <v>862</v>
      </c>
      <c r="H6" t="s">
        <v>778</v>
      </c>
      <c r="I6" t="s">
        <v>803</v>
      </c>
      <c r="J6" t="s">
        <v>846</v>
      </c>
      <c r="K6" t="s">
        <v>863</v>
      </c>
      <c r="L6" t="s">
        <v>864</v>
      </c>
      <c r="M6" t="s">
        <v>823</v>
      </c>
      <c r="N6" t="s">
        <v>775</v>
      </c>
      <c r="O6" t="s">
        <v>803</v>
      </c>
      <c r="P6" t="s">
        <v>865</v>
      </c>
      <c r="Q6" t="s">
        <v>866</v>
      </c>
      <c r="R6" t="s">
        <v>867</v>
      </c>
      <c r="S6" t="s">
        <v>868</v>
      </c>
      <c r="T6" t="s">
        <v>869</v>
      </c>
      <c r="U6" t="s">
        <v>870</v>
      </c>
      <c r="V6" t="s">
        <v>871</v>
      </c>
      <c r="W6" t="s">
        <v>872</v>
      </c>
      <c r="X6" t="s">
        <v>873</v>
      </c>
      <c r="Y6" t="s">
        <v>874</v>
      </c>
      <c r="Z6" t="s">
        <v>875</v>
      </c>
      <c r="AA6" t="s">
        <v>876</v>
      </c>
      <c r="AB6" t="s">
        <v>821</v>
      </c>
      <c r="AC6" t="s">
        <v>877</v>
      </c>
      <c r="AD6" t="s">
        <v>878</v>
      </c>
    </row>
    <row r="7" spans="1:30">
      <c r="A7" t="s">
        <v>33</v>
      </c>
      <c r="B7" t="s">
        <v>133</v>
      </c>
      <c r="C7" t="s">
        <v>879</v>
      </c>
      <c r="D7" t="s">
        <v>805</v>
      </c>
      <c r="E7" t="s">
        <v>880</v>
      </c>
      <c r="F7" t="s">
        <v>823</v>
      </c>
      <c r="G7" t="s">
        <v>862</v>
      </c>
      <c r="H7" t="s">
        <v>822</v>
      </c>
      <c r="I7" t="s">
        <v>803</v>
      </c>
      <c r="J7" t="s">
        <v>845</v>
      </c>
      <c r="K7" t="s">
        <v>863</v>
      </c>
      <c r="L7" t="s">
        <v>842</v>
      </c>
      <c r="M7" t="s">
        <v>858</v>
      </c>
      <c r="N7" t="s">
        <v>862</v>
      </c>
      <c r="O7" t="s">
        <v>778</v>
      </c>
      <c r="P7" t="s">
        <v>881</v>
      </c>
      <c r="Q7" t="s">
        <v>882</v>
      </c>
      <c r="R7" t="s">
        <v>883</v>
      </c>
      <c r="S7" t="s">
        <v>884</v>
      </c>
      <c r="T7" t="s">
        <v>885</v>
      </c>
      <c r="U7" t="s">
        <v>886</v>
      </c>
      <c r="V7" t="s">
        <v>887</v>
      </c>
      <c r="W7" t="s">
        <v>888</v>
      </c>
      <c r="X7" t="s">
        <v>889</v>
      </c>
      <c r="Y7" t="s">
        <v>890</v>
      </c>
      <c r="Z7" t="s">
        <v>891</v>
      </c>
      <c r="AA7" t="s">
        <v>892</v>
      </c>
      <c r="AB7" t="s">
        <v>846</v>
      </c>
      <c r="AC7" t="s">
        <v>893</v>
      </c>
      <c r="AD7" t="s">
        <v>894</v>
      </c>
    </row>
    <row r="8" spans="1:30">
      <c r="A8" t="s">
        <v>33</v>
      </c>
      <c r="B8" t="s">
        <v>122</v>
      </c>
      <c r="C8" t="s">
        <v>819</v>
      </c>
      <c r="D8" t="s">
        <v>895</v>
      </c>
      <c r="E8" t="s">
        <v>896</v>
      </c>
      <c r="F8" t="s">
        <v>779</v>
      </c>
      <c r="G8" t="s">
        <v>802</v>
      </c>
      <c r="H8" t="s">
        <v>822</v>
      </c>
      <c r="I8" t="s">
        <v>803</v>
      </c>
      <c r="J8" t="s">
        <v>822</v>
      </c>
      <c r="K8" t="s">
        <v>782</v>
      </c>
      <c r="L8" t="s">
        <v>776</v>
      </c>
      <c r="M8" t="s">
        <v>863</v>
      </c>
      <c r="N8" t="s">
        <v>805</v>
      </c>
      <c r="O8" t="s">
        <v>778</v>
      </c>
      <c r="P8" t="s">
        <v>897</v>
      </c>
      <c r="Q8" t="s">
        <v>898</v>
      </c>
      <c r="R8" t="s">
        <v>899</v>
      </c>
      <c r="S8" t="s">
        <v>900</v>
      </c>
      <c r="T8" t="s">
        <v>901</v>
      </c>
      <c r="U8" t="s">
        <v>902</v>
      </c>
      <c r="V8" t="s">
        <v>833</v>
      </c>
      <c r="W8" t="s">
        <v>903</v>
      </c>
      <c r="X8" t="s">
        <v>904</v>
      </c>
      <c r="Y8" t="s">
        <v>905</v>
      </c>
      <c r="Z8" t="s">
        <v>906</v>
      </c>
      <c r="AA8" t="s">
        <v>907</v>
      </c>
      <c r="AB8" t="s">
        <v>821</v>
      </c>
      <c r="AC8" t="s">
        <v>908</v>
      </c>
      <c r="AD8" t="s">
        <v>909</v>
      </c>
    </row>
    <row r="9" spans="1:30">
      <c r="A9" t="s">
        <v>33</v>
      </c>
      <c r="B9" t="s">
        <v>285</v>
      </c>
      <c r="C9" t="s">
        <v>910</v>
      </c>
      <c r="D9" t="s">
        <v>895</v>
      </c>
      <c r="E9" t="s">
        <v>911</v>
      </c>
      <c r="F9" t="s">
        <v>779</v>
      </c>
      <c r="G9" t="s">
        <v>862</v>
      </c>
      <c r="H9" t="s">
        <v>822</v>
      </c>
      <c r="I9" t="s">
        <v>803</v>
      </c>
      <c r="J9" t="s">
        <v>845</v>
      </c>
      <c r="K9" t="s">
        <v>825</v>
      </c>
      <c r="L9" t="s">
        <v>842</v>
      </c>
      <c r="M9" t="s">
        <v>782</v>
      </c>
      <c r="N9" t="s">
        <v>796</v>
      </c>
      <c r="O9" t="s">
        <v>778</v>
      </c>
      <c r="P9" t="s">
        <v>912</v>
      </c>
      <c r="Q9" t="s">
        <v>913</v>
      </c>
      <c r="R9" t="s">
        <v>914</v>
      </c>
      <c r="S9" t="s">
        <v>915</v>
      </c>
      <c r="T9" t="s">
        <v>869</v>
      </c>
      <c r="U9" t="s">
        <v>916</v>
      </c>
      <c r="V9" t="s">
        <v>917</v>
      </c>
      <c r="W9" t="s">
        <v>918</v>
      </c>
      <c r="X9" t="s">
        <v>919</v>
      </c>
      <c r="Y9" t="s">
        <v>920</v>
      </c>
      <c r="Z9" t="s">
        <v>816</v>
      </c>
      <c r="AA9" t="s">
        <v>921</v>
      </c>
      <c r="AB9" t="s">
        <v>846</v>
      </c>
      <c r="AC9" t="s">
        <v>922</v>
      </c>
      <c r="AD9" t="s">
        <v>923</v>
      </c>
    </row>
    <row r="10" spans="1:30">
      <c r="A10" t="s">
        <v>33</v>
      </c>
      <c r="B10" t="s">
        <v>924</v>
      </c>
      <c r="C10" t="s">
        <v>772</v>
      </c>
      <c r="D10" t="s">
        <v>925</v>
      </c>
      <c r="E10" t="s">
        <v>781</v>
      </c>
      <c r="F10" t="s">
        <v>858</v>
      </c>
      <c r="G10" t="s">
        <v>823</v>
      </c>
      <c r="H10" t="s">
        <v>778</v>
      </c>
      <c r="I10" t="s">
        <v>803</v>
      </c>
      <c r="J10" t="s">
        <v>803</v>
      </c>
      <c r="K10" t="s">
        <v>778</v>
      </c>
      <c r="L10" t="s">
        <v>782</v>
      </c>
      <c r="M10" t="s">
        <v>777</v>
      </c>
      <c r="N10" t="s">
        <v>926</v>
      </c>
      <c r="O10" t="s">
        <v>822</v>
      </c>
      <c r="P10" t="s">
        <v>927</v>
      </c>
      <c r="Q10" t="s">
        <v>928</v>
      </c>
      <c r="R10" t="s">
        <v>929</v>
      </c>
      <c r="S10" t="s">
        <v>930</v>
      </c>
      <c r="T10" t="s">
        <v>931</v>
      </c>
      <c r="U10" t="s">
        <v>810</v>
      </c>
      <c r="V10" t="s">
        <v>932</v>
      </c>
      <c r="W10" t="s">
        <v>933</v>
      </c>
      <c r="X10" t="s">
        <v>934</v>
      </c>
      <c r="Y10" t="s">
        <v>935</v>
      </c>
      <c r="Z10" t="s">
        <v>936</v>
      </c>
      <c r="AA10" t="s">
        <v>937</v>
      </c>
      <c r="AB10" t="s">
        <v>778</v>
      </c>
      <c r="AC10" t="s">
        <v>938</v>
      </c>
      <c r="AD10" t="s">
        <v>939</v>
      </c>
    </row>
    <row r="11" spans="1:30">
      <c r="A11" t="s">
        <v>33</v>
      </c>
      <c r="B11" t="s">
        <v>940</v>
      </c>
      <c r="C11" t="s">
        <v>799</v>
      </c>
      <c r="D11" t="s">
        <v>844</v>
      </c>
      <c r="E11" t="s">
        <v>941</v>
      </c>
      <c r="F11" t="s">
        <v>858</v>
      </c>
      <c r="G11" t="s">
        <v>782</v>
      </c>
      <c r="H11" t="s">
        <v>845</v>
      </c>
      <c r="I11" t="s">
        <v>803</v>
      </c>
      <c r="J11" t="s">
        <v>803</v>
      </c>
      <c r="K11" t="s">
        <v>822</v>
      </c>
      <c r="L11" t="s">
        <v>802</v>
      </c>
      <c r="M11" t="s">
        <v>821</v>
      </c>
      <c r="N11" t="s">
        <v>926</v>
      </c>
      <c r="O11" t="s">
        <v>803</v>
      </c>
      <c r="P11" t="s">
        <v>942</v>
      </c>
      <c r="Q11" t="s">
        <v>943</v>
      </c>
      <c r="R11" t="s">
        <v>944</v>
      </c>
      <c r="S11" t="s">
        <v>945</v>
      </c>
      <c r="T11" t="s">
        <v>946</v>
      </c>
      <c r="U11" t="s">
        <v>947</v>
      </c>
      <c r="V11" t="s">
        <v>948</v>
      </c>
      <c r="W11" t="s">
        <v>949</v>
      </c>
      <c r="X11" t="s">
        <v>950</v>
      </c>
      <c r="Y11" t="s">
        <v>951</v>
      </c>
      <c r="Z11" t="s">
        <v>952</v>
      </c>
      <c r="AA11" t="s">
        <v>953</v>
      </c>
      <c r="AB11" t="s">
        <v>845</v>
      </c>
      <c r="AC11" t="s">
        <v>954</v>
      </c>
      <c r="AD11" t="s">
        <v>939</v>
      </c>
    </row>
    <row r="12" spans="1:30">
      <c r="A12" t="s">
        <v>33</v>
      </c>
      <c r="B12" t="s">
        <v>32</v>
      </c>
      <c r="C12" t="s">
        <v>536</v>
      </c>
      <c r="D12" t="s">
        <v>796</v>
      </c>
      <c r="E12" t="s">
        <v>955</v>
      </c>
      <c r="F12" t="s">
        <v>821</v>
      </c>
      <c r="G12" t="s">
        <v>862</v>
      </c>
      <c r="H12" t="s">
        <v>821</v>
      </c>
      <c r="I12" t="s">
        <v>803</v>
      </c>
      <c r="J12" t="s">
        <v>822</v>
      </c>
      <c r="K12" t="s">
        <v>782</v>
      </c>
      <c r="L12" t="s">
        <v>826</v>
      </c>
      <c r="M12" t="s">
        <v>846</v>
      </c>
      <c r="N12" t="s">
        <v>858</v>
      </c>
      <c r="O12" t="s">
        <v>803</v>
      </c>
      <c r="P12" t="s">
        <v>956</v>
      </c>
      <c r="Q12" t="s">
        <v>957</v>
      </c>
      <c r="R12" t="s">
        <v>958</v>
      </c>
      <c r="S12" t="s">
        <v>959</v>
      </c>
      <c r="T12" t="s">
        <v>960</v>
      </c>
      <c r="U12" t="s">
        <v>961</v>
      </c>
      <c r="V12" t="s">
        <v>962</v>
      </c>
      <c r="W12" t="s">
        <v>963</v>
      </c>
      <c r="X12" t="s">
        <v>964</v>
      </c>
      <c r="Y12" t="s">
        <v>965</v>
      </c>
      <c r="Z12" t="s">
        <v>966</v>
      </c>
      <c r="AA12" t="s">
        <v>967</v>
      </c>
      <c r="AB12" t="s">
        <v>779</v>
      </c>
      <c r="AC12" t="s">
        <v>968</v>
      </c>
      <c r="AD12" t="s">
        <v>969</v>
      </c>
    </row>
    <row r="13" spans="1:30">
      <c r="A13" t="s">
        <v>33</v>
      </c>
      <c r="B13" t="s">
        <v>970</v>
      </c>
      <c r="C13" t="s">
        <v>879</v>
      </c>
      <c r="D13" t="s">
        <v>971</v>
      </c>
      <c r="E13" t="s">
        <v>972</v>
      </c>
      <c r="F13" t="s">
        <v>858</v>
      </c>
      <c r="G13" t="s">
        <v>863</v>
      </c>
      <c r="H13" t="s">
        <v>803</v>
      </c>
      <c r="I13" t="s">
        <v>803</v>
      </c>
      <c r="J13" t="s">
        <v>778</v>
      </c>
      <c r="K13" t="s">
        <v>777</v>
      </c>
      <c r="L13" t="s">
        <v>782</v>
      </c>
      <c r="M13" t="s">
        <v>822</v>
      </c>
      <c r="N13" t="s">
        <v>823</v>
      </c>
      <c r="O13" t="s">
        <v>803</v>
      </c>
      <c r="P13" t="s">
        <v>973</v>
      </c>
      <c r="Q13" t="s">
        <v>974</v>
      </c>
      <c r="R13" t="s">
        <v>975</v>
      </c>
      <c r="S13" t="s">
        <v>976</v>
      </c>
      <c r="T13" t="s">
        <v>885</v>
      </c>
      <c r="U13" t="s">
        <v>977</v>
      </c>
      <c r="V13" t="s">
        <v>978</v>
      </c>
      <c r="W13" t="s">
        <v>979</v>
      </c>
      <c r="X13" t="s">
        <v>950</v>
      </c>
      <c r="Y13" t="s">
        <v>980</v>
      </c>
      <c r="Z13" t="s">
        <v>981</v>
      </c>
      <c r="AA13" t="s">
        <v>982</v>
      </c>
      <c r="AB13" t="s">
        <v>778</v>
      </c>
      <c r="AC13" t="s">
        <v>983</v>
      </c>
      <c r="AD13" t="s">
        <v>984</v>
      </c>
    </row>
    <row r="14" spans="1:30">
      <c r="A14" t="s">
        <v>33</v>
      </c>
      <c r="B14" t="s">
        <v>985</v>
      </c>
      <c r="C14" t="s">
        <v>819</v>
      </c>
      <c r="D14" t="s">
        <v>863</v>
      </c>
      <c r="E14" t="s">
        <v>796</v>
      </c>
      <c r="F14" t="s">
        <v>803</v>
      </c>
      <c r="G14" t="s">
        <v>777</v>
      </c>
      <c r="H14" t="s">
        <v>778</v>
      </c>
      <c r="I14" t="s">
        <v>803</v>
      </c>
      <c r="J14" t="s">
        <v>803</v>
      </c>
      <c r="K14" t="s">
        <v>778</v>
      </c>
      <c r="L14" t="s">
        <v>846</v>
      </c>
      <c r="M14" t="s">
        <v>778</v>
      </c>
      <c r="N14" t="s">
        <v>845</v>
      </c>
      <c r="O14" t="s">
        <v>803</v>
      </c>
      <c r="P14" t="s">
        <v>986</v>
      </c>
      <c r="Q14" t="s">
        <v>956</v>
      </c>
      <c r="R14" t="s">
        <v>987</v>
      </c>
      <c r="S14" t="s">
        <v>988</v>
      </c>
      <c r="T14" t="s">
        <v>885</v>
      </c>
      <c r="U14" t="s">
        <v>948</v>
      </c>
      <c r="V14" t="s">
        <v>989</v>
      </c>
      <c r="W14" t="s">
        <v>990</v>
      </c>
      <c r="X14" t="s">
        <v>991</v>
      </c>
      <c r="Y14" t="s">
        <v>979</v>
      </c>
      <c r="Z14" t="s">
        <v>992</v>
      </c>
      <c r="AA14" t="s">
        <v>993</v>
      </c>
      <c r="AB14" t="s">
        <v>778</v>
      </c>
      <c r="AC14" t="s">
        <v>825</v>
      </c>
      <c r="AD14" t="s">
        <v>939</v>
      </c>
    </row>
    <row r="15" spans="1:30">
      <c r="A15" t="s">
        <v>33</v>
      </c>
      <c r="B15" t="s">
        <v>994</v>
      </c>
      <c r="C15" t="s">
        <v>799</v>
      </c>
      <c r="D15" t="s">
        <v>846</v>
      </c>
      <c r="E15" t="s">
        <v>823</v>
      </c>
      <c r="F15" t="s">
        <v>777</v>
      </c>
      <c r="G15" t="s">
        <v>822</v>
      </c>
      <c r="H15" t="s">
        <v>778</v>
      </c>
      <c r="I15" t="s">
        <v>803</v>
      </c>
      <c r="J15" t="s">
        <v>803</v>
      </c>
      <c r="K15" t="s">
        <v>845</v>
      </c>
      <c r="L15" t="s">
        <v>777</v>
      </c>
      <c r="M15" t="s">
        <v>845</v>
      </c>
      <c r="N15" t="s">
        <v>846</v>
      </c>
      <c r="O15" t="s">
        <v>778</v>
      </c>
      <c r="P15" t="s">
        <v>995</v>
      </c>
      <c r="Q15" t="s">
        <v>996</v>
      </c>
      <c r="R15" t="s">
        <v>913</v>
      </c>
      <c r="S15" t="s">
        <v>997</v>
      </c>
      <c r="T15" t="s">
        <v>831</v>
      </c>
      <c r="U15" t="s">
        <v>998</v>
      </c>
      <c r="V15" t="s">
        <v>999</v>
      </c>
      <c r="W15" t="s">
        <v>1000</v>
      </c>
      <c r="X15" t="s">
        <v>1001</v>
      </c>
      <c r="Y15" t="s">
        <v>1002</v>
      </c>
      <c r="Z15" t="s">
        <v>995</v>
      </c>
      <c r="AA15" t="s">
        <v>1003</v>
      </c>
      <c r="AB15" t="s">
        <v>778</v>
      </c>
      <c r="AC15" t="s">
        <v>802</v>
      </c>
      <c r="AD15" t="s">
        <v>939</v>
      </c>
    </row>
    <row r="16" spans="1:30">
      <c r="A16" t="s">
        <v>33</v>
      </c>
      <c r="B16" t="s">
        <v>1004</v>
      </c>
      <c r="C16" t="s">
        <v>536</v>
      </c>
      <c r="D16" t="s">
        <v>822</v>
      </c>
      <c r="E16" t="s">
        <v>779</v>
      </c>
      <c r="F16" t="s">
        <v>778</v>
      </c>
      <c r="G16" t="s">
        <v>845</v>
      </c>
      <c r="H16" t="s">
        <v>778</v>
      </c>
      <c r="I16" t="s">
        <v>803</v>
      </c>
      <c r="J16" t="s">
        <v>803</v>
      </c>
      <c r="K16" t="s">
        <v>778</v>
      </c>
      <c r="L16" t="s">
        <v>822</v>
      </c>
      <c r="M16" t="s">
        <v>803</v>
      </c>
      <c r="N16" t="s">
        <v>846</v>
      </c>
      <c r="O16" t="s">
        <v>803</v>
      </c>
      <c r="P16" t="s">
        <v>1005</v>
      </c>
      <c r="Q16" t="s">
        <v>1005</v>
      </c>
      <c r="R16" t="s">
        <v>956</v>
      </c>
      <c r="S16" t="s">
        <v>1006</v>
      </c>
      <c r="T16" t="s">
        <v>939</v>
      </c>
      <c r="U16" t="s">
        <v>788</v>
      </c>
      <c r="V16" t="s">
        <v>1007</v>
      </c>
      <c r="W16" t="s">
        <v>1008</v>
      </c>
      <c r="X16" t="s">
        <v>1009</v>
      </c>
      <c r="Y16" t="s">
        <v>1010</v>
      </c>
      <c r="Z16" t="s">
        <v>1010</v>
      </c>
      <c r="AA16" t="s">
        <v>892</v>
      </c>
      <c r="AB16" t="s">
        <v>778</v>
      </c>
      <c r="AC16" t="s">
        <v>779</v>
      </c>
      <c r="AD16" t="s">
        <v>939</v>
      </c>
    </row>
    <row r="17" spans="1:30">
      <c r="A17" t="s">
        <v>33</v>
      </c>
      <c r="B17" t="s">
        <v>1011</v>
      </c>
      <c r="C17" t="s">
        <v>879</v>
      </c>
      <c r="D17" t="s">
        <v>846</v>
      </c>
      <c r="E17" t="s">
        <v>858</v>
      </c>
      <c r="F17" t="s">
        <v>803</v>
      </c>
      <c r="G17" t="s">
        <v>803</v>
      </c>
      <c r="H17" t="s">
        <v>803</v>
      </c>
      <c r="I17" t="s">
        <v>803</v>
      </c>
      <c r="J17" t="s">
        <v>803</v>
      </c>
      <c r="K17" t="s">
        <v>778</v>
      </c>
      <c r="L17" t="s">
        <v>803</v>
      </c>
      <c r="M17" t="s">
        <v>822</v>
      </c>
      <c r="N17" t="s">
        <v>777</v>
      </c>
      <c r="O17" t="s">
        <v>803</v>
      </c>
      <c r="P17" t="s">
        <v>1008</v>
      </c>
      <c r="Q17" t="s">
        <v>898</v>
      </c>
      <c r="R17" t="s">
        <v>1008</v>
      </c>
      <c r="S17" t="s">
        <v>898</v>
      </c>
      <c r="T17" t="s">
        <v>946</v>
      </c>
      <c r="U17" t="s">
        <v>885</v>
      </c>
      <c r="V17" t="s">
        <v>901</v>
      </c>
      <c r="W17" t="s">
        <v>898</v>
      </c>
      <c r="X17" t="s">
        <v>1012</v>
      </c>
      <c r="Y17" t="s">
        <v>1008</v>
      </c>
      <c r="Z17" t="s">
        <v>1013</v>
      </c>
      <c r="AA17" t="s">
        <v>1014</v>
      </c>
      <c r="AB17" t="s">
        <v>803</v>
      </c>
      <c r="AC17" t="s">
        <v>782</v>
      </c>
      <c r="AD17" t="s">
        <v>939</v>
      </c>
    </row>
    <row r="18" spans="1:30">
      <c r="A18" t="s">
        <v>105</v>
      </c>
      <c r="B18" t="s">
        <v>428</v>
      </c>
      <c r="C18" t="s">
        <v>772</v>
      </c>
      <c r="D18" t="s">
        <v>1015</v>
      </c>
      <c r="E18" t="s">
        <v>1016</v>
      </c>
      <c r="F18" t="s">
        <v>782</v>
      </c>
      <c r="G18" t="s">
        <v>925</v>
      </c>
      <c r="H18" t="s">
        <v>846</v>
      </c>
      <c r="I18" t="s">
        <v>803</v>
      </c>
      <c r="J18" t="s">
        <v>845</v>
      </c>
      <c r="K18" t="s">
        <v>862</v>
      </c>
      <c r="L18" t="s">
        <v>864</v>
      </c>
      <c r="M18" t="s">
        <v>821</v>
      </c>
      <c r="N18" t="s">
        <v>972</v>
      </c>
      <c r="O18" t="s">
        <v>845</v>
      </c>
      <c r="P18" t="s">
        <v>1017</v>
      </c>
      <c r="Q18" t="s">
        <v>1018</v>
      </c>
      <c r="R18" t="s">
        <v>975</v>
      </c>
      <c r="S18" t="s">
        <v>1019</v>
      </c>
      <c r="T18" t="s">
        <v>1020</v>
      </c>
      <c r="U18" t="s">
        <v>1021</v>
      </c>
      <c r="V18" t="s">
        <v>1022</v>
      </c>
      <c r="W18" t="s">
        <v>1023</v>
      </c>
      <c r="X18" t="s">
        <v>1024</v>
      </c>
      <c r="Y18" t="s">
        <v>1025</v>
      </c>
      <c r="Z18" t="s">
        <v>1026</v>
      </c>
      <c r="AA18" t="s">
        <v>1027</v>
      </c>
      <c r="AB18" t="s">
        <v>858</v>
      </c>
      <c r="AC18" t="s">
        <v>774</v>
      </c>
      <c r="AD18" t="s">
        <v>1028</v>
      </c>
    </row>
    <row r="19" spans="1:30">
      <c r="A19" t="s">
        <v>105</v>
      </c>
      <c r="B19" t="s">
        <v>442</v>
      </c>
      <c r="C19" t="s">
        <v>879</v>
      </c>
      <c r="D19" t="s">
        <v>1015</v>
      </c>
      <c r="E19" t="s">
        <v>1029</v>
      </c>
      <c r="F19" t="s">
        <v>825</v>
      </c>
      <c r="G19" t="s">
        <v>1030</v>
      </c>
      <c r="H19" t="s">
        <v>846</v>
      </c>
      <c r="I19" t="s">
        <v>778</v>
      </c>
      <c r="J19" t="s">
        <v>777</v>
      </c>
      <c r="K19" t="s">
        <v>971</v>
      </c>
      <c r="L19" t="s">
        <v>804</v>
      </c>
      <c r="M19" t="s">
        <v>779</v>
      </c>
      <c r="N19" t="s">
        <v>926</v>
      </c>
      <c r="O19" t="s">
        <v>803</v>
      </c>
      <c r="P19" t="s">
        <v>1031</v>
      </c>
      <c r="Q19" t="s">
        <v>1032</v>
      </c>
      <c r="R19" t="s">
        <v>1033</v>
      </c>
      <c r="S19" t="s">
        <v>1034</v>
      </c>
      <c r="T19" t="s">
        <v>1035</v>
      </c>
      <c r="U19" t="s">
        <v>1036</v>
      </c>
      <c r="V19" t="s">
        <v>1037</v>
      </c>
      <c r="W19" t="s">
        <v>1038</v>
      </c>
      <c r="X19" t="s">
        <v>1039</v>
      </c>
      <c r="Y19" t="s">
        <v>1040</v>
      </c>
      <c r="Z19" t="s">
        <v>1041</v>
      </c>
      <c r="AA19" t="s">
        <v>967</v>
      </c>
      <c r="AB19" t="s">
        <v>823</v>
      </c>
      <c r="AC19" t="s">
        <v>1042</v>
      </c>
      <c r="AD19" t="s">
        <v>1043</v>
      </c>
    </row>
    <row r="20" spans="1:30">
      <c r="A20" t="s">
        <v>105</v>
      </c>
      <c r="B20" t="s">
        <v>1044</v>
      </c>
      <c r="C20" t="s">
        <v>819</v>
      </c>
      <c r="D20" t="s">
        <v>1015</v>
      </c>
      <c r="E20" t="s">
        <v>1045</v>
      </c>
      <c r="F20" t="s">
        <v>802</v>
      </c>
      <c r="G20" t="s">
        <v>844</v>
      </c>
      <c r="H20" t="s">
        <v>845</v>
      </c>
      <c r="I20" t="s">
        <v>803</v>
      </c>
      <c r="J20" t="s">
        <v>821</v>
      </c>
      <c r="K20" t="s">
        <v>775</v>
      </c>
      <c r="L20" t="s">
        <v>1046</v>
      </c>
      <c r="M20" t="s">
        <v>796</v>
      </c>
      <c r="N20" t="s">
        <v>801</v>
      </c>
      <c r="O20" t="s">
        <v>803</v>
      </c>
      <c r="P20" t="s">
        <v>1047</v>
      </c>
      <c r="Q20" t="s">
        <v>1048</v>
      </c>
      <c r="R20" t="s">
        <v>1049</v>
      </c>
      <c r="S20" t="s">
        <v>1050</v>
      </c>
      <c r="T20" t="s">
        <v>1051</v>
      </c>
      <c r="U20" t="s">
        <v>969</v>
      </c>
      <c r="V20" t="s">
        <v>1052</v>
      </c>
      <c r="W20" t="s">
        <v>834</v>
      </c>
      <c r="X20" t="s">
        <v>889</v>
      </c>
      <c r="Y20" t="s">
        <v>1053</v>
      </c>
      <c r="Z20" t="s">
        <v>1054</v>
      </c>
      <c r="AA20" t="s">
        <v>1055</v>
      </c>
      <c r="AB20" t="s">
        <v>863</v>
      </c>
      <c r="AC20" t="s">
        <v>1056</v>
      </c>
      <c r="AD20" t="s">
        <v>1057</v>
      </c>
    </row>
    <row r="21" spans="1:30">
      <c r="A21" t="s">
        <v>105</v>
      </c>
      <c r="B21" t="s">
        <v>237</v>
      </c>
      <c r="C21" t="s">
        <v>799</v>
      </c>
      <c r="D21" t="s">
        <v>895</v>
      </c>
      <c r="E21" t="s">
        <v>1058</v>
      </c>
      <c r="F21" t="s">
        <v>796</v>
      </c>
      <c r="G21" t="s">
        <v>862</v>
      </c>
      <c r="H21" t="s">
        <v>846</v>
      </c>
      <c r="I21" t="s">
        <v>803</v>
      </c>
      <c r="J21" t="s">
        <v>778</v>
      </c>
      <c r="K21" t="s">
        <v>782</v>
      </c>
      <c r="L21" t="s">
        <v>776</v>
      </c>
      <c r="M21" t="s">
        <v>858</v>
      </c>
      <c r="N21" t="s">
        <v>776</v>
      </c>
      <c r="O21" t="s">
        <v>846</v>
      </c>
      <c r="P21" t="s">
        <v>1059</v>
      </c>
      <c r="Q21" t="s">
        <v>1060</v>
      </c>
      <c r="R21" t="s">
        <v>1061</v>
      </c>
      <c r="S21" t="s">
        <v>1019</v>
      </c>
      <c r="T21" t="s">
        <v>1020</v>
      </c>
      <c r="U21" t="s">
        <v>1062</v>
      </c>
      <c r="V21" t="s">
        <v>1063</v>
      </c>
      <c r="W21" t="s">
        <v>979</v>
      </c>
      <c r="X21" t="s">
        <v>1064</v>
      </c>
      <c r="Y21" t="s">
        <v>963</v>
      </c>
      <c r="Z21" t="s">
        <v>1005</v>
      </c>
      <c r="AA21" t="s">
        <v>1065</v>
      </c>
      <c r="AB21" t="s">
        <v>821</v>
      </c>
      <c r="AC21" t="s">
        <v>1066</v>
      </c>
      <c r="AD21" t="s">
        <v>1067</v>
      </c>
    </row>
    <row r="22" spans="1:30">
      <c r="A22" t="s">
        <v>105</v>
      </c>
      <c r="B22" t="s">
        <v>118</v>
      </c>
      <c r="C22" t="s">
        <v>1068</v>
      </c>
      <c r="D22" t="s">
        <v>842</v>
      </c>
      <c r="E22" t="s">
        <v>843</v>
      </c>
      <c r="F22" t="s">
        <v>971</v>
      </c>
      <c r="G22" t="s">
        <v>825</v>
      </c>
      <c r="H22" t="s">
        <v>821</v>
      </c>
      <c r="I22" t="s">
        <v>803</v>
      </c>
      <c r="J22" t="s">
        <v>778</v>
      </c>
      <c r="K22" t="s">
        <v>823</v>
      </c>
      <c r="L22" t="s">
        <v>844</v>
      </c>
      <c r="M22" t="s">
        <v>779</v>
      </c>
      <c r="N22" t="s">
        <v>825</v>
      </c>
      <c r="O22" t="s">
        <v>822</v>
      </c>
      <c r="P22" t="s">
        <v>1069</v>
      </c>
      <c r="Q22" t="s">
        <v>1041</v>
      </c>
      <c r="R22" t="s">
        <v>847</v>
      </c>
      <c r="S22" t="s">
        <v>1070</v>
      </c>
      <c r="T22" t="s">
        <v>831</v>
      </c>
      <c r="U22" t="s">
        <v>1071</v>
      </c>
      <c r="V22" t="s">
        <v>1072</v>
      </c>
      <c r="W22" t="s">
        <v>888</v>
      </c>
      <c r="X22" t="s">
        <v>1073</v>
      </c>
      <c r="Y22" t="s">
        <v>1074</v>
      </c>
      <c r="Z22" t="s">
        <v>1075</v>
      </c>
      <c r="AA22" t="s">
        <v>1076</v>
      </c>
      <c r="AB22" t="s">
        <v>858</v>
      </c>
      <c r="AC22" t="s">
        <v>1077</v>
      </c>
      <c r="AD22" t="s">
        <v>1078</v>
      </c>
    </row>
    <row r="23" spans="1:30">
      <c r="A23" t="s">
        <v>105</v>
      </c>
      <c r="B23" t="s">
        <v>107</v>
      </c>
      <c r="C23" t="s">
        <v>1079</v>
      </c>
      <c r="D23" t="s">
        <v>1015</v>
      </c>
      <c r="E23" t="s">
        <v>1080</v>
      </c>
      <c r="F23" t="s">
        <v>802</v>
      </c>
      <c r="G23" t="s">
        <v>844</v>
      </c>
      <c r="H23" t="s">
        <v>777</v>
      </c>
      <c r="I23" t="s">
        <v>845</v>
      </c>
      <c r="J23" t="s">
        <v>778</v>
      </c>
      <c r="K23" t="s">
        <v>823</v>
      </c>
      <c r="L23" t="s">
        <v>1081</v>
      </c>
      <c r="M23" t="s">
        <v>821</v>
      </c>
      <c r="N23" t="s">
        <v>926</v>
      </c>
      <c r="O23" t="s">
        <v>803</v>
      </c>
      <c r="P23" t="s">
        <v>1082</v>
      </c>
      <c r="Q23" t="s">
        <v>1083</v>
      </c>
      <c r="R23" t="s">
        <v>1084</v>
      </c>
      <c r="S23" t="s">
        <v>1085</v>
      </c>
      <c r="T23" t="s">
        <v>831</v>
      </c>
      <c r="U23" t="s">
        <v>1086</v>
      </c>
      <c r="V23" t="s">
        <v>1087</v>
      </c>
      <c r="W23" t="s">
        <v>933</v>
      </c>
      <c r="X23" t="s">
        <v>950</v>
      </c>
      <c r="Y23" t="s">
        <v>1088</v>
      </c>
      <c r="Z23" t="s">
        <v>1089</v>
      </c>
      <c r="AA23" t="s">
        <v>1090</v>
      </c>
      <c r="AB23" t="s">
        <v>858</v>
      </c>
      <c r="AC23" t="s">
        <v>1091</v>
      </c>
      <c r="AD23" t="s">
        <v>1092</v>
      </c>
    </row>
    <row r="24" spans="1:30">
      <c r="A24" t="s">
        <v>105</v>
      </c>
      <c r="B24" t="s">
        <v>360</v>
      </c>
      <c r="C24" t="s">
        <v>879</v>
      </c>
      <c r="D24" t="s">
        <v>895</v>
      </c>
      <c r="E24" t="s">
        <v>877</v>
      </c>
      <c r="F24" t="s">
        <v>782</v>
      </c>
      <c r="G24" t="s">
        <v>780</v>
      </c>
      <c r="H24" t="s">
        <v>822</v>
      </c>
      <c r="I24" t="s">
        <v>778</v>
      </c>
      <c r="J24" t="s">
        <v>778</v>
      </c>
      <c r="K24" t="s">
        <v>777</v>
      </c>
      <c r="L24" t="s">
        <v>842</v>
      </c>
      <c r="M24" t="s">
        <v>862</v>
      </c>
      <c r="N24" t="s">
        <v>1015</v>
      </c>
      <c r="O24" t="s">
        <v>845</v>
      </c>
      <c r="P24" t="s">
        <v>1093</v>
      </c>
      <c r="Q24" t="s">
        <v>875</v>
      </c>
      <c r="R24" t="s">
        <v>1094</v>
      </c>
      <c r="S24" t="s">
        <v>1095</v>
      </c>
      <c r="T24" t="s">
        <v>1096</v>
      </c>
      <c r="U24" t="s">
        <v>1097</v>
      </c>
      <c r="V24" t="s">
        <v>790</v>
      </c>
      <c r="W24" t="s">
        <v>1098</v>
      </c>
      <c r="X24" t="s">
        <v>1099</v>
      </c>
      <c r="Y24" t="s">
        <v>1100</v>
      </c>
      <c r="Z24" t="s">
        <v>866</v>
      </c>
      <c r="AA24" t="s">
        <v>892</v>
      </c>
      <c r="AB24" t="s">
        <v>846</v>
      </c>
      <c r="AC24" t="s">
        <v>1101</v>
      </c>
      <c r="AD24" t="s">
        <v>1102</v>
      </c>
    </row>
    <row r="25" spans="1:30">
      <c r="A25" t="s">
        <v>105</v>
      </c>
      <c r="B25" t="s">
        <v>308</v>
      </c>
      <c r="C25" t="s">
        <v>1068</v>
      </c>
      <c r="D25" t="s">
        <v>844</v>
      </c>
      <c r="E25" t="s">
        <v>1103</v>
      </c>
      <c r="F25" t="s">
        <v>821</v>
      </c>
      <c r="G25" t="s">
        <v>825</v>
      </c>
      <c r="H25" t="s">
        <v>821</v>
      </c>
      <c r="I25" t="s">
        <v>803</v>
      </c>
      <c r="J25" t="s">
        <v>778</v>
      </c>
      <c r="K25" t="s">
        <v>821</v>
      </c>
      <c r="L25" t="s">
        <v>844</v>
      </c>
      <c r="M25" t="s">
        <v>821</v>
      </c>
      <c r="N25" t="s">
        <v>802</v>
      </c>
      <c r="O25" t="s">
        <v>845</v>
      </c>
      <c r="P25" t="s">
        <v>1104</v>
      </c>
      <c r="Q25" t="s">
        <v>1105</v>
      </c>
      <c r="R25" t="s">
        <v>1054</v>
      </c>
      <c r="S25" t="s">
        <v>1106</v>
      </c>
      <c r="T25" t="s">
        <v>831</v>
      </c>
      <c r="U25" t="s">
        <v>1107</v>
      </c>
      <c r="V25" t="s">
        <v>833</v>
      </c>
      <c r="W25" t="s">
        <v>1108</v>
      </c>
      <c r="X25" t="s">
        <v>1109</v>
      </c>
      <c r="Y25" t="s">
        <v>1110</v>
      </c>
      <c r="Z25" t="s">
        <v>1111</v>
      </c>
      <c r="AA25" t="s">
        <v>1112</v>
      </c>
      <c r="AB25" t="s">
        <v>858</v>
      </c>
      <c r="AC25" t="s">
        <v>1113</v>
      </c>
      <c r="AD25" t="s">
        <v>1114</v>
      </c>
    </row>
    <row r="26" spans="1:30">
      <c r="A26" t="s">
        <v>105</v>
      </c>
      <c r="B26" t="s">
        <v>104</v>
      </c>
      <c r="C26" t="s">
        <v>536</v>
      </c>
      <c r="D26" t="s">
        <v>862</v>
      </c>
      <c r="E26" t="s">
        <v>1115</v>
      </c>
      <c r="F26" t="s">
        <v>846</v>
      </c>
      <c r="G26" t="s">
        <v>796</v>
      </c>
      <c r="H26" t="s">
        <v>845</v>
      </c>
      <c r="I26" t="s">
        <v>803</v>
      </c>
      <c r="J26" t="s">
        <v>778</v>
      </c>
      <c r="K26" t="s">
        <v>845</v>
      </c>
      <c r="L26" t="s">
        <v>775</v>
      </c>
      <c r="M26" t="s">
        <v>845</v>
      </c>
      <c r="N26" t="s">
        <v>862</v>
      </c>
      <c r="O26" t="s">
        <v>778</v>
      </c>
      <c r="P26" t="s">
        <v>1116</v>
      </c>
      <c r="Q26" t="s">
        <v>1117</v>
      </c>
      <c r="R26" t="s">
        <v>956</v>
      </c>
      <c r="S26" t="s">
        <v>1118</v>
      </c>
      <c r="T26" t="s">
        <v>1119</v>
      </c>
      <c r="U26" t="s">
        <v>1120</v>
      </c>
      <c r="V26" t="s">
        <v>1121</v>
      </c>
      <c r="W26" t="s">
        <v>1122</v>
      </c>
      <c r="X26" t="s">
        <v>1123</v>
      </c>
      <c r="Y26" t="s">
        <v>1124</v>
      </c>
      <c r="Z26" t="s">
        <v>836</v>
      </c>
      <c r="AA26" t="s">
        <v>1125</v>
      </c>
      <c r="AB26" t="s">
        <v>822</v>
      </c>
      <c r="AC26" t="s">
        <v>1126</v>
      </c>
      <c r="AD26" t="s">
        <v>1127</v>
      </c>
    </row>
    <row r="27" spans="1:30">
      <c r="A27" t="s">
        <v>105</v>
      </c>
      <c r="B27" t="s">
        <v>1128</v>
      </c>
      <c r="C27" t="s">
        <v>799</v>
      </c>
      <c r="D27" t="s">
        <v>862</v>
      </c>
      <c r="E27" t="s">
        <v>1129</v>
      </c>
      <c r="F27" t="s">
        <v>846</v>
      </c>
      <c r="G27" t="s">
        <v>971</v>
      </c>
      <c r="H27" t="s">
        <v>822</v>
      </c>
      <c r="I27" t="s">
        <v>803</v>
      </c>
      <c r="J27" t="s">
        <v>803</v>
      </c>
      <c r="K27" t="s">
        <v>846</v>
      </c>
      <c r="L27" t="s">
        <v>825</v>
      </c>
      <c r="M27" t="s">
        <v>779</v>
      </c>
      <c r="N27" t="s">
        <v>821</v>
      </c>
      <c r="O27" t="s">
        <v>778</v>
      </c>
      <c r="P27" t="s">
        <v>1130</v>
      </c>
      <c r="Q27" t="s">
        <v>957</v>
      </c>
      <c r="R27" t="s">
        <v>1131</v>
      </c>
      <c r="S27" t="s">
        <v>1132</v>
      </c>
      <c r="T27" t="s">
        <v>939</v>
      </c>
      <c r="U27" t="s">
        <v>1133</v>
      </c>
      <c r="V27" t="s">
        <v>1134</v>
      </c>
      <c r="W27" t="s">
        <v>1089</v>
      </c>
      <c r="X27" t="s">
        <v>1135</v>
      </c>
      <c r="Y27" t="s">
        <v>1136</v>
      </c>
      <c r="Z27" t="s">
        <v>1137</v>
      </c>
      <c r="AA27" t="s">
        <v>937</v>
      </c>
      <c r="AB27" t="s">
        <v>822</v>
      </c>
      <c r="AC27" t="s">
        <v>968</v>
      </c>
      <c r="AD27" t="s">
        <v>939</v>
      </c>
    </row>
    <row r="28" spans="1:30">
      <c r="A28" t="s">
        <v>105</v>
      </c>
      <c r="B28" t="s">
        <v>1138</v>
      </c>
      <c r="C28" t="s">
        <v>772</v>
      </c>
      <c r="D28" t="s">
        <v>796</v>
      </c>
      <c r="E28" t="s">
        <v>783</v>
      </c>
      <c r="F28" t="s">
        <v>846</v>
      </c>
      <c r="G28" t="s">
        <v>823</v>
      </c>
      <c r="H28" t="s">
        <v>777</v>
      </c>
      <c r="I28" t="s">
        <v>803</v>
      </c>
      <c r="J28" t="s">
        <v>778</v>
      </c>
      <c r="K28" t="s">
        <v>863</v>
      </c>
      <c r="L28" t="s">
        <v>862</v>
      </c>
      <c r="M28" t="s">
        <v>777</v>
      </c>
      <c r="N28" t="s">
        <v>863</v>
      </c>
      <c r="O28" t="s">
        <v>778</v>
      </c>
      <c r="P28" t="s">
        <v>1139</v>
      </c>
      <c r="Q28" t="s">
        <v>1140</v>
      </c>
      <c r="R28" t="s">
        <v>1141</v>
      </c>
      <c r="S28" t="s">
        <v>1142</v>
      </c>
      <c r="T28" t="s">
        <v>1020</v>
      </c>
      <c r="U28" t="s">
        <v>1143</v>
      </c>
      <c r="V28" t="s">
        <v>1144</v>
      </c>
      <c r="W28" t="s">
        <v>963</v>
      </c>
      <c r="X28" t="s">
        <v>991</v>
      </c>
      <c r="Y28" t="s">
        <v>1026</v>
      </c>
      <c r="Z28" t="s">
        <v>1145</v>
      </c>
      <c r="AA28" t="s">
        <v>1146</v>
      </c>
      <c r="AB28" t="s">
        <v>846</v>
      </c>
      <c r="AC28" t="s">
        <v>1147</v>
      </c>
      <c r="AD28" t="s">
        <v>1148</v>
      </c>
    </row>
    <row r="29" spans="1:30">
      <c r="A29" t="s">
        <v>105</v>
      </c>
      <c r="B29" t="s">
        <v>1149</v>
      </c>
      <c r="C29" t="s">
        <v>536</v>
      </c>
      <c r="D29" t="s">
        <v>971</v>
      </c>
      <c r="E29" t="s">
        <v>864</v>
      </c>
      <c r="F29" t="s">
        <v>845</v>
      </c>
      <c r="G29" t="s">
        <v>779</v>
      </c>
      <c r="H29" t="s">
        <v>846</v>
      </c>
      <c r="I29" t="s">
        <v>803</v>
      </c>
      <c r="J29" t="s">
        <v>803</v>
      </c>
      <c r="K29" t="s">
        <v>846</v>
      </c>
      <c r="L29" t="s">
        <v>796</v>
      </c>
      <c r="M29" t="s">
        <v>777</v>
      </c>
      <c r="N29" t="s">
        <v>821</v>
      </c>
      <c r="O29" t="s">
        <v>778</v>
      </c>
      <c r="P29" t="s">
        <v>898</v>
      </c>
      <c r="Q29" t="s">
        <v>1150</v>
      </c>
      <c r="R29" t="s">
        <v>807</v>
      </c>
      <c r="S29" t="s">
        <v>1151</v>
      </c>
      <c r="T29" t="s">
        <v>932</v>
      </c>
      <c r="U29" t="s">
        <v>1152</v>
      </c>
      <c r="V29" t="s">
        <v>1071</v>
      </c>
      <c r="W29" t="s">
        <v>1153</v>
      </c>
      <c r="X29" t="s">
        <v>1154</v>
      </c>
      <c r="Y29" t="s">
        <v>1155</v>
      </c>
      <c r="Z29" t="s">
        <v>1156</v>
      </c>
      <c r="AA29" t="s">
        <v>1157</v>
      </c>
      <c r="AB29" t="s">
        <v>846</v>
      </c>
      <c r="AC29" t="s">
        <v>1158</v>
      </c>
      <c r="AD29" t="s">
        <v>939</v>
      </c>
    </row>
    <row r="30" spans="1:30">
      <c r="A30" t="s">
        <v>105</v>
      </c>
      <c r="B30" t="s">
        <v>1159</v>
      </c>
      <c r="C30" t="s">
        <v>772</v>
      </c>
      <c r="D30" t="s">
        <v>802</v>
      </c>
      <c r="E30" t="s">
        <v>864</v>
      </c>
      <c r="F30" t="s">
        <v>846</v>
      </c>
      <c r="G30" t="s">
        <v>858</v>
      </c>
      <c r="H30" t="s">
        <v>803</v>
      </c>
      <c r="I30" t="s">
        <v>803</v>
      </c>
      <c r="J30" t="s">
        <v>803</v>
      </c>
      <c r="K30" t="s">
        <v>822</v>
      </c>
      <c r="L30" t="s">
        <v>858</v>
      </c>
      <c r="M30" t="s">
        <v>845</v>
      </c>
      <c r="N30" t="s">
        <v>858</v>
      </c>
      <c r="O30" t="s">
        <v>845</v>
      </c>
      <c r="P30" t="s">
        <v>1160</v>
      </c>
      <c r="Q30" t="s">
        <v>1161</v>
      </c>
      <c r="R30" t="s">
        <v>1160</v>
      </c>
      <c r="S30" t="s">
        <v>1162</v>
      </c>
      <c r="T30" t="s">
        <v>939</v>
      </c>
      <c r="U30" t="s">
        <v>948</v>
      </c>
      <c r="V30" t="s">
        <v>948</v>
      </c>
      <c r="W30" t="s">
        <v>1163</v>
      </c>
      <c r="X30" t="s">
        <v>1164</v>
      </c>
      <c r="Y30" t="s">
        <v>1008</v>
      </c>
      <c r="Z30" t="s">
        <v>936</v>
      </c>
      <c r="AA30" t="s">
        <v>1165</v>
      </c>
      <c r="AB30" t="s">
        <v>803</v>
      </c>
      <c r="AC30" t="s">
        <v>1081</v>
      </c>
      <c r="AD30" t="s">
        <v>939</v>
      </c>
    </row>
    <row r="31" spans="1:30">
      <c r="A31" t="s">
        <v>35</v>
      </c>
      <c r="B31" t="s">
        <v>34</v>
      </c>
      <c r="C31" t="s">
        <v>879</v>
      </c>
      <c r="D31" t="s">
        <v>773</v>
      </c>
      <c r="E31" t="s">
        <v>1077</v>
      </c>
      <c r="F31" t="s">
        <v>925</v>
      </c>
      <c r="G31" t="s">
        <v>895</v>
      </c>
      <c r="H31" t="s">
        <v>822</v>
      </c>
      <c r="I31" t="s">
        <v>803</v>
      </c>
      <c r="J31" t="s">
        <v>823</v>
      </c>
      <c r="K31" t="s">
        <v>780</v>
      </c>
      <c r="L31" t="s">
        <v>968</v>
      </c>
      <c r="M31" t="s">
        <v>805</v>
      </c>
      <c r="N31" t="s">
        <v>801</v>
      </c>
      <c r="O31" t="s">
        <v>846</v>
      </c>
      <c r="P31" t="s">
        <v>1166</v>
      </c>
      <c r="Q31" t="s">
        <v>1167</v>
      </c>
      <c r="R31" t="s">
        <v>1168</v>
      </c>
      <c r="S31" t="s">
        <v>1169</v>
      </c>
      <c r="T31" t="s">
        <v>1170</v>
      </c>
      <c r="U31" t="s">
        <v>1171</v>
      </c>
      <c r="V31" t="s">
        <v>902</v>
      </c>
      <c r="W31" t="s">
        <v>1026</v>
      </c>
      <c r="X31" t="s">
        <v>1172</v>
      </c>
      <c r="Y31" t="s">
        <v>1173</v>
      </c>
      <c r="Z31" t="s">
        <v>1174</v>
      </c>
      <c r="AA31" t="s">
        <v>1175</v>
      </c>
      <c r="AB31" t="s">
        <v>802</v>
      </c>
      <c r="AC31" t="s">
        <v>839</v>
      </c>
      <c r="AD31" t="s">
        <v>851</v>
      </c>
    </row>
    <row r="32" spans="1:30">
      <c r="A32" t="s">
        <v>35</v>
      </c>
      <c r="B32" t="s">
        <v>1176</v>
      </c>
      <c r="C32" t="s">
        <v>841</v>
      </c>
      <c r="D32" t="s">
        <v>1015</v>
      </c>
      <c r="E32" t="s">
        <v>1091</v>
      </c>
      <c r="F32" t="s">
        <v>971</v>
      </c>
      <c r="G32" t="s">
        <v>805</v>
      </c>
      <c r="H32" t="s">
        <v>846</v>
      </c>
      <c r="I32" t="s">
        <v>803</v>
      </c>
      <c r="J32" t="s">
        <v>845</v>
      </c>
      <c r="K32" t="s">
        <v>779</v>
      </c>
      <c r="L32" t="s">
        <v>826</v>
      </c>
      <c r="M32" t="s">
        <v>782</v>
      </c>
      <c r="N32" t="s">
        <v>864</v>
      </c>
      <c r="O32" t="s">
        <v>779</v>
      </c>
      <c r="P32" t="s">
        <v>973</v>
      </c>
      <c r="Q32" t="s">
        <v>1156</v>
      </c>
      <c r="R32" t="s">
        <v>1173</v>
      </c>
      <c r="S32" t="s">
        <v>1177</v>
      </c>
      <c r="T32" t="s">
        <v>831</v>
      </c>
      <c r="U32" t="s">
        <v>1178</v>
      </c>
      <c r="V32" t="s">
        <v>1144</v>
      </c>
      <c r="W32" t="s">
        <v>1074</v>
      </c>
      <c r="X32" t="s">
        <v>1179</v>
      </c>
      <c r="Y32" t="s">
        <v>1180</v>
      </c>
      <c r="Z32" t="s">
        <v>1181</v>
      </c>
      <c r="AA32" t="s">
        <v>838</v>
      </c>
      <c r="AB32" t="s">
        <v>858</v>
      </c>
      <c r="AC32" t="s">
        <v>800</v>
      </c>
      <c r="AD32" t="s">
        <v>1182</v>
      </c>
    </row>
    <row r="33" spans="1:30">
      <c r="A33" t="s">
        <v>35</v>
      </c>
      <c r="B33" t="s">
        <v>209</v>
      </c>
      <c r="C33" t="s">
        <v>772</v>
      </c>
      <c r="D33" t="s">
        <v>1015</v>
      </c>
      <c r="E33" t="s">
        <v>1183</v>
      </c>
      <c r="F33" t="s">
        <v>971</v>
      </c>
      <c r="G33" t="s">
        <v>842</v>
      </c>
      <c r="H33" t="s">
        <v>846</v>
      </c>
      <c r="I33" t="s">
        <v>803</v>
      </c>
      <c r="J33" t="s">
        <v>822</v>
      </c>
      <c r="K33" t="s">
        <v>782</v>
      </c>
      <c r="L33" t="s">
        <v>1184</v>
      </c>
      <c r="M33" t="s">
        <v>777</v>
      </c>
      <c r="N33" t="s">
        <v>844</v>
      </c>
      <c r="O33" t="s">
        <v>782</v>
      </c>
      <c r="P33" t="s">
        <v>1117</v>
      </c>
      <c r="Q33" t="s">
        <v>1185</v>
      </c>
      <c r="R33" t="s">
        <v>1186</v>
      </c>
      <c r="S33" t="s">
        <v>1187</v>
      </c>
      <c r="T33" t="s">
        <v>1188</v>
      </c>
      <c r="U33" t="s">
        <v>1189</v>
      </c>
      <c r="V33" t="s">
        <v>1190</v>
      </c>
      <c r="W33" t="s">
        <v>1191</v>
      </c>
      <c r="X33" t="s">
        <v>1192</v>
      </c>
      <c r="Y33" t="s">
        <v>1193</v>
      </c>
      <c r="Z33" t="s">
        <v>1194</v>
      </c>
      <c r="AA33" t="s">
        <v>1195</v>
      </c>
      <c r="AB33" t="s">
        <v>863</v>
      </c>
      <c r="AC33" t="s">
        <v>1196</v>
      </c>
      <c r="AD33" t="s">
        <v>1197</v>
      </c>
    </row>
    <row r="34" spans="1:30">
      <c r="A34" t="s">
        <v>35</v>
      </c>
      <c r="B34" t="s">
        <v>88</v>
      </c>
      <c r="C34" t="s">
        <v>799</v>
      </c>
      <c r="D34" t="s">
        <v>1015</v>
      </c>
      <c r="E34" t="s">
        <v>1183</v>
      </c>
      <c r="F34" t="s">
        <v>780</v>
      </c>
      <c r="G34" t="s">
        <v>844</v>
      </c>
      <c r="H34" t="s">
        <v>822</v>
      </c>
      <c r="I34" t="s">
        <v>778</v>
      </c>
      <c r="J34" t="s">
        <v>822</v>
      </c>
      <c r="K34" t="s">
        <v>796</v>
      </c>
      <c r="L34" t="s">
        <v>1198</v>
      </c>
      <c r="M34" t="s">
        <v>780</v>
      </c>
      <c r="N34" t="s">
        <v>825</v>
      </c>
      <c r="O34" t="s">
        <v>822</v>
      </c>
      <c r="P34" t="s">
        <v>1199</v>
      </c>
      <c r="Q34" t="s">
        <v>899</v>
      </c>
      <c r="R34" t="s">
        <v>1200</v>
      </c>
      <c r="S34" t="s">
        <v>1201</v>
      </c>
      <c r="T34" t="s">
        <v>1170</v>
      </c>
      <c r="U34" t="s">
        <v>1202</v>
      </c>
      <c r="V34" t="s">
        <v>1203</v>
      </c>
      <c r="W34" t="s">
        <v>918</v>
      </c>
      <c r="X34" t="s">
        <v>1204</v>
      </c>
      <c r="Y34" t="s">
        <v>1193</v>
      </c>
      <c r="Z34" t="s">
        <v>1032</v>
      </c>
      <c r="AA34" t="s">
        <v>1205</v>
      </c>
      <c r="AB34" t="s">
        <v>858</v>
      </c>
      <c r="AC34" t="s">
        <v>1206</v>
      </c>
      <c r="AD34" t="s">
        <v>1197</v>
      </c>
    </row>
    <row r="35" spans="1:30">
      <c r="A35" t="s">
        <v>35</v>
      </c>
      <c r="B35" t="s">
        <v>188</v>
      </c>
      <c r="C35" t="s">
        <v>1207</v>
      </c>
      <c r="D35" t="s">
        <v>844</v>
      </c>
      <c r="E35" t="s">
        <v>1058</v>
      </c>
      <c r="F35" t="s">
        <v>863</v>
      </c>
      <c r="G35" t="s">
        <v>895</v>
      </c>
      <c r="H35" t="s">
        <v>821</v>
      </c>
      <c r="I35" t="s">
        <v>803</v>
      </c>
      <c r="J35" t="s">
        <v>822</v>
      </c>
      <c r="K35" t="s">
        <v>796</v>
      </c>
      <c r="L35" t="s">
        <v>1198</v>
      </c>
      <c r="M35" t="s">
        <v>821</v>
      </c>
      <c r="N35" t="s">
        <v>1208</v>
      </c>
      <c r="O35" t="s">
        <v>778</v>
      </c>
      <c r="P35" t="s">
        <v>1209</v>
      </c>
      <c r="Q35" t="s">
        <v>1210</v>
      </c>
      <c r="R35" t="s">
        <v>1211</v>
      </c>
      <c r="S35" t="s">
        <v>1212</v>
      </c>
      <c r="T35" t="s">
        <v>831</v>
      </c>
      <c r="U35" t="s">
        <v>1213</v>
      </c>
      <c r="V35" t="s">
        <v>1214</v>
      </c>
      <c r="W35" t="s">
        <v>1215</v>
      </c>
      <c r="X35" t="s">
        <v>1216</v>
      </c>
      <c r="Y35" t="s">
        <v>1217</v>
      </c>
      <c r="Z35" t="s">
        <v>1139</v>
      </c>
      <c r="AA35" t="s">
        <v>1218</v>
      </c>
      <c r="AB35" t="s">
        <v>779</v>
      </c>
      <c r="AC35" t="s">
        <v>1183</v>
      </c>
      <c r="AD35" t="s">
        <v>1219</v>
      </c>
    </row>
    <row r="36" spans="1:30">
      <c r="A36" t="s">
        <v>35</v>
      </c>
      <c r="B36" t="s">
        <v>69</v>
      </c>
      <c r="C36" t="s">
        <v>819</v>
      </c>
      <c r="D36" t="s">
        <v>1015</v>
      </c>
      <c r="E36" t="s">
        <v>1220</v>
      </c>
      <c r="F36" t="s">
        <v>776</v>
      </c>
      <c r="G36" t="s">
        <v>773</v>
      </c>
      <c r="H36" t="s">
        <v>863</v>
      </c>
      <c r="I36" t="s">
        <v>803</v>
      </c>
      <c r="J36" t="s">
        <v>779</v>
      </c>
      <c r="K36" t="s">
        <v>805</v>
      </c>
      <c r="L36" t="s">
        <v>954</v>
      </c>
      <c r="M36" t="s">
        <v>926</v>
      </c>
      <c r="N36" t="s">
        <v>1221</v>
      </c>
      <c r="O36" t="s">
        <v>778</v>
      </c>
      <c r="P36" t="s">
        <v>1131</v>
      </c>
      <c r="Q36" t="s">
        <v>1222</v>
      </c>
      <c r="R36" t="s">
        <v>1223</v>
      </c>
      <c r="S36" t="s">
        <v>1224</v>
      </c>
      <c r="T36" t="s">
        <v>1225</v>
      </c>
      <c r="U36" t="s">
        <v>1226</v>
      </c>
      <c r="V36" t="s">
        <v>1227</v>
      </c>
      <c r="W36" t="s">
        <v>1040</v>
      </c>
      <c r="X36" t="s">
        <v>1154</v>
      </c>
      <c r="Y36" t="s">
        <v>1228</v>
      </c>
      <c r="Z36" t="s">
        <v>1229</v>
      </c>
      <c r="AA36" t="s">
        <v>1146</v>
      </c>
      <c r="AB36" t="s">
        <v>862</v>
      </c>
      <c r="AC36" t="s">
        <v>800</v>
      </c>
      <c r="AD36" t="s">
        <v>1230</v>
      </c>
    </row>
    <row r="37" spans="1:30">
      <c r="A37" t="s">
        <v>35</v>
      </c>
      <c r="B37" t="s">
        <v>408</v>
      </c>
      <c r="C37" t="s">
        <v>1079</v>
      </c>
      <c r="D37" t="s">
        <v>1015</v>
      </c>
      <c r="E37" t="s">
        <v>1231</v>
      </c>
      <c r="F37" t="s">
        <v>796</v>
      </c>
      <c r="G37" t="s">
        <v>802</v>
      </c>
      <c r="H37" t="s">
        <v>778</v>
      </c>
      <c r="I37" t="s">
        <v>778</v>
      </c>
      <c r="J37" t="s">
        <v>777</v>
      </c>
      <c r="K37" t="s">
        <v>1232</v>
      </c>
      <c r="L37" t="s">
        <v>773</v>
      </c>
      <c r="M37" t="s">
        <v>775</v>
      </c>
      <c r="N37" t="s">
        <v>926</v>
      </c>
      <c r="O37" t="s">
        <v>778</v>
      </c>
      <c r="P37" t="s">
        <v>1233</v>
      </c>
      <c r="Q37" t="s">
        <v>1234</v>
      </c>
      <c r="R37" t="s">
        <v>1235</v>
      </c>
      <c r="S37" t="s">
        <v>1236</v>
      </c>
      <c r="T37" t="s">
        <v>885</v>
      </c>
      <c r="U37" t="s">
        <v>1237</v>
      </c>
      <c r="V37" t="s">
        <v>852</v>
      </c>
      <c r="W37" t="s">
        <v>897</v>
      </c>
      <c r="X37" t="s">
        <v>1238</v>
      </c>
      <c r="Y37" t="s">
        <v>1239</v>
      </c>
      <c r="Z37" t="s">
        <v>1240</v>
      </c>
      <c r="AA37" t="s">
        <v>1241</v>
      </c>
      <c r="AB37" t="s">
        <v>821</v>
      </c>
      <c r="AC37" t="s">
        <v>1101</v>
      </c>
      <c r="AD37" t="s">
        <v>1242</v>
      </c>
    </row>
    <row r="38" spans="1:30">
      <c r="A38" t="s">
        <v>35</v>
      </c>
      <c r="B38" t="s">
        <v>45</v>
      </c>
      <c r="C38" t="s">
        <v>536</v>
      </c>
      <c r="D38" t="s">
        <v>925</v>
      </c>
      <c r="E38" t="s">
        <v>1243</v>
      </c>
      <c r="F38" t="s">
        <v>846</v>
      </c>
      <c r="G38" t="s">
        <v>971</v>
      </c>
      <c r="H38" t="s">
        <v>778</v>
      </c>
      <c r="I38" t="s">
        <v>803</v>
      </c>
      <c r="J38" t="s">
        <v>845</v>
      </c>
      <c r="K38" t="s">
        <v>777</v>
      </c>
      <c r="L38" t="s">
        <v>775</v>
      </c>
      <c r="M38" t="s">
        <v>825</v>
      </c>
      <c r="N38" t="s">
        <v>796</v>
      </c>
      <c r="O38" t="s">
        <v>803</v>
      </c>
      <c r="P38" t="s">
        <v>897</v>
      </c>
      <c r="Q38" t="s">
        <v>1244</v>
      </c>
      <c r="R38" t="s">
        <v>975</v>
      </c>
      <c r="S38" t="s">
        <v>1245</v>
      </c>
      <c r="T38" t="s">
        <v>869</v>
      </c>
      <c r="U38" t="s">
        <v>1107</v>
      </c>
      <c r="V38" t="s">
        <v>833</v>
      </c>
      <c r="W38" t="s">
        <v>897</v>
      </c>
      <c r="X38" t="s">
        <v>1246</v>
      </c>
      <c r="Y38" t="s">
        <v>1247</v>
      </c>
      <c r="Z38" t="s">
        <v>1248</v>
      </c>
      <c r="AA38" t="s">
        <v>1249</v>
      </c>
      <c r="AB38" t="s">
        <v>822</v>
      </c>
      <c r="AC38" t="s">
        <v>1250</v>
      </c>
      <c r="AD38" t="s">
        <v>1197</v>
      </c>
    </row>
    <row r="39" spans="1:30">
      <c r="A39" t="s">
        <v>35</v>
      </c>
      <c r="B39" t="s">
        <v>381</v>
      </c>
      <c r="C39" t="s">
        <v>1068</v>
      </c>
      <c r="D39" t="s">
        <v>842</v>
      </c>
      <c r="E39" t="s">
        <v>1251</v>
      </c>
      <c r="F39" t="s">
        <v>821</v>
      </c>
      <c r="G39" t="s">
        <v>782</v>
      </c>
      <c r="H39" t="s">
        <v>803</v>
      </c>
      <c r="I39" t="s">
        <v>803</v>
      </c>
      <c r="J39" t="s">
        <v>845</v>
      </c>
      <c r="K39" t="s">
        <v>858</v>
      </c>
      <c r="L39" t="s">
        <v>862</v>
      </c>
      <c r="M39" t="s">
        <v>823</v>
      </c>
      <c r="N39" t="s">
        <v>925</v>
      </c>
      <c r="O39" t="s">
        <v>803</v>
      </c>
      <c r="P39" t="s">
        <v>1252</v>
      </c>
      <c r="Q39" t="s">
        <v>1253</v>
      </c>
      <c r="R39" t="s">
        <v>943</v>
      </c>
      <c r="S39" t="s">
        <v>1254</v>
      </c>
      <c r="T39" t="s">
        <v>885</v>
      </c>
      <c r="U39" t="s">
        <v>1214</v>
      </c>
      <c r="V39" t="s">
        <v>1255</v>
      </c>
      <c r="W39" t="s">
        <v>1256</v>
      </c>
      <c r="X39" t="s">
        <v>1039</v>
      </c>
      <c r="Y39" t="s">
        <v>1257</v>
      </c>
      <c r="Z39" t="s">
        <v>1258</v>
      </c>
      <c r="AA39" t="s">
        <v>1218</v>
      </c>
      <c r="AB39" t="s">
        <v>845</v>
      </c>
      <c r="AC39" t="s">
        <v>1259</v>
      </c>
      <c r="AD39" t="s">
        <v>1260</v>
      </c>
    </row>
    <row r="40" spans="1:30">
      <c r="A40" t="s">
        <v>35</v>
      </c>
      <c r="B40" t="s">
        <v>1261</v>
      </c>
      <c r="C40" t="s">
        <v>1068</v>
      </c>
      <c r="D40" t="s">
        <v>926</v>
      </c>
      <c r="E40" t="s">
        <v>1115</v>
      </c>
      <c r="F40" t="s">
        <v>858</v>
      </c>
      <c r="G40" t="s">
        <v>825</v>
      </c>
      <c r="H40" t="s">
        <v>778</v>
      </c>
      <c r="I40" t="s">
        <v>778</v>
      </c>
      <c r="J40" t="s">
        <v>777</v>
      </c>
      <c r="K40" t="s">
        <v>802</v>
      </c>
      <c r="L40" t="s">
        <v>1221</v>
      </c>
      <c r="M40" t="s">
        <v>777</v>
      </c>
      <c r="N40" t="s">
        <v>782</v>
      </c>
      <c r="O40" t="s">
        <v>803</v>
      </c>
      <c r="P40" t="s">
        <v>1262</v>
      </c>
      <c r="Q40" t="s">
        <v>1210</v>
      </c>
      <c r="R40" t="s">
        <v>1263</v>
      </c>
      <c r="S40" t="s">
        <v>1264</v>
      </c>
      <c r="T40" t="s">
        <v>885</v>
      </c>
      <c r="U40" t="s">
        <v>1265</v>
      </c>
      <c r="V40" t="s">
        <v>871</v>
      </c>
      <c r="W40" t="s">
        <v>1215</v>
      </c>
      <c r="X40" t="s">
        <v>1266</v>
      </c>
      <c r="Y40" t="s">
        <v>1262</v>
      </c>
      <c r="Z40" t="s">
        <v>956</v>
      </c>
      <c r="AA40" t="s">
        <v>1267</v>
      </c>
      <c r="AB40" t="s">
        <v>821</v>
      </c>
      <c r="AC40" t="s">
        <v>954</v>
      </c>
      <c r="AD40" t="s">
        <v>1268</v>
      </c>
    </row>
    <row r="41" spans="1:30">
      <c r="A41" t="s">
        <v>35</v>
      </c>
      <c r="B41" t="s">
        <v>1269</v>
      </c>
      <c r="C41" t="s">
        <v>879</v>
      </c>
      <c r="D41" t="s">
        <v>1232</v>
      </c>
      <c r="E41" t="s">
        <v>1030</v>
      </c>
      <c r="F41" t="s">
        <v>863</v>
      </c>
      <c r="G41" t="s">
        <v>821</v>
      </c>
      <c r="H41" t="s">
        <v>777</v>
      </c>
      <c r="I41" t="s">
        <v>803</v>
      </c>
      <c r="J41" t="s">
        <v>803</v>
      </c>
      <c r="K41" t="s">
        <v>845</v>
      </c>
      <c r="L41" t="s">
        <v>823</v>
      </c>
      <c r="M41" t="s">
        <v>778</v>
      </c>
      <c r="N41" t="s">
        <v>823</v>
      </c>
      <c r="O41" t="s">
        <v>803</v>
      </c>
      <c r="P41" t="s">
        <v>1270</v>
      </c>
      <c r="Q41" t="s">
        <v>1160</v>
      </c>
      <c r="R41" t="s">
        <v>1271</v>
      </c>
      <c r="S41" t="s">
        <v>1272</v>
      </c>
      <c r="T41" t="s">
        <v>901</v>
      </c>
      <c r="U41" t="s">
        <v>1273</v>
      </c>
      <c r="V41" t="s">
        <v>1255</v>
      </c>
      <c r="W41" t="s">
        <v>1274</v>
      </c>
      <c r="X41" t="s">
        <v>854</v>
      </c>
      <c r="Y41" t="s">
        <v>890</v>
      </c>
      <c r="Z41" t="s">
        <v>1089</v>
      </c>
      <c r="AA41" t="s">
        <v>1157</v>
      </c>
      <c r="AB41" t="s">
        <v>777</v>
      </c>
      <c r="AC41" t="s">
        <v>864</v>
      </c>
      <c r="AD41" t="s">
        <v>939</v>
      </c>
    </row>
    <row r="42" spans="1:30">
      <c r="A42" t="s">
        <v>35</v>
      </c>
      <c r="B42" t="s">
        <v>1275</v>
      </c>
      <c r="C42" t="s">
        <v>536</v>
      </c>
      <c r="D42" t="s">
        <v>779</v>
      </c>
      <c r="E42" t="s">
        <v>773</v>
      </c>
      <c r="F42" t="s">
        <v>822</v>
      </c>
      <c r="G42" t="s">
        <v>821</v>
      </c>
      <c r="H42" t="s">
        <v>845</v>
      </c>
      <c r="I42" t="s">
        <v>778</v>
      </c>
      <c r="J42" t="s">
        <v>803</v>
      </c>
      <c r="K42" t="s">
        <v>846</v>
      </c>
      <c r="L42" t="s">
        <v>823</v>
      </c>
      <c r="M42" t="s">
        <v>778</v>
      </c>
      <c r="N42" t="s">
        <v>779</v>
      </c>
      <c r="O42" t="s">
        <v>803</v>
      </c>
      <c r="P42" t="s">
        <v>1276</v>
      </c>
      <c r="Q42" t="s">
        <v>1277</v>
      </c>
      <c r="R42" t="s">
        <v>987</v>
      </c>
      <c r="S42" t="s">
        <v>1278</v>
      </c>
      <c r="T42" t="s">
        <v>885</v>
      </c>
      <c r="U42" t="s">
        <v>1279</v>
      </c>
      <c r="V42" t="s">
        <v>1280</v>
      </c>
      <c r="W42" t="s">
        <v>1281</v>
      </c>
      <c r="X42" t="s">
        <v>1282</v>
      </c>
      <c r="Y42" t="s">
        <v>992</v>
      </c>
      <c r="Z42" t="s">
        <v>1283</v>
      </c>
      <c r="AA42" t="s">
        <v>1284</v>
      </c>
      <c r="AB42" t="s">
        <v>822</v>
      </c>
      <c r="AC42" t="s">
        <v>1208</v>
      </c>
      <c r="AD42" t="s">
        <v>939</v>
      </c>
    </row>
    <row r="43" spans="1:30">
      <c r="A43" t="s">
        <v>35</v>
      </c>
      <c r="B43" t="s">
        <v>1285</v>
      </c>
      <c r="C43" t="s">
        <v>819</v>
      </c>
      <c r="D43" t="s">
        <v>823</v>
      </c>
      <c r="E43" t="s">
        <v>773</v>
      </c>
      <c r="F43" t="s">
        <v>821</v>
      </c>
      <c r="G43" t="s">
        <v>846</v>
      </c>
      <c r="H43" t="s">
        <v>777</v>
      </c>
      <c r="I43" t="s">
        <v>803</v>
      </c>
      <c r="J43" t="s">
        <v>778</v>
      </c>
      <c r="K43" t="s">
        <v>777</v>
      </c>
      <c r="L43" t="s">
        <v>971</v>
      </c>
      <c r="M43" t="s">
        <v>777</v>
      </c>
      <c r="N43" t="s">
        <v>863</v>
      </c>
      <c r="O43" t="s">
        <v>803</v>
      </c>
      <c r="P43" t="s">
        <v>1283</v>
      </c>
      <c r="Q43" t="s">
        <v>1156</v>
      </c>
      <c r="R43" t="s">
        <v>1013</v>
      </c>
      <c r="S43" t="s">
        <v>1286</v>
      </c>
      <c r="T43" t="s">
        <v>1020</v>
      </c>
      <c r="U43" t="s">
        <v>1087</v>
      </c>
      <c r="V43" t="s">
        <v>1287</v>
      </c>
      <c r="W43" t="s">
        <v>936</v>
      </c>
      <c r="X43" t="s">
        <v>991</v>
      </c>
      <c r="Y43" t="s">
        <v>1199</v>
      </c>
      <c r="Z43" t="s">
        <v>957</v>
      </c>
      <c r="AA43" t="s">
        <v>1175</v>
      </c>
      <c r="AB43" t="s">
        <v>846</v>
      </c>
      <c r="AC43" t="s">
        <v>864</v>
      </c>
      <c r="AD43" t="s">
        <v>1288</v>
      </c>
    </row>
    <row r="44" spans="1:30">
      <c r="A44" t="s">
        <v>68</v>
      </c>
      <c r="B44" t="s">
        <v>211</v>
      </c>
      <c r="C44" t="s">
        <v>1068</v>
      </c>
      <c r="D44" t="s">
        <v>1015</v>
      </c>
      <c r="E44" t="s">
        <v>1289</v>
      </c>
      <c r="F44" t="s">
        <v>862</v>
      </c>
      <c r="G44" t="s">
        <v>773</v>
      </c>
      <c r="H44" t="s">
        <v>822</v>
      </c>
      <c r="I44" t="s">
        <v>803</v>
      </c>
      <c r="J44" t="s">
        <v>863</v>
      </c>
      <c r="K44" t="s">
        <v>825</v>
      </c>
      <c r="L44" t="s">
        <v>941</v>
      </c>
      <c r="M44" t="s">
        <v>802</v>
      </c>
      <c r="N44" t="s">
        <v>780</v>
      </c>
      <c r="O44" t="s">
        <v>803</v>
      </c>
      <c r="P44" t="s">
        <v>1290</v>
      </c>
      <c r="Q44" t="s">
        <v>829</v>
      </c>
      <c r="R44" t="s">
        <v>1291</v>
      </c>
      <c r="S44" t="s">
        <v>1292</v>
      </c>
      <c r="T44" t="s">
        <v>869</v>
      </c>
      <c r="U44" t="s">
        <v>1293</v>
      </c>
      <c r="V44" t="s">
        <v>1071</v>
      </c>
      <c r="W44" t="s">
        <v>1294</v>
      </c>
      <c r="X44" t="s">
        <v>1295</v>
      </c>
      <c r="Y44" t="s">
        <v>1199</v>
      </c>
      <c r="Z44" t="s">
        <v>1296</v>
      </c>
      <c r="AA44" t="s">
        <v>1297</v>
      </c>
      <c r="AB44" t="s">
        <v>782</v>
      </c>
      <c r="AC44" t="s">
        <v>1298</v>
      </c>
      <c r="AD44" t="s">
        <v>1299</v>
      </c>
    </row>
    <row r="45" spans="1:30">
      <c r="A45" t="s">
        <v>68</v>
      </c>
      <c r="B45" t="s">
        <v>112</v>
      </c>
      <c r="C45" t="s">
        <v>799</v>
      </c>
      <c r="D45" t="s">
        <v>1015</v>
      </c>
      <c r="E45" t="s">
        <v>1300</v>
      </c>
      <c r="F45" t="s">
        <v>796</v>
      </c>
      <c r="G45" t="s">
        <v>801</v>
      </c>
      <c r="H45" t="s">
        <v>803</v>
      </c>
      <c r="I45" t="s">
        <v>845</v>
      </c>
      <c r="J45" t="s">
        <v>803</v>
      </c>
      <c r="K45" t="s">
        <v>821</v>
      </c>
      <c r="L45" t="s">
        <v>1198</v>
      </c>
      <c r="M45" t="s">
        <v>821</v>
      </c>
      <c r="N45" t="s">
        <v>823</v>
      </c>
      <c r="O45" t="s">
        <v>779</v>
      </c>
      <c r="P45" t="s">
        <v>1301</v>
      </c>
      <c r="Q45" t="s">
        <v>1032</v>
      </c>
      <c r="R45" t="s">
        <v>1054</v>
      </c>
      <c r="S45" t="s">
        <v>1302</v>
      </c>
      <c r="T45" t="s">
        <v>788</v>
      </c>
      <c r="U45" t="s">
        <v>1303</v>
      </c>
      <c r="V45" t="s">
        <v>1304</v>
      </c>
      <c r="W45" t="s">
        <v>1305</v>
      </c>
      <c r="X45" t="s">
        <v>1073</v>
      </c>
      <c r="Y45" t="s">
        <v>1306</v>
      </c>
      <c r="Z45" t="s">
        <v>1307</v>
      </c>
      <c r="AA45" t="s">
        <v>1308</v>
      </c>
      <c r="AB45" t="s">
        <v>845</v>
      </c>
      <c r="AC45" t="s">
        <v>1206</v>
      </c>
      <c r="AD45" t="s">
        <v>939</v>
      </c>
    </row>
    <row r="46" spans="1:30">
      <c r="A46" t="s">
        <v>68</v>
      </c>
      <c r="B46" t="s">
        <v>450</v>
      </c>
      <c r="C46" t="s">
        <v>819</v>
      </c>
      <c r="D46" t="s">
        <v>1015</v>
      </c>
      <c r="E46" t="s">
        <v>1029</v>
      </c>
      <c r="F46" t="s">
        <v>1232</v>
      </c>
      <c r="G46" t="s">
        <v>1081</v>
      </c>
      <c r="H46" t="s">
        <v>822</v>
      </c>
      <c r="I46" t="s">
        <v>778</v>
      </c>
      <c r="J46" t="s">
        <v>777</v>
      </c>
      <c r="K46" t="s">
        <v>926</v>
      </c>
      <c r="L46" t="s">
        <v>1309</v>
      </c>
      <c r="M46" t="s">
        <v>782</v>
      </c>
      <c r="N46" t="s">
        <v>796</v>
      </c>
      <c r="O46" t="s">
        <v>778</v>
      </c>
      <c r="P46" t="s">
        <v>1310</v>
      </c>
      <c r="Q46" t="s">
        <v>1311</v>
      </c>
      <c r="R46" t="s">
        <v>1312</v>
      </c>
      <c r="S46" t="s">
        <v>1313</v>
      </c>
      <c r="T46" t="s">
        <v>1188</v>
      </c>
      <c r="U46" t="s">
        <v>1314</v>
      </c>
      <c r="V46" t="s">
        <v>1315</v>
      </c>
      <c r="W46" t="s">
        <v>1316</v>
      </c>
      <c r="X46" t="s">
        <v>919</v>
      </c>
      <c r="Y46" t="s">
        <v>1317</v>
      </c>
      <c r="Z46" t="s">
        <v>1318</v>
      </c>
      <c r="AA46" t="s">
        <v>1112</v>
      </c>
      <c r="AB46" t="s">
        <v>863</v>
      </c>
      <c r="AC46" t="s">
        <v>1319</v>
      </c>
      <c r="AD46" t="s">
        <v>1043</v>
      </c>
    </row>
    <row r="47" spans="1:30">
      <c r="A47" t="s">
        <v>68</v>
      </c>
      <c r="B47" t="s">
        <v>207</v>
      </c>
      <c r="C47" t="s">
        <v>819</v>
      </c>
      <c r="D47" t="s">
        <v>1015</v>
      </c>
      <c r="E47" t="s">
        <v>1091</v>
      </c>
      <c r="F47" t="s">
        <v>1232</v>
      </c>
      <c r="G47" t="s">
        <v>925</v>
      </c>
      <c r="H47" t="s">
        <v>777</v>
      </c>
      <c r="I47" t="s">
        <v>803</v>
      </c>
      <c r="J47" t="s">
        <v>821</v>
      </c>
      <c r="K47" t="s">
        <v>895</v>
      </c>
      <c r="L47" t="s">
        <v>1046</v>
      </c>
      <c r="M47" t="s">
        <v>775</v>
      </c>
      <c r="N47" t="s">
        <v>773</v>
      </c>
      <c r="O47" t="s">
        <v>803</v>
      </c>
      <c r="P47" t="s">
        <v>1320</v>
      </c>
      <c r="Q47" t="s">
        <v>1321</v>
      </c>
      <c r="R47" t="s">
        <v>1322</v>
      </c>
      <c r="S47" t="s">
        <v>1323</v>
      </c>
      <c r="T47" t="s">
        <v>869</v>
      </c>
      <c r="U47" t="s">
        <v>1324</v>
      </c>
      <c r="V47" t="s">
        <v>1134</v>
      </c>
      <c r="W47" t="s">
        <v>1325</v>
      </c>
      <c r="X47" t="s">
        <v>1326</v>
      </c>
      <c r="Y47" t="s">
        <v>1320</v>
      </c>
      <c r="Z47" t="s">
        <v>1327</v>
      </c>
      <c r="AA47" t="s">
        <v>1328</v>
      </c>
      <c r="AB47" t="s">
        <v>823</v>
      </c>
      <c r="AC47" t="s">
        <v>1319</v>
      </c>
      <c r="AD47" t="s">
        <v>1329</v>
      </c>
    </row>
    <row r="48" spans="1:30">
      <c r="A48" t="s">
        <v>68</v>
      </c>
      <c r="B48" t="s">
        <v>102</v>
      </c>
      <c r="C48" t="s">
        <v>1079</v>
      </c>
      <c r="D48" t="s">
        <v>844</v>
      </c>
      <c r="E48" t="s">
        <v>1080</v>
      </c>
      <c r="F48" t="s">
        <v>863</v>
      </c>
      <c r="G48" t="s">
        <v>971</v>
      </c>
      <c r="H48" t="s">
        <v>845</v>
      </c>
      <c r="I48" t="s">
        <v>778</v>
      </c>
      <c r="J48" t="s">
        <v>845</v>
      </c>
      <c r="K48" t="s">
        <v>863</v>
      </c>
      <c r="L48" t="s">
        <v>925</v>
      </c>
      <c r="M48" t="s">
        <v>846</v>
      </c>
      <c r="N48" t="s">
        <v>926</v>
      </c>
      <c r="O48" t="s">
        <v>821</v>
      </c>
      <c r="P48" t="s">
        <v>1330</v>
      </c>
      <c r="Q48" t="s">
        <v>942</v>
      </c>
      <c r="R48" t="s">
        <v>1047</v>
      </c>
      <c r="S48" t="s">
        <v>1331</v>
      </c>
      <c r="T48" t="s">
        <v>1119</v>
      </c>
      <c r="U48" t="s">
        <v>1144</v>
      </c>
      <c r="V48" t="s">
        <v>1035</v>
      </c>
      <c r="W48" t="s">
        <v>1305</v>
      </c>
      <c r="X48" t="s">
        <v>1332</v>
      </c>
      <c r="Y48" t="s">
        <v>1333</v>
      </c>
      <c r="Z48" t="s">
        <v>1166</v>
      </c>
      <c r="AA48" t="s">
        <v>1334</v>
      </c>
      <c r="AB48" t="s">
        <v>846</v>
      </c>
      <c r="AC48" t="s">
        <v>1091</v>
      </c>
      <c r="AD48" t="s">
        <v>1335</v>
      </c>
    </row>
    <row r="49" spans="1:30">
      <c r="A49" t="s">
        <v>68</v>
      </c>
      <c r="B49" t="s">
        <v>67</v>
      </c>
      <c r="C49" t="s">
        <v>1068</v>
      </c>
      <c r="D49" t="s">
        <v>844</v>
      </c>
      <c r="E49" t="s">
        <v>861</v>
      </c>
      <c r="F49" t="s">
        <v>802</v>
      </c>
      <c r="G49" t="s">
        <v>775</v>
      </c>
      <c r="H49" t="s">
        <v>846</v>
      </c>
      <c r="I49" t="s">
        <v>778</v>
      </c>
      <c r="J49" t="s">
        <v>803</v>
      </c>
      <c r="K49" t="s">
        <v>823</v>
      </c>
      <c r="L49" t="s">
        <v>842</v>
      </c>
      <c r="M49" t="s">
        <v>863</v>
      </c>
      <c r="N49" t="s">
        <v>780</v>
      </c>
      <c r="O49" t="s">
        <v>845</v>
      </c>
      <c r="P49" t="s">
        <v>1041</v>
      </c>
      <c r="Q49" t="s">
        <v>956</v>
      </c>
      <c r="R49" t="s">
        <v>875</v>
      </c>
      <c r="S49" t="s">
        <v>1336</v>
      </c>
      <c r="T49" t="s">
        <v>1337</v>
      </c>
      <c r="U49" t="s">
        <v>1338</v>
      </c>
      <c r="V49" t="s">
        <v>1087</v>
      </c>
      <c r="W49" t="s">
        <v>1339</v>
      </c>
      <c r="X49" t="s">
        <v>1340</v>
      </c>
      <c r="Y49" t="s">
        <v>1100</v>
      </c>
      <c r="Z49" t="s">
        <v>865</v>
      </c>
      <c r="AA49" t="s">
        <v>1341</v>
      </c>
      <c r="AB49" t="s">
        <v>821</v>
      </c>
      <c r="AC49" t="s">
        <v>1342</v>
      </c>
      <c r="AD49" t="s">
        <v>939</v>
      </c>
    </row>
    <row r="50" spans="1:30">
      <c r="A50" t="s">
        <v>68</v>
      </c>
      <c r="B50" t="s">
        <v>341</v>
      </c>
      <c r="C50" t="s">
        <v>536</v>
      </c>
      <c r="D50" t="s">
        <v>925</v>
      </c>
      <c r="E50" t="s">
        <v>896</v>
      </c>
      <c r="F50" t="s">
        <v>846</v>
      </c>
      <c r="G50" t="s">
        <v>926</v>
      </c>
      <c r="H50" t="s">
        <v>846</v>
      </c>
      <c r="I50" t="s">
        <v>803</v>
      </c>
      <c r="J50" t="s">
        <v>778</v>
      </c>
      <c r="K50" t="s">
        <v>863</v>
      </c>
      <c r="L50" t="s">
        <v>773</v>
      </c>
      <c r="M50" t="s">
        <v>845</v>
      </c>
      <c r="N50" t="s">
        <v>779</v>
      </c>
      <c r="O50" t="s">
        <v>803</v>
      </c>
      <c r="P50" t="s">
        <v>837</v>
      </c>
      <c r="Q50" t="s">
        <v>1244</v>
      </c>
      <c r="R50" t="s">
        <v>1343</v>
      </c>
      <c r="S50" t="s">
        <v>1344</v>
      </c>
      <c r="T50" t="s">
        <v>831</v>
      </c>
      <c r="U50" t="s">
        <v>1315</v>
      </c>
      <c r="V50" t="s">
        <v>1345</v>
      </c>
      <c r="W50" t="s">
        <v>1346</v>
      </c>
      <c r="X50" t="s">
        <v>1347</v>
      </c>
      <c r="Y50" t="s">
        <v>1348</v>
      </c>
      <c r="Z50" t="s">
        <v>1349</v>
      </c>
      <c r="AA50" t="s">
        <v>1350</v>
      </c>
      <c r="AB50" t="s">
        <v>821</v>
      </c>
      <c r="AC50" t="s">
        <v>1351</v>
      </c>
      <c r="AD50" t="s">
        <v>1352</v>
      </c>
    </row>
    <row r="51" spans="1:30">
      <c r="A51" t="s">
        <v>68</v>
      </c>
      <c r="B51" t="s">
        <v>242</v>
      </c>
      <c r="C51" t="s">
        <v>1079</v>
      </c>
      <c r="D51" t="s">
        <v>805</v>
      </c>
      <c r="E51" t="s">
        <v>968</v>
      </c>
      <c r="F51" t="s">
        <v>971</v>
      </c>
      <c r="G51" t="s">
        <v>1232</v>
      </c>
      <c r="H51" t="s">
        <v>846</v>
      </c>
      <c r="I51" t="s">
        <v>803</v>
      </c>
      <c r="J51" t="s">
        <v>845</v>
      </c>
      <c r="K51" t="s">
        <v>802</v>
      </c>
      <c r="L51" t="s">
        <v>1015</v>
      </c>
      <c r="M51" t="s">
        <v>822</v>
      </c>
      <c r="N51" t="s">
        <v>823</v>
      </c>
      <c r="O51" t="s">
        <v>845</v>
      </c>
      <c r="P51" t="s">
        <v>986</v>
      </c>
      <c r="Q51" t="s">
        <v>1353</v>
      </c>
      <c r="R51" t="s">
        <v>1354</v>
      </c>
      <c r="S51" t="s">
        <v>1323</v>
      </c>
      <c r="T51" t="s">
        <v>1337</v>
      </c>
      <c r="U51" t="s">
        <v>1355</v>
      </c>
      <c r="V51" t="s">
        <v>989</v>
      </c>
      <c r="W51" t="s">
        <v>1356</v>
      </c>
      <c r="X51" t="s">
        <v>950</v>
      </c>
      <c r="Y51" t="s">
        <v>827</v>
      </c>
      <c r="Z51" t="s">
        <v>1145</v>
      </c>
      <c r="AA51" t="s">
        <v>1357</v>
      </c>
      <c r="AB51" t="s">
        <v>858</v>
      </c>
      <c r="AC51" t="s">
        <v>911</v>
      </c>
      <c r="AD51" t="s">
        <v>1288</v>
      </c>
    </row>
    <row r="52" spans="1:30">
      <c r="A52" t="s">
        <v>68</v>
      </c>
      <c r="B52" t="s">
        <v>234</v>
      </c>
      <c r="C52" t="s">
        <v>879</v>
      </c>
      <c r="D52" t="s">
        <v>775</v>
      </c>
      <c r="E52" t="s">
        <v>1358</v>
      </c>
      <c r="F52" t="s">
        <v>777</v>
      </c>
      <c r="G52" t="s">
        <v>802</v>
      </c>
      <c r="H52" t="s">
        <v>846</v>
      </c>
      <c r="I52" t="s">
        <v>803</v>
      </c>
      <c r="J52" t="s">
        <v>845</v>
      </c>
      <c r="K52" t="s">
        <v>777</v>
      </c>
      <c r="L52" t="s">
        <v>844</v>
      </c>
      <c r="M52" t="s">
        <v>821</v>
      </c>
      <c r="N52" t="s">
        <v>796</v>
      </c>
      <c r="O52" t="s">
        <v>845</v>
      </c>
      <c r="P52" t="s">
        <v>1359</v>
      </c>
      <c r="Q52" t="s">
        <v>1353</v>
      </c>
      <c r="R52" t="s">
        <v>1331</v>
      </c>
      <c r="S52" t="s">
        <v>1360</v>
      </c>
      <c r="T52" t="s">
        <v>831</v>
      </c>
      <c r="U52" t="s">
        <v>886</v>
      </c>
      <c r="V52" t="s">
        <v>1203</v>
      </c>
      <c r="W52" t="s">
        <v>1361</v>
      </c>
      <c r="X52" t="s">
        <v>1362</v>
      </c>
      <c r="Y52" t="s">
        <v>1363</v>
      </c>
      <c r="Z52" t="s">
        <v>1054</v>
      </c>
      <c r="AA52" t="s">
        <v>953</v>
      </c>
      <c r="AB52" t="s">
        <v>858</v>
      </c>
      <c r="AC52" t="s">
        <v>911</v>
      </c>
      <c r="AD52" t="s">
        <v>1364</v>
      </c>
    </row>
    <row r="53" spans="1:30">
      <c r="A53" t="s">
        <v>68</v>
      </c>
      <c r="B53" t="s">
        <v>425</v>
      </c>
      <c r="C53" t="s">
        <v>772</v>
      </c>
      <c r="D53" t="s">
        <v>1232</v>
      </c>
      <c r="E53" t="s">
        <v>1309</v>
      </c>
      <c r="F53" t="s">
        <v>863</v>
      </c>
      <c r="G53" t="s">
        <v>782</v>
      </c>
      <c r="H53" t="s">
        <v>845</v>
      </c>
      <c r="I53" t="s">
        <v>803</v>
      </c>
      <c r="J53" t="s">
        <v>803</v>
      </c>
      <c r="K53" t="s">
        <v>777</v>
      </c>
      <c r="L53" t="s">
        <v>802</v>
      </c>
      <c r="M53" t="s">
        <v>777</v>
      </c>
      <c r="N53" t="s">
        <v>1232</v>
      </c>
      <c r="O53" t="s">
        <v>822</v>
      </c>
      <c r="P53" t="s">
        <v>1160</v>
      </c>
      <c r="Q53" t="s">
        <v>1194</v>
      </c>
      <c r="R53" t="s">
        <v>1199</v>
      </c>
      <c r="S53" t="s">
        <v>1365</v>
      </c>
      <c r="T53" t="s">
        <v>1020</v>
      </c>
      <c r="U53" t="s">
        <v>852</v>
      </c>
      <c r="V53" t="s">
        <v>1255</v>
      </c>
      <c r="W53" t="s">
        <v>1366</v>
      </c>
      <c r="X53" t="s">
        <v>1332</v>
      </c>
      <c r="Y53" t="s">
        <v>1306</v>
      </c>
      <c r="Z53" t="s">
        <v>1000</v>
      </c>
      <c r="AA53" t="s">
        <v>1367</v>
      </c>
      <c r="AB53" t="s">
        <v>845</v>
      </c>
      <c r="AC53" t="s">
        <v>1368</v>
      </c>
      <c r="AD53" t="s">
        <v>939</v>
      </c>
    </row>
    <row r="54" spans="1:30">
      <c r="A54" t="s">
        <v>68</v>
      </c>
      <c r="B54" t="s">
        <v>372</v>
      </c>
      <c r="C54" t="s">
        <v>799</v>
      </c>
      <c r="D54" t="s">
        <v>780</v>
      </c>
      <c r="E54" t="s">
        <v>1158</v>
      </c>
      <c r="F54" t="s">
        <v>858</v>
      </c>
      <c r="G54" t="s">
        <v>823</v>
      </c>
      <c r="H54" t="s">
        <v>778</v>
      </c>
      <c r="I54" t="s">
        <v>803</v>
      </c>
      <c r="J54" t="s">
        <v>778</v>
      </c>
      <c r="K54" t="s">
        <v>846</v>
      </c>
      <c r="L54" t="s">
        <v>796</v>
      </c>
      <c r="M54" t="s">
        <v>863</v>
      </c>
      <c r="N54" t="s">
        <v>858</v>
      </c>
      <c r="O54" t="s">
        <v>822</v>
      </c>
      <c r="P54" t="s">
        <v>1209</v>
      </c>
      <c r="Q54" t="s">
        <v>1369</v>
      </c>
      <c r="R54" t="s">
        <v>1370</v>
      </c>
      <c r="S54" t="s">
        <v>1371</v>
      </c>
      <c r="T54" t="s">
        <v>1096</v>
      </c>
      <c r="U54" t="s">
        <v>1372</v>
      </c>
      <c r="V54" t="s">
        <v>1373</v>
      </c>
      <c r="W54" t="s">
        <v>1374</v>
      </c>
      <c r="X54" t="s">
        <v>1375</v>
      </c>
      <c r="Y54" t="s">
        <v>1153</v>
      </c>
      <c r="Z54" t="s">
        <v>956</v>
      </c>
      <c r="AA54" t="s">
        <v>1055</v>
      </c>
      <c r="AB54" t="s">
        <v>845</v>
      </c>
      <c r="AC54" t="s">
        <v>955</v>
      </c>
      <c r="AD54" t="s">
        <v>1376</v>
      </c>
    </row>
    <row r="55" spans="1:30">
      <c r="A55" t="s">
        <v>68</v>
      </c>
      <c r="B55" t="s">
        <v>383</v>
      </c>
      <c r="C55" t="s">
        <v>879</v>
      </c>
      <c r="D55" t="s">
        <v>796</v>
      </c>
      <c r="E55" t="s">
        <v>773</v>
      </c>
      <c r="F55" t="s">
        <v>777</v>
      </c>
      <c r="G55" t="s">
        <v>863</v>
      </c>
      <c r="H55" t="s">
        <v>845</v>
      </c>
      <c r="I55" t="s">
        <v>803</v>
      </c>
      <c r="J55" t="s">
        <v>803</v>
      </c>
      <c r="K55" t="s">
        <v>822</v>
      </c>
      <c r="L55" t="s">
        <v>823</v>
      </c>
      <c r="M55" t="s">
        <v>822</v>
      </c>
      <c r="N55" t="s">
        <v>821</v>
      </c>
      <c r="O55" t="s">
        <v>778</v>
      </c>
      <c r="P55" t="s">
        <v>986</v>
      </c>
      <c r="Q55" t="s">
        <v>1377</v>
      </c>
      <c r="R55" t="s">
        <v>987</v>
      </c>
      <c r="S55" t="s">
        <v>1302</v>
      </c>
      <c r="T55" t="s">
        <v>831</v>
      </c>
      <c r="U55" t="s">
        <v>1087</v>
      </c>
      <c r="V55" t="s">
        <v>1152</v>
      </c>
      <c r="W55" t="s">
        <v>1257</v>
      </c>
      <c r="X55" t="s">
        <v>991</v>
      </c>
      <c r="Y55" t="s">
        <v>979</v>
      </c>
      <c r="Z55" t="s">
        <v>1276</v>
      </c>
      <c r="AA55" t="s">
        <v>1175</v>
      </c>
      <c r="AB55" t="s">
        <v>845</v>
      </c>
      <c r="AC55" t="s">
        <v>1030</v>
      </c>
      <c r="AD55" t="s">
        <v>939</v>
      </c>
    </row>
    <row r="56" spans="1:30">
      <c r="A56" t="s">
        <v>68</v>
      </c>
      <c r="B56" t="s">
        <v>1378</v>
      </c>
      <c r="C56" t="s">
        <v>536</v>
      </c>
      <c r="D56" t="s">
        <v>796</v>
      </c>
      <c r="E56" t="s">
        <v>773</v>
      </c>
      <c r="F56" t="s">
        <v>777</v>
      </c>
      <c r="G56" t="s">
        <v>858</v>
      </c>
      <c r="H56" t="s">
        <v>803</v>
      </c>
      <c r="I56" t="s">
        <v>803</v>
      </c>
      <c r="J56" t="s">
        <v>803</v>
      </c>
      <c r="K56" t="s">
        <v>777</v>
      </c>
      <c r="L56" t="s">
        <v>858</v>
      </c>
      <c r="M56" t="s">
        <v>821</v>
      </c>
      <c r="N56" t="s">
        <v>971</v>
      </c>
      <c r="O56" t="s">
        <v>803</v>
      </c>
      <c r="P56" t="s">
        <v>1199</v>
      </c>
      <c r="Q56" t="s">
        <v>1379</v>
      </c>
      <c r="R56" t="s">
        <v>1199</v>
      </c>
      <c r="S56" t="s">
        <v>1380</v>
      </c>
      <c r="T56" t="s">
        <v>1020</v>
      </c>
      <c r="U56" t="s">
        <v>978</v>
      </c>
      <c r="V56" t="s">
        <v>1381</v>
      </c>
      <c r="W56" t="s">
        <v>1382</v>
      </c>
      <c r="X56" t="s">
        <v>991</v>
      </c>
      <c r="Y56" t="s">
        <v>1008</v>
      </c>
      <c r="Z56" t="s">
        <v>1276</v>
      </c>
      <c r="AA56" t="s">
        <v>953</v>
      </c>
      <c r="AB56" t="s">
        <v>803</v>
      </c>
      <c r="AC56" t="s">
        <v>801</v>
      </c>
      <c r="AD56" t="s">
        <v>939</v>
      </c>
    </row>
    <row r="57" spans="1:30">
      <c r="A57" t="s">
        <v>68</v>
      </c>
      <c r="B57" t="s">
        <v>1383</v>
      </c>
      <c r="C57" t="s">
        <v>772</v>
      </c>
      <c r="D57" t="s">
        <v>858</v>
      </c>
      <c r="E57" t="s">
        <v>895</v>
      </c>
      <c r="F57" t="s">
        <v>777</v>
      </c>
      <c r="G57" t="s">
        <v>822</v>
      </c>
      <c r="H57" t="s">
        <v>778</v>
      </c>
      <c r="I57" t="s">
        <v>803</v>
      </c>
      <c r="J57" t="s">
        <v>803</v>
      </c>
      <c r="K57" t="s">
        <v>822</v>
      </c>
      <c r="L57" t="s">
        <v>777</v>
      </c>
      <c r="M57" t="s">
        <v>778</v>
      </c>
      <c r="N57" t="s">
        <v>779</v>
      </c>
      <c r="O57" t="s">
        <v>803</v>
      </c>
      <c r="P57" t="s">
        <v>1384</v>
      </c>
      <c r="Q57" t="s">
        <v>1217</v>
      </c>
      <c r="R57" t="s">
        <v>905</v>
      </c>
      <c r="S57" t="s">
        <v>1385</v>
      </c>
      <c r="T57" t="s">
        <v>946</v>
      </c>
      <c r="U57" t="s">
        <v>1020</v>
      </c>
      <c r="V57" t="s">
        <v>831</v>
      </c>
      <c r="W57" t="s">
        <v>1386</v>
      </c>
      <c r="X57" t="s">
        <v>1282</v>
      </c>
      <c r="Y57" t="s">
        <v>1387</v>
      </c>
      <c r="Z57" t="s">
        <v>1388</v>
      </c>
      <c r="AA57" t="s">
        <v>1389</v>
      </c>
      <c r="AB57" t="s">
        <v>778</v>
      </c>
      <c r="AC57" t="s">
        <v>776</v>
      </c>
      <c r="AD57" t="s">
        <v>939</v>
      </c>
    </row>
    <row r="58" spans="1:30">
      <c r="A58" t="s">
        <v>17</v>
      </c>
      <c r="B58" t="s">
        <v>157</v>
      </c>
      <c r="C58" t="s">
        <v>1068</v>
      </c>
      <c r="D58" t="s">
        <v>1015</v>
      </c>
      <c r="E58" t="s">
        <v>1390</v>
      </c>
      <c r="F58" t="s">
        <v>779</v>
      </c>
      <c r="G58" t="s">
        <v>824</v>
      </c>
      <c r="H58" t="s">
        <v>802</v>
      </c>
      <c r="I58" t="s">
        <v>803</v>
      </c>
      <c r="J58" t="s">
        <v>803</v>
      </c>
      <c r="K58" t="s">
        <v>858</v>
      </c>
      <c r="L58" t="s">
        <v>1391</v>
      </c>
      <c r="M58" t="s">
        <v>778</v>
      </c>
      <c r="N58" t="s">
        <v>779</v>
      </c>
      <c r="O58" t="s">
        <v>778</v>
      </c>
      <c r="P58" t="s">
        <v>1301</v>
      </c>
      <c r="Q58" t="s">
        <v>1392</v>
      </c>
      <c r="R58" t="s">
        <v>1393</v>
      </c>
      <c r="S58" t="s">
        <v>1394</v>
      </c>
      <c r="T58" t="s">
        <v>932</v>
      </c>
      <c r="U58" t="s">
        <v>1395</v>
      </c>
      <c r="V58" t="s">
        <v>1304</v>
      </c>
      <c r="W58" t="s">
        <v>1396</v>
      </c>
      <c r="X58" t="s">
        <v>1282</v>
      </c>
      <c r="Y58" t="s">
        <v>1348</v>
      </c>
      <c r="Z58" t="s">
        <v>1110</v>
      </c>
      <c r="AA58" t="s">
        <v>1397</v>
      </c>
      <c r="AB58" t="s">
        <v>802</v>
      </c>
      <c r="AC58" t="s">
        <v>1042</v>
      </c>
      <c r="AD58" t="s">
        <v>939</v>
      </c>
    </row>
    <row r="59" spans="1:30">
      <c r="A59" t="s">
        <v>17</v>
      </c>
      <c r="B59" t="s">
        <v>1398</v>
      </c>
      <c r="C59" t="s">
        <v>819</v>
      </c>
      <c r="D59" t="s">
        <v>1015</v>
      </c>
      <c r="E59" t="s">
        <v>1077</v>
      </c>
      <c r="F59" t="s">
        <v>825</v>
      </c>
      <c r="G59" t="s">
        <v>801</v>
      </c>
      <c r="H59" t="s">
        <v>821</v>
      </c>
      <c r="I59" t="s">
        <v>803</v>
      </c>
      <c r="J59" t="s">
        <v>845</v>
      </c>
      <c r="K59" t="s">
        <v>796</v>
      </c>
      <c r="L59" t="s">
        <v>1129</v>
      </c>
      <c r="M59" t="s">
        <v>796</v>
      </c>
      <c r="N59" t="s">
        <v>802</v>
      </c>
      <c r="O59" t="s">
        <v>845</v>
      </c>
      <c r="P59" t="s">
        <v>1399</v>
      </c>
      <c r="Q59" t="s">
        <v>1400</v>
      </c>
      <c r="R59" t="s">
        <v>1401</v>
      </c>
      <c r="S59" t="s">
        <v>1402</v>
      </c>
      <c r="T59" t="s">
        <v>960</v>
      </c>
      <c r="U59" t="s">
        <v>1403</v>
      </c>
      <c r="V59" t="s">
        <v>1404</v>
      </c>
      <c r="W59" t="s">
        <v>834</v>
      </c>
      <c r="X59" t="s">
        <v>1405</v>
      </c>
      <c r="Y59" t="s">
        <v>872</v>
      </c>
      <c r="Z59" t="s">
        <v>785</v>
      </c>
      <c r="AA59" t="s">
        <v>1406</v>
      </c>
      <c r="AB59" t="s">
        <v>863</v>
      </c>
      <c r="AC59" t="s">
        <v>1056</v>
      </c>
      <c r="AD59" t="s">
        <v>1407</v>
      </c>
    </row>
    <row r="60" spans="1:30">
      <c r="A60" t="s">
        <v>17</v>
      </c>
      <c r="B60" t="s">
        <v>268</v>
      </c>
      <c r="C60" t="s">
        <v>1068</v>
      </c>
      <c r="D60" t="s">
        <v>842</v>
      </c>
      <c r="E60" t="s">
        <v>1183</v>
      </c>
      <c r="F60" t="s">
        <v>971</v>
      </c>
      <c r="G60" t="s">
        <v>925</v>
      </c>
      <c r="H60" t="s">
        <v>845</v>
      </c>
      <c r="I60" t="s">
        <v>803</v>
      </c>
      <c r="J60" t="s">
        <v>846</v>
      </c>
      <c r="K60" t="s">
        <v>782</v>
      </c>
      <c r="L60" t="s">
        <v>1158</v>
      </c>
      <c r="M60" t="s">
        <v>971</v>
      </c>
      <c r="N60" t="s">
        <v>1081</v>
      </c>
      <c r="O60" t="s">
        <v>803</v>
      </c>
      <c r="P60" t="s">
        <v>891</v>
      </c>
      <c r="Q60" t="s">
        <v>1408</v>
      </c>
      <c r="R60" t="s">
        <v>1343</v>
      </c>
      <c r="S60" t="s">
        <v>1409</v>
      </c>
      <c r="T60" t="s">
        <v>1020</v>
      </c>
      <c r="U60" t="s">
        <v>1410</v>
      </c>
      <c r="V60" t="s">
        <v>1144</v>
      </c>
      <c r="W60" t="s">
        <v>1010</v>
      </c>
      <c r="X60" t="s">
        <v>1411</v>
      </c>
      <c r="Y60" t="s">
        <v>1252</v>
      </c>
      <c r="Z60" t="s">
        <v>1210</v>
      </c>
      <c r="AA60" t="s">
        <v>1412</v>
      </c>
      <c r="AB60" t="s">
        <v>858</v>
      </c>
      <c r="AC60" t="s">
        <v>1289</v>
      </c>
      <c r="AD60" t="s">
        <v>1413</v>
      </c>
    </row>
    <row r="61" spans="1:30">
      <c r="A61" t="s">
        <v>17</v>
      </c>
      <c r="B61" t="s">
        <v>16</v>
      </c>
      <c r="C61" t="s">
        <v>841</v>
      </c>
      <c r="D61" t="s">
        <v>842</v>
      </c>
      <c r="E61" t="s">
        <v>1414</v>
      </c>
      <c r="F61" t="s">
        <v>863</v>
      </c>
      <c r="G61" t="s">
        <v>1015</v>
      </c>
      <c r="H61" t="s">
        <v>821</v>
      </c>
      <c r="I61" t="s">
        <v>778</v>
      </c>
      <c r="J61" t="s">
        <v>822</v>
      </c>
      <c r="K61" t="s">
        <v>1232</v>
      </c>
      <c r="L61" t="s">
        <v>1046</v>
      </c>
      <c r="M61" t="s">
        <v>777</v>
      </c>
      <c r="N61" t="s">
        <v>1232</v>
      </c>
      <c r="O61" t="s">
        <v>777</v>
      </c>
      <c r="P61" t="s">
        <v>1415</v>
      </c>
      <c r="Q61" t="s">
        <v>1094</v>
      </c>
      <c r="R61" t="s">
        <v>1416</v>
      </c>
      <c r="S61" t="s">
        <v>1417</v>
      </c>
      <c r="T61" t="s">
        <v>831</v>
      </c>
      <c r="U61" t="s">
        <v>1418</v>
      </c>
      <c r="V61" t="s">
        <v>1203</v>
      </c>
      <c r="W61" t="s">
        <v>1386</v>
      </c>
      <c r="X61" t="s">
        <v>1332</v>
      </c>
      <c r="Y61" t="s">
        <v>1419</v>
      </c>
      <c r="Z61" t="s">
        <v>1420</v>
      </c>
      <c r="AA61" t="s">
        <v>1267</v>
      </c>
      <c r="AB61" t="s">
        <v>823</v>
      </c>
      <c r="AC61" t="s">
        <v>1077</v>
      </c>
      <c r="AD61" t="s">
        <v>1421</v>
      </c>
    </row>
    <row r="62" spans="1:30">
      <c r="A62" t="s">
        <v>17</v>
      </c>
      <c r="B62" t="s">
        <v>153</v>
      </c>
      <c r="C62" t="s">
        <v>1079</v>
      </c>
      <c r="D62" t="s">
        <v>776</v>
      </c>
      <c r="E62" t="s">
        <v>1080</v>
      </c>
      <c r="F62" t="s">
        <v>823</v>
      </c>
      <c r="G62" t="s">
        <v>926</v>
      </c>
      <c r="H62" t="s">
        <v>777</v>
      </c>
      <c r="I62" t="s">
        <v>803</v>
      </c>
      <c r="J62" t="s">
        <v>822</v>
      </c>
      <c r="K62" t="s">
        <v>863</v>
      </c>
      <c r="L62" t="s">
        <v>864</v>
      </c>
      <c r="M62" t="s">
        <v>863</v>
      </c>
      <c r="N62" t="s">
        <v>1232</v>
      </c>
      <c r="O62" t="s">
        <v>845</v>
      </c>
      <c r="P62" t="s">
        <v>1166</v>
      </c>
      <c r="Q62" t="s">
        <v>1210</v>
      </c>
      <c r="R62" t="s">
        <v>1422</v>
      </c>
      <c r="S62" t="s">
        <v>1423</v>
      </c>
      <c r="T62" t="s">
        <v>1337</v>
      </c>
      <c r="U62" t="s">
        <v>832</v>
      </c>
      <c r="V62" t="s">
        <v>1214</v>
      </c>
      <c r="W62" t="s">
        <v>791</v>
      </c>
      <c r="X62" t="s">
        <v>991</v>
      </c>
      <c r="Y62" t="s">
        <v>1424</v>
      </c>
      <c r="Z62" t="s">
        <v>1425</v>
      </c>
      <c r="AA62" t="s">
        <v>1426</v>
      </c>
      <c r="AB62" t="s">
        <v>858</v>
      </c>
      <c r="AC62" t="s">
        <v>1183</v>
      </c>
      <c r="AD62" t="s">
        <v>1427</v>
      </c>
    </row>
    <row r="63" spans="1:30">
      <c r="A63" t="s">
        <v>17</v>
      </c>
      <c r="B63" t="s">
        <v>1428</v>
      </c>
      <c r="C63" t="s">
        <v>879</v>
      </c>
      <c r="D63" t="s">
        <v>842</v>
      </c>
      <c r="E63" t="s">
        <v>1429</v>
      </c>
      <c r="F63" t="s">
        <v>823</v>
      </c>
      <c r="G63" t="s">
        <v>805</v>
      </c>
      <c r="H63" t="s">
        <v>822</v>
      </c>
      <c r="I63" t="s">
        <v>803</v>
      </c>
      <c r="J63" t="s">
        <v>777</v>
      </c>
      <c r="K63" t="s">
        <v>825</v>
      </c>
      <c r="L63" t="s">
        <v>824</v>
      </c>
      <c r="M63" t="s">
        <v>846</v>
      </c>
      <c r="N63" t="s">
        <v>1232</v>
      </c>
      <c r="O63" t="s">
        <v>803</v>
      </c>
      <c r="P63" t="s">
        <v>1420</v>
      </c>
      <c r="Q63" t="s">
        <v>1408</v>
      </c>
      <c r="R63" t="s">
        <v>1430</v>
      </c>
      <c r="S63" t="s">
        <v>1431</v>
      </c>
      <c r="T63" t="s">
        <v>1020</v>
      </c>
      <c r="U63" t="s">
        <v>1410</v>
      </c>
      <c r="V63" t="s">
        <v>1304</v>
      </c>
      <c r="W63" t="s">
        <v>1432</v>
      </c>
      <c r="X63" t="s">
        <v>1433</v>
      </c>
      <c r="Y63" t="s">
        <v>929</v>
      </c>
      <c r="Z63" t="s">
        <v>1047</v>
      </c>
      <c r="AA63" t="s">
        <v>1434</v>
      </c>
      <c r="AB63" t="s">
        <v>858</v>
      </c>
      <c r="AC63" t="s">
        <v>843</v>
      </c>
      <c r="AD63" t="s">
        <v>1435</v>
      </c>
    </row>
    <row r="64" spans="1:30">
      <c r="A64" t="s">
        <v>17</v>
      </c>
      <c r="B64" t="s">
        <v>1436</v>
      </c>
      <c r="C64" t="s">
        <v>879</v>
      </c>
      <c r="D64" t="s">
        <v>796</v>
      </c>
      <c r="E64" t="s">
        <v>1437</v>
      </c>
      <c r="F64" t="s">
        <v>777</v>
      </c>
      <c r="G64" t="s">
        <v>823</v>
      </c>
      <c r="H64" t="s">
        <v>777</v>
      </c>
      <c r="I64" t="s">
        <v>803</v>
      </c>
      <c r="J64" t="s">
        <v>845</v>
      </c>
      <c r="K64" t="s">
        <v>821</v>
      </c>
      <c r="L64" t="s">
        <v>926</v>
      </c>
      <c r="M64" t="s">
        <v>863</v>
      </c>
      <c r="N64" t="s">
        <v>796</v>
      </c>
      <c r="O64" t="s">
        <v>778</v>
      </c>
      <c r="P64" t="s">
        <v>1239</v>
      </c>
      <c r="Q64" t="s">
        <v>837</v>
      </c>
      <c r="R64" t="s">
        <v>1438</v>
      </c>
      <c r="S64" t="s">
        <v>1439</v>
      </c>
      <c r="T64" t="s">
        <v>1020</v>
      </c>
      <c r="U64" t="s">
        <v>1440</v>
      </c>
      <c r="V64" t="s">
        <v>977</v>
      </c>
      <c r="W64" t="s">
        <v>890</v>
      </c>
      <c r="X64" t="s">
        <v>1441</v>
      </c>
      <c r="Y64" t="s">
        <v>1239</v>
      </c>
      <c r="Z64" t="s">
        <v>956</v>
      </c>
      <c r="AA64" t="s">
        <v>1442</v>
      </c>
      <c r="AB64" t="s">
        <v>821</v>
      </c>
      <c r="AC64" t="s">
        <v>1251</v>
      </c>
      <c r="AD64" t="s">
        <v>1443</v>
      </c>
    </row>
    <row r="65" spans="1:30">
      <c r="A65" t="s">
        <v>17</v>
      </c>
      <c r="B65" t="s">
        <v>1444</v>
      </c>
      <c r="C65" t="s">
        <v>879</v>
      </c>
      <c r="D65" t="s">
        <v>926</v>
      </c>
      <c r="E65" t="s">
        <v>1309</v>
      </c>
      <c r="F65" t="s">
        <v>846</v>
      </c>
      <c r="G65" t="s">
        <v>802</v>
      </c>
      <c r="H65" t="s">
        <v>777</v>
      </c>
      <c r="I65" t="s">
        <v>803</v>
      </c>
      <c r="J65" t="s">
        <v>803</v>
      </c>
      <c r="K65" t="s">
        <v>863</v>
      </c>
      <c r="L65" t="s">
        <v>862</v>
      </c>
      <c r="M65" t="s">
        <v>778</v>
      </c>
      <c r="N65" t="s">
        <v>858</v>
      </c>
      <c r="O65" t="s">
        <v>803</v>
      </c>
      <c r="P65" t="s">
        <v>1199</v>
      </c>
      <c r="Q65" t="s">
        <v>986</v>
      </c>
      <c r="R65" t="s">
        <v>1392</v>
      </c>
      <c r="S65" t="s">
        <v>1445</v>
      </c>
      <c r="T65" t="s">
        <v>1337</v>
      </c>
      <c r="U65" t="s">
        <v>977</v>
      </c>
      <c r="V65" t="s">
        <v>1255</v>
      </c>
      <c r="W65" t="s">
        <v>1446</v>
      </c>
      <c r="X65" t="s">
        <v>1447</v>
      </c>
      <c r="Y65" t="s">
        <v>1448</v>
      </c>
      <c r="Z65" t="s">
        <v>1448</v>
      </c>
      <c r="AA65" t="s">
        <v>1218</v>
      </c>
      <c r="AB65" t="s">
        <v>777</v>
      </c>
      <c r="AC65" t="s">
        <v>968</v>
      </c>
      <c r="AD65" t="s">
        <v>939</v>
      </c>
    </row>
    <row r="66" spans="1:30">
      <c r="A66" t="s">
        <v>17</v>
      </c>
      <c r="B66" t="s">
        <v>147</v>
      </c>
      <c r="C66" t="s">
        <v>799</v>
      </c>
      <c r="D66" t="s">
        <v>805</v>
      </c>
      <c r="E66" t="s">
        <v>1449</v>
      </c>
      <c r="F66" t="s">
        <v>971</v>
      </c>
      <c r="G66" t="s">
        <v>821</v>
      </c>
      <c r="H66" t="s">
        <v>845</v>
      </c>
      <c r="I66" t="s">
        <v>803</v>
      </c>
      <c r="J66" t="s">
        <v>778</v>
      </c>
      <c r="K66" t="s">
        <v>846</v>
      </c>
      <c r="L66" t="s">
        <v>782</v>
      </c>
      <c r="M66" t="s">
        <v>823</v>
      </c>
      <c r="N66" t="s">
        <v>862</v>
      </c>
      <c r="O66" t="s">
        <v>803</v>
      </c>
      <c r="P66" t="s">
        <v>836</v>
      </c>
      <c r="Q66" t="s">
        <v>1210</v>
      </c>
      <c r="R66" t="s">
        <v>1209</v>
      </c>
      <c r="S66" t="s">
        <v>1450</v>
      </c>
      <c r="T66" t="s">
        <v>885</v>
      </c>
      <c r="U66" t="s">
        <v>1087</v>
      </c>
      <c r="V66" t="s">
        <v>1280</v>
      </c>
      <c r="W66" t="s">
        <v>1059</v>
      </c>
      <c r="X66" t="s">
        <v>1451</v>
      </c>
      <c r="Y66" t="s">
        <v>1348</v>
      </c>
      <c r="Z66" t="s">
        <v>1452</v>
      </c>
      <c r="AA66" t="s">
        <v>1453</v>
      </c>
      <c r="AB66" t="s">
        <v>822</v>
      </c>
      <c r="AC66" t="s">
        <v>1358</v>
      </c>
      <c r="AD66" t="s">
        <v>1454</v>
      </c>
    </row>
    <row r="67" spans="1:30">
      <c r="A67" t="s">
        <v>17</v>
      </c>
      <c r="B67" t="s">
        <v>410</v>
      </c>
      <c r="C67" t="s">
        <v>536</v>
      </c>
      <c r="D67" t="s">
        <v>1232</v>
      </c>
      <c r="E67" t="s">
        <v>1158</v>
      </c>
      <c r="F67" t="s">
        <v>777</v>
      </c>
      <c r="G67" t="s">
        <v>863</v>
      </c>
      <c r="H67" t="s">
        <v>803</v>
      </c>
      <c r="I67" t="s">
        <v>803</v>
      </c>
      <c r="J67" t="s">
        <v>803</v>
      </c>
      <c r="K67" t="s">
        <v>845</v>
      </c>
      <c r="L67" t="s">
        <v>863</v>
      </c>
      <c r="M67" t="s">
        <v>778</v>
      </c>
      <c r="N67" t="s">
        <v>782</v>
      </c>
      <c r="O67" t="s">
        <v>803</v>
      </c>
      <c r="P67" t="s">
        <v>1455</v>
      </c>
      <c r="Q67" t="s">
        <v>1139</v>
      </c>
      <c r="R67" t="s">
        <v>1455</v>
      </c>
      <c r="S67" t="s">
        <v>1456</v>
      </c>
      <c r="T67" t="s">
        <v>901</v>
      </c>
      <c r="U67" t="s">
        <v>1035</v>
      </c>
      <c r="V67" t="s">
        <v>1188</v>
      </c>
      <c r="W67" t="s">
        <v>1457</v>
      </c>
      <c r="X67" t="s">
        <v>1458</v>
      </c>
      <c r="Y67" t="s">
        <v>1008</v>
      </c>
      <c r="Z67" t="s">
        <v>1459</v>
      </c>
      <c r="AA67" t="s">
        <v>1027</v>
      </c>
      <c r="AB67" t="s">
        <v>803</v>
      </c>
      <c r="AC67" t="s">
        <v>1046</v>
      </c>
      <c r="AD67" t="s">
        <v>939</v>
      </c>
    </row>
    <row r="68" spans="1:30">
      <c r="A68" t="s">
        <v>17</v>
      </c>
      <c r="B68" t="s">
        <v>329</v>
      </c>
      <c r="C68" t="s">
        <v>1079</v>
      </c>
      <c r="D68" t="s">
        <v>805</v>
      </c>
      <c r="E68" t="s">
        <v>1198</v>
      </c>
      <c r="F68" t="s">
        <v>971</v>
      </c>
      <c r="G68" t="s">
        <v>971</v>
      </c>
      <c r="H68" t="s">
        <v>845</v>
      </c>
      <c r="I68" t="s">
        <v>803</v>
      </c>
      <c r="J68" t="s">
        <v>778</v>
      </c>
      <c r="K68" t="s">
        <v>822</v>
      </c>
      <c r="L68" t="s">
        <v>862</v>
      </c>
      <c r="M68" t="s">
        <v>822</v>
      </c>
      <c r="N68" t="s">
        <v>822</v>
      </c>
      <c r="O68" t="s">
        <v>778</v>
      </c>
      <c r="P68" t="s">
        <v>1460</v>
      </c>
      <c r="Q68" t="s">
        <v>1461</v>
      </c>
      <c r="R68" t="s">
        <v>1462</v>
      </c>
      <c r="S68" t="s">
        <v>1463</v>
      </c>
      <c r="T68" t="s">
        <v>831</v>
      </c>
      <c r="U68" t="s">
        <v>1134</v>
      </c>
      <c r="V68" t="s">
        <v>1152</v>
      </c>
      <c r="W68" t="s">
        <v>979</v>
      </c>
      <c r="X68" t="s">
        <v>1464</v>
      </c>
      <c r="Y68" t="s">
        <v>1465</v>
      </c>
      <c r="Z68" t="s">
        <v>1053</v>
      </c>
      <c r="AA68" t="s">
        <v>1466</v>
      </c>
      <c r="AB68" t="s">
        <v>822</v>
      </c>
      <c r="AC68" t="s">
        <v>983</v>
      </c>
      <c r="AD68" t="s">
        <v>1467</v>
      </c>
    </row>
    <row r="69" spans="1:30">
      <c r="A69" t="s">
        <v>17</v>
      </c>
      <c r="B69" t="s">
        <v>1468</v>
      </c>
      <c r="C69" t="s">
        <v>536</v>
      </c>
      <c r="D69" t="s">
        <v>802</v>
      </c>
      <c r="E69" t="s">
        <v>801</v>
      </c>
      <c r="F69" t="s">
        <v>845</v>
      </c>
      <c r="G69" t="s">
        <v>846</v>
      </c>
      <c r="H69" t="s">
        <v>803</v>
      </c>
      <c r="I69" t="s">
        <v>803</v>
      </c>
      <c r="J69" t="s">
        <v>778</v>
      </c>
      <c r="K69" t="s">
        <v>845</v>
      </c>
      <c r="L69" t="s">
        <v>863</v>
      </c>
      <c r="M69" t="s">
        <v>778</v>
      </c>
      <c r="N69" t="s">
        <v>796</v>
      </c>
      <c r="O69" t="s">
        <v>803</v>
      </c>
      <c r="P69" t="s">
        <v>815</v>
      </c>
      <c r="Q69" t="s">
        <v>1026</v>
      </c>
      <c r="R69" t="s">
        <v>1018</v>
      </c>
      <c r="S69" t="s">
        <v>1228</v>
      </c>
      <c r="T69" t="s">
        <v>939</v>
      </c>
      <c r="U69" t="s">
        <v>932</v>
      </c>
      <c r="V69" t="s">
        <v>932</v>
      </c>
      <c r="W69" t="s">
        <v>1469</v>
      </c>
      <c r="X69" t="s">
        <v>1470</v>
      </c>
      <c r="Y69" t="s">
        <v>1124</v>
      </c>
      <c r="Z69" t="s">
        <v>1471</v>
      </c>
      <c r="AA69" t="s">
        <v>1434</v>
      </c>
      <c r="AB69" t="s">
        <v>778</v>
      </c>
      <c r="AC69" t="s">
        <v>1081</v>
      </c>
      <c r="AD69" t="s">
        <v>1472</v>
      </c>
    </row>
    <row r="70" spans="1:30">
      <c r="A70" t="s">
        <v>17</v>
      </c>
      <c r="B70" t="s">
        <v>169</v>
      </c>
      <c r="C70" t="s">
        <v>910</v>
      </c>
      <c r="D70" t="s">
        <v>823</v>
      </c>
      <c r="E70" t="s">
        <v>776</v>
      </c>
      <c r="F70" t="s">
        <v>845</v>
      </c>
      <c r="G70" t="s">
        <v>779</v>
      </c>
      <c r="H70" t="s">
        <v>803</v>
      </c>
      <c r="I70" t="s">
        <v>803</v>
      </c>
      <c r="J70" t="s">
        <v>803</v>
      </c>
      <c r="K70" t="s">
        <v>822</v>
      </c>
      <c r="L70" t="s">
        <v>779</v>
      </c>
      <c r="M70" t="s">
        <v>822</v>
      </c>
      <c r="N70" t="s">
        <v>777</v>
      </c>
      <c r="O70" t="s">
        <v>803</v>
      </c>
      <c r="P70" t="s">
        <v>1473</v>
      </c>
      <c r="Q70" t="s">
        <v>1474</v>
      </c>
      <c r="R70" t="s">
        <v>1473</v>
      </c>
      <c r="S70" t="s">
        <v>1475</v>
      </c>
      <c r="T70" t="s">
        <v>1020</v>
      </c>
      <c r="U70" t="s">
        <v>887</v>
      </c>
      <c r="V70" t="s">
        <v>1476</v>
      </c>
      <c r="W70" t="s">
        <v>1153</v>
      </c>
      <c r="X70" t="s">
        <v>1012</v>
      </c>
      <c r="Y70" t="s">
        <v>1008</v>
      </c>
      <c r="Z70" t="s">
        <v>872</v>
      </c>
      <c r="AA70" t="s">
        <v>1027</v>
      </c>
      <c r="AB70" t="s">
        <v>803</v>
      </c>
      <c r="AC70" t="s">
        <v>1208</v>
      </c>
      <c r="AD70" t="s">
        <v>939</v>
      </c>
    </row>
    <row r="71" spans="1:30">
      <c r="A71" t="s">
        <v>17</v>
      </c>
      <c r="B71" t="s">
        <v>1477</v>
      </c>
      <c r="C71" t="s">
        <v>841</v>
      </c>
      <c r="D71" t="s">
        <v>779</v>
      </c>
      <c r="E71" t="s">
        <v>776</v>
      </c>
      <c r="F71" t="s">
        <v>845</v>
      </c>
      <c r="G71" t="s">
        <v>821</v>
      </c>
      <c r="H71" t="s">
        <v>845</v>
      </c>
      <c r="I71" t="s">
        <v>803</v>
      </c>
      <c r="J71" t="s">
        <v>803</v>
      </c>
      <c r="K71" t="s">
        <v>777</v>
      </c>
      <c r="L71" t="s">
        <v>863</v>
      </c>
      <c r="M71" t="s">
        <v>803</v>
      </c>
      <c r="N71" t="s">
        <v>846</v>
      </c>
      <c r="O71" t="s">
        <v>803</v>
      </c>
      <c r="P71" t="s">
        <v>1478</v>
      </c>
      <c r="Q71" t="s">
        <v>1479</v>
      </c>
      <c r="R71" t="s">
        <v>1480</v>
      </c>
      <c r="S71" t="s">
        <v>1481</v>
      </c>
      <c r="T71" t="s">
        <v>939</v>
      </c>
      <c r="U71" t="s">
        <v>1225</v>
      </c>
      <c r="V71" t="s">
        <v>1072</v>
      </c>
      <c r="W71" t="s">
        <v>1008</v>
      </c>
      <c r="X71" t="s">
        <v>1009</v>
      </c>
      <c r="Y71" t="s">
        <v>1038</v>
      </c>
      <c r="Z71" t="s">
        <v>1038</v>
      </c>
      <c r="AA71" t="s">
        <v>1482</v>
      </c>
      <c r="AB71" t="s">
        <v>845</v>
      </c>
      <c r="AC71" t="s">
        <v>1015</v>
      </c>
      <c r="AD71" t="s">
        <v>939</v>
      </c>
    </row>
    <row r="72" spans="1:30">
      <c r="A72" t="s">
        <v>17</v>
      </c>
      <c r="B72" t="s">
        <v>1483</v>
      </c>
      <c r="C72" t="s">
        <v>536</v>
      </c>
      <c r="D72" t="s">
        <v>846</v>
      </c>
      <c r="E72" t="s">
        <v>926</v>
      </c>
      <c r="F72" t="s">
        <v>845</v>
      </c>
      <c r="G72" t="s">
        <v>822</v>
      </c>
      <c r="H72" t="s">
        <v>778</v>
      </c>
      <c r="I72" t="s">
        <v>803</v>
      </c>
      <c r="J72" t="s">
        <v>778</v>
      </c>
      <c r="K72" t="s">
        <v>845</v>
      </c>
      <c r="L72" t="s">
        <v>858</v>
      </c>
      <c r="M72" t="s">
        <v>845</v>
      </c>
      <c r="N72" t="s">
        <v>845</v>
      </c>
      <c r="O72" t="s">
        <v>803</v>
      </c>
      <c r="P72" t="s">
        <v>1484</v>
      </c>
      <c r="Q72" t="s">
        <v>1320</v>
      </c>
      <c r="R72" t="s">
        <v>1321</v>
      </c>
      <c r="S72" t="s">
        <v>1485</v>
      </c>
      <c r="T72" t="s">
        <v>885</v>
      </c>
      <c r="U72" t="s">
        <v>810</v>
      </c>
      <c r="V72" t="s">
        <v>1072</v>
      </c>
      <c r="W72" t="s">
        <v>1486</v>
      </c>
      <c r="X72" t="s">
        <v>1464</v>
      </c>
      <c r="Y72" t="s">
        <v>942</v>
      </c>
      <c r="Z72" t="s">
        <v>995</v>
      </c>
      <c r="AA72" t="s">
        <v>1487</v>
      </c>
      <c r="AB72" t="s">
        <v>845</v>
      </c>
      <c r="AC72" t="s">
        <v>925</v>
      </c>
      <c r="AD72" t="s">
        <v>1403</v>
      </c>
    </row>
    <row r="73" spans="1:30">
      <c r="A73" t="s">
        <v>17</v>
      </c>
      <c r="B73" t="s">
        <v>1488</v>
      </c>
      <c r="C73" t="s">
        <v>1068</v>
      </c>
      <c r="D73" t="s">
        <v>863</v>
      </c>
      <c r="E73" t="s">
        <v>775</v>
      </c>
      <c r="F73" t="s">
        <v>778</v>
      </c>
      <c r="G73" t="s">
        <v>778</v>
      </c>
      <c r="H73" t="s">
        <v>778</v>
      </c>
      <c r="I73" t="s">
        <v>803</v>
      </c>
      <c r="J73" t="s">
        <v>803</v>
      </c>
      <c r="K73" t="s">
        <v>845</v>
      </c>
      <c r="L73" t="s">
        <v>845</v>
      </c>
      <c r="M73" t="s">
        <v>822</v>
      </c>
      <c r="N73" t="s">
        <v>821</v>
      </c>
      <c r="O73" t="s">
        <v>803</v>
      </c>
      <c r="P73" t="s">
        <v>1489</v>
      </c>
      <c r="Q73" t="s">
        <v>905</v>
      </c>
      <c r="R73" t="s">
        <v>1490</v>
      </c>
      <c r="S73" t="s">
        <v>1318</v>
      </c>
      <c r="T73" t="s">
        <v>946</v>
      </c>
      <c r="U73" t="s">
        <v>1119</v>
      </c>
      <c r="V73" t="s">
        <v>1491</v>
      </c>
      <c r="W73" t="s">
        <v>1384</v>
      </c>
      <c r="X73" t="s">
        <v>991</v>
      </c>
      <c r="Y73" t="s">
        <v>1489</v>
      </c>
      <c r="Z73" t="s">
        <v>1053</v>
      </c>
      <c r="AA73" t="s">
        <v>1492</v>
      </c>
      <c r="AB73" t="s">
        <v>778</v>
      </c>
      <c r="AC73" t="s">
        <v>895</v>
      </c>
      <c r="AD73" t="s">
        <v>939</v>
      </c>
    </row>
    <row r="74" spans="1:30">
      <c r="A74" t="s">
        <v>17</v>
      </c>
      <c r="B74" t="s">
        <v>1493</v>
      </c>
      <c r="C74" t="s">
        <v>799</v>
      </c>
      <c r="D74" t="s">
        <v>778</v>
      </c>
      <c r="E74" t="s">
        <v>845</v>
      </c>
      <c r="F74" t="s">
        <v>803</v>
      </c>
      <c r="G74" t="s">
        <v>778</v>
      </c>
      <c r="H74" t="s">
        <v>803</v>
      </c>
      <c r="I74" t="s">
        <v>803</v>
      </c>
      <c r="J74" t="s">
        <v>803</v>
      </c>
      <c r="K74" t="s">
        <v>803</v>
      </c>
      <c r="L74" t="s">
        <v>778</v>
      </c>
      <c r="M74" t="s">
        <v>803</v>
      </c>
      <c r="N74" t="s">
        <v>803</v>
      </c>
      <c r="O74" t="s">
        <v>803</v>
      </c>
      <c r="P74" t="s">
        <v>1312</v>
      </c>
      <c r="Q74" t="s">
        <v>1312</v>
      </c>
      <c r="R74" t="s">
        <v>1312</v>
      </c>
      <c r="S74" t="s">
        <v>1494</v>
      </c>
      <c r="T74" t="s">
        <v>939</v>
      </c>
      <c r="U74" t="s">
        <v>1096</v>
      </c>
      <c r="V74" t="s">
        <v>1227</v>
      </c>
      <c r="W74" t="s">
        <v>1008</v>
      </c>
      <c r="X74" t="s">
        <v>1009</v>
      </c>
      <c r="Y74" t="s">
        <v>1008</v>
      </c>
      <c r="Z74" t="s">
        <v>1008</v>
      </c>
      <c r="AA74" t="s">
        <v>1495</v>
      </c>
      <c r="AB74" t="s">
        <v>803</v>
      </c>
      <c r="AC74" t="s">
        <v>845</v>
      </c>
      <c r="AD74" t="s">
        <v>939</v>
      </c>
    </row>
    <row r="75" spans="1:30">
      <c r="A75" t="s">
        <v>3</v>
      </c>
      <c r="B75" t="s">
        <v>312</v>
      </c>
      <c r="C75" t="s">
        <v>819</v>
      </c>
      <c r="D75" t="s">
        <v>773</v>
      </c>
      <c r="E75" t="s">
        <v>1496</v>
      </c>
      <c r="F75" t="s">
        <v>926</v>
      </c>
      <c r="G75" t="s">
        <v>895</v>
      </c>
      <c r="H75" t="s">
        <v>803</v>
      </c>
      <c r="I75" t="s">
        <v>803</v>
      </c>
      <c r="J75" t="s">
        <v>782</v>
      </c>
      <c r="K75" t="s">
        <v>926</v>
      </c>
      <c r="L75" t="s">
        <v>968</v>
      </c>
      <c r="M75" t="s">
        <v>925</v>
      </c>
      <c r="N75" t="s">
        <v>783</v>
      </c>
      <c r="O75" t="s">
        <v>803</v>
      </c>
      <c r="P75" t="s">
        <v>1497</v>
      </c>
      <c r="Q75" t="s">
        <v>1167</v>
      </c>
      <c r="R75" t="s">
        <v>1254</v>
      </c>
      <c r="S75" t="s">
        <v>1498</v>
      </c>
      <c r="T75" t="s">
        <v>960</v>
      </c>
      <c r="U75" t="s">
        <v>1499</v>
      </c>
      <c r="V75" t="s">
        <v>1372</v>
      </c>
      <c r="W75" t="s">
        <v>1500</v>
      </c>
      <c r="X75" t="s">
        <v>1501</v>
      </c>
      <c r="Y75" t="s">
        <v>956</v>
      </c>
      <c r="Z75" t="s">
        <v>1502</v>
      </c>
      <c r="AA75" t="s">
        <v>953</v>
      </c>
      <c r="AB75" t="s">
        <v>782</v>
      </c>
      <c r="AC75" t="s">
        <v>1298</v>
      </c>
      <c r="AD75" t="s">
        <v>1503</v>
      </c>
    </row>
    <row r="76" spans="1:30">
      <c r="A76" t="s">
        <v>3</v>
      </c>
      <c r="B76" t="s">
        <v>98</v>
      </c>
      <c r="C76" t="s">
        <v>772</v>
      </c>
      <c r="D76" t="s">
        <v>842</v>
      </c>
      <c r="E76" t="s">
        <v>1496</v>
      </c>
      <c r="F76" t="s">
        <v>1232</v>
      </c>
      <c r="G76" t="s">
        <v>842</v>
      </c>
      <c r="H76" t="s">
        <v>846</v>
      </c>
      <c r="I76" t="s">
        <v>803</v>
      </c>
      <c r="J76" t="s">
        <v>778</v>
      </c>
      <c r="K76" t="s">
        <v>822</v>
      </c>
      <c r="L76" t="s">
        <v>801</v>
      </c>
      <c r="M76" t="s">
        <v>802</v>
      </c>
      <c r="N76" t="s">
        <v>895</v>
      </c>
      <c r="O76" t="s">
        <v>778</v>
      </c>
      <c r="P76" t="s">
        <v>1262</v>
      </c>
      <c r="Q76" t="s">
        <v>1504</v>
      </c>
      <c r="R76" t="s">
        <v>1505</v>
      </c>
      <c r="S76" t="s">
        <v>1336</v>
      </c>
      <c r="T76" t="s">
        <v>1020</v>
      </c>
      <c r="U76" t="s">
        <v>1189</v>
      </c>
      <c r="V76" t="s">
        <v>1345</v>
      </c>
      <c r="W76" t="s">
        <v>1506</v>
      </c>
      <c r="X76" t="s">
        <v>1441</v>
      </c>
      <c r="Y76" t="s">
        <v>980</v>
      </c>
      <c r="Z76" t="s">
        <v>1005</v>
      </c>
      <c r="AA76" t="s">
        <v>1507</v>
      </c>
      <c r="AB76" t="s">
        <v>821</v>
      </c>
      <c r="AC76" t="s">
        <v>1206</v>
      </c>
      <c r="AD76" t="s">
        <v>1508</v>
      </c>
    </row>
    <row r="77" spans="1:30">
      <c r="A77" t="s">
        <v>3</v>
      </c>
      <c r="B77" t="s">
        <v>318</v>
      </c>
      <c r="C77" t="s">
        <v>1068</v>
      </c>
      <c r="D77" t="s">
        <v>1015</v>
      </c>
      <c r="E77" t="s">
        <v>1066</v>
      </c>
      <c r="F77" t="s">
        <v>926</v>
      </c>
      <c r="G77" t="s">
        <v>926</v>
      </c>
      <c r="H77" t="s">
        <v>777</v>
      </c>
      <c r="I77" t="s">
        <v>778</v>
      </c>
      <c r="J77" t="s">
        <v>846</v>
      </c>
      <c r="K77" t="s">
        <v>802</v>
      </c>
      <c r="L77" t="s">
        <v>783</v>
      </c>
      <c r="M77" t="s">
        <v>926</v>
      </c>
      <c r="N77" t="s">
        <v>775</v>
      </c>
      <c r="O77" t="s">
        <v>846</v>
      </c>
      <c r="P77" t="s">
        <v>1509</v>
      </c>
      <c r="Q77" t="s">
        <v>1510</v>
      </c>
      <c r="R77" t="s">
        <v>1511</v>
      </c>
      <c r="S77" t="s">
        <v>1394</v>
      </c>
      <c r="T77" t="s">
        <v>960</v>
      </c>
      <c r="U77" t="s">
        <v>1512</v>
      </c>
      <c r="V77" t="s">
        <v>871</v>
      </c>
      <c r="W77" t="s">
        <v>1513</v>
      </c>
      <c r="X77" t="s">
        <v>1514</v>
      </c>
      <c r="Y77" t="s">
        <v>1276</v>
      </c>
      <c r="Z77" t="s">
        <v>1162</v>
      </c>
      <c r="AA77" t="s">
        <v>1055</v>
      </c>
      <c r="AB77" t="s">
        <v>823</v>
      </c>
      <c r="AC77" t="s">
        <v>1515</v>
      </c>
      <c r="AD77" t="s">
        <v>1516</v>
      </c>
    </row>
    <row r="78" spans="1:30">
      <c r="A78" t="s">
        <v>3</v>
      </c>
      <c r="B78" t="s">
        <v>100</v>
      </c>
      <c r="C78" t="s">
        <v>772</v>
      </c>
      <c r="D78" t="s">
        <v>773</v>
      </c>
      <c r="E78" t="s">
        <v>1066</v>
      </c>
      <c r="F78" t="s">
        <v>971</v>
      </c>
      <c r="G78" t="s">
        <v>925</v>
      </c>
      <c r="H78" t="s">
        <v>846</v>
      </c>
      <c r="I78" t="s">
        <v>803</v>
      </c>
      <c r="J78" t="s">
        <v>858</v>
      </c>
      <c r="K78" t="s">
        <v>775</v>
      </c>
      <c r="L78" t="s">
        <v>1517</v>
      </c>
      <c r="M78" t="s">
        <v>823</v>
      </c>
      <c r="N78" t="s">
        <v>1081</v>
      </c>
      <c r="O78" t="s">
        <v>778</v>
      </c>
      <c r="P78" t="s">
        <v>1104</v>
      </c>
      <c r="Q78" t="s">
        <v>816</v>
      </c>
      <c r="R78" t="s">
        <v>1518</v>
      </c>
      <c r="S78" t="s">
        <v>1519</v>
      </c>
      <c r="T78" t="s">
        <v>1051</v>
      </c>
      <c r="U78" t="s">
        <v>1520</v>
      </c>
      <c r="V78" t="s">
        <v>1037</v>
      </c>
      <c r="W78" t="s">
        <v>1388</v>
      </c>
      <c r="X78" t="s">
        <v>1164</v>
      </c>
      <c r="Y78" t="s">
        <v>1521</v>
      </c>
      <c r="Z78" t="s">
        <v>1522</v>
      </c>
      <c r="AA78" t="s">
        <v>1523</v>
      </c>
      <c r="AB78" t="s">
        <v>971</v>
      </c>
      <c r="AC78" t="s">
        <v>1056</v>
      </c>
      <c r="AD78" t="s">
        <v>1524</v>
      </c>
    </row>
    <row r="79" spans="1:30">
      <c r="A79" t="s">
        <v>3</v>
      </c>
      <c r="B79" t="s">
        <v>2</v>
      </c>
      <c r="C79" t="s">
        <v>799</v>
      </c>
      <c r="D79" t="s">
        <v>842</v>
      </c>
      <c r="E79" t="s">
        <v>1342</v>
      </c>
      <c r="F79" t="s">
        <v>779</v>
      </c>
      <c r="G79" t="s">
        <v>862</v>
      </c>
      <c r="H79" t="s">
        <v>777</v>
      </c>
      <c r="I79" t="s">
        <v>845</v>
      </c>
      <c r="J79" t="s">
        <v>845</v>
      </c>
      <c r="K79" t="s">
        <v>782</v>
      </c>
      <c r="L79" t="s">
        <v>1030</v>
      </c>
      <c r="M79" t="s">
        <v>846</v>
      </c>
      <c r="N79" t="s">
        <v>826</v>
      </c>
      <c r="O79" t="s">
        <v>803</v>
      </c>
      <c r="P79" t="s">
        <v>1525</v>
      </c>
      <c r="Q79" t="s">
        <v>1199</v>
      </c>
      <c r="R79" t="s">
        <v>1522</v>
      </c>
      <c r="S79" t="s">
        <v>1526</v>
      </c>
      <c r="T79" t="s">
        <v>1491</v>
      </c>
      <c r="U79" t="s">
        <v>1527</v>
      </c>
      <c r="V79" t="s">
        <v>1121</v>
      </c>
      <c r="W79" t="s">
        <v>1163</v>
      </c>
      <c r="X79" t="s">
        <v>1024</v>
      </c>
      <c r="Y79" t="s">
        <v>1026</v>
      </c>
      <c r="Z79" t="s">
        <v>1497</v>
      </c>
      <c r="AA79" t="s">
        <v>1528</v>
      </c>
      <c r="AB79" t="s">
        <v>863</v>
      </c>
      <c r="AC79" t="s">
        <v>1529</v>
      </c>
      <c r="AD79" t="s">
        <v>1148</v>
      </c>
    </row>
    <row r="80" spans="1:30">
      <c r="A80" t="s">
        <v>3</v>
      </c>
      <c r="B80" t="s">
        <v>278</v>
      </c>
      <c r="C80" t="s">
        <v>841</v>
      </c>
      <c r="D80" t="s">
        <v>895</v>
      </c>
      <c r="E80" t="s">
        <v>1103</v>
      </c>
      <c r="F80" t="s">
        <v>858</v>
      </c>
      <c r="G80" t="s">
        <v>971</v>
      </c>
      <c r="H80" t="s">
        <v>778</v>
      </c>
      <c r="I80" t="s">
        <v>803</v>
      </c>
      <c r="J80" t="s">
        <v>803</v>
      </c>
      <c r="K80" t="s">
        <v>822</v>
      </c>
      <c r="L80" t="s">
        <v>802</v>
      </c>
      <c r="M80" t="s">
        <v>846</v>
      </c>
      <c r="N80" t="s">
        <v>823</v>
      </c>
      <c r="O80" t="s">
        <v>821</v>
      </c>
      <c r="P80" t="s">
        <v>1283</v>
      </c>
      <c r="Q80" t="s">
        <v>881</v>
      </c>
      <c r="R80" t="s">
        <v>1270</v>
      </c>
      <c r="S80" t="s">
        <v>1530</v>
      </c>
      <c r="T80" t="s">
        <v>1119</v>
      </c>
      <c r="U80" t="s">
        <v>1121</v>
      </c>
      <c r="V80" t="s">
        <v>1035</v>
      </c>
      <c r="W80" t="s">
        <v>990</v>
      </c>
      <c r="X80" t="s">
        <v>991</v>
      </c>
      <c r="Y80" t="s">
        <v>1531</v>
      </c>
      <c r="Z80" t="s">
        <v>1283</v>
      </c>
      <c r="AA80" t="s">
        <v>1466</v>
      </c>
      <c r="AB80" t="s">
        <v>778</v>
      </c>
      <c r="AC80" t="s">
        <v>1532</v>
      </c>
      <c r="AD80" t="s">
        <v>939</v>
      </c>
    </row>
    <row r="81" spans="1:30">
      <c r="A81" t="s">
        <v>3</v>
      </c>
      <c r="B81" t="s">
        <v>168</v>
      </c>
      <c r="C81" t="s">
        <v>536</v>
      </c>
      <c r="D81" t="s">
        <v>925</v>
      </c>
      <c r="E81" t="s">
        <v>1251</v>
      </c>
      <c r="F81" t="s">
        <v>845</v>
      </c>
      <c r="G81" t="s">
        <v>823</v>
      </c>
      <c r="H81" t="s">
        <v>778</v>
      </c>
      <c r="I81" t="s">
        <v>803</v>
      </c>
      <c r="J81" t="s">
        <v>803</v>
      </c>
      <c r="K81" t="s">
        <v>777</v>
      </c>
      <c r="L81" t="s">
        <v>782</v>
      </c>
      <c r="M81" t="s">
        <v>779</v>
      </c>
      <c r="N81" t="s">
        <v>825</v>
      </c>
      <c r="O81" t="s">
        <v>778</v>
      </c>
      <c r="P81" t="s">
        <v>1089</v>
      </c>
      <c r="Q81" t="s">
        <v>943</v>
      </c>
      <c r="R81" t="s">
        <v>1252</v>
      </c>
      <c r="S81" t="s">
        <v>1533</v>
      </c>
      <c r="T81" t="s">
        <v>946</v>
      </c>
      <c r="U81" t="s">
        <v>1063</v>
      </c>
      <c r="V81" t="s">
        <v>1170</v>
      </c>
      <c r="W81" t="s">
        <v>872</v>
      </c>
      <c r="X81" t="s">
        <v>1073</v>
      </c>
      <c r="Y81" t="s">
        <v>1534</v>
      </c>
      <c r="Z81" t="s">
        <v>1252</v>
      </c>
      <c r="AA81" t="s">
        <v>1434</v>
      </c>
      <c r="AB81" t="s">
        <v>778</v>
      </c>
      <c r="AC81" t="s">
        <v>1532</v>
      </c>
      <c r="AD81" t="s">
        <v>939</v>
      </c>
    </row>
    <row r="82" spans="1:30">
      <c r="A82" t="s">
        <v>3</v>
      </c>
      <c r="B82" t="s">
        <v>1535</v>
      </c>
      <c r="C82" t="s">
        <v>799</v>
      </c>
      <c r="D82" t="s">
        <v>776</v>
      </c>
      <c r="E82" t="s">
        <v>1126</v>
      </c>
      <c r="F82" t="s">
        <v>822</v>
      </c>
      <c r="G82" t="s">
        <v>1232</v>
      </c>
      <c r="H82" t="s">
        <v>778</v>
      </c>
      <c r="I82" t="s">
        <v>778</v>
      </c>
      <c r="J82" t="s">
        <v>803</v>
      </c>
      <c r="K82" t="s">
        <v>845</v>
      </c>
      <c r="L82" t="s">
        <v>775</v>
      </c>
      <c r="M82" t="s">
        <v>777</v>
      </c>
      <c r="N82" t="s">
        <v>780</v>
      </c>
      <c r="O82" t="s">
        <v>845</v>
      </c>
      <c r="P82" t="s">
        <v>1536</v>
      </c>
      <c r="Q82" t="s">
        <v>1094</v>
      </c>
      <c r="R82" t="s">
        <v>1234</v>
      </c>
      <c r="S82" t="s">
        <v>1537</v>
      </c>
      <c r="T82" t="s">
        <v>831</v>
      </c>
      <c r="U82" t="s">
        <v>1538</v>
      </c>
      <c r="V82" t="s">
        <v>887</v>
      </c>
      <c r="W82" t="s">
        <v>933</v>
      </c>
      <c r="X82" t="s">
        <v>1347</v>
      </c>
      <c r="Y82" t="s">
        <v>1023</v>
      </c>
      <c r="Z82" t="s">
        <v>1484</v>
      </c>
      <c r="AA82" t="s">
        <v>1389</v>
      </c>
      <c r="AB82" t="s">
        <v>845</v>
      </c>
      <c r="AC82" t="s">
        <v>938</v>
      </c>
      <c r="AD82" t="s">
        <v>939</v>
      </c>
    </row>
    <row r="83" spans="1:30">
      <c r="A83" t="s">
        <v>3</v>
      </c>
      <c r="B83" t="s">
        <v>165</v>
      </c>
      <c r="C83" t="s">
        <v>1079</v>
      </c>
      <c r="D83" t="s">
        <v>1232</v>
      </c>
      <c r="E83" t="s">
        <v>781</v>
      </c>
      <c r="F83" t="s">
        <v>858</v>
      </c>
      <c r="G83" t="s">
        <v>1232</v>
      </c>
      <c r="H83" t="s">
        <v>777</v>
      </c>
      <c r="I83" t="s">
        <v>803</v>
      </c>
      <c r="J83" t="s">
        <v>822</v>
      </c>
      <c r="K83" t="s">
        <v>858</v>
      </c>
      <c r="L83" t="s">
        <v>1208</v>
      </c>
      <c r="M83" t="s">
        <v>777</v>
      </c>
      <c r="N83" t="s">
        <v>775</v>
      </c>
      <c r="O83" t="s">
        <v>778</v>
      </c>
      <c r="P83" t="s">
        <v>1082</v>
      </c>
      <c r="Q83" t="s">
        <v>1244</v>
      </c>
      <c r="R83" t="s">
        <v>1312</v>
      </c>
      <c r="S83" t="s">
        <v>1539</v>
      </c>
      <c r="T83" t="s">
        <v>831</v>
      </c>
      <c r="U83" t="s">
        <v>962</v>
      </c>
      <c r="V83" t="s">
        <v>1037</v>
      </c>
      <c r="W83" t="s">
        <v>933</v>
      </c>
      <c r="X83" t="s">
        <v>1216</v>
      </c>
      <c r="Y83" t="s">
        <v>1104</v>
      </c>
      <c r="Z83" t="s">
        <v>974</v>
      </c>
      <c r="AA83" t="s">
        <v>1540</v>
      </c>
      <c r="AB83" t="s">
        <v>858</v>
      </c>
      <c r="AC83" t="s">
        <v>938</v>
      </c>
      <c r="AD83" t="s">
        <v>1541</v>
      </c>
    </row>
    <row r="84" spans="1:30">
      <c r="A84" t="s">
        <v>3</v>
      </c>
      <c r="B84" t="s">
        <v>1542</v>
      </c>
      <c r="C84" t="s">
        <v>1079</v>
      </c>
      <c r="D84" t="s">
        <v>925</v>
      </c>
      <c r="E84" t="s">
        <v>801</v>
      </c>
      <c r="F84" t="s">
        <v>846</v>
      </c>
      <c r="G84" t="s">
        <v>863</v>
      </c>
      <c r="H84" t="s">
        <v>803</v>
      </c>
      <c r="I84" t="s">
        <v>803</v>
      </c>
      <c r="J84" t="s">
        <v>778</v>
      </c>
      <c r="K84" t="s">
        <v>778</v>
      </c>
      <c r="L84" t="s">
        <v>782</v>
      </c>
      <c r="M84" t="s">
        <v>846</v>
      </c>
      <c r="N84" t="s">
        <v>802</v>
      </c>
      <c r="O84" t="s">
        <v>777</v>
      </c>
      <c r="P84" t="s">
        <v>1018</v>
      </c>
      <c r="Q84" t="s">
        <v>956</v>
      </c>
      <c r="R84" t="s">
        <v>1543</v>
      </c>
      <c r="S84" t="s">
        <v>1544</v>
      </c>
      <c r="T84" t="s">
        <v>946</v>
      </c>
      <c r="U84" t="s">
        <v>1545</v>
      </c>
      <c r="V84" t="s">
        <v>1280</v>
      </c>
      <c r="W84" t="s">
        <v>1546</v>
      </c>
      <c r="X84" t="s">
        <v>904</v>
      </c>
      <c r="Y84" t="s">
        <v>1124</v>
      </c>
      <c r="Z84" t="s">
        <v>1521</v>
      </c>
      <c r="AA84" t="s">
        <v>1389</v>
      </c>
      <c r="AB84" t="s">
        <v>778</v>
      </c>
      <c r="AC84" t="s">
        <v>1184</v>
      </c>
      <c r="AD84" t="s">
        <v>1472</v>
      </c>
    </row>
    <row r="85" spans="1:30">
      <c r="A85" t="s">
        <v>3</v>
      </c>
      <c r="B85" t="s">
        <v>1477</v>
      </c>
      <c r="C85" t="s">
        <v>841</v>
      </c>
      <c r="D85" t="s">
        <v>971</v>
      </c>
      <c r="E85" t="s">
        <v>864</v>
      </c>
      <c r="F85" t="s">
        <v>845</v>
      </c>
      <c r="G85" t="s">
        <v>858</v>
      </c>
      <c r="H85" t="s">
        <v>822</v>
      </c>
      <c r="I85" t="s">
        <v>803</v>
      </c>
      <c r="J85" t="s">
        <v>803</v>
      </c>
      <c r="K85" t="s">
        <v>822</v>
      </c>
      <c r="L85" t="s">
        <v>823</v>
      </c>
      <c r="M85" t="s">
        <v>803</v>
      </c>
      <c r="N85" t="s">
        <v>858</v>
      </c>
      <c r="O85" t="s">
        <v>803</v>
      </c>
      <c r="P85" t="s">
        <v>1160</v>
      </c>
      <c r="Q85" t="s">
        <v>1160</v>
      </c>
      <c r="R85" t="s">
        <v>1156</v>
      </c>
      <c r="S85" t="s">
        <v>1547</v>
      </c>
      <c r="T85" t="s">
        <v>946</v>
      </c>
      <c r="U85" t="s">
        <v>1072</v>
      </c>
      <c r="V85" t="s">
        <v>1072</v>
      </c>
      <c r="W85" t="s">
        <v>1008</v>
      </c>
      <c r="X85" t="s">
        <v>1009</v>
      </c>
      <c r="Y85" t="s">
        <v>1486</v>
      </c>
      <c r="Z85" t="s">
        <v>1486</v>
      </c>
      <c r="AA85" t="s">
        <v>1548</v>
      </c>
      <c r="AB85" t="s">
        <v>822</v>
      </c>
      <c r="AC85" t="s">
        <v>864</v>
      </c>
      <c r="AD85" t="s">
        <v>939</v>
      </c>
    </row>
    <row r="86" spans="1:30">
      <c r="A86" t="s">
        <v>3</v>
      </c>
      <c r="B86" t="s">
        <v>1549</v>
      </c>
      <c r="C86" t="s">
        <v>799</v>
      </c>
      <c r="D86" t="s">
        <v>779</v>
      </c>
      <c r="E86" t="s">
        <v>826</v>
      </c>
      <c r="F86" t="s">
        <v>845</v>
      </c>
      <c r="G86" t="s">
        <v>858</v>
      </c>
      <c r="H86" t="s">
        <v>778</v>
      </c>
      <c r="I86" t="s">
        <v>803</v>
      </c>
      <c r="J86" t="s">
        <v>778</v>
      </c>
      <c r="K86" t="s">
        <v>821</v>
      </c>
      <c r="L86" t="s">
        <v>782</v>
      </c>
      <c r="M86" t="s">
        <v>778</v>
      </c>
      <c r="N86" t="s">
        <v>971</v>
      </c>
      <c r="O86" t="s">
        <v>803</v>
      </c>
      <c r="P86" t="s">
        <v>874</v>
      </c>
      <c r="Q86" t="s">
        <v>1550</v>
      </c>
      <c r="R86" t="s">
        <v>1248</v>
      </c>
      <c r="S86" t="s">
        <v>1551</v>
      </c>
      <c r="T86" t="s">
        <v>901</v>
      </c>
      <c r="U86" t="s">
        <v>1255</v>
      </c>
      <c r="V86" t="s">
        <v>1007</v>
      </c>
      <c r="W86" t="s">
        <v>1274</v>
      </c>
      <c r="X86" t="s">
        <v>1552</v>
      </c>
      <c r="Y86" t="s">
        <v>1546</v>
      </c>
      <c r="Z86" t="s">
        <v>1546</v>
      </c>
      <c r="AA86" t="s">
        <v>1553</v>
      </c>
      <c r="AB86" t="s">
        <v>845</v>
      </c>
      <c r="AC86" t="s">
        <v>864</v>
      </c>
      <c r="AD86" t="s">
        <v>1197</v>
      </c>
    </row>
    <row r="87" spans="1:30">
      <c r="A87" t="s">
        <v>3</v>
      </c>
      <c r="B87" t="s">
        <v>385</v>
      </c>
      <c r="C87" t="s">
        <v>772</v>
      </c>
      <c r="D87" t="s">
        <v>782</v>
      </c>
      <c r="E87" t="s">
        <v>1221</v>
      </c>
      <c r="F87" t="s">
        <v>822</v>
      </c>
      <c r="G87" t="s">
        <v>858</v>
      </c>
      <c r="H87" t="s">
        <v>778</v>
      </c>
      <c r="I87" t="s">
        <v>778</v>
      </c>
      <c r="J87" t="s">
        <v>778</v>
      </c>
      <c r="K87" t="s">
        <v>777</v>
      </c>
      <c r="L87" t="s">
        <v>802</v>
      </c>
      <c r="M87" t="s">
        <v>822</v>
      </c>
      <c r="N87" t="s">
        <v>845</v>
      </c>
      <c r="O87" t="s">
        <v>803</v>
      </c>
      <c r="P87" t="s">
        <v>865</v>
      </c>
      <c r="Q87" t="s">
        <v>1083</v>
      </c>
      <c r="R87" t="s">
        <v>1554</v>
      </c>
      <c r="S87" t="s">
        <v>1555</v>
      </c>
      <c r="T87" t="s">
        <v>1337</v>
      </c>
      <c r="U87" t="s">
        <v>1381</v>
      </c>
      <c r="V87" t="s">
        <v>1287</v>
      </c>
      <c r="W87" t="s">
        <v>980</v>
      </c>
      <c r="X87" t="s">
        <v>1135</v>
      </c>
      <c r="Y87" t="s">
        <v>942</v>
      </c>
      <c r="Z87" t="s">
        <v>865</v>
      </c>
      <c r="AA87" t="s">
        <v>1556</v>
      </c>
      <c r="AB87" t="s">
        <v>822</v>
      </c>
      <c r="AC87" t="s">
        <v>972</v>
      </c>
      <c r="AD87" t="s">
        <v>1219</v>
      </c>
    </row>
    <row r="88" spans="1:30">
      <c r="A88" t="s">
        <v>3</v>
      </c>
      <c r="B88" t="s">
        <v>1557</v>
      </c>
      <c r="C88" t="s">
        <v>536</v>
      </c>
      <c r="D88" t="s">
        <v>782</v>
      </c>
      <c r="E88" t="s">
        <v>1208</v>
      </c>
      <c r="F88" t="s">
        <v>778</v>
      </c>
      <c r="G88" t="s">
        <v>846</v>
      </c>
      <c r="H88" t="s">
        <v>803</v>
      </c>
      <c r="I88" t="s">
        <v>803</v>
      </c>
      <c r="J88" t="s">
        <v>803</v>
      </c>
      <c r="K88" t="s">
        <v>822</v>
      </c>
      <c r="L88" t="s">
        <v>846</v>
      </c>
      <c r="M88" t="s">
        <v>845</v>
      </c>
      <c r="N88" t="s">
        <v>779</v>
      </c>
      <c r="O88" t="s">
        <v>803</v>
      </c>
      <c r="P88" t="s">
        <v>927</v>
      </c>
      <c r="Q88" t="s">
        <v>898</v>
      </c>
      <c r="R88" t="s">
        <v>927</v>
      </c>
      <c r="S88" t="s">
        <v>1558</v>
      </c>
      <c r="T88" t="s">
        <v>901</v>
      </c>
      <c r="U88" t="s">
        <v>1225</v>
      </c>
      <c r="V88" t="s">
        <v>1559</v>
      </c>
      <c r="W88" t="s">
        <v>1560</v>
      </c>
      <c r="X88" t="s">
        <v>1347</v>
      </c>
      <c r="Y88" t="s">
        <v>1008</v>
      </c>
      <c r="Z88" t="s">
        <v>1561</v>
      </c>
      <c r="AA88" t="s">
        <v>857</v>
      </c>
      <c r="AB88" t="s">
        <v>803</v>
      </c>
      <c r="AC88" t="s">
        <v>801</v>
      </c>
      <c r="AD88" t="s">
        <v>939</v>
      </c>
    </row>
    <row r="89" spans="1:30">
      <c r="A89" t="s">
        <v>3</v>
      </c>
      <c r="B89" t="s">
        <v>1562</v>
      </c>
      <c r="C89" t="s">
        <v>841</v>
      </c>
      <c r="D89" t="s">
        <v>802</v>
      </c>
      <c r="E89" t="s">
        <v>773</v>
      </c>
      <c r="F89" t="s">
        <v>845</v>
      </c>
      <c r="G89" t="s">
        <v>821</v>
      </c>
      <c r="H89" t="s">
        <v>803</v>
      </c>
      <c r="I89" t="s">
        <v>803</v>
      </c>
      <c r="J89" t="s">
        <v>778</v>
      </c>
      <c r="K89" t="s">
        <v>822</v>
      </c>
      <c r="L89" t="s">
        <v>779</v>
      </c>
      <c r="M89" t="s">
        <v>845</v>
      </c>
      <c r="N89" t="s">
        <v>858</v>
      </c>
      <c r="O89" t="s">
        <v>803</v>
      </c>
      <c r="P89" t="s">
        <v>1276</v>
      </c>
      <c r="Q89" t="s">
        <v>1194</v>
      </c>
      <c r="R89" t="s">
        <v>1301</v>
      </c>
      <c r="S89" t="s">
        <v>1563</v>
      </c>
      <c r="T89" t="s">
        <v>1020</v>
      </c>
      <c r="U89" t="s">
        <v>1280</v>
      </c>
      <c r="V89" t="s">
        <v>1564</v>
      </c>
      <c r="W89" t="s">
        <v>1565</v>
      </c>
      <c r="X89" t="s">
        <v>1164</v>
      </c>
      <c r="Y89" t="s">
        <v>1294</v>
      </c>
      <c r="Z89" t="s">
        <v>1283</v>
      </c>
      <c r="AA89" t="s">
        <v>1566</v>
      </c>
      <c r="AB89" t="s">
        <v>778</v>
      </c>
      <c r="AC89" t="s">
        <v>864</v>
      </c>
      <c r="AD89" t="s">
        <v>1288</v>
      </c>
    </row>
    <row r="90" spans="1:30">
      <c r="A90" t="s">
        <v>3</v>
      </c>
      <c r="B90" t="s">
        <v>141</v>
      </c>
      <c r="C90" t="s">
        <v>799</v>
      </c>
      <c r="D90" t="s">
        <v>821</v>
      </c>
      <c r="E90" t="s">
        <v>971</v>
      </c>
      <c r="F90" t="s">
        <v>845</v>
      </c>
      <c r="G90" t="s">
        <v>822</v>
      </c>
      <c r="H90" t="s">
        <v>778</v>
      </c>
      <c r="I90" t="s">
        <v>803</v>
      </c>
      <c r="J90" t="s">
        <v>803</v>
      </c>
      <c r="K90" t="s">
        <v>778</v>
      </c>
      <c r="L90" t="s">
        <v>777</v>
      </c>
      <c r="M90" t="s">
        <v>777</v>
      </c>
      <c r="N90" t="s">
        <v>778</v>
      </c>
      <c r="O90" t="s">
        <v>845</v>
      </c>
      <c r="P90" t="s">
        <v>1199</v>
      </c>
      <c r="Q90" t="s">
        <v>1393</v>
      </c>
      <c r="R90" t="s">
        <v>956</v>
      </c>
      <c r="S90" t="s">
        <v>1371</v>
      </c>
      <c r="T90" t="s">
        <v>831</v>
      </c>
      <c r="U90" t="s">
        <v>1063</v>
      </c>
      <c r="V90" t="s">
        <v>1567</v>
      </c>
      <c r="W90" t="s">
        <v>1199</v>
      </c>
      <c r="X90" t="s">
        <v>1218</v>
      </c>
      <c r="Y90" t="s">
        <v>791</v>
      </c>
      <c r="Z90" t="s">
        <v>1568</v>
      </c>
      <c r="AA90" t="s">
        <v>1569</v>
      </c>
      <c r="AB90" t="s">
        <v>778</v>
      </c>
      <c r="AC90" t="s">
        <v>1232</v>
      </c>
      <c r="AD90" t="s">
        <v>939</v>
      </c>
    </row>
    <row r="91" spans="1:30">
      <c r="A91" t="s">
        <v>3</v>
      </c>
      <c r="B91" t="s">
        <v>1570</v>
      </c>
      <c r="C91" t="s">
        <v>536</v>
      </c>
      <c r="D91" t="s">
        <v>845</v>
      </c>
      <c r="E91" t="s">
        <v>822</v>
      </c>
      <c r="F91" t="s">
        <v>803</v>
      </c>
      <c r="G91" t="s">
        <v>803</v>
      </c>
      <c r="H91" t="s">
        <v>803</v>
      </c>
      <c r="I91" t="s">
        <v>803</v>
      </c>
      <c r="J91" t="s">
        <v>803</v>
      </c>
      <c r="K91" t="s">
        <v>803</v>
      </c>
      <c r="L91" t="s">
        <v>803</v>
      </c>
      <c r="M91" t="s">
        <v>845</v>
      </c>
      <c r="N91" t="s">
        <v>778</v>
      </c>
      <c r="O91" t="s">
        <v>803</v>
      </c>
      <c r="P91" t="s">
        <v>1008</v>
      </c>
      <c r="Q91" t="s">
        <v>913</v>
      </c>
      <c r="R91" t="s">
        <v>1008</v>
      </c>
      <c r="S91" t="s">
        <v>913</v>
      </c>
      <c r="T91" t="s">
        <v>939</v>
      </c>
      <c r="U91" t="s">
        <v>1337</v>
      </c>
      <c r="V91" t="s">
        <v>1280</v>
      </c>
      <c r="W91" t="s">
        <v>913</v>
      </c>
      <c r="X91" t="s">
        <v>1571</v>
      </c>
      <c r="Y91" t="s">
        <v>1008</v>
      </c>
      <c r="Z91" t="s">
        <v>1572</v>
      </c>
      <c r="AA91" t="s">
        <v>1573</v>
      </c>
      <c r="AB91" t="s">
        <v>803</v>
      </c>
      <c r="AC91" t="s">
        <v>846</v>
      </c>
      <c r="AD91" t="s">
        <v>939</v>
      </c>
    </row>
    <row r="92" spans="1:30">
      <c r="A92" t="s">
        <v>20</v>
      </c>
      <c r="B92" t="s">
        <v>245</v>
      </c>
      <c r="C92" t="s">
        <v>1068</v>
      </c>
      <c r="D92" t="s">
        <v>1208</v>
      </c>
      <c r="E92" t="s">
        <v>1574</v>
      </c>
      <c r="F92" t="s">
        <v>775</v>
      </c>
      <c r="G92" t="s">
        <v>844</v>
      </c>
      <c r="H92" t="s">
        <v>821</v>
      </c>
      <c r="I92" t="s">
        <v>803</v>
      </c>
      <c r="J92" t="s">
        <v>821</v>
      </c>
      <c r="K92" t="s">
        <v>971</v>
      </c>
      <c r="L92" t="s">
        <v>1517</v>
      </c>
      <c r="M92" t="s">
        <v>805</v>
      </c>
      <c r="N92" t="s">
        <v>862</v>
      </c>
      <c r="O92" t="s">
        <v>782</v>
      </c>
      <c r="P92" t="s">
        <v>891</v>
      </c>
      <c r="Q92" t="s">
        <v>987</v>
      </c>
      <c r="R92" t="s">
        <v>1575</v>
      </c>
      <c r="S92" t="s">
        <v>1576</v>
      </c>
      <c r="T92" t="s">
        <v>1051</v>
      </c>
      <c r="U92" t="s">
        <v>1577</v>
      </c>
      <c r="V92" t="s">
        <v>999</v>
      </c>
      <c r="W92" t="s">
        <v>1217</v>
      </c>
      <c r="X92" t="s">
        <v>1578</v>
      </c>
      <c r="Y92" t="s">
        <v>891</v>
      </c>
      <c r="Z92" t="s">
        <v>1019</v>
      </c>
      <c r="AA92" t="s">
        <v>1579</v>
      </c>
      <c r="AB92" t="s">
        <v>971</v>
      </c>
      <c r="AC92" t="s">
        <v>1580</v>
      </c>
      <c r="AD92" t="s">
        <v>1581</v>
      </c>
    </row>
    <row r="93" spans="1:30">
      <c r="A93" t="s">
        <v>20</v>
      </c>
      <c r="B93" t="s">
        <v>406</v>
      </c>
      <c r="C93" t="s">
        <v>799</v>
      </c>
      <c r="D93" t="s">
        <v>1015</v>
      </c>
      <c r="E93" t="s">
        <v>1196</v>
      </c>
      <c r="F93" t="s">
        <v>823</v>
      </c>
      <c r="G93" t="s">
        <v>895</v>
      </c>
      <c r="H93" t="s">
        <v>822</v>
      </c>
      <c r="I93" t="s">
        <v>803</v>
      </c>
      <c r="J93" t="s">
        <v>778</v>
      </c>
      <c r="K93" t="s">
        <v>863</v>
      </c>
      <c r="L93" t="s">
        <v>1208</v>
      </c>
      <c r="M93" t="s">
        <v>971</v>
      </c>
      <c r="N93" t="s">
        <v>796</v>
      </c>
      <c r="O93" t="s">
        <v>845</v>
      </c>
      <c r="P93" t="s">
        <v>1075</v>
      </c>
      <c r="Q93" t="s">
        <v>974</v>
      </c>
      <c r="R93" t="s">
        <v>1582</v>
      </c>
      <c r="S93" t="s">
        <v>1583</v>
      </c>
      <c r="T93" t="s">
        <v>885</v>
      </c>
      <c r="U93" t="s">
        <v>1265</v>
      </c>
      <c r="V93" t="s">
        <v>1280</v>
      </c>
      <c r="W93" t="s">
        <v>1153</v>
      </c>
      <c r="X93" t="s">
        <v>1584</v>
      </c>
      <c r="Y93" t="s">
        <v>1560</v>
      </c>
      <c r="Z93" t="s">
        <v>1585</v>
      </c>
      <c r="AA93" t="s">
        <v>1055</v>
      </c>
      <c r="AB93" t="s">
        <v>777</v>
      </c>
      <c r="AC93" t="s">
        <v>1586</v>
      </c>
      <c r="AD93" t="s">
        <v>1587</v>
      </c>
    </row>
    <row r="94" spans="1:30">
      <c r="A94" t="s">
        <v>20</v>
      </c>
      <c r="B94" t="s">
        <v>63</v>
      </c>
      <c r="C94" t="s">
        <v>772</v>
      </c>
      <c r="D94" t="s">
        <v>773</v>
      </c>
      <c r="E94" t="s">
        <v>1058</v>
      </c>
      <c r="F94" t="s">
        <v>782</v>
      </c>
      <c r="G94" t="s">
        <v>776</v>
      </c>
      <c r="H94" t="s">
        <v>822</v>
      </c>
      <c r="I94" t="s">
        <v>803</v>
      </c>
      <c r="J94" t="s">
        <v>822</v>
      </c>
      <c r="K94" t="s">
        <v>862</v>
      </c>
      <c r="L94" t="s">
        <v>972</v>
      </c>
      <c r="M94" t="s">
        <v>823</v>
      </c>
      <c r="N94" t="s">
        <v>782</v>
      </c>
      <c r="O94" t="s">
        <v>778</v>
      </c>
      <c r="P94" t="s">
        <v>1061</v>
      </c>
      <c r="Q94" t="s">
        <v>1588</v>
      </c>
      <c r="R94" t="s">
        <v>1589</v>
      </c>
      <c r="S94" t="s">
        <v>1475</v>
      </c>
      <c r="T94" t="s">
        <v>1170</v>
      </c>
      <c r="U94" t="s">
        <v>1590</v>
      </c>
      <c r="V94" t="s">
        <v>1143</v>
      </c>
      <c r="W94" t="s">
        <v>1257</v>
      </c>
      <c r="X94" t="s">
        <v>1591</v>
      </c>
      <c r="Y94" t="s">
        <v>1592</v>
      </c>
      <c r="Z94" t="s">
        <v>865</v>
      </c>
      <c r="AA94" t="s">
        <v>1593</v>
      </c>
      <c r="AB94" t="s">
        <v>821</v>
      </c>
      <c r="AC94" t="s">
        <v>1594</v>
      </c>
      <c r="AD94" t="s">
        <v>1219</v>
      </c>
    </row>
    <row r="95" spans="1:30">
      <c r="A95" t="s">
        <v>20</v>
      </c>
      <c r="B95" t="s">
        <v>94</v>
      </c>
      <c r="C95" t="s">
        <v>879</v>
      </c>
      <c r="D95" t="s">
        <v>842</v>
      </c>
      <c r="E95" t="s">
        <v>1058</v>
      </c>
      <c r="F95" t="s">
        <v>971</v>
      </c>
      <c r="G95" t="s">
        <v>805</v>
      </c>
      <c r="H95" t="s">
        <v>846</v>
      </c>
      <c r="I95" t="s">
        <v>778</v>
      </c>
      <c r="J95" t="s">
        <v>846</v>
      </c>
      <c r="K95" t="s">
        <v>1232</v>
      </c>
      <c r="L95" t="s">
        <v>1449</v>
      </c>
      <c r="M95" t="s">
        <v>802</v>
      </c>
      <c r="N95" t="s">
        <v>971</v>
      </c>
      <c r="O95" t="s">
        <v>803</v>
      </c>
      <c r="P95" t="s">
        <v>865</v>
      </c>
      <c r="Q95" t="s">
        <v>1392</v>
      </c>
      <c r="R95" t="s">
        <v>1595</v>
      </c>
      <c r="S95" t="s">
        <v>1596</v>
      </c>
      <c r="T95" t="s">
        <v>1337</v>
      </c>
      <c r="U95" t="s">
        <v>1597</v>
      </c>
      <c r="V95" t="s">
        <v>1304</v>
      </c>
      <c r="W95" t="s">
        <v>1546</v>
      </c>
      <c r="X95" t="s">
        <v>1405</v>
      </c>
      <c r="Y95" t="s">
        <v>1139</v>
      </c>
      <c r="Z95" t="s">
        <v>1598</v>
      </c>
      <c r="AA95" t="s">
        <v>1528</v>
      </c>
      <c r="AB95" t="s">
        <v>782</v>
      </c>
      <c r="AC95" t="s">
        <v>1029</v>
      </c>
      <c r="AD95" t="s">
        <v>1599</v>
      </c>
    </row>
    <row r="96" spans="1:30">
      <c r="A96" t="s">
        <v>20</v>
      </c>
      <c r="B96" t="s">
        <v>22</v>
      </c>
      <c r="C96" t="s">
        <v>1079</v>
      </c>
      <c r="D96" t="s">
        <v>842</v>
      </c>
      <c r="E96" t="s">
        <v>877</v>
      </c>
      <c r="F96" t="s">
        <v>971</v>
      </c>
      <c r="G96" t="s">
        <v>844</v>
      </c>
      <c r="H96" t="s">
        <v>846</v>
      </c>
      <c r="I96" t="s">
        <v>803</v>
      </c>
      <c r="J96" t="s">
        <v>846</v>
      </c>
      <c r="K96" t="s">
        <v>825</v>
      </c>
      <c r="L96" t="s">
        <v>1046</v>
      </c>
      <c r="M96" t="s">
        <v>822</v>
      </c>
      <c r="N96" t="s">
        <v>862</v>
      </c>
      <c r="O96" t="s">
        <v>846</v>
      </c>
      <c r="P96" t="s">
        <v>1600</v>
      </c>
      <c r="Q96" t="s">
        <v>1173</v>
      </c>
      <c r="R96" t="s">
        <v>1070</v>
      </c>
      <c r="S96" t="s">
        <v>1601</v>
      </c>
      <c r="T96" t="s">
        <v>869</v>
      </c>
      <c r="U96" t="s">
        <v>1268</v>
      </c>
      <c r="V96" t="s">
        <v>1440</v>
      </c>
      <c r="W96" t="s">
        <v>1281</v>
      </c>
      <c r="X96" t="s">
        <v>1602</v>
      </c>
      <c r="Y96" t="s">
        <v>1277</v>
      </c>
      <c r="Z96" t="s">
        <v>1094</v>
      </c>
      <c r="AA96" t="s">
        <v>1603</v>
      </c>
      <c r="AB96" t="s">
        <v>823</v>
      </c>
      <c r="AC96" t="s">
        <v>843</v>
      </c>
      <c r="AD96" t="s">
        <v>1520</v>
      </c>
    </row>
    <row r="97" spans="1:30">
      <c r="A97" t="s">
        <v>20</v>
      </c>
      <c r="B97" t="s">
        <v>264</v>
      </c>
      <c r="C97" t="s">
        <v>819</v>
      </c>
      <c r="D97" t="s">
        <v>776</v>
      </c>
      <c r="E97" t="s">
        <v>893</v>
      </c>
      <c r="F97" t="s">
        <v>822</v>
      </c>
      <c r="G97" t="s">
        <v>825</v>
      </c>
      <c r="H97" t="s">
        <v>845</v>
      </c>
      <c r="I97" t="s">
        <v>803</v>
      </c>
      <c r="J97" t="s">
        <v>778</v>
      </c>
      <c r="K97" t="s">
        <v>821</v>
      </c>
      <c r="L97" t="s">
        <v>926</v>
      </c>
      <c r="M97" t="s">
        <v>863</v>
      </c>
      <c r="N97" t="s">
        <v>1221</v>
      </c>
      <c r="O97" t="s">
        <v>803</v>
      </c>
      <c r="P97" t="s">
        <v>1604</v>
      </c>
      <c r="Q97" t="s">
        <v>1582</v>
      </c>
      <c r="R97" t="s">
        <v>1209</v>
      </c>
      <c r="S97" t="s">
        <v>1605</v>
      </c>
      <c r="T97" t="s">
        <v>931</v>
      </c>
      <c r="U97" t="s">
        <v>1287</v>
      </c>
      <c r="V97" t="s">
        <v>1022</v>
      </c>
      <c r="W97" t="s">
        <v>1486</v>
      </c>
      <c r="X97" t="s">
        <v>792</v>
      </c>
      <c r="Y97" t="s">
        <v>1606</v>
      </c>
      <c r="Z97" t="s">
        <v>1217</v>
      </c>
      <c r="AA97" t="s">
        <v>1579</v>
      </c>
      <c r="AB97" t="s">
        <v>822</v>
      </c>
      <c r="AC97" t="s">
        <v>1529</v>
      </c>
      <c r="AD97" t="s">
        <v>1607</v>
      </c>
    </row>
    <row r="98" spans="1:30">
      <c r="A98" t="s">
        <v>20</v>
      </c>
      <c r="B98" t="s">
        <v>145</v>
      </c>
      <c r="C98" t="s">
        <v>841</v>
      </c>
      <c r="D98" t="s">
        <v>895</v>
      </c>
      <c r="E98" t="s">
        <v>1608</v>
      </c>
      <c r="F98" t="s">
        <v>782</v>
      </c>
      <c r="G98" t="s">
        <v>805</v>
      </c>
      <c r="H98" t="s">
        <v>858</v>
      </c>
      <c r="I98" t="s">
        <v>803</v>
      </c>
      <c r="J98" t="s">
        <v>822</v>
      </c>
      <c r="K98" t="s">
        <v>971</v>
      </c>
      <c r="L98" t="s">
        <v>972</v>
      </c>
      <c r="M98" t="s">
        <v>779</v>
      </c>
      <c r="N98" t="s">
        <v>895</v>
      </c>
      <c r="O98" t="s">
        <v>778</v>
      </c>
      <c r="P98" t="s">
        <v>1609</v>
      </c>
      <c r="Q98" t="s">
        <v>913</v>
      </c>
      <c r="R98" t="s">
        <v>1610</v>
      </c>
      <c r="S98" t="s">
        <v>1611</v>
      </c>
      <c r="T98" t="s">
        <v>1170</v>
      </c>
      <c r="U98" t="s">
        <v>1597</v>
      </c>
      <c r="V98" t="s">
        <v>886</v>
      </c>
      <c r="W98" t="s">
        <v>872</v>
      </c>
      <c r="X98" t="s">
        <v>1612</v>
      </c>
      <c r="Y98" t="s">
        <v>1550</v>
      </c>
      <c r="Z98" t="s">
        <v>1613</v>
      </c>
      <c r="AA98" t="s">
        <v>1146</v>
      </c>
      <c r="AB98" t="s">
        <v>823</v>
      </c>
      <c r="AC98" t="s">
        <v>1532</v>
      </c>
      <c r="AD98" t="s">
        <v>1614</v>
      </c>
    </row>
    <row r="99" spans="1:30">
      <c r="A99" t="s">
        <v>20</v>
      </c>
      <c r="B99" t="s">
        <v>376</v>
      </c>
      <c r="C99" t="s">
        <v>819</v>
      </c>
      <c r="D99" t="s">
        <v>925</v>
      </c>
      <c r="E99" t="s">
        <v>1608</v>
      </c>
      <c r="F99" t="s">
        <v>971</v>
      </c>
      <c r="G99" t="s">
        <v>796</v>
      </c>
      <c r="H99" t="s">
        <v>846</v>
      </c>
      <c r="I99" t="s">
        <v>803</v>
      </c>
      <c r="J99" t="s">
        <v>778</v>
      </c>
      <c r="K99" t="s">
        <v>821</v>
      </c>
      <c r="L99" t="s">
        <v>925</v>
      </c>
      <c r="M99" t="s">
        <v>825</v>
      </c>
      <c r="N99" t="s">
        <v>895</v>
      </c>
      <c r="O99" t="s">
        <v>803</v>
      </c>
      <c r="P99" t="s">
        <v>1160</v>
      </c>
      <c r="Q99" t="s">
        <v>1054</v>
      </c>
      <c r="R99" t="s">
        <v>956</v>
      </c>
      <c r="S99" t="s">
        <v>1615</v>
      </c>
      <c r="T99" t="s">
        <v>885</v>
      </c>
      <c r="U99" t="s">
        <v>1616</v>
      </c>
      <c r="V99" t="s">
        <v>1381</v>
      </c>
      <c r="W99" t="s">
        <v>1239</v>
      </c>
      <c r="X99" t="s">
        <v>1617</v>
      </c>
      <c r="Y99" t="s">
        <v>936</v>
      </c>
      <c r="Z99" t="s">
        <v>1618</v>
      </c>
      <c r="AA99" t="s">
        <v>1619</v>
      </c>
      <c r="AB99" t="s">
        <v>821</v>
      </c>
      <c r="AC99" t="s">
        <v>1231</v>
      </c>
      <c r="AD99" t="s">
        <v>1620</v>
      </c>
    </row>
    <row r="100" spans="1:30">
      <c r="A100" t="s">
        <v>20</v>
      </c>
      <c r="B100" t="s">
        <v>72</v>
      </c>
      <c r="C100" t="s">
        <v>536</v>
      </c>
      <c r="D100" t="s">
        <v>926</v>
      </c>
      <c r="E100" t="s">
        <v>1251</v>
      </c>
      <c r="F100" t="s">
        <v>778</v>
      </c>
      <c r="G100" t="s">
        <v>863</v>
      </c>
      <c r="H100" t="s">
        <v>778</v>
      </c>
      <c r="I100" t="s">
        <v>803</v>
      </c>
      <c r="J100" t="s">
        <v>778</v>
      </c>
      <c r="K100" t="s">
        <v>822</v>
      </c>
      <c r="L100" t="s">
        <v>971</v>
      </c>
      <c r="M100" t="s">
        <v>846</v>
      </c>
      <c r="N100" t="s">
        <v>1232</v>
      </c>
      <c r="O100" t="s">
        <v>803</v>
      </c>
      <c r="P100" t="s">
        <v>890</v>
      </c>
      <c r="Q100" t="s">
        <v>1270</v>
      </c>
      <c r="R100" t="s">
        <v>1270</v>
      </c>
      <c r="S100" t="s">
        <v>1621</v>
      </c>
      <c r="T100" t="s">
        <v>1119</v>
      </c>
      <c r="U100" t="s">
        <v>788</v>
      </c>
      <c r="V100" t="s">
        <v>1337</v>
      </c>
      <c r="W100" t="s">
        <v>1622</v>
      </c>
      <c r="X100" t="s">
        <v>1433</v>
      </c>
      <c r="Y100" t="s">
        <v>1136</v>
      </c>
      <c r="Z100" t="s">
        <v>1349</v>
      </c>
      <c r="AA100" t="s">
        <v>1623</v>
      </c>
      <c r="AB100" t="s">
        <v>845</v>
      </c>
      <c r="AC100" t="s">
        <v>1103</v>
      </c>
      <c r="AD100" t="s">
        <v>1624</v>
      </c>
    </row>
    <row r="101" spans="1:30">
      <c r="A101" t="s">
        <v>20</v>
      </c>
      <c r="B101" t="s">
        <v>252</v>
      </c>
      <c r="C101" t="s">
        <v>772</v>
      </c>
      <c r="D101" t="s">
        <v>825</v>
      </c>
      <c r="E101" t="s">
        <v>955</v>
      </c>
      <c r="F101" t="s">
        <v>858</v>
      </c>
      <c r="G101" t="s">
        <v>779</v>
      </c>
      <c r="H101" t="s">
        <v>777</v>
      </c>
      <c r="I101" t="s">
        <v>803</v>
      </c>
      <c r="J101" t="s">
        <v>803</v>
      </c>
      <c r="K101" t="s">
        <v>822</v>
      </c>
      <c r="L101" t="s">
        <v>802</v>
      </c>
      <c r="M101" t="s">
        <v>777</v>
      </c>
      <c r="N101" t="s">
        <v>862</v>
      </c>
      <c r="O101" t="s">
        <v>803</v>
      </c>
      <c r="P101" t="s">
        <v>1382</v>
      </c>
      <c r="Q101" t="s">
        <v>1199</v>
      </c>
      <c r="R101" t="s">
        <v>1060</v>
      </c>
      <c r="S101" t="s">
        <v>1625</v>
      </c>
      <c r="T101" t="s">
        <v>931</v>
      </c>
      <c r="U101" t="s">
        <v>1626</v>
      </c>
      <c r="V101" t="s">
        <v>948</v>
      </c>
      <c r="W101" t="s">
        <v>979</v>
      </c>
      <c r="X101" t="s">
        <v>1627</v>
      </c>
      <c r="Y101" t="s">
        <v>1628</v>
      </c>
      <c r="Z101" t="s">
        <v>1374</v>
      </c>
      <c r="AA101" t="s">
        <v>1573</v>
      </c>
      <c r="AB101" t="s">
        <v>777</v>
      </c>
      <c r="AC101" t="s">
        <v>968</v>
      </c>
      <c r="AD101" t="s">
        <v>939</v>
      </c>
    </row>
    <row r="102" spans="1:30">
      <c r="A102" t="s">
        <v>20</v>
      </c>
      <c r="B102" t="s">
        <v>192</v>
      </c>
      <c r="C102" t="s">
        <v>879</v>
      </c>
      <c r="D102" t="s">
        <v>782</v>
      </c>
      <c r="E102" t="s">
        <v>1081</v>
      </c>
      <c r="F102" t="s">
        <v>778</v>
      </c>
      <c r="G102" t="s">
        <v>863</v>
      </c>
      <c r="H102" t="s">
        <v>822</v>
      </c>
      <c r="I102" t="s">
        <v>803</v>
      </c>
      <c r="J102" t="s">
        <v>803</v>
      </c>
      <c r="K102" t="s">
        <v>821</v>
      </c>
      <c r="L102" t="s">
        <v>782</v>
      </c>
      <c r="M102" t="s">
        <v>778</v>
      </c>
      <c r="N102" t="s">
        <v>821</v>
      </c>
      <c r="O102" t="s">
        <v>803</v>
      </c>
      <c r="P102" t="s">
        <v>891</v>
      </c>
      <c r="Q102" t="s">
        <v>1199</v>
      </c>
      <c r="R102" t="s">
        <v>1185</v>
      </c>
      <c r="S102" t="s">
        <v>1629</v>
      </c>
      <c r="T102" t="s">
        <v>939</v>
      </c>
      <c r="U102" t="s">
        <v>1007</v>
      </c>
      <c r="V102" t="s">
        <v>1255</v>
      </c>
      <c r="W102" t="s">
        <v>1630</v>
      </c>
      <c r="X102" t="s">
        <v>1192</v>
      </c>
      <c r="Y102" t="s">
        <v>1631</v>
      </c>
      <c r="Z102" t="s">
        <v>1632</v>
      </c>
      <c r="AA102" t="s">
        <v>1633</v>
      </c>
      <c r="AB102" t="s">
        <v>822</v>
      </c>
      <c r="AC102" t="s">
        <v>824</v>
      </c>
      <c r="AD102" t="s">
        <v>939</v>
      </c>
    </row>
    <row r="103" spans="1:30">
      <c r="A103" t="s">
        <v>20</v>
      </c>
      <c r="B103" t="s">
        <v>154</v>
      </c>
      <c r="C103" t="s">
        <v>819</v>
      </c>
      <c r="D103" t="s">
        <v>1232</v>
      </c>
      <c r="E103" t="s">
        <v>801</v>
      </c>
      <c r="F103" t="s">
        <v>821</v>
      </c>
      <c r="G103" t="s">
        <v>863</v>
      </c>
      <c r="H103" t="s">
        <v>778</v>
      </c>
      <c r="I103" t="s">
        <v>803</v>
      </c>
      <c r="J103" t="s">
        <v>778</v>
      </c>
      <c r="K103" t="s">
        <v>778</v>
      </c>
      <c r="L103" t="s">
        <v>971</v>
      </c>
      <c r="M103" t="s">
        <v>858</v>
      </c>
      <c r="N103" t="s">
        <v>796</v>
      </c>
      <c r="O103" t="s">
        <v>803</v>
      </c>
      <c r="P103" t="s">
        <v>1018</v>
      </c>
      <c r="Q103" t="s">
        <v>1461</v>
      </c>
      <c r="R103" t="s">
        <v>1634</v>
      </c>
      <c r="S103" t="s">
        <v>1132</v>
      </c>
      <c r="T103" t="s">
        <v>1020</v>
      </c>
      <c r="U103" t="s">
        <v>1287</v>
      </c>
      <c r="V103" t="s">
        <v>1287</v>
      </c>
      <c r="W103" t="s">
        <v>1026</v>
      </c>
      <c r="X103" t="s">
        <v>991</v>
      </c>
      <c r="Y103" t="s">
        <v>1471</v>
      </c>
      <c r="Z103" t="s">
        <v>1543</v>
      </c>
      <c r="AA103" t="s">
        <v>1635</v>
      </c>
      <c r="AB103" t="s">
        <v>845</v>
      </c>
      <c r="AC103" t="s">
        <v>783</v>
      </c>
      <c r="AD103" t="s">
        <v>1472</v>
      </c>
    </row>
    <row r="104" spans="1:30">
      <c r="A104" t="s">
        <v>20</v>
      </c>
      <c r="B104" t="s">
        <v>19</v>
      </c>
      <c r="C104" t="s">
        <v>536</v>
      </c>
      <c r="D104" t="s">
        <v>823</v>
      </c>
      <c r="E104" t="s">
        <v>864</v>
      </c>
      <c r="F104" t="s">
        <v>858</v>
      </c>
      <c r="G104" t="s">
        <v>779</v>
      </c>
      <c r="H104" t="s">
        <v>845</v>
      </c>
      <c r="I104" t="s">
        <v>803</v>
      </c>
      <c r="J104" t="s">
        <v>803</v>
      </c>
      <c r="K104" t="s">
        <v>845</v>
      </c>
      <c r="L104" t="s">
        <v>782</v>
      </c>
      <c r="M104" t="s">
        <v>845</v>
      </c>
      <c r="N104" t="s">
        <v>863</v>
      </c>
      <c r="O104" t="s">
        <v>803</v>
      </c>
      <c r="P104" t="s">
        <v>898</v>
      </c>
      <c r="Q104" t="s">
        <v>1636</v>
      </c>
      <c r="R104" t="s">
        <v>956</v>
      </c>
      <c r="S104" t="s">
        <v>1637</v>
      </c>
      <c r="T104" t="s">
        <v>939</v>
      </c>
      <c r="U104" t="s">
        <v>1638</v>
      </c>
      <c r="V104" t="s">
        <v>887</v>
      </c>
      <c r="W104" t="s">
        <v>1432</v>
      </c>
      <c r="X104" t="s">
        <v>1332</v>
      </c>
      <c r="Y104" t="s">
        <v>1565</v>
      </c>
      <c r="Z104" t="s">
        <v>936</v>
      </c>
      <c r="AA104" t="s">
        <v>1195</v>
      </c>
      <c r="AB104" t="s">
        <v>845</v>
      </c>
      <c r="AC104" t="s">
        <v>824</v>
      </c>
      <c r="AD104" t="s">
        <v>939</v>
      </c>
    </row>
    <row r="105" spans="1:30">
      <c r="A105" t="s">
        <v>20</v>
      </c>
      <c r="B105" t="s">
        <v>1639</v>
      </c>
      <c r="C105" t="s">
        <v>772</v>
      </c>
      <c r="D105" t="s">
        <v>823</v>
      </c>
      <c r="E105" t="s">
        <v>1221</v>
      </c>
      <c r="F105" t="s">
        <v>845</v>
      </c>
      <c r="G105" t="s">
        <v>821</v>
      </c>
      <c r="H105" t="s">
        <v>778</v>
      </c>
      <c r="I105" t="s">
        <v>803</v>
      </c>
      <c r="J105" t="s">
        <v>845</v>
      </c>
      <c r="K105" t="s">
        <v>777</v>
      </c>
      <c r="L105" t="s">
        <v>802</v>
      </c>
      <c r="M105" t="s">
        <v>845</v>
      </c>
      <c r="N105" t="s">
        <v>971</v>
      </c>
      <c r="O105" t="s">
        <v>803</v>
      </c>
      <c r="P105" t="s">
        <v>942</v>
      </c>
      <c r="Q105" t="s">
        <v>1199</v>
      </c>
      <c r="R105" t="s">
        <v>1554</v>
      </c>
      <c r="S105" t="s">
        <v>1640</v>
      </c>
      <c r="T105" t="s">
        <v>831</v>
      </c>
      <c r="U105" t="s">
        <v>833</v>
      </c>
      <c r="V105" t="s">
        <v>852</v>
      </c>
      <c r="W105" t="s">
        <v>1215</v>
      </c>
      <c r="X105" t="s">
        <v>1192</v>
      </c>
      <c r="Y105" t="s">
        <v>865</v>
      </c>
      <c r="Z105" t="s">
        <v>995</v>
      </c>
      <c r="AA105" t="s">
        <v>1218</v>
      </c>
      <c r="AB105" t="s">
        <v>822</v>
      </c>
      <c r="AC105" t="s">
        <v>826</v>
      </c>
      <c r="AD105" t="s">
        <v>1303</v>
      </c>
    </row>
    <row r="106" spans="1:30">
      <c r="A106" t="s">
        <v>20</v>
      </c>
      <c r="B106" t="s">
        <v>1641</v>
      </c>
      <c r="C106" t="s">
        <v>819</v>
      </c>
      <c r="D106" t="s">
        <v>779</v>
      </c>
      <c r="E106" t="s">
        <v>925</v>
      </c>
      <c r="F106" t="s">
        <v>777</v>
      </c>
      <c r="G106" t="s">
        <v>777</v>
      </c>
      <c r="H106" t="s">
        <v>778</v>
      </c>
      <c r="I106" t="s">
        <v>803</v>
      </c>
      <c r="J106" t="s">
        <v>778</v>
      </c>
      <c r="K106" t="s">
        <v>845</v>
      </c>
      <c r="L106" t="s">
        <v>863</v>
      </c>
      <c r="M106" t="s">
        <v>845</v>
      </c>
      <c r="N106" t="s">
        <v>863</v>
      </c>
      <c r="O106" t="s">
        <v>803</v>
      </c>
      <c r="P106" t="s">
        <v>1642</v>
      </c>
      <c r="Q106" t="s">
        <v>785</v>
      </c>
      <c r="R106" t="s">
        <v>1613</v>
      </c>
      <c r="S106" t="s">
        <v>1643</v>
      </c>
      <c r="T106" t="s">
        <v>939</v>
      </c>
      <c r="U106" t="s">
        <v>1279</v>
      </c>
      <c r="V106" t="s">
        <v>1638</v>
      </c>
      <c r="W106" t="s">
        <v>1038</v>
      </c>
      <c r="X106" t="s">
        <v>1332</v>
      </c>
      <c r="Y106" t="s">
        <v>1642</v>
      </c>
      <c r="Z106" t="s">
        <v>898</v>
      </c>
      <c r="AA106" t="s">
        <v>1644</v>
      </c>
      <c r="AB106" t="s">
        <v>845</v>
      </c>
      <c r="AC106" t="s">
        <v>776</v>
      </c>
      <c r="AD106" t="s">
        <v>1614</v>
      </c>
    </row>
    <row r="107" spans="1:30">
      <c r="A107" t="s">
        <v>126</v>
      </c>
      <c r="B107" t="s">
        <v>266</v>
      </c>
      <c r="C107" t="s">
        <v>772</v>
      </c>
      <c r="D107" t="s">
        <v>773</v>
      </c>
      <c r="E107" t="s">
        <v>1300</v>
      </c>
      <c r="F107" t="s">
        <v>925</v>
      </c>
      <c r="G107" t="s">
        <v>1081</v>
      </c>
      <c r="H107" t="s">
        <v>782</v>
      </c>
      <c r="I107" t="s">
        <v>845</v>
      </c>
      <c r="J107" t="s">
        <v>845</v>
      </c>
      <c r="K107" t="s">
        <v>971</v>
      </c>
      <c r="L107" t="s">
        <v>968</v>
      </c>
      <c r="M107" t="s">
        <v>1232</v>
      </c>
      <c r="N107" t="s">
        <v>825</v>
      </c>
      <c r="O107" t="s">
        <v>845</v>
      </c>
      <c r="P107" t="s">
        <v>1173</v>
      </c>
      <c r="Q107" t="s">
        <v>1327</v>
      </c>
      <c r="R107" t="s">
        <v>1645</v>
      </c>
      <c r="S107" t="s">
        <v>1646</v>
      </c>
      <c r="T107" t="s">
        <v>998</v>
      </c>
      <c r="U107" t="s">
        <v>1647</v>
      </c>
      <c r="V107" t="s">
        <v>1265</v>
      </c>
      <c r="W107" t="s">
        <v>1384</v>
      </c>
      <c r="X107" t="s">
        <v>1246</v>
      </c>
      <c r="Y107" t="s">
        <v>1017</v>
      </c>
      <c r="Z107" t="s">
        <v>1150</v>
      </c>
      <c r="AA107" t="s">
        <v>1648</v>
      </c>
      <c r="AB107" t="s">
        <v>825</v>
      </c>
      <c r="AC107" t="s">
        <v>839</v>
      </c>
      <c r="AD107" t="s">
        <v>1649</v>
      </c>
    </row>
    <row r="108" spans="1:30">
      <c r="A108" t="s">
        <v>126</v>
      </c>
      <c r="B108" t="s">
        <v>377</v>
      </c>
      <c r="C108" t="s">
        <v>799</v>
      </c>
      <c r="D108" t="s">
        <v>1208</v>
      </c>
      <c r="E108" t="s">
        <v>1594</v>
      </c>
      <c r="F108" t="s">
        <v>775</v>
      </c>
      <c r="G108" t="s">
        <v>1030</v>
      </c>
      <c r="H108" t="s">
        <v>863</v>
      </c>
      <c r="I108" t="s">
        <v>803</v>
      </c>
      <c r="J108" t="s">
        <v>822</v>
      </c>
      <c r="K108" t="s">
        <v>862</v>
      </c>
      <c r="L108" t="s">
        <v>1517</v>
      </c>
      <c r="M108" t="s">
        <v>862</v>
      </c>
      <c r="N108" t="s">
        <v>1208</v>
      </c>
      <c r="O108" t="s">
        <v>778</v>
      </c>
      <c r="P108" t="s">
        <v>828</v>
      </c>
      <c r="Q108" t="s">
        <v>913</v>
      </c>
      <c r="R108" t="s">
        <v>1650</v>
      </c>
      <c r="S108" t="s">
        <v>1651</v>
      </c>
      <c r="T108" t="s">
        <v>960</v>
      </c>
      <c r="U108" t="s">
        <v>1652</v>
      </c>
      <c r="V108" t="s">
        <v>1107</v>
      </c>
      <c r="W108" t="s">
        <v>1653</v>
      </c>
      <c r="X108" t="s">
        <v>1451</v>
      </c>
      <c r="Y108" t="s">
        <v>1513</v>
      </c>
      <c r="Z108" t="s">
        <v>1173</v>
      </c>
      <c r="AA108" t="s">
        <v>1654</v>
      </c>
      <c r="AB108" t="s">
        <v>782</v>
      </c>
      <c r="AC108" t="s">
        <v>1319</v>
      </c>
      <c r="AD108" t="s">
        <v>1655</v>
      </c>
    </row>
    <row r="109" spans="1:30">
      <c r="A109" t="s">
        <v>126</v>
      </c>
      <c r="B109" t="s">
        <v>190</v>
      </c>
      <c r="C109" t="s">
        <v>841</v>
      </c>
      <c r="D109" t="s">
        <v>1015</v>
      </c>
      <c r="E109" t="s">
        <v>1077</v>
      </c>
      <c r="F109" t="s">
        <v>780</v>
      </c>
      <c r="G109" t="s">
        <v>776</v>
      </c>
      <c r="H109" t="s">
        <v>845</v>
      </c>
      <c r="I109" t="s">
        <v>803</v>
      </c>
      <c r="J109" t="s">
        <v>845</v>
      </c>
      <c r="K109" t="s">
        <v>779</v>
      </c>
      <c r="L109" t="s">
        <v>864</v>
      </c>
      <c r="M109" t="s">
        <v>805</v>
      </c>
      <c r="N109" t="s">
        <v>805</v>
      </c>
      <c r="O109" t="s">
        <v>803</v>
      </c>
      <c r="P109" t="s">
        <v>1199</v>
      </c>
      <c r="Q109" t="s">
        <v>1379</v>
      </c>
      <c r="R109" t="s">
        <v>1173</v>
      </c>
      <c r="S109" t="s">
        <v>1302</v>
      </c>
      <c r="T109" t="s">
        <v>850</v>
      </c>
      <c r="U109" t="s">
        <v>878</v>
      </c>
      <c r="V109" t="s">
        <v>1143</v>
      </c>
      <c r="W109" t="s">
        <v>1026</v>
      </c>
      <c r="X109" t="s">
        <v>1464</v>
      </c>
      <c r="Y109" t="s">
        <v>1038</v>
      </c>
      <c r="Z109" t="s">
        <v>837</v>
      </c>
      <c r="AA109" t="s">
        <v>892</v>
      </c>
      <c r="AB109" t="s">
        <v>777</v>
      </c>
      <c r="AC109" t="s">
        <v>839</v>
      </c>
      <c r="AD109" t="s">
        <v>1407</v>
      </c>
    </row>
    <row r="110" spans="1:30">
      <c r="A110" t="s">
        <v>126</v>
      </c>
      <c r="B110" t="s">
        <v>401</v>
      </c>
      <c r="C110" t="s">
        <v>819</v>
      </c>
      <c r="D110" t="s">
        <v>773</v>
      </c>
      <c r="E110" t="s">
        <v>843</v>
      </c>
      <c r="F110" t="s">
        <v>782</v>
      </c>
      <c r="G110" t="s">
        <v>805</v>
      </c>
      <c r="H110" t="s">
        <v>821</v>
      </c>
      <c r="I110" t="s">
        <v>803</v>
      </c>
      <c r="J110" t="s">
        <v>846</v>
      </c>
      <c r="K110" t="s">
        <v>971</v>
      </c>
      <c r="L110" t="s">
        <v>983</v>
      </c>
      <c r="M110" t="s">
        <v>862</v>
      </c>
      <c r="N110" t="s">
        <v>1221</v>
      </c>
      <c r="O110" t="s">
        <v>803</v>
      </c>
      <c r="P110" t="s">
        <v>944</v>
      </c>
      <c r="Q110" t="s">
        <v>1613</v>
      </c>
      <c r="R110" t="s">
        <v>1656</v>
      </c>
      <c r="S110" t="s">
        <v>1657</v>
      </c>
      <c r="T110" t="s">
        <v>885</v>
      </c>
      <c r="U110" t="s">
        <v>1658</v>
      </c>
      <c r="V110" t="s">
        <v>1373</v>
      </c>
      <c r="W110" t="s">
        <v>813</v>
      </c>
      <c r="X110" t="s">
        <v>1441</v>
      </c>
      <c r="Y110" t="s">
        <v>944</v>
      </c>
      <c r="Z110" t="s">
        <v>1659</v>
      </c>
      <c r="AA110" t="s">
        <v>1660</v>
      </c>
      <c r="AB110" t="s">
        <v>782</v>
      </c>
      <c r="AC110" t="s">
        <v>820</v>
      </c>
      <c r="AD110" t="s">
        <v>860</v>
      </c>
    </row>
    <row r="111" spans="1:30">
      <c r="A111" t="s">
        <v>126</v>
      </c>
      <c r="B111" t="s">
        <v>137</v>
      </c>
      <c r="C111" t="s">
        <v>536</v>
      </c>
      <c r="D111" t="s">
        <v>844</v>
      </c>
      <c r="E111" t="s">
        <v>1661</v>
      </c>
      <c r="F111" t="s">
        <v>782</v>
      </c>
      <c r="G111" t="s">
        <v>926</v>
      </c>
      <c r="H111" t="s">
        <v>777</v>
      </c>
      <c r="I111" t="s">
        <v>803</v>
      </c>
      <c r="J111" t="s">
        <v>846</v>
      </c>
      <c r="K111" t="s">
        <v>775</v>
      </c>
      <c r="L111" t="s">
        <v>1158</v>
      </c>
      <c r="M111" t="s">
        <v>821</v>
      </c>
      <c r="N111" t="s">
        <v>1232</v>
      </c>
      <c r="O111" t="s">
        <v>803</v>
      </c>
      <c r="P111" t="s">
        <v>928</v>
      </c>
      <c r="Q111" t="s">
        <v>1662</v>
      </c>
      <c r="R111" t="s">
        <v>1663</v>
      </c>
      <c r="S111" t="s">
        <v>1664</v>
      </c>
      <c r="T111" t="s">
        <v>850</v>
      </c>
      <c r="U111" t="s">
        <v>1213</v>
      </c>
      <c r="V111" t="s">
        <v>1190</v>
      </c>
      <c r="W111" t="s">
        <v>1215</v>
      </c>
      <c r="X111" t="s">
        <v>904</v>
      </c>
      <c r="Y111" t="s">
        <v>1665</v>
      </c>
      <c r="Z111" t="s">
        <v>1031</v>
      </c>
      <c r="AA111" t="s">
        <v>1666</v>
      </c>
      <c r="AB111" t="s">
        <v>779</v>
      </c>
      <c r="AC111" t="s">
        <v>1183</v>
      </c>
      <c r="AD111" t="s">
        <v>1667</v>
      </c>
    </row>
    <row r="112" spans="1:30">
      <c r="A112" t="s">
        <v>126</v>
      </c>
      <c r="B112" t="s">
        <v>125</v>
      </c>
      <c r="C112" t="s">
        <v>841</v>
      </c>
      <c r="D112" t="s">
        <v>842</v>
      </c>
      <c r="E112" t="s">
        <v>1342</v>
      </c>
      <c r="F112" t="s">
        <v>802</v>
      </c>
      <c r="G112" t="s">
        <v>842</v>
      </c>
      <c r="H112" t="s">
        <v>858</v>
      </c>
      <c r="I112" t="s">
        <v>803</v>
      </c>
      <c r="J112" t="s">
        <v>803</v>
      </c>
      <c r="K112" t="s">
        <v>821</v>
      </c>
      <c r="L112" t="s">
        <v>864</v>
      </c>
      <c r="M112" t="s">
        <v>777</v>
      </c>
      <c r="N112" t="s">
        <v>780</v>
      </c>
      <c r="O112" t="s">
        <v>803</v>
      </c>
      <c r="P112" t="s">
        <v>1234</v>
      </c>
      <c r="Q112" t="s">
        <v>1452</v>
      </c>
      <c r="R112" t="s">
        <v>1084</v>
      </c>
      <c r="S112" t="s">
        <v>849</v>
      </c>
      <c r="T112" t="s">
        <v>831</v>
      </c>
      <c r="U112" t="s">
        <v>832</v>
      </c>
      <c r="V112" t="s">
        <v>1304</v>
      </c>
      <c r="W112" t="s">
        <v>1668</v>
      </c>
      <c r="X112" t="s">
        <v>1347</v>
      </c>
      <c r="Y112" t="s">
        <v>1669</v>
      </c>
      <c r="Z112" t="s">
        <v>1110</v>
      </c>
      <c r="AA112" t="s">
        <v>967</v>
      </c>
      <c r="AB112" t="s">
        <v>858</v>
      </c>
      <c r="AC112" t="s">
        <v>1220</v>
      </c>
      <c r="AD112" t="s">
        <v>939</v>
      </c>
    </row>
    <row r="113" spans="1:30">
      <c r="A113" t="s">
        <v>126</v>
      </c>
      <c r="B113" t="s">
        <v>256</v>
      </c>
      <c r="C113" t="s">
        <v>879</v>
      </c>
      <c r="D113" t="s">
        <v>842</v>
      </c>
      <c r="E113" t="s">
        <v>1113</v>
      </c>
      <c r="F113" t="s">
        <v>863</v>
      </c>
      <c r="G113" t="s">
        <v>780</v>
      </c>
      <c r="H113" t="s">
        <v>845</v>
      </c>
      <c r="I113" t="s">
        <v>778</v>
      </c>
      <c r="J113" t="s">
        <v>821</v>
      </c>
      <c r="K113" t="s">
        <v>862</v>
      </c>
      <c r="L113" t="s">
        <v>1184</v>
      </c>
      <c r="M113" t="s">
        <v>779</v>
      </c>
      <c r="N113" t="s">
        <v>1030</v>
      </c>
      <c r="O113" t="s">
        <v>803</v>
      </c>
      <c r="P113" t="s">
        <v>1670</v>
      </c>
      <c r="Q113" t="s">
        <v>1131</v>
      </c>
      <c r="R113" t="s">
        <v>1263</v>
      </c>
      <c r="S113" t="s">
        <v>1671</v>
      </c>
      <c r="T113" t="s">
        <v>939</v>
      </c>
      <c r="U113" t="s">
        <v>1672</v>
      </c>
      <c r="V113" t="s">
        <v>1052</v>
      </c>
      <c r="W113" t="s">
        <v>1074</v>
      </c>
      <c r="X113" t="s">
        <v>1164</v>
      </c>
      <c r="Y113" t="s">
        <v>1600</v>
      </c>
      <c r="Z113" t="s">
        <v>1673</v>
      </c>
      <c r="AA113" t="s">
        <v>1648</v>
      </c>
      <c r="AB113" t="s">
        <v>779</v>
      </c>
      <c r="AC113" t="s">
        <v>843</v>
      </c>
      <c r="AD113" t="s">
        <v>1674</v>
      </c>
    </row>
    <row r="114" spans="1:30">
      <c r="A114" t="s">
        <v>126</v>
      </c>
      <c r="B114" t="s">
        <v>238</v>
      </c>
      <c r="C114" t="s">
        <v>1079</v>
      </c>
      <c r="D114" t="s">
        <v>895</v>
      </c>
      <c r="E114" t="s">
        <v>1113</v>
      </c>
      <c r="F114" t="s">
        <v>823</v>
      </c>
      <c r="G114" t="s">
        <v>926</v>
      </c>
      <c r="H114" t="s">
        <v>846</v>
      </c>
      <c r="I114" t="s">
        <v>803</v>
      </c>
      <c r="J114" t="s">
        <v>845</v>
      </c>
      <c r="K114" t="s">
        <v>821</v>
      </c>
      <c r="L114" t="s">
        <v>1030</v>
      </c>
      <c r="M114" t="s">
        <v>845</v>
      </c>
      <c r="N114" t="s">
        <v>1232</v>
      </c>
      <c r="O114" t="s">
        <v>778</v>
      </c>
      <c r="P114" t="s">
        <v>1262</v>
      </c>
      <c r="Q114" t="s">
        <v>912</v>
      </c>
      <c r="R114" t="s">
        <v>1673</v>
      </c>
      <c r="S114" t="s">
        <v>1675</v>
      </c>
      <c r="T114" t="s">
        <v>946</v>
      </c>
      <c r="U114" t="s">
        <v>1676</v>
      </c>
      <c r="V114" t="s">
        <v>977</v>
      </c>
      <c r="W114" t="s">
        <v>1677</v>
      </c>
      <c r="X114" t="s">
        <v>1678</v>
      </c>
      <c r="Y114" t="s">
        <v>1349</v>
      </c>
      <c r="Z114" t="s">
        <v>1026</v>
      </c>
      <c r="AA114" t="s">
        <v>1679</v>
      </c>
      <c r="AB114" t="s">
        <v>858</v>
      </c>
      <c r="AC114" t="s">
        <v>1250</v>
      </c>
      <c r="AD114" t="s">
        <v>1467</v>
      </c>
    </row>
    <row r="115" spans="1:30">
      <c r="A115" t="s">
        <v>126</v>
      </c>
      <c r="B115" t="s">
        <v>1680</v>
      </c>
      <c r="C115" t="s">
        <v>1079</v>
      </c>
      <c r="D115" t="s">
        <v>925</v>
      </c>
      <c r="E115" t="s">
        <v>1358</v>
      </c>
      <c r="F115" t="s">
        <v>846</v>
      </c>
      <c r="G115" t="s">
        <v>782</v>
      </c>
      <c r="H115" t="s">
        <v>846</v>
      </c>
      <c r="I115" t="s">
        <v>803</v>
      </c>
      <c r="J115" t="s">
        <v>778</v>
      </c>
      <c r="K115" t="s">
        <v>779</v>
      </c>
      <c r="L115" t="s">
        <v>775</v>
      </c>
      <c r="M115" t="s">
        <v>821</v>
      </c>
      <c r="N115" t="s">
        <v>779</v>
      </c>
      <c r="O115" t="s">
        <v>778</v>
      </c>
      <c r="P115" t="s">
        <v>1363</v>
      </c>
      <c r="Q115" t="s">
        <v>1318</v>
      </c>
      <c r="R115" t="s">
        <v>1054</v>
      </c>
      <c r="S115" t="s">
        <v>830</v>
      </c>
      <c r="T115" t="s">
        <v>885</v>
      </c>
      <c r="U115" t="s">
        <v>1143</v>
      </c>
      <c r="V115" t="s">
        <v>1280</v>
      </c>
      <c r="W115" t="s">
        <v>1339</v>
      </c>
      <c r="X115" t="s">
        <v>1154</v>
      </c>
      <c r="Y115" t="s">
        <v>1307</v>
      </c>
      <c r="Z115" t="s">
        <v>1137</v>
      </c>
      <c r="AA115" t="s">
        <v>817</v>
      </c>
      <c r="AB115" t="s">
        <v>821</v>
      </c>
      <c r="AC115" t="s">
        <v>1368</v>
      </c>
      <c r="AD115" t="s">
        <v>1649</v>
      </c>
    </row>
    <row r="116" spans="1:30">
      <c r="A116" t="s">
        <v>126</v>
      </c>
      <c r="B116" t="s">
        <v>1681</v>
      </c>
      <c r="C116" t="s">
        <v>1068</v>
      </c>
      <c r="D116" t="s">
        <v>796</v>
      </c>
      <c r="E116" t="s">
        <v>1449</v>
      </c>
      <c r="F116" t="s">
        <v>845</v>
      </c>
      <c r="G116" t="s">
        <v>779</v>
      </c>
      <c r="H116" t="s">
        <v>845</v>
      </c>
      <c r="I116" t="s">
        <v>803</v>
      </c>
      <c r="J116" t="s">
        <v>778</v>
      </c>
      <c r="K116" t="s">
        <v>846</v>
      </c>
      <c r="L116" t="s">
        <v>796</v>
      </c>
      <c r="M116" t="s">
        <v>822</v>
      </c>
      <c r="N116" t="s">
        <v>823</v>
      </c>
      <c r="O116" t="s">
        <v>803</v>
      </c>
      <c r="P116" t="s">
        <v>1682</v>
      </c>
      <c r="Q116" t="s">
        <v>1130</v>
      </c>
      <c r="R116" t="s">
        <v>1131</v>
      </c>
      <c r="S116" t="s">
        <v>1551</v>
      </c>
      <c r="T116" t="s">
        <v>901</v>
      </c>
      <c r="U116" t="s">
        <v>1280</v>
      </c>
      <c r="V116" t="s">
        <v>1255</v>
      </c>
      <c r="W116" t="s">
        <v>1136</v>
      </c>
      <c r="X116" t="s">
        <v>950</v>
      </c>
      <c r="Y116" t="s">
        <v>1348</v>
      </c>
      <c r="Z116" t="s">
        <v>1585</v>
      </c>
      <c r="AA116" t="s">
        <v>1548</v>
      </c>
      <c r="AB116" t="s">
        <v>822</v>
      </c>
      <c r="AC116" t="s">
        <v>1129</v>
      </c>
      <c r="AD116" t="s">
        <v>1454</v>
      </c>
    </row>
    <row r="117" spans="1:30">
      <c r="A117" t="s">
        <v>126</v>
      </c>
      <c r="B117" t="s">
        <v>438</v>
      </c>
      <c r="C117" t="s">
        <v>879</v>
      </c>
      <c r="D117" t="s">
        <v>796</v>
      </c>
      <c r="E117" t="s">
        <v>783</v>
      </c>
      <c r="F117" t="s">
        <v>822</v>
      </c>
      <c r="G117" t="s">
        <v>777</v>
      </c>
      <c r="H117" t="s">
        <v>803</v>
      </c>
      <c r="I117" t="s">
        <v>803</v>
      </c>
      <c r="J117" t="s">
        <v>778</v>
      </c>
      <c r="K117" t="s">
        <v>778</v>
      </c>
      <c r="L117" t="s">
        <v>858</v>
      </c>
      <c r="M117" t="s">
        <v>845</v>
      </c>
      <c r="N117" t="s">
        <v>777</v>
      </c>
      <c r="O117" t="s">
        <v>803</v>
      </c>
      <c r="P117" t="s">
        <v>1339</v>
      </c>
      <c r="Q117" t="s">
        <v>836</v>
      </c>
      <c r="R117" t="s">
        <v>1026</v>
      </c>
      <c r="S117" t="s">
        <v>974</v>
      </c>
      <c r="T117" t="s">
        <v>1491</v>
      </c>
      <c r="U117" t="s">
        <v>946</v>
      </c>
      <c r="V117" t="s">
        <v>946</v>
      </c>
      <c r="W117" t="s">
        <v>1668</v>
      </c>
      <c r="X117" t="s">
        <v>991</v>
      </c>
      <c r="Y117" t="s">
        <v>1683</v>
      </c>
      <c r="Z117" t="s">
        <v>834</v>
      </c>
      <c r="AA117" t="s">
        <v>1684</v>
      </c>
      <c r="AB117" t="s">
        <v>778</v>
      </c>
      <c r="AC117" t="s">
        <v>1449</v>
      </c>
      <c r="AD117" t="s">
        <v>1148</v>
      </c>
    </row>
    <row r="118" spans="1:30">
      <c r="A118" t="s">
        <v>126</v>
      </c>
      <c r="B118" t="s">
        <v>1685</v>
      </c>
      <c r="C118" t="s">
        <v>1079</v>
      </c>
      <c r="D118" t="s">
        <v>971</v>
      </c>
      <c r="E118" t="s">
        <v>824</v>
      </c>
      <c r="F118" t="s">
        <v>822</v>
      </c>
      <c r="G118" t="s">
        <v>779</v>
      </c>
      <c r="H118" t="s">
        <v>778</v>
      </c>
      <c r="I118" t="s">
        <v>778</v>
      </c>
      <c r="J118" t="s">
        <v>803</v>
      </c>
      <c r="K118" t="s">
        <v>845</v>
      </c>
      <c r="L118" t="s">
        <v>971</v>
      </c>
      <c r="M118" t="s">
        <v>845</v>
      </c>
      <c r="N118" t="s">
        <v>823</v>
      </c>
      <c r="O118" t="s">
        <v>822</v>
      </c>
      <c r="P118" t="s">
        <v>1199</v>
      </c>
      <c r="Q118" t="s">
        <v>882</v>
      </c>
      <c r="R118" t="s">
        <v>956</v>
      </c>
      <c r="S118" t="s">
        <v>1686</v>
      </c>
      <c r="T118" t="s">
        <v>1337</v>
      </c>
      <c r="U118" t="s">
        <v>1214</v>
      </c>
      <c r="V118" t="s">
        <v>1214</v>
      </c>
      <c r="W118" t="s">
        <v>1356</v>
      </c>
      <c r="X118" t="s">
        <v>934</v>
      </c>
      <c r="Y118" t="s">
        <v>791</v>
      </c>
      <c r="Z118" t="s">
        <v>1005</v>
      </c>
      <c r="AA118" t="s">
        <v>1687</v>
      </c>
      <c r="AB118" t="s">
        <v>845</v>
      </c>
      <c r="AC118" t="s">
        <v>1158</v>
      </c>
      <c r="AD118" t="s">
        <v>939</v>
      </c>
    </row>
    <row r="119" spans="1:30">
      <c r="A119" t="s">
        <v>126</v>
      </c>
      <c r="B119" t="s">
        <v>1688</v>
      </c>
      <c r="C119" t="s">
        <v>879</v>
      </c>
      <c r="D119" t="s">
        <v>862</v>
      </c>
      <c r="E119" t="s">
        <v>1221</v>
      </c>
      <c r="F119" t="s">
        <v>822</v>
      </c>
      <c r="G119" t="s">
        <v>858</v>
      </c>
      <c r="H119" t="s">
        <v>778</v>
      </c>
      <c r="I119" t="s">
        <v>803</v>
      </c>
      <c r="J119" t="s">
        <v>845</v>
      </c>
      <c r="K119" t="s">
        <v>846</v>
      </c>
      <c r="L119" t="s">
        <v>796</v>
      </c>
      <c r="M119" t="s">
        <v>778</v>
      </c>
      <c r="N119" t="s">
        <v>779</v>
      </c>
      <c r="O119" t="s">
        <v>803</v>
      </c>
      <c r="P119" t="s">
        <v>865</v>
      </c>
      <c r="Q119" t="s">
        <v>1258</v>
      </c>
      <c r="R119" t="s">
        <v>1689</v>
      </c>
      <c r="S119" t="s">
        <v>1690</v>
      </c>
      <c r="T119" t="s">
        <v>946</v>
      </c>
      <c r="U119" t="s">
        <v>1691</v>
      </c>
      <c r="V119" t="s">
        <v>1692</v>
      </c>
      <c r="W119" t="s">
        <v>1693</v>
      </c>
      <c r="X119" t="s">
        <v>1282</v>
      </c>
      <c r="Y119" t="s">
        <v>865</v>
      </c>
      <c r="Z119" t="s">
        <v>865</v>
      </c>
      <c r="AA119" t="s">
        <v>1694</v>
      </c>
      <c r="AB119" t="s">
        <v>822</v>
      </c>
      <c r="AC119" t="s">
        <v>1030</v>
      </c>
      <c r="AD119" t="s">
        <v>1303</v>
      </c>
    </row>
    <row r="120" spans="1:30">
      <c r="A120" t="s">
        <v>126</v>
      </c>
      <c r="B120" t="s">
        <v>1695</v>
      </c>
      <c r="C120" t="s">
        <v>536</v>
      </c>
      <c r="D120" t="s">
        <v>779</v>
      </c>
      <c r="E120" t="s">
        <v>1015</v>
      </c>
      <c r="F120" t="s">
        <v>845</v>
      </c>
      <c r="G120" t="s">
        <v>777</v>
      </c>
      <c r="H120" t="s">
        <v>845</v>
      </c>
      <c r="I120" t="s">
        <v>803</v>
      </c>
      <c r="J120" t="s">
        <v>803</v>
      </c>
      <c r="K120" t="s">
        <v>777</v>
      </c>
      <c r="L120" t="s">
        <v>821</v>
      </c>
      <c r="M120" t="s">
        <v>778</v>
      </c>
      <c r="N120" t="s">
        <v>779</v>
      </c>
      <c r="O120" t="s">
        <v>778</v>
      </c>
      <c r="P120" t="s">
        <v>1696</v>
      </c>
      <c r="Q120" t="s">
        <v>1270</v>
      </c>
      <c r="R120" t="s">
        <v>1005</v>
      </c>
      <c r="S120" t="s">
        <v>1659</v>
      </c>
      <c r="T120" t="s">
        <v>946</v>
      </c>
      <c r="U120" t="s">
        <v>1170</v>
      </c>
      <c r="V120" t="s">
        <v>810</v>
      </c>
      <c r="W120" t="s">
        <v>1693</v>
      </c>
      <c r="X120" t="s">
        <v>1282</v>
      </c>
      <c r="Y120" t="s">
        <v>1697</v>
      </c>
      <c r="Z120" t="s">
        <v>1696</v>
      </c>
      <c r="AA120" t="s">
        <v>1218</v>
      </c>
      <c r="AB120" t="s">
        <v>845</v>
      </c>
      <c r="AC120" t="s">
        <v>1030</v>
      </c>
      <c r="AD120" t="s">
        <v>939</v>
      </c>
    </row>
    <row r="121" spans="1:30">
      <c r="A121" t="s">
        <v>126</v>
      </c>
      <c r="B121" t="s">
        <v>1698</v>
      </c>
      <c r="C121" t="s">
        <v>841</v>
      </c>
      <c r="D121" t="s">
        <v>858</v>
      </c>
      <c r="E121" t="s">
        <v>775</v>
      </c>
      <c r="F121" t="s">
        <v>845</v>
      </c>
      <c r="G121" t="s">
        <v>777</v>
      </c>
      <c r="H121" t="s">
        <v>778</v>
      </c>
      <c r="I121" t="s">
        <v>803</v>
      </c>
      <c r="J121" t="s">
        <v>778</v>
      </c>
      <c r="K121" t="s">
        <v>822</v>
      </c>
      <c r="L121" t="s">
        <v>863</v>
      </c>
      <c r="M121" t="s">
        <v>778</v>
      </c>
      <c r="N121" t="s">
        <v>858</v>
      </c>
      <c r="O121" t="s">
        <v>803</v>
      </c>
      <c r="P121" t="s">
        <v>1053</v>
      </c>
      <c r="Q121" t="s">
        <v>1199</v>
      </c>
      <c r="R121" t="s">
        <v>1699</v>
      </c>
      <c r="S121" t="s">
        <v>1700</v>
      </c>
      <c r="T121" t="s">
        <v>885</v>
      </c>
      <c r="U121" t="s">
        <v>998</v>
      </c>
      <c r="V121" t="s">
        <v>977</v>
      </c>
      <c r="W121" t="s">
        <v>1023</v>
      </c>
      <c r="X121" t="s">
        <v>1447</v>
      </c>
      <c r="Y121" t="s">
        <v>1053</v>
      </c>
      <c r="Z121" t="s">
        <v>1262</v>
      </c>
      <c r="AA121" t="s">
        <v>1027</v>
      </c>
      <c r="AB121" t="s">
        <v>845</v>
      </c>
      <c r="AC121" t="s">
        <v>926</v>
      </c>
      <c r="AD121" t="s">
        <v>1701</v>
      </c>
    </row>
    <row r="122" spans="1:30">
      <c r="A122" t="s">
        <v>74</v>
      </c>
      <c r="B122" t="s">
        <v>1702</v>
      </c>
      <c r="C122" t="s">
        <v>772</v>
      </c>
      <c r="D122" t="s">
        <v>773</v>
      </c>
      <c r="E122" t="s">
        <v>800</v>
      </c>
      <c r="F122" t="s">
        <v>858</v>
      </c>
      <c r="G122" t="s">
        <v>826</v>
      </c>
      <c r="H122" t="s">
        <v>779</v>
      </c>
      <c r="I122" t="s">
        <v>778</v>
      </c>
      <c r="J122" t="s">
        <v>778</v>
      </c>
      <c r="K122" t="s">
        <v>971</v>
      </c>
      <c r="L122" t="s">
        <v>1129</v>
      </c>
      <c r="M122" t="s">
        <v>796</v>
      </c>
      <c r="N122" t="s">
        <v>805</v>
      </c>
      <c r="O122" t="s">
        <v>779</v>
      </c>
      <c r="P122" t="s">
        <v>965</v>
      </c>
      <c r="Q122" t="s">
        <v>1150</v>
      </c>
      <c r="R122" t="s">
        <v>1211</v>
      </c>
      <c r="S122" t="s">
        <v>1703</v>
      </c>
      <c r="T122" t="s">
        <v>1559</v>
      </c>
      <c r="U122" t="s">
        <v>1293</v>
      </c>
      <c r="V122" t="s">
        <v>1071</v>
      </c>
      <c r="W122" t="s">
        <v>1506</v>
      </c>
      <c r="X122" t="s">
        <v>1154</v>
      </c>
      <c r="Y122" t="s">
        <v>1704</v>
      </c>
      <c r="Z122" t="s">
        <v>1301</v>
      </c>
      <c r="AA122" t="s">
        <v>1553</v>
      </c>
      <c r="AB122" t="s">
        <v>782</v>
      </c>
      <c r="AC122" t="s">
        <v>1705</v>
      </c>
      <c r="AD122" t="s">
        <v>818</v>
      </c>
    </row>
    <row r="123" spans="1:30">
      <c r="A123" t="s">
        <v>74</v>
      </c>
      <c r="B123" t="s">
        <v>397</v>
      </c>
      <c r="C123" t="s">
        <v>536</v>
      </c>
      <c r="D123" t="s">
        <v>1015</v>
      </c>
      <c r="E123" t="s">
        <v>820</v>
      </c>
      <c r="F123" t="s">
        <v>779</v>
      </c>
      <c r="G123" t="s">
        <v>926</v>
      </c>
      <c r="H123" t="s">
        <v>822</v>
      </c>
      <c r="I123" t="s">
        <v>803</v>
      </c>
      <c r="J123" t="s">
        <v>777</v>
      </c>
      <c r="K123" t="s">
        <v>779</v>
      </c>
      <c r="L123" t="s">
        <v>1081</v>
      </c>
      <c r="M123" t="s">
        <v>777</v>
      </c>
      <c r="N123" t="s">
        <v>776</v>
      </c>
      <c r="O123" t="s">
        <v>803</v>
      </c>
      <c r="P123" t="s">
        <v>1706</v>
      </c>
      <c r="Q123" t="s">
        <v>1707</v>
      </c>
      <c r="R123" t="s">
        <v>1392</v>
      </c>
      <c r="S123" t="s">
        <v>1708</v>
      </c>
      <c r="T123" t="s">
        <v>901</v>
      </c>
      <c r="U123" t="s">
        <v>1037</v>
      </c>
      <c r="V123" t="s">
        <v>948</v>
      </c>
      <c r="W123" t="s">
        <v>1709</v>
      </c>
      <c r="X123" t="s">
        <v>1024</v>
      </c>
      <c r="Y123" t="s">
        <v>836</v>
      </c>
      <c r="Z123" t="s">
        <v>1710</v>
      </c>
      <c r="AA123" t="s">
        <v>1523</v>
      </c>
      <c r="AB123" t="s">
        <v>858</v>
      </c>
      <c r="AC123" t="s">
        <v>1042</v>
      </c>
      <c r="AD123" t="s">
        <v>1711</v>
      </c>
    </row>
    <row r="124" spans="1:30">
      <c r="A124" t="s">
        <v>74</v>
      </c>
      <c r="B124" t="s">
        <v>434</v>
      </c>
      <c r="C124" t="s">
        <v>819</v>
      </c>
      <c r="D124" t="s">
        <v>1015</v>
      </c>
      <c r="E124" t="s">
        <v>1077</v>
      </c>
      <c r="F124" t="s">
        <v>782</v>
      </c>
      <c r="G124" t="s">
        <v>1232</v>
      </c>
      <c r="H124" t="s">
        <v>845</v>
      </c>
      <c r="I124" t="s">
        <v>845</v>
      </c>
      <c r="J124" t="s">
        <v>822</v>
      </c>
      <c r="K124" t="s">
        <v>796</v>
      </c>
      <c r="L124" t="s">
        <v>1030</v>
      </c>
      <c r="M124" t="s">
        <v>825</v>
      </c>
      <c r="N124" t="s">
        <v>844</v>
      </c>
      <c r="O124" t="s">
        <v>803</v>
      </c>
      <c r="P124" t="s">
        <v>1233</v>
      </c>
      <c r="Q124" t="s">
        <v>1536</v>
      </c>
      <c r="R124" t="s">
        <v>974</v>
      </c>
      <c r="S124" t="s">
        <v>1485</v>
      </c>
      <c r="T124" t="s">
        <v>885</v>
      </c>
      <c r="U124" t="s">
        <v>1712</v>
      </c>
      <c r="V124" t="s">
        <v>1626</v>
      </c>
      <c r="W124" t="s">
        <v>1546</v>
      </c>
      <c r="X124" t="s">
        <v>1099</v>
      </c>
      <c r="Y124" t="s">
        <v>1484</v>
      </c>
      <c r="Z124" t="s">
        <v>995</v>
      </c>
      <c r="AA124" t="s">
        <v>1492</v>
      </c>
      <c r="AB124" t="s">
        <v>858</v>
      </c>
      <c r="AC124" t="s">
        <v>1319</v>
      </c>
      <c r="AD124" t="s">
        <v>1713</v>
      </c>
    </row>
    <row r="125" spans="1:30">
      <c r="A125" t="s">
        <v>74</v>
      </c>
      <c r="B125" t="s">
        <v>303</v>
      </c>
      <c r="C125" t="s">
        <v>1068</v>
      </c>
      <c r="D125" t="s">
        <v>842</v>
      </c>
      <c r="E125" t="s">
        <v>1496</v>
      </c>
      <c r="F125" t="s">
        <v>825</v>
      </c>
      <c r="G125" t="s">
        <v>842</v>
      </c>
      <c r="H125" t="s">
        <v>821</v>
      </c>
      <c r="I125" t="s">
        <v>803</v>
      </c>
      <c r="J125" t="s">
        <v>845</v>
      </c>
      <c r="K125" t="s">
        <v>823</v>
      </c>
      <c r="L125" t="s">
        <v>1198</v>
      </c>
      <c r="M125" t="s">
        <v>971</v>
      </c>
      <c r="N125" t="s">
        <v>926</v>
      </c>
      <c r="O125" t="s">
        <v>845</v>
      </c>
      <c r="P125" t="s">
        <v>1262</v>
      </c>
      <c r="Q125" t="s">
        <v>816</v>
      </c>
      <c r="R125" t="s">
        <v>1714</v>
      </c>
      <c r="S125" t="s">
        <v>1715</v>
      </c>
      <c r="T125" t="s">
        <v>960</v>
      </c>
      <c r="U125" t="s">
        <v>798</v>
      </c>
      <c r="V125" t="s">
        <v>1287</v>
      </c>
      <c r="W125" t="s">
        <v>1294</v>
      </c>
      <c r="X125" t="s">
        <v>1073</v>
      </c>
      <c r="Y125" t="s">
        <v>936</v>
      </c>
      <c r="Z125" t="s">
        <v>1550</v>
      </c>
      <c r="AA125" t="s">
        <v>1716</v>
      </c>
      <c r="AB125" t="s">
        <v>863</v>
      </c>
      <c r="AC125" t="s">
        <v>1390</v>
      </c>
      <c r="AD125" t="s">
        <v>1717</v>
      </c>
    </row>
    <row r="126" spans="1:30">
      <c r="A126" t="s">
        <v>74</v>
      </c>
      <c r="B126" t="s">
        <v>96</v>
      </c>
      <c r="C126" t="s">
        <v>536</v>
      </c>
      <c r="D126" t="s">
        <v>842</v>
      </c>
      <c r="E126" t="s">
        <v>1342</v>
      </c>
      <c r="F126" t="s">
        <v>802</v>
      </c>
      <c r="G126" t="s">
        <v>925</v>
      </c>
      <c r="H126" t="s">
        <v>845</v>
      </c>
      <c r="I126" t="s">
        <v>803</v>
      </c>
      <c r="J126" t="s">
        <v>821</v>
      </c>
      <c r="K126" t="s">
        <v>1232</v>
      </c>
      <c r="L126" t="s">
        <v>983</v>
      </c>
      <c r="M126" t="s">
        <v>823</v>
      </c>
      <c r="N126" t="s">
        <v>776</v>
      </c>
      <c r="O126" t="s">
        <v>803</v>
      </c>
      <c r="P126" t="s">
        <v>1145</v>
      </c>
      <c r="Q126" t="s">
        <v>1083</v>
      </c>
      <c r="R126" t="s">
        <v>1718</v>
      </c>
      <c r="S126" t="s">
        <v>1719</v>
      </c>
      <c r="T126" t="s">
        <v>932</v>
      </c>
      <c r="U126" t="s">
        <v>1395</v>
      </c>
      <c r="V126" t="s">
        <v>1720</v>
      </c>
      <c r="W126" t="s">
        <v>1721</v>
      </c>
      <c r="X126" t="s">
        <v>1001</v>
      </c>
      <c r="Y126" t="s">
        <v>1139</v>
      </c>
      <c r="Z126" t="s">
        <v>1461</v>
      </c>
      <c r="AA126" t="s">
        <v>1687</v>
      </c>
      <c r="AB126" t="s">
        <v>863</v>
      </c>
      <c r="AC126" t="s">
        <v>1414</v>
      </c>
      <c r="AD126" t="s">
        <v>1722</v>
      </c>
    </row>
    <row r="127" spans="1:30">
      <c r="A127" t="s">
        <v>74</v>
      </c>
      <c r="B127" t="s">
        <v>1723</v>
      </c>
      <c r="C127" t="s">
        <v>879</v>
      </c>
      <c r="D127" t="s">
        <v>844</v>
      </c>
      <c r="E127" t="s">
        <v>1250</v>
      </c>
      <c r="F127" t="s">
        <v>782</v>
      </c>
      <c r="G127" t="s">
        <v>805</v>
      </c>
      <c r="H127" t="s">
        <v>846</v>
      </c>
      <c r="I127" t="s">
        <v>778</v>
      </c>
      <c r="J127" t="s">
        <v>845</v>
      </c>
      <c r="K127" t="s">
        <v>777</v>
      </c>
      <c r="L127" t="s">
        <v>801</v>
      </c>
      <c r="M127" t="s">
        <v>863</v>
      </c>
      <c r="N127" t="s">
        <v>1015</v>
      </c>
      <c r="O127" t="s">
        <v>803</v>
      </c>
      <c r="P127" t="s">
        <v>1262</v>
      </c>
      <c r="Q127" t="s">
        <v>1248</v>
      </c>
      <c r="R127" t="s">
        <v>1311</v>
      </c>
      <c r="S127" t="s">
        <v>1724</v>
      </c>
      <c r="T127" t="s">
        <v>869</v>
      </c>
      <c r="U127" t="s">
        <v>1725</v>
      </c>
      <c r="V127" t="s">
        <v>1304</v>
      </c>
      <c r="W127" t="s">
        <v>963</v>
      </c>
      <c r="X127" t="s">
        <v>950</v>
      </c>
      <c r="Y127" t="s">
        <v>1317</v>
      </c>
      <c r="Z127" t="s">
        <v>1199</v>
      </c>
      <c r="AA127" t="s">
        <v>1666</v>
      </c>
      <c r="AB127" t="s">
        <v>863</v>
      </c>
      <c r="AC127" t="s">
        <v>1058</v>
      </c>
      <c r="AD127" t="s">
        <v>1726</v>
      </c>
    </row>
    <row r="128" spans="1:30">
      <c r="A128" t="s">
        <v>74</v>
      </c>
      <c r="B128" t="s">
        <v>1727</v>
      </c>
      <c r="C128" t="s">
        <v>841</v>
      </c>
      <c r="D128" t="s">
        <v>895</v>
      </c>
      <c r="E128" t="s">
        <v>896</v>
      </c>
      <c r="F128" t="s">
        <v>971</v>
      </c>
      <c r="G128" t="s">
        <v>1232</v>
      </c>
      <c r="H128" t="s">
        <v>778</v>
      </c>
      <c r="I128" t="s">
        <v>803</v>
      </c>
      <c r="J128" t="s">
        <v>845</v>
      </c>
      <c r="K128" t="s">
        <v>863</v>
      </c>
      <c r="L128" t="s">
        <v>895</v>
      </c>
      <c r="M128" t="s">
        <v>823</v>
      </c>
      <c r="N128" t="s">
        <v>1015</v>
      </c>
      <c r="O128" t="s">
        <v>803</v>
      </c>
      <c r="P128" t="s">
        <v>1497</v>
      </c>
      <c r="Q128" t="s">
        <v>1235</v>
      </c>
      <c r="R128" t="s">
        <v>956</v>
      </c>
      <c r="S128" t="s">
        <v>884</v>
      </c>
      <c r="T128" t="s">
        <v>939</v>
      </c>
      <c r="U128" t="s">
        <v>1404</v>
      </c>
      <c r="V128" t="s">
        <v>852</v>
      </c>
      <c r="W128" t="s">
        <v>1728</v>
      </c>
      <c r="X128" t="s">
        <v>1729</v>
      </c>
      <c r="Y128" t="s">
        <v>1074</v>
      </c>
      <c r="Z128" t="s">
        <v>1093</v>
      </c>
      <c r="AA128" t="s">
        <v>1730</v>
      </c>
      <c r="AB128" t="s">
        <v>822</v>
      </c>
      <c r="AC128" t="s">
        <v>1231</v>
      </c>
      <c r="AD128" t="s">
        <v>1731</v>
      </c>
    </row>
    <row r="129" spans="1:30">
      <c r="A129" t="s">
        <v>74</v>
      </c>
      <c r="B129" t="s">
        <v>1732</v>
      </c>
      <c r="C129" t="s">
        <v>799</v>
      </c>
      <c r="D129" t="s">
        <v>895</v>
      </c>
      <c r="E129" t="s">
        <v>896</v>
      </c>
      <c r="F129" t="s">
        <v>971</v>
      </c>
      <c r="G129" t="s">
        <v>1232</v>
      </c>
      <c r="H129" t="s">
        <v>778</v>
      </c>
      <c r="I129" t="s">
        <v>803</v>
      </c>
      <c r="J129" t="s">
        <v>845</v>
      </c>
      <c r="K129" t="s">
        <v>863</v>
      </c>
      <c r="L129" t="s">
        <v>895</v>
      </c>
      <c r="M129" t="s">
        <v>823</v>
      </c>
      <c r="N129" t="s">
        <v>1015</v>
      </c>
      <c r="O129" t="s">
        <v>803</v>
      </c>
      <c r="P129" t="s">
        <v>1497</v>
      </c>
      <c r="Q129" t="s">
        <v>1235</v>
      </c>
      <c r="R129" t="s">
        <v>956</v>
      </c>
      <c r="S129" t="s">
        <v>884</v>
      </c>
      <c r="T129" t="s">
        <v>885</v>
      </c>
      <c r="U129" t="s">
        <v>1404</v>
      </c>
      <c r="V129" t="s">
        <v>852</v>
      </c>
      <c r="W129" t="s">
        <v>1728</v>
      </c>
      <c r="X129" t="s">
        <v>1729</v>
      </c>
      <c r="Y129" t="s">
        <v>1074</v>
      </c>
      <c r="Z129" t="s">
        <v>1093</v>
      </c>
      <c r="AA129" t="s">
        <v>1730</v>
      </c>
      <c r="AB129" t="s">
        <v>822</v>
      </c>
      <c r="AC129" t="s">
        <v>1231</v>
      </c>
      <c r="AD129" t="s">
        <v>1731</v>
      </c>
    </row>
    <row r="130" spans="1:30">
      <c r="A130" t="s">
        <v>74</v>
      </c>
      <c r="B130" t="s">
        <v>1733</v>
      </c>
      <c r="C130" t="s">
        <v>1079</v>
      </c>
      <c r="D130" t="s">
        <v>895</v>
      </c>
      <c r="E130" t="s">
        <v>1608</v>
      </c>
      <c r="F130" t="s">
        <v>823</v>
      </c>
      <c r="G130" t="s">
        <v>775</v>
      </c>
      <c r="H130" t="s">
        <v>822</v>
      </c>
      <c r="I130" t="s">
        <v>803</v>
      </c>
      <c r="J130" t="s">
        <v>822</v>
      </c>
      <c r="K130" t="s">
        <v>863</v>
      </c>
      <c r="L130" t="s">
        <v>1030</v>
      </c>
      <c r="M130" t="s">
        <v>777</v>
      </c>
      <c r="N130" t="s">
        <v>780</v>
      </c>
      <c r="O130" t="s">
        <v>846</v>
      </c>
      <c r="P130" t="s">
        <v>912</v>
      </c>
      <c r="Q130" t="s">
        <v>1510</v>
      </c>
      <c r="R130" t="s">
        <v>1734</v>
      </c>
      <c r="S130" t="s">
        <v>1735</v>
      </c>
      <c r="T130" t="s">
        <v>850</v>
      </c>
      <c r="U130" t="s">
        <v>1736</v>
      </c>
      <c r="V130" t="s">
        <v>1021</v>
      </c>
      <c r="W130" t="s">
        <v>1489</v>
      </c>
      <c r="X130" t="s">
        <v>1347</v>
      </c>
      <c r="Y130" t="s">
        <v>1642</v>
      </c>
      <c r="Z130" t="s">
        <v>1609</v>
      </c>
      <c r="AA130" t="s">
        <v>1466</v>
      </c>
      <c r="AB130" t="s">
        <v>821</v>
      </c>
      <c r="AC130" t="s">
        <v>1113</v>
      </c>
      <c r="AD130" t="s">
        <v>1614</v>
      </c>
    </row>
    <row r="131" spans="1:30">
      <c r="A131" t="s">
        <v>74</v>
      </c>
      <c r="B131" t="s">
        <v>286</v>
      </c>
      <c r="C131" t="s">
        <v>1079</v>
      </c>
      <c r="D131" t="s">
        <v>925</v>
      </c>
      <c r="E131" t="s">
        <v>1358</v>
      </c>
      <c r="F131" t="s">
        <v>821</v>
      </c>
      <c r="G131" t="s">
        <v>971</v>
      </c>
      <c r="H131" t="s">
        <v>778</v>
      </c>
      <c r="I131" t="s">
        <v>803</v>
      </c>
      <c r="J131" t="s">
        <v>778</v>
      </c>
      <c r="K131" t="s">
        <v>846</v>
      </c>
      <c r="L131" t="s">
        <v>1232</v>
      </c>
      <c r="M131" t="s">
        <v>782</v>
      </c>
      <c r="N131" t="s">
        <v>782</v>
      </c>
      <c r="O131" t="s">
        <v>845</v>
      </c>
      <c r="P131" t="s">
        <v>1665</v>
      </c>
      <c r="Q131" t="s">
        <v>1370</v>
      </c>
      <c r="R131" t="s">
        <v>1210</v>
      </c>
      <c r="S131" t="s">
        <v>1439</v>
      </c>
      <c r="T131" t="s">
        <v>885</v>
      </c>
      <c r="U131" t="s">
        <v>902</v>
      </c>
      <c r="V131" t="s">
        <v>1381</v>
      </c>
      <c r="W131" t="s">
        <v>927</v>
      </c>
      <c r="X131" t="s">
        <v>1464</v>
      </c>
      <c r="Y131" t="s">
        <v>1622</v>
      </c>
      <c r="Z131" t="s">
        <v>1301</v>
      </c>
      <c r="AA131" t="s">
        <v>1328</v>
      </c>
      <c r="AB131" t="s">
        <v>845</v>
      </c>
      <c r="AC131" t="s">
        <v>1243</v>
      </c>
      <c r="AD131" t="s">
        <v>1649</v>
      </c>
    </row>
    <row r="132" spans="1:30">
      <c r="A132" t="s">
        <v>74</v>
      </c>
      <c r="B132" t="s">
        <v>1737</v>
      </c>
      <c r="C132" t="s">
        <v>841</v>
      </c>
      <c r="D132" t="s">
        <v>862</v>
      </c>
      <c r="E132" t="s">
        <v>1517</v>
      </c>
      <c r="F132" t="s">
        <v>863</v>
      </c>
      <c r="G132" t="s">
        <v>863</v>
      </c>
      <c r="H132" t="s">
        <v>778</v>
      </c>
      <c r="I132" t="s">
        <v>803</v>
      </c>
      <c r="J132" t="s">
        <v>845</v>
      </c>
      <c r="K132" t="s">
        <v>863</v>
      </c>
      <c r="L132" t="s">
        <v>825</v>
      </c>
      <c r="M132" t="s">
        <v>863</v>
      </c>
      <c r="N132" t="s">
        <v>802</v>
      </c>
      <c r="O132" t="s">
        <v>803</v>
      </c>
      <c r="P132" t="s">
        <v>1217</v>
      </c>
      <c r="Q132" t="s">
        <v>974</v>
      </c>
      <c r="R132" t="s">
        <v>1094</v>
      </c>
      <c r="S132" t="s">
        <v>1738</v>
      </c>
      <c r="T132" t="s">
        <v>831</v>
      </c>
      <c r="U132" t="s">
        <v>1152</v>
      </c>
      <c r="V132" t="s">
        <v>1638</v>
      </c>
      <c r="W132" t="s">
        <v>1330</v>
      </c>
      <c r="X132" t="s">
        <v>1172</v>
      </c>
      <c r="Y132" t="s">
        <v>1193</v>
      </c>
      <c r="Z132" t="s">
        <v>1094</v>
      </c>
      <c r="AA132" t="s">
        <v>1492</v>
      </c>
      <c r="AB132" t="s">
        <v>822</v>
      </c>
      <c r="AC132" t="s">
        <v>781</v>
      </c>
      <c r="AD132" t="s">
        <v>1739</v>
      </c>
    </row>
    <row r="133" spans="1:30">
      <c r="A133" t="s">
        <v>74</v>
      </c>
      <c r="B133" t="s">
        <v>1740</v>
      </c>
      <c r="C133" t="s">
        <v>841</v>
      </c>
      <c r="D133" t="s">
        <v>862</v>
      </c>
      <c r="E133" t="s">
        <v>1046</v>
      </c>
      <c r="F133" t="s">
        <v>846</v>
      </c>
      <c r="G133" t="s">
        <v>782</v>
      </c>
      <c r="H133" t="s">
        <v>846</v>
      </c>
      <c r="I133" t="s">
        <v>803</v>
      </c>
      <c r="J133" t="s">
        <v>778</v>
      </c>
      <c r="K133" t="s">
        <v>821</v>
      </c>
      <c r="L133" t="s">
        <v>775</v>
      </c>
      <c r="M133" t="s">
        <v>845</v>
      </c>
      <c r="N133" t="s">
        <v>782</v>
      </c>
      <c r="O133" t="s">
        <v>803</v>
      </c>
      <c r="P133" t="s">
        <v>1199</v>
      </c>
      <c r="Q133" t="s">
        <v>793</v>
      </c>
      <c r="R133" t="s">
        <v>1741</v>
      </c>
      <c r="S133" t="s">
        <v>1742</v>
      </c>
      <c r="T133" t="s">
        <v>885</v>
      </c>
      <c r="U133" t="s">
        <v>1304</v>
      </c>
      <c r="V133" t="s">
        <v>887</v>
      </c>
      <c r="W133" t="s">
        <v>1387</v>
      </c>
      <c r="X133" t="s">
        <v>1602</v>
      </c>
      <c r="Y133" t="s">
        <v>1642</v>
      </c>
      <c r="Z133" t="s">
        <v>1320</v>
      </c>
      <c r="AA133" t="s">
        <v>1241</v>
      </c>
      <c r="AB133" t="s">
        <v>821</v>
      </c>
      <c r="AC133" t="s">
        <v>1743</v>
      </c>
      <c r="AD133" t="s">
        <v>1744</v>
      </c>
    </row>
    <row r="134" spans="1:30">
      <c r="A134" t="s">
        <v>74</v>
      </c>
      <c r="B134" t="s">
        <v>393</v>
      </c>
      <c r="C134" t="s">
        <v>799</v>
      </c>
      <c r="D134" t="s">
        <v>823</v>
      </c>
      <c r="E134" t="s">
        <v>1208</v>
      </c>
      <c r="F134" t="s">
        <v>845</v>
      </c>
      <c r="G134" t="s">
        <v>858</v>
      </c>
      <c r="H134" t="s">
        <v>822</v>
      </c>
      <c r="I134" t="s">
        <v>803</v>
      </c>
      <c r="J134" t="s">
        <v>803</v>
      </c>
      <c r="K134" t="s">
        <v>778</v>
      </c>
      <c r="L134" t="s">
        <v>823</v>
      </c>
      <c r="M134" t="s">
        <v>803</v>
      </c>
      <c r="N134" t="s">
        <v>823</v>
      </c>
      <c r="O134" t="s">
        <v>803</v>
      </c>
      <c r="P134" t="s">
        <v>1277</v>
      </c>
      <c r="Q134" t="s">
        <v>1258</v>
      </c>
      <c r="R134" t="s">
        <v>1504</v>
      </c>
      <c r="S134" t="s">
        <v>1563</v>
      </c>
      <c r="T134" t="s">
        <v>885</v>
      </c>
      <c r="U134" t="s">
        <v>1007</v>
      </c>
      <c r="V134" t="s">
        <v>1692</v>
      </c>
      <c r="W134" t="s">
        <v>1008</v>
      </c>
      <c r="X134" t="s">
        <v>1009</v>
      </c>
      <c r="Y134" t="s">
        <v>1153</v>
      </c>
      <c r="Z134" t="s">
        <v>1153</v>
      </c>
      <c r="AA134" t="s">
        <v>1218</v>
      </c>
      <c r="AB134" t="s">
        <v>822</v>
      </c>
      <c r="AC134" t="s">
        <v>1030</v>
      </c>
      <c r="AD134" t="s">
        <v>939</v>
      </c>
    </row>
    <row r="135" spans="1:30">
      <c r="A135" t="s">
        <v>74</v>
      </c>
      <c r="B135" t="s">
        <v>343</v>
      </c>
      <c r="C135" t="s">
        <v>799</v>
      </c>
      <c r="D135" t="s">
        <v>779</v>
      </c>
      <c r="E135" t="s">
        <v>776</v>
      </c>
      <c r="F135" t="s">
        <v>821</v>
      </c>
      <c r="G135" t="s">
        <v>858</v>
      </c>
      <c r="H135" t="s">
        <v>822</v>
      </c>
      <c r="I135" t="s">
        <v>803</v>
      </c>
      <c r="J135" t="s">
        <v>803</v>
      </c>
      <c r="K135" t="s">
        <v>858</v>
      </c>
      <c r="L135" t="s">
        <v>823</v>
      </c>
      <c r="M135" t="s">
        <v>846</v>
      </c>
      <c r="N135" t="s">
        <v>845</v>
      </c>
      <c r="O135" t="s">
        <v>803</v>
      </c>
      <c r="P135" t="s">
        <v>785</v>
      </c>
      <c r="Q135" t="s">
        <v>913</v>
      </c>
      <c r="R135" t="s">
        <v>913</v>
      </c>
      <c r="S135" t="s">
        <v>1745</v>
      </c>
      <c r="T135" t="s">
        <v>939</v>
      </c>
      <c r="U135" t="s">
        <v>1381</v>
      </c>
      <c r="V135" t="s">
        <v>999</v>
      </c>
      <c r="W135" t="s">
        <v>1217</v>
      </c>
      <c r="X135" t="s">
        <v>1746</v>
      </c>
      <c r="Y135" t="s">
        <v>872</v>
      </c>
      <c r="Z135" t="s">
        <v>1480</v>
      </c>
      <c r="AA135" t="s">
        <v>1076</v>
      </c>
      <c r="AB135" t="s">
        <v>822</v>
      </c>
      <c r="AC135" t="s">
        <v>1221</v>
      </c>
      <c r="AD135" t="s">
        <v>939</v>
      </c>
    </row>
    <row r="136" spans="1:30">
      <c r="A136" t="s">
        <v>74</v>
      </c>
      <c r="B136" t="s">
        <v>1747</v>
      </c>
      <c r="C136" t="s">
        <v>536</v>
      </c>
      <c r="D136" t="s">
        <v>822</v>
      </c>
      <c r="E136" t="s">
        <v>858</v>
      </c>
      <c r="F136" t="s">
        <v>778</v>
      </c>
      <c r="G136" t="s">
        <v>822</v>
      </c>
      <c r="H136" t="s">
        <v>845</v>
      </c>
      <c r="I136" t="s">
        <v>803</v>
      </c>
      <c r="J136" t="s">
        <v>803</v>
      </c>
      <c r="K136" t="s">
        <v>845</v>
      </c>
      <c r="L136" t="s">
        <v>846</v>
      </c>
      <c r="M136" t="s">
        <v>778</v>
      </c>
      <c r="N136" t="s">
        <v>778</v>
      </c>
      <c r="O136" t="s">
        <v>803</v>
      </c>
      <c r="P136" t="s">
        <v>1013</v>
      </c>
      <c r="Q136" t="s">
        <v>1312</v>
      </c>
      <c r="R136" t="s">
        <v>1748</v>
      </c>
      <c r="S136" t="s">
        <v>1749</v>
      </c>
      <c r="T136" t="s">
        <v>1020</v>
      </c>
      <c r="U136" t="s">
        <v>1255</v>
      </c>
      <c r="V136" t="s">
        <v>1303</v>
      </c>
      <c r="W136" t="s">
        <v>1546</v>
      </c>
      <c r="X136" t="s">
        <v>1464</v>
      </c>
      <c r="Y136" t="s">
        <v>986</v>
      </c>
      <c r="Z136" t="s">
        <v>1013</v>
      </c>
      <c r="AA136" t="s">
        <v>1750</v>
      </c>
      <c r="AB136" t="s">
        <v>845</v>
      </c>
      <c r="AC136" t="s">
        <v>863</v>
      </c>
      <c r="AD136" t="s">
        <v>939</v>
      </c>
    </row>
    <row r="137" spans="1:30">
      <c r="A137" t="s">
        <v>74</v>
      </c>
      <c r="B137" t="s">
        <v>1751</v>
      </c>
      <c r="C137" t="s">
        <v>841</v>
      </c>
      <c r="D137" t="s">
        <v>858</v>
      </c>
      <c r="E137" t="s">
        <v>846</v>
      </c>
      <c r="F137" t="s">
        <v>778</v>
      </c>
      <c r="G137" t="s">
        <v>778</v>
      </c>
      <c r="H137" t="s">
        <v>803</v>
      </c>
      <c r="I137" t="s">
        <v>803</v>
      </c>
      <c r="J137" t="s">
        <v>803</v>
      </c>
      <c r="K137" t="s">
        <v>803</v>
      </c>
      <c r="L137" t="s">
        <v>778</v>
      </c>
      <c r="M137" t="s">
        <v>803</v>
      </c>
      <c r="N137" t="s">
        <v>778</v>
      </c>
      <c r="O137" t="s">
        <v>778</v>
      </c>
      <c r="P137" t="s">
        <v>942</v>
      </c>
      <c r="Q137" t="s">
        <v>942</v>
      </c>
      <c r="R137" t="s">
        <v>942</v>
      </c>
      <c r="S137" t="s">
        <v>913</v>
      </c>
      <c r="T137" t="s">
        <v>885</v>
      </c>
      <c r="U137" t="s">
        <v>1119</v>
      </c>
      <c r="V137" t="s">
        <v>1752</v>
      </c>
      <c r="W137" t="s">
        <v>1008</v>
      </c>
      <c r="X137" t="s">
        <v>1009</v>
      </c>
      <c r="Y137" t="s">
        <v>1008</v>
      </c>
      <c r="Z137" t="s">
        <v>1008</v>
      </c>
      <c r="AA137" t="s">
        <v>1753</v>
      </c>
      <c r="AB137" t="s">
        <v>803</v>
      </c>
      <c r="AC137" t="s">
        <v>846</v>
      </c>
      <c r="AD137" t="s">
        <v>939</v>
      </c>
    </row>
    <row r="138" spans="1:30">
      <c r="A138" t="s">
        <v>83</v>
      </c>
      <c r="B138" t="s">
        <v>283</v>
      </c>
      <c r="C138" t="s">
        <v>841</v>
      </c>
      <c r="D138" t="s">
        <v>1015</v>
      </c>
      <c r="E138" t="s">
        <v>1300</v>
      </c>
      <c r="F138" t="s">
        <v>971</v>
      </c>
      <c r="G138" t="s">
        <v>925</v>
      </c>
      <c r="H138" t="s">
        <v>822</v>
      </c>
      <c r="I138" t="s">
        <v>803</v>
      </c>
      <c r="J138" t="s">
        <v>778</v>
      </c>
      <c r="K138" t="s">
        <v>971</v>
      </c>
      <c r="L138" t="s">
        <v>773</v>
      </c>
      <c r="M138" t="s">
        <v>821</v>
      </c>
      <c r="N138" t="s">
        <v>862</v>
      </c>
      <c r="O138" t="s">
        <v>821</v>
      </c>
      <c r="P138" t="s">
        <v>1363</v>
      </c>
      <c r="Q138" t="s">
        <v>1111</v>
      </c>
      <c r="R138" t="s">
        <v>1425</v>
      </c>
      <c r="S138" t="s">
        <v>1754</v>
      </c>
      <c r="T138" t="s">
        <v>946</v>
      </c>
      <c r="U138" t="s">
        <v>1527</v>
      </c>
      <c r="V138" t="s">
        <v>1007</v>
      </c>
      <c r="W138" t="s">
        <v>1489</v>
      </c>
      <c r="X138" t="s">
        <v>1755</v>
      </c>
      <c r="Y138" t="s">
        <v>1163</v>
      </c>
      <c r="Z138" t="s">
        <v>1756</v>
      </c>
      <c r="AA138" t="s">
        <v>967</v>
      </c>
      <c r="AB138" t="s">
        <v>777</v>
      </c>
      <c r="AC138" t="s">
        <v>1757</v>
      </c>
      <c r="AD138" t="s">
        <v>1758</v>
      </c>
    </row>
    <row r="139" spans="1:30">
      <c r="A139" t="s">
        <v>83</v>
      </c>
      <c r="B139" t="s">
        <v>86</v>
      </c>
      <c r="C139" t="s">
        <v>1079</v>
      </c>
      <c r="D139" t="s">
        <v>776</v>
      </c>
      <c r="E139" t="s">
        <v>1574</v>
      </c>
      <c r="F139" t="s">
        <v>775</v>
      </c>
      <c r="G139" t="s">
        <v>844</v>
      </c>
      <c r="H139" t="s">
        <v>777</v>
      </c>
      <c r="I139" t="s">
        <v>778</v>
      </c>
      <c r="J139" t="s">
        <v>846</v>
      </c>
      <c r="K139" t="s">
        <v>858</v>
      </c>
      <c r="L139" t="s">
        <v>1147</v>
      </c>
      <c r="M139" t="s">
        <v>858</v>
      </c>
      <c r="N139" t="s">
        <v>864</v>
      </c>
      <c r="O139" t="s">
        <v>803</v>
      </c>
      <c r="P139" t="s">
        <v>891</v>
      </c>
      <c r="Q139" t="s">
        <v>1415</v>
      </c>
      <c r="R139" t="s">
        <v>1013</v>
      </c>
      <c r="S139" t="s">
        <v>1759</v>
      </c>
      <c r="T139" t="s">
        <v>1096</v>
      </c>
      <c r="U139" t="s">
        <v>1299</v>
      </c>
      <c r="V139" t="s">
        <v>1214</v>
      </c>
      <c r="W139" t="s">
        <v>1565</v>
      </c>
      <c r="X139" t="s">
        <v>1216</v>
      </c>
      <c r="Y139" t="s">
        <v>942</v>
      </c>
      <c r="Z139" t="s">
        <v>1536</v>
      </c>
      <c r="AA139" t="s">
        <v>1157</v>
      </c>
      <c r="AB139" t="s">
        <v>823</v>
      </c>
      <c r="AC139" t="s">
        <v>1056</v>
      </c>
      <c r="AD139" t="s">
        <v>1760</v>
      </c>
    </row>
    <row r="140" spans="1:30">
      <c r="A140" t="s">
        <v>83</v>
      </c>
      <c r="B140" t="s">
        <v>247</v>
      </c>
      <c r="C140" t="s">
        <v>819</v>
      </c>
      <c r="D140" t="s">
        <v>1015</v>
      </c>
      <c r="E140" t="s">
        <v>1414</v>
      </c>
      <c r="F140" t="s">
        <v>780</v>
      </c>
      <c r="G140" t="s">
        <v>925</v>
      </c>
      <c r="H140" t="s">
        <v>846</v>
      </c>
      <c r="I140" t="s">
        <v>803</v>
      </c>
      <c r="J140" t="s">
        <v>822</v>
      </c>
      <c r="K140" t="s">
        <v>1232</v>
      </c>
      <c r="L140" t="s">
        <v>824</v>
      </c>
      <c r="M140" t="s">
        <v>802</v>
      </c>
      <c r="N140" t="s">
        <v>926</v>
      </c>
      <c r="O140" t="s">
        <v>803</v>
      </c>
      <c r="P140" t="s">
        <v>1761</v>
      </c>
      <c r="Q140" t="s">
        <v>1173</v>
      </c>
      <c r="R140" t="s">
        <v>1762</v>
      </c>
      <c r="S140" t="s">
        <v>1763</v>
      </c>
      <c r="T140" t="s">
        <v>1020</v>
      </c>
      <c r="U140" t="s">
        <v>1674</v>
      </c>
      <c r="V140" t="s">
        <v>1287</v>
      </c>
      <c r="W140" t="s">
        <v>1764</v>
      </c>
      <c r="X140" t="s">
        <v>1617</v>
      </c>
      <c r="Y140" t="s">
        <v>1424</v>
      </c>
      <c r="Z140" t="s">
        <v>1415</v>
      </c>
      <c r="AA140" t="s">
        <v>1765</v>
      </c>
      <c r="AB140" t="s">
        <v>863</v>
      </c>
      <c r="AC140" t="s">
        <v>800</v>
      </c>
      <c r="AD140" t="s">
        <v>1421</v>
      </c>
    </row>
    <row r="141" spans="1:30">
      <c r="A141" t="s">
        <v>83</v>
      </c>
      <c r="B141" t="s">
        <v>326</v>
      </c>
      <c r="C141" t="s">
        <v>879</v>
      </c>
      <c r="D141" t="s">
        <v>776</v>
      </c>
      <c r="E141" t="s">
        <v>843</v>
      </c>
      <c r="F141" t="s">
        <v>971</v>
      </c>
      <c r="G141" t="s">
        <v>1232</v>
      </c>
      <c r="H141" t="s">
        <v>845</v>
      </c>
      <c r="I141" t="s">
        <v>803</v>
      </c>
      <c r="J141" t="s">
        <v>822</v>
      </c>
      <c r="K141" t="s">
        <v>858</v>
      </c>
      <c r="L141" t="s">
        <v>1015</v>
      </c>
      <c r="M141" t="s">
        <v>779</v>
      </c>
      <c r="N141" t="s">
        <v>972</v>
      </c>
      <c r="O141" t="s">
        <v>803</v>
      </c>
      <c r="P141" t="s">
        <v>1500</v>
      </c>
      <c r="Q141" t="s">
        <v>793</v>
      </c>
      <c r="R141" t="s">
        <v>1156</v>
      </c>
      <c r="S141" t="s">
        <v>1766</v>
      </c>
      <c r="T141" t="s">
        <v>1767</v>
      </c>
      <c r="U141" t="s">
        <v>917</v>
      </c>
      <c r="V141" t="s">
        <v>1279</v>
      </c>
      <c r="W141" t="s">
        <v>963</v>
      </c>
      <c r="X141" t="s">
        <v>1627</v>
      </c>
      <c r="Y141" t="s">
        <v>1768</v>
      </c>
      <c r="Z141" t="s">
        <v>856</v>
      </c>
      <c r="AA141" t="s">
        <v>1769</v>
      </c>
      <c r="AB141" t="s">
        <v>846</v>
      </c>
      <c r="AC141" t="s">
        <v>1101</v>
      </c>
      <c r="AD141" t="s">
        <v>1770</v>
      </c>
    </row>
    <row r="142" spans="1:30">
      <c r="A142" t="s">
        <v>83</v>
      </c>
      <c r="B142" t="s">
        <v>82</v>
      </c>
      <c r="C142" t="s">
        <v>1068</v>
      </c>
      <c r="D142" t="s">
        <v>842</v>
      </c>
      <c r="E142" t="s">
        <v>1080</v>
      </c>
      <c r="F142" t="s">
        <v>782</v>
      </c>
      <c r="G142" t="s">
        <v>925</v>
      </c>
      <c r="H142" t="s">
        <v>845</v>
      </c>
      <c r="I142" t="s">
        <v>803</v>
      </c>
      <c r="J142" t="s">
        <v>846</v>
      </c>
      <c r="K142" t="s">
        <v>825</v>
      </c>
      <c r="L142" t="s">
        <v>1158</v>
      </c>
      <c r="M142" t="s">
        <v>858</v>
      </c>
      <c r="N142" t="s">
        <v>780</v>
      </c>
      <c r="O142" t="s">
        <v>778</v>
      </c>
      <c r="P142" t="s">
        <v>1047</v>
      </c>
      <c r="Q142" t="s">
        <v>1460</v>
      </c>
      <c r="R142" t="s">
        <v>1771</v>
      </c>
      <c r="S142" t="s">
        <v>1772</v>
      </c>
      <c r="T142" t="s">
        <v>1337</v>
      </c>
      <c r="U142" t="s">
        <v>1773</v>
      </c>
      <c r="V142" t="s">
        <v>1304</v>
      </c>
      <c r="W142" t="s">
        <v>1697</v>
      </c>
      <c r="X142" t="s">
        <v>1612</v>
      </c>
      <c r="Y142" t="s">
        <v>1774</v>
      </c>
      <c r="Z142" t="s">
        <v>1082</v>
      </c>
      <c r="AA142" t="s">
        <v>838</v>
      </c>
      <c r="AB142" t="s">
        <v>858</v>
      </c>
      <c r="AC142" t="s">
        <v>1045</v>
      </c>
      <c r="AD142" t="s">
        <v>1775</v>
      </c>
    </row>
    <row r="143" spans="1:30">
      <c r="A143" t="s">
        <v>83</v>
      </c>
      <c r="B143" t="s">
        <v>1776</v>
      </c>
      <c r="C143" t="s">
        <v>536</v>
      </c>
      <c r="D143" t="s">
        <v>805</v>
      </c>
      <c r="E143" t="s">
        <v>1259</v>
      </c>
      <c r="F143" t="s">
        <v>846</v>
      </c>
      <c r="G143" t="s">
        <v>1232</v>
      </c>
      <c r="H143" t="s">
        <v>778</v>
      </c>
      <c r="I143" t="s">
        <v>803</v>
      </c>
      <c r="J143" t="s">
        <v>778</v>
      </c>
      <c r="K143" t="s">
        <v>782</v>
      </c>
      <c r="L143" t="s">
        <v>926</v>
      </c>
      <c r="M143" t="s">
        <v>863</v>
      </c>
      <c r="N143" t="s">
        <v>802</v>
      </c>
      <c r="O143" t="s">
        <v>803</v>
      </c>
      <c r="P143" t="s">
        <v>1005</v>
      </c>
      <c r="Q143" t="s">
        <v>1609</v>
      </c>
      <c r="R143" t="s">
        <v>1061</v>
      </c>
      <c r="S143" t="s">
        <v>1777</v>
      </c>
      <c r="T143" t="s">
        <v>1020</v>
      </c>
      <c r="U143" t="s">
        <v>1107</v>
      </c>
      <c r="V143" t="s">
        <v>1121</v>
      </c>
      <c r="W143" t="s">
        <v>1486</v>
      </c>
      <c r="X143" t="s">
        <v>1172</v>
      </c>
      <c r="Y143" t="s">
        <v>1432</v>
      </c>
      <c r="Z143" t="s">
        <v>1217</v>
      </c>
      <c r="AA143" t="s">
        <v>1076</v>
      </c>
      <c r="AB143" t="s">
        <v>845</v>
      </c>
      <c r="AC143" t="s">
        <v>1529</v>
      </c>
      <c r="AD143" t="s">
        <v>1778</v>
      </c>
    </row>
    <row r="144" spans="1:30">
      <c r="A144" t="s">
        <v>83</v>
      </c>
      <c r="B144" t="s">
        <v>380</v>
      </c>
      <c r="C144" t="s">
        <v>536</v>
      </c>
      <c r="D144" t="s">
        <v>805</v>
      </c>
      <c r="E144" t="s">
        <v>1103</v>
      </c>
      <c r="F144" t="s">
        <v>971</v>
      </c>
      <c r="G144" t="s">
        <v>780</v>
      </c>
      <c r="H144" t="s">
        <v>845</v>
      </c>
      <c r="I144" t="s">
        <v>778</v>
      </c>
      <c r="J144" t="s">
        <v>822</v>
      </c>
      <c r="K144" t="s">
        <v>1232</v>
      </c>
      <c r="L144" t="s">
        <v>1030</v>
      </c>
      <c r="M144" t="s">
        <v>796</v>
      </c>
      <c r="N144" t="s">
        <v>825</v>
      </c>
      <c r="O144" t="s">
        <v>803</v>
      </c>
      <c r="P144" t="s">
        <v>1779</v>
      </c>
      <c r="Q144" t="s">
        <v>1084</v>
      </c>
      <c r="R144" t="s">
        <v>1049</v>
      </c>
      <c r="S144" t="s">
        <v>1780</v>
      </c>
      <c r="T144" t="s">
        <v>869</v>
      </c>
      <c r="U144" t="s">
        <v>1590</v>
      </c>
      <c r="V144" t="s">
        <v>1372</v>
      </c>
      <c r="W144" t="s">
        <v>1026</v>
      </c>
      <c r="X144" t="s">
        <v>1781</v>
      </c>
      <c r="Y144" t="s">
        <v>1270</v>
      </c>
      <c r="Z144" t="s">
        <v>1782</v>
      </c>
      <c r="AA144" t="s">
        <v>1783</v>
      </c>
      <c r="AB144" t="s">
        <v>821</v>
      </c>
      <c r="AC144" t="s">
        <v>1342</v>
      </c>
      <c r="AD144" t="s">
        <v>1784</v>
      </c>
    </row>
    <row r="145" spans="1:30">
      <c r="A145" t="s">
        <v>83</v>
      </c>
      <c r="B145" t="s">
        <v>273</v>
      </c>
      <c r="C145" t="s">
        <v>841</v>
      </c>
      <c r="D145" t="s">
        <v>780</v>
      </c>
      <c r="E145" t="s">
        <v>1115</v>
      </c>
      <c r="F145" t="s">
        <v>777</v>
      </c>
      <c r="G145" t="s">
        <v>823</v>
      </c>
      <c r="H145" t="s">
        <v>845</v>
      </c>
      <c r="I145" t="s">
        <v>803</v>
      </c>
      <c r="J145" t="s">
        <v>845</v>
      </c>
      <c r="K145" t="s">
        <v>822</v>
      </c>
      <c r="L145" t="s">
        <v>780</v>
      </c>
      <c r="M145" t="s">
        <v>821</v>
      </c>
      <c r="N145" t="s">
        <v>926</v>
      </c>
      <c r="O145" t="s">
        <v>777</v>
      </c>
      <c r="P145" t="s">
        <v>1785</v>
      </c>
      <c r="Q145" t="s">
        <v>1420</v>
      </c>
      <c r="R145" t="s">
        <v>1460</v>
      </c>
      <c r="S145" t="s">
        <v>1766</v>
      </c>
      <c r="T145" t="s">
        <v>946</v>
      </c>
      <c r="U145" t="s">
        <v>1143</v>
      </c>
      <c r="V145" t="s">
        <v>1063</v>
      </c>
      <c r="W145" t="s">
        <v>1316</v>
      </c>
      <c r="X145" t="s">
        <v>950</v>
      </c>
      <c r="Y145" t="s">
        <v>836</v>
      </c>
      <c r="Z145" t="s">
        <v>1194</v>
      </c>
      <c r="AA145" t="s">
        <v>892</v>
      </c>
      <c r="AB145" t="s">
        <v>777</v>
      </c>
      <c r="AC145" t="s">
        <v>938</v>
      </c>
      <c r="AD145" t="s">
        <v>1786</v>
      </c>
    </row>
    <row r="146" spans="1:30">
      <c r="A146" t="s">
        <v>83</v>
      </c>
      <c r="B146" t="s">
        <v>379</v>
      </c>
      <c r="C146" t="s">
        <v>1068</v>
      </c>
      <c r="D146" t="s">
        <v>862</v>
      </c>
      <c r="E146" t="s">
        <v>968</v>
      </c>
      <c r="F146" t="s">
        <v>858</v>
      </c>
      <c r="G146" t="s">
        <v>782</v>
      </c>
      <c r="H146" t="s">
        <v>845</v>
      </c>
      <c r="I146" t="s">
        <v>803</v>
      </c>
      <c r="J146" t="s">
        <v>822</v>
      </c>
      <c r="K146" t="s">
        <v>823</v>
      </c>
      <c r="L146" t="s">
        <v>925</v>
      </c>
      <c r="M146" t="s">
        <v>863</v>
      </c>
      <c r="N146" t="s">
        <v>926</v>
      </c>
      <c r="O146" t="s">
        <v>845</v>
      </c>
      <c r="P146" t="s">
        <v>827</v>
      </c>
      <c r="Q146" t="s">
        <v>882</v>
      </c>
      <c r="R146" t="s">
        <v>957</v>
      </c>
      <c r="S146" t="s">
        <v>1787</v>
      </c>
      <c r="T146" t="s">
        <v>939</v>
      </c>
      <c r="U146" t="s">
        <v>1133</v>
      </c>
      <c r="V146" t="s">
        <v>1190</v>
      </c>
      <c r="W146" t="s">
        <v>1728</v>
      </c>
      <c r="X146" t="s">
        <v>1001</v>
      </c>
      <c r="Y146" t="s">
        <v>827</v>
      </c>
      <c r="Z146" t="s">
        <v>1788</v>
      </c>
      <c r="AA146" t="s">
        <v>1789</v>
      </c>
      <c r="AB146" t="s">
        <v>846</v>
      </c>
      <c r="AC146" t="s">
        <v>938</v>
      </c>
      <c r="AD146" t="s">
        <v>1790</v>
      </c>
    </row>
    <row r="147" spans="1:30">
      <c r="A147" t="s">
        <v>83</v>
      </c>
      <c r="B147" t="s">
        <v>1791</v>
      </c>
      <c r="C147" t="s">
        <v>1079</v>
      </c>
      <c r="D147" t="s">
        <v>776</v>
      </c>
      <c r="E147" t="s">
        <v>941</v>
      </c>
      <c r="F147" t="s">
        <v>782</v>
      </c>
      <c r="G147" t="s">
        <v>780</v>
      </c>
      <c r="H147" t="s">
        <v>777</v>
      </c>
      <c r="I147" t="s">
        <v>803</v>
      </c>
      <c r="J147" t="s">
        <v>778</v>
      </c>
      <c r="K147" t="s">
        <v>821</v>
      </c>
      <c r="L147" t="s">
        <v>776</v>
      </c>
      <c r="M147" t="s">
        <v>780</v>
      </c>
      <c r="N147" t="s">
        <v>802</v>
      </c>
      <c r="O147" t="s">
        <v>845</v>
      </c>
      <c r="P147" t="s">
        <v>1392</v>
      </c>
      <c r="Q147" t="s">
        <v>1312</v>
      </c>
      <c r="R147" t="s">
        <v>1792</v>
      </c>
      <c r="S147" t="s">
        <v>1793</v>
      </c>
      <c r="T147" t="s">
        <v>1188</v>
      </c>
      <c r="U147" t="s">
        <v>1722</v>
      </c>
      <c r="V147" t="s">
        <v>1794</v>
      </c>
      <c r="W147" t="s">
        <v>1670</v>
      </c>
      <c r="X147" t="s">
        <v>1795</v>
      </c>
      <c r="Y147" t="s">
        <v>952</v>
      </c>
      <c r="Z147" t="s">
        <v>1796</v>
      </c>
      <c r="AA147" t="s">
        <v>1797</v>
      </c>
      <c r="AB147" t="s">
        <v>846</v>
      </c>
      <c r="AC147" t="s">
        <v>1113</v>
      </c>
      <c r="AD147" t="s">
        <v>1798</v>
      </c>
    </row>
    <row r="148" spans="1:30">
      <c r="A148" t="s">
        <v>83</v>
      </c>
      <c r="B148" t="s">
        <v>416</v>
      </c>
      <c r="C148" t="s">
        <v>879</v>
      </c>
      <c r="D148" t="s">
        <v>805</v>
      </c>
      <c r="E148" t="s">
        <v>1437</v>
      </c>
      <c r="F148" t="s">
        <v>823</v>
      </c>
      <c r="G148" t="s">
        <v>802</v>
      </c>
      <c r="H148" t="s">
        <v>822</v>
      </c>
      <c r="I148" t="s">
        <v>803</v>
      </c>
      <c r="J148" t="s">
        <v>778</v>
      </c>
      <c r="K148" t="s">
        <v>858</v>
      </c>
      <c r="L148" t="s">
        <v>775</v>
      </c>
      <c r="M148" t="s">
        <v>825</v>
      </c>
      <c r="N148" t="s">
        <v>802</v>
      </c>
      <c r="O148" t="s">
        <v>803</v>
      </c>
      <c r="P148" t="s">
        <v>1277</v>
      </c>
      <c r="Q148" t="s">
        <v>1343</v>
      </c>
      <c r="R148" t="s">
        <v>1799</v>
      </c>
      <c r="S148" t="s">
        <v>1201</v>
      </c>
      <c r="T148" t="s">
        <v>869</v>
      </c>
      <c r="U148" t="s">
        <v>1800</v>
      </c>
      <c r="V148" t="s">
        <v>871</v>
      </c>
      <c r="W148" t="s">
        <v>1093</v>
      </c>
      <c r="X148" t="s">
        <v>1801</v>
      </c>
      <c r="Y148" t="s">
        <v>1010</v>
      </c>
      <c r="Z148" t="s">
        <v>1598</v>
      </c>
      <c r="AA148" t="s">
        <v>1660</v>
      </c>
      <c r="AB148" t="s">
        <v>777</v>
      </c>
      <c r="AC148" t="s">
        <v>896</v>
      </c>
      <c r="AD148" t="s">
        <v>1802</v>
      </c>
    </row>
    <row r="149" spans="1:30">
      <c r="A149" t="s">
        <v>83</v>
      </c>
      <c r="B149" t="s">
        <v>1803</v>
      </c>
      <c r="C149" t="s">
        <v>1068</v>
      </c>
      <c r="D149" t="s">
        <v>825</v>
      </c>
      <c r="E149" t="s">
        <v>1147</v>
      </c>
      <c r="F149" t="s">
        <v>846</v>
      </c>
      <c r="G149" t="s">
        <v>971</v>
      </c>
      <c r="H149" t="s">
        <v>778</v>
      </c>
      <c r="I149" t="s">
        <v>803</v>
      </c>
      <c r="J149" t="s">
        <v>822</v>
      </c>
      <c r="K149" t="s">
        <v>802</v>
      </c>
      <c r="L149" t="s">
        <v>925</v>
      </c>
      <c r="M149" t="s">
        <v>845</v>
      </c>
      <c r="N149" t="s">
        <v>862</v>
      </c>
      <c r="O149" t="s">
        <v>803</v>
      </c>
      <c r="P149" t="s">
        <v>1536</v>
      </c>
      <c r="Q149" t="s">
        <v>1636</v>
      </c>
      <c r="R149" t="s">
        <v>1804</v>
      </c>
      <c r="S149" t="s">
        <v>1805</v>
      </c>
      <c r="T149" t="s">
        <v>1020</v>
      </c>
      <c r="U149" t="s">
        <v>1538</v>
      </c>
      <c r="V149" t="s">
        <v>1143</v>
      </c>
      <c r="W149" t="s">
        <v>1386</v>
      </c>
      <c r="X149" t="s">
        <v>1123</v>
      </c>
      <c r="Y149" t="s">
        <v>1005</v>
      </c>
      <c r="Z149" t="s">
        <v>1536</v>
      </c>
      <c r="AA149" t="s">
        <v>1789</v>
      </c>
      <c r="AB149" t="s">
        <v>777</v>
      </c>
      <c r="AC149" t="s">
        <v>804</v>
      </c>
      <c r="AD149" t="s">
        <v>1303</v>
      </c>
    </row>
    <row r="150" spans="1:30">
      <c r="A150" t="s">
        <v>83</v>
      </c>
      <c r="B150" t="s">
        <v>1806</v>
      </c>
      <c r="C150" t="s">
        <v>1079</v>
      </c>
      <c r="D150" t="s">
        <v>805</v>
      </c>
      <c r="E150" t="s">
        <v>842</v>
      </c>
      <c r="F150" t="s">
        <v>777</v>
      </c>
      <c r="G150" t="s">
        <v>822</v>
      </c>
      <c r="H150" t="s">
        <v>845</v>
      </c>
      <c r="I150" t="s">
        <v>803</v>
      </c>
      <c r="J150" t="s">
        <v>803</v>
      </c>
      <c r="K150" t="s">
        <v>803</v>
      </c>
      <c r="L150" t="s">
        <v>846</v>
      </c>
      <c r="M150" t="s">
        <v>845</v>
      </c>
      <c r="N150" t="s">
        <v>823</v>
      </c>
      <c r="O150" t="s">
        <v>822</v>
      </c>
      <c r="P150" t="s">
        <v>1333</v>
      </c>
      <c r="Q150" t="s">
        <v>1283</v>
      </c>
      <c r="R150" t="s">
        <v>1604</v>
      </c>
      <c r="S150" t="s">
        <v>883</v>
      </c>
      <c r="T150" t="s">
        <v>946</v>
      </c>
      <c r="U150" t="s">
        <v>960</v>
      </c>
      <c r="V150" t="s">
        <v>1188</v>
      </c>
      <c r="W150" t="s">
        <v>979</v>
      </c>
      <c r="X150" t="s">
        <v>934</v>
      </c>
      <c r="Y150" t="s">
        <v>1448</v>
      </c>
      <c r="Z150" t="s">
        <v>1779</v>
      </c>
      <c r="AA150" t="s">
        <v>1195</v>
      </c>
      <c r="AB150" t="s">
        <v>845</v>
      </c>
      <c r="AC150" t="s">
        <v>773</v>
      </c>
      <c r="AD150" t="s">
        <v>939</v>
      </c>
    </row>
    <row r="151" spans="1:30">
      <c r="A151" t="s">
        <v>83</v>
      </c>
      <c r="B151" t="s">
        <v>1807</v>
      </c>
      <c r="C151" t="s">
        <v>1079</v>
      </c>
      <c r="D151" t="s">
        <v>846</v>
      </c>
      <c r="E151" t="s">
        <v>796</v>
      </c>
      <c r="F151" t="s">
        <v>845</v>
      </c>
      <c r="G151" t="s">
        <v>822</v>
      </c>
      <c r="H151" t="s">
        <v>778</v>
      </c>
      <c r="I151" t="s">
        <v>803</v>
      </c>
      <c r="J151" t="s">
        <v>845</v>
      </c>
      <c r="K151" t="s">
        <v>777</v>
      </c>
      <c r="L151" t="s">
        <v>823</v>
      </c>
      <c r="M151" t="s">
        <v>777</v>
      </c>
      <c r="N151" t="s">
        <v>822</v>
      </c>
      <c r="O151" t="s">
        <v>803</v>
      </c>
      <c r="P151" t="s">
        <v>1276</v>
      </c>
      <c r="Q151" t="s">
        <v>1598</v>
      </c>
      <c r="R151" t="s">
        <v>1748</v>
      </c>
      <c r="S151" t="s">
        <v>1808</v>
      </c>
      <c r="T151" t="s">
        <v>831</v>
      </c>
      <c r="U151" t="s">
        <v>978</v>
      </c>
      <c r="V151" t="s">
        <v>1404</v>
      </c>
      <c r="W151" t="s">
        <v>1005</v>
      </c>
      <c r="X151" t="s">
        <v>1809</v>
      </c>
      <c r="Y151" t="s">
        <v>1312</v>
      </c>
      <c r="Z151" t="s">
        <v>1810</v>
      </c>
      <c r="AA151" t="s">
        <v>817</v>
      </c>
      <c r="AB151" t="s">
        <v>822</v>
      </c>
      <c r="AC151" t="s">
        <v>780</v>
      </c>
      <c r="AD151" t="s">
        <v>902</v>
      </c>
    </row>
    <row r="152" spans="1:30">
      <c r="A152" t="s">
        <v>56</v>
      </c>
      <c r="B152" t="s">
        <v>448</v>
      </c>
      <c r="C152" t="s">
        <v>799</v>
      </c>
      <c r="D152" t="s">
        <v>1208</v>
      </c>
      <c r="E152" t="s">
        <v>1300</v>
      </c>
      <c r="F152" t="s">
        <v>925</v>
      </c>
      <c r="G152" t="s">
        <v>1198</v>
      </c>
      <c r="H152" t="s">
        <v>779</v>
      </c>
      <c r="I152" t="s">
        <v>803</v>
      </c>
      <c r="J152" t="s">
        <v>782</v>
      </c>
      <c r="K152" t="s">
        <v>842</v>
      </c>
      <c r="L152" t="s">
        <v>1250</v>
      </c>
      <c r="M152" t="s">
        <v>775</v>
      </c>
      <c r="N152" t="s">
        <v>782</v>
      </c>
      <c r="O152" t="s">
        <v>778</v>
      </c>
      <c r="P152" t="s">
        <v>1054</v>
      </c>
      <c r="Q152" t="s">
        <v>1811</v>
      </c>
      <c r="R152" t="s">
        <v>1812</v>
      </c>
      <c r="S152" t="s">
        <v>1813</v>
      </c>
      <c r="T152" t="s">
        <v>1072</v>
      </c>
      <c r="U152" t="s">
        <v>1814</v>
      </c>
      <c r="V152" t="s">
        <v>798</v>
      </c>
      <c r="W152" t="s">
        <v>815</v>
      </c>
      <c r="X152" t="s">
        <v>1815</v>
      </c>
      <c r="Y152" t="s">
        <v>1200</v>
      </c>
      <c r="Z152" t="s">
        <v>1816</v>
      </c>
      <c r="AA152" t="s">
        <v>1090</v>
      </c>
      <c r="AB152" t="s">
        <v>926</v>
      </c>
      <c r="AC152" t="s">
        <v>1817</v>
      </c>
      <c r="AD152" t="s">
        <v>1230</v>
      </c>
    </row>
    <row r="153" spans="1:30">
      <c r="A153" t="s">
        <v>56</v>
      </c>
      <c r="B153" t="s">
        <v>244</v>
      </c>
      <c r="C153" t="s">
        <v>799</v>
      </c>
      <c r="D153" t="s">
        <v>1015</v>
      </c>
      <c r="E153" t="s">
        <v>1029</v>
      </c>
      <c r="F153" t="s">
        <v>775</v>
      </c>
      <c r="G153" t="s">
        <v>1015</v>
      </c>
      <c r="H153" t="s">
        <v>858</v>
      </c>
      <c r="I153" t="s">
        <v>803</v>
      </c>
      <c r="J153" t="s">
        <v>822</v>
      </c>
      <c r="K153" t="s">
        <v>863</v>
      </c>
      <c r="L153" t="s">
        <v>1449</v>
      </c>
      <c r="M153" t="s">
        <v>1232</v>
      </c>
      <c r="N153" t="s">
        <v>925</v>
      </c>
      <c r="O153" t="s">
        <v>778</v>
      </c>
      <c r="P153" t="s">
        <v>1041</v>
      </c>
      <c r="Q153" t="s">
        <v>1054</v>
      </c>
      <c r="R153" t="s">
        <v>1818</v>
      </c>
      <c r="S153" t="s">
        <v>1819</v>
      </c>
      <c r="T153" t="s">
        <v>1096</v>
      </c>
      <c r="U153" t="s">
        <v>1820</v>
      </c>
      <c r="V153" t="s">
        <v>1304</v>
      </c>
      <c r="W153" t="s">
        <v>1592</v>
      </c>
      <c r="X153" t="s">
        <v>1821</v>
      </c>
      <c r="Y153" t="s">
        <v>1000</v>
      </c>
      <c r="Z153" t="s">
        <v>882</v>
      </c>
      <c r="AA153" t="s">
        <v>1112</v>
      </c>
      <c r="AB153" t="s">
        <v>823</v>
      </c>
      <c r="AC153" t="s">
        <v>1319</v>
      </c>
      <c r="AD153" t="s">
        <v>1822</v>
      </c>
    </row>
    <row r="154" spans="1:30">
      <c r="A154" t="s">
        <v>56</v>
      </c>
      <c r="B154" t="s">
        <v>114</v>
      </c>
      <c r="C154" t="s">
        <v>819</v>
      </c>
      <c r="D154" t="s">
        <v>1208</v>
      </c>
      <c r="E154" t="s">
        <v>1594</v>
      </c>
      <c r="F154" t="s">
        <v>780</v>
      </c>
      <c r="G154" t="s">
        <v>1221</v>
      </c>
      <c r="H154" t="s">
        <v>863</v>
      </c>
      <c r="I154" t="s">
        <v>803</v>
      </c>
      <c r="J154" t="s">
        <v>858</v>
      </c>
      <c r="K154" t="s">
        <v>895</v>
      </c>
      <c r="L154" t="s">
        <v>911</v>
      </c>
      <c r="M154" t="s">
        <v>802</v>
      </c>
      <c r="N154" t="s">
        <v>925</v>
      </c>
      <c r="O154" t="s">
        <v>803</v>
      </c>
      <c r="P154" t="s">
        <v>1823</v>
      </c>
      <c r="Q154" t="s">
        <v>1824</v>
      </c>
      <c r="R154" t="s">
        <v>1825</v>
      </c>
      <c r="S154" t="s">
        <v>1826</v>
      </c>
      <c r="T154" t="s">
        <v>1170</v>
      </c>
      <c r="U154" t="s">
        <v>1827</v>
      </c>
      <c r="V154" t="s">
        <v>1372</v>
      </c>
      <c r="W154" t="s">
        <v>1828</v>
      </c>
      <c r="X154" t="s">
        <v>1451</v>
      </c>
      <c r="Y154" t="s">
        <v>1829</v>
      </c>
      <c r="Z154" t="s">
        <v>1673</v>
      </c>
      <c r="AA154" t="s">
        <v>1765</v>
      </c>
      <c r="AB154" t="s">
        <v>825</v>
      </c>
      <c r="AC154" t="s">
        <v>1830</v>
      </c>
      <c r="AD154" t="s">
        <v>1831</v>
      </c>
    </row>
    <row r="155" spans="1:30">
      <c r="A155" t="s">
        <v>56</v>
      </c>
      <c r="B155" t="s">
        <v>119</v>
      </c>
      <c r="C155" t="s">
        <v>879</v>
      </c>
      <c r="D155" t="s">
        <v>1208</v>
      </c>
      <c r="E155" t="s">
        <v>1091</v>
      </c>
      <c r="F155" t="s">
        <v>825</v>
      </c>
      <c r="G155" t="s">
        <v>805</v>
      </c>
      <c r="H155" t="s">
        <v>846</v>
      </c>
      <c r="I155" t="s">
        <v>803</v>
      </c>
      <c r="J155" t="s">
        <v>822</v>
      </c>
      <c r="K155" t="s">
        <v>971</v>
      </c>
      <c r="L155" t="s">
        <v>1081</v>
      </c>
      <c r="M155" t="s">
        <v>802</v>
      </c>
      <c r="N155" t="s">
        <v>1221</v>
      </c>
      <c r="O155" t="s">
        <v>777</v>
      </c>
      <c r="P155" t="s">
        <v>973</v>
      </c>
      <c r="Q155" t="s">
        <v>1460</v>
      </c>
      <c r="R155" t="s">
        <v>1296</v>
      </c>
      <c r="S155" t="s">
        <v>1832</v>
      </c>
      <c r="T155" t="s">
        <v>831</v>
      </c>
      <c r="U155" t="s">
        <v>1833</v>
      </c>
      <c r="V155" t="s">
        <v>1345</v>
      </c>
      <c r="W155" t="s">
        <v>1180</v>
      </c>
      <c r="X155" t="s">
        <v>1362</v>
      </c>
      <c r="Y155" t="s">
        <v>1834</v>
      </c>
      <c r="Z155" t="s">
        <v>1480</v>
      </c>
      <c r="AA155" t="s">
        <v>1835</v>
      </c>
      <c r="AB155" t="s">
        <v>863</v>
      </c>
      <c r="AC155" t="s">
        <v>1056</v>
      </c>
      <c r="AD155" t="s">
        <v>1836</v>
      </c>
    </row>
    <row r="156" spans="1:30">
      <c r="A156" t="s">
        <v>56</v>
      </c>
      <c r="B156" t="s">
        <v>92</v>
      </c>
      <c r="C156" t="s">
        <v>772</v>
      </c>
      <c r="D156" t="s">
        <v>842</v>
      </c>
      <c r="E156" t="s">
        <v>1183</v>
      </c>
      <c r="F156" t="s">
        <v>926</v>
      </c>
      <c r="G156" t="s">
        <v>1015</v>
      </c>
      <c r="H156" t="s">
        <v>858</v>
      </c>
      <c r="I156" t="s">
        <v>803</v>
      </c>
      <c r="J156" t="s">
        <v>845</v>
      </c>
      <c r="K156" t="s">
        <v>796</v>
      </c>
      <c r="L156" t="s">
        <v>1184</v>
      </c>
      <c r="M156" t="s">
        <v>825</v>
      </c>
      <c r="N156" t="s">
        <v>780</v>
      </c>
      <c r="O156" t="s">
        <v>778</v>
      </c>
      <c r="P156" t="s">
        <v>1194</v>
      </c>
      <c r="Q156" t="s">
        <v>1788</v>
      </c>
      <c r="R156" t="s">
        <v>1186</v>
      </c>
      <c r="S156" t="s">
        <v>1837</v>
      </c>
      <c r="T156" t="s">
        <v>1188</v>
      </c>
      <c r="U156" t="s">
        <v>878</v>
      </c>
      <c r="V156" t="s">
        <v>1203</v>
      </c>
      <c r="W156" t="s">
        <v>1110</v>
      </c>
      <c r="X156" t="s">
        <v>1838</v>
      </c>
      <c r="Y156" t="s">
        <v>1839</v>
      </c>
      <c r="Z156" t="s">
        <v>1210</v>
      </c>
      <c r="AA156" t="s">
        <v>1573</v>
      </c>
      <c r="AB156" t="s">
        <v>779</v>
      </c>
      <c r="AC156" t="s">
        <v>1390</v>
      </c>
      <c r="AD156" t="s">
        <v>1840</v>
      </c>
    </row>
    <row r="157" spans="1:30">
      <c r="A157" t="s">
        <v>56</v>
      </c>
      <c r="B157" t="s">
        <v>201</v>
      </c>
      <c r="C157" t="s">
        <v>1068</v>
      </c>
      <c r="D157" t="s">
        <v>844</v>
      </c>
      <c r="E157" t="s">
        <v>1220</v>
      </c>
      <c r="F157" t="s">
        <v>971</v>
      </c>
      <c r="G157" t="s">
        <v>926</v>
      </c>
      <c r="H157" t="s">
        <v>777</v>
      </c>
      <c r="I157" t="s">
        <v>803</v>
      </c>
      <c r="J157" t="s">
        <v>822</v>
      </c>
      <c r="K157" t="s">
        <v>796</v>
      </c>
      <c r="L157" t="s">
        <v>864</v>
      </c>
      <c r="M157" t="s">
        <v>863</v>
      </c>
      <c r="N157" t="s">
        <v>862</v>
      </c>
      <c r="O157" t="s">
        <v>803</v>
      </c>
      <c r="P157" t="s">
        <v>865</v>
      </c>
      <c r="Q157" t="s">
        <v>1392</v>
      </c>
      <c r="R157" t="s">
        <v>1714</v>
      </c>
      <c r="S157" t="s">
        <v>1841</v>
      </c>
      <c r="T157" t="s">
        <v>831</v>
      </c>
      <c r="U157" t="s">
        <v>832</v>
      </c>
      <c r="V157" t="s">
        <v>1190</v>
      </c>
      <c r="W157" t="s">
        <v>1842</v>
      </c>
      <c r="X157" t="s">
        <v>835</v>
      </c>
      <c r="Y157" t="s">
        <v>1307</v>
      </c>
      <c r="Z157" t="s">
        <v>1139</v>
      </c>
      <c r="AA157" t="s">
        <v>1843</v>
      </c>
      <c r="AB157" t="s">
        <v>858</v>
      </c>
      <c r="AC157" t="s">
        <v>1066</v>
      </c>
      <c r="AD157" t="s">
        <v>1844</v>
      </c>
    </row>
    <row r="158" spans="1:30">
      <c r="A158" t="s">
        <v>56</v>
      </c>
      <c r="B158" t="s">
        <v>449</v>
      </c>
      <c r="C158" t="s">
        <v>536</v>
      </c>
      <c r="D158" t="s">
        <v>926</v>
      </c>
      <c r="E158" t="s">
        <v>1429</v>
      </c>
      <c r="F158" t="s">
        <v>821</v>
      </c>
      <c r="G158" t="s">
        <v>862</v>
      </c>
      <c r="H158" t="s">
        <v>822</v>
      </c>
      <c r="I158" t="s">
        <v>803</v>
      </c>
      <c r="J158" t="s">
        <v>845</v>
      </c>
      <c r="K158" t="s">
        <v>971</v>
      </c>
      <c r="L158" t="s">
        <v>842</v>
      </c>
      <c r="M158" t="s">
        <v>822</v>
      </c>
      <c r="N158" t="s">
        <v>802</v>
      </c>
      <c r="O158" t="s">
        <v>803</v>
      </c>
      <c r="P158" t="s">
        <v>1845</v>
      </c>
      <c r="Q158" t="s">
        <v>928</v>
      </c>
      <c r="R158" t="s">
        <v>1846</v>
      </c>
      <c r="S158" t="s">
        <v>1847</v>
      </c>
      <c r="T158" t="s">
        <v>1119</v>
      </c>
      <c r="U158" t="s">
        <v>790</v>
      </c>
      <c r="V158" t="s">
        <v>1072</v>
      </c>
      <c r="W158" t="s">
        <v>951</v>
      </c>
      <c r="X158" t="s">
        <v>1848</v>
      </c>
      <c r="Y158" t="s">
        <v>1632</v>
      </c>
      <c r="Z158" t="s">
        <v>1256</v>
      </c>
      <c r="AA158" t="s">
        <v>1849</v>
      </c>
      <c r="AB158" t="s">
        <v>846</v>
      </c>
      <c r="AC158" t="s">
        <v>1661</v>
      </c>
      <c r="AD158" t="s">
        <v>1850</v>
      </c>
    </row>
    <row r="159" spans="1:30">
      <c r="A159" t="s">
        <v>56</v>
      </c>
      <c r="B159" t="s">
        <v>1851</v>
      </c>
      <c r="C159" t="s">
        <v>799</v>
      </c>
      <c r="D159" t="s">
        <v>926</v>
      </c>
      <c r="E159" t="s">
        <v>781</v>
      </c>
      <c r="F159" t="s">
        <v>858</v>
      </c>
      <c r="G159" t="s">
        <v>1232</v>
      </c>
      <c r="H159" t="s">
        <v>846</v>
      </c>
      <c r="I159" t="s">
        <v>803</v>
      </c>
      <c r="J159" t="s">
        <v>803</v>
      </c>
      <c r="K159" t="s">
        <v>858</v>
      </c>
      <c r="L159" t="s">
        <v>805</v>
      </c>
      <c r="M159" t="s">
        <v>821</v>
      </c>
      <c r="N159" t="s">
        <v>775</v>
      </c>
      <c r="O159" t="s">
        <v>778</v>
      </c>
      <c r="P159" t="s">
        <v>1082</v>
      </c>
      <c r="Q159" t="s">
        <v>1618</v>
      </c>
      <c r="R159" t="s">
        <v>899</v>
      </c>
      <c r="S159" t="s">
        <v>1852</v>
      </c>
      <c r="T159" t="s">
        <v>831</v>
      </c>
      <c r="U159" t="s">
        <v>1853</v>
      </c>
      <c r="V159" t="s">
        <v>790</v>
      </c>
      <c r="W159" t="s">
        <v>1486</v>
      </c>
      <c r="X159" t="s">
        <v>1854</v>
      </c>
      <c r="Y159" t="s">
        <v>1631</v>
      </c>
      <c r="Z159" t="s">
        <v>929</v>
      </c>
      <c r="AA159" t="s">
        <v>1492</v>
      </c>
      <c r="AB159" t="s">
        <v>846</v>
      </c>
      <c r="AC159" t="s">
        <v>1608</v>
      </c>
      <c r="AD159" t="s">
        <v>939</v>
      </c>
    </row>
    <row r="160" spans="1:30">
      <c r="A160" t="s">
        <v>56</v>
      </c>
      <c r="B160" t="s">
        <v>1855</v>
      </c>
      <c r="C160" t="s">
        <v>536</v>
      </c>
      <c r="D160" t="s">
        <v>796</v>
      </c>
      <c r="E160" t="s">
        <v>1147</v>
      </c>
      <c r="F160" t="s">
        <v>821</v>
      </c>
      <c r="G160" t="s">
        <v>796</v>
      </c>
      <c r="H160" t="s">
        <v>777</v>
      </c>
      <c r="I160" t="s">
        <v>803</v>
      </c>
      <c r="J160" t="s">
        <v>845</v>
      </c>
      <c r="K160" t="s">
        <v>823</v>
      </c>
      <c r="L160" t="s">
        <v>844</v>
      </c>
      <c r="M160" t="s">
        <v>846</v>
      </c>
      <c r="N160" t="s">
        <v>863</v>
      </c>
      <c r="O160" t="s">
        <v>803</v>
      </c>
      <c r="P160" t="s">
        <v>1140</v>
      </c>
      <c r="Q160" t="s">
        <v>1856</v>
      </c>
      <c r="R160" t="s">
        <v>1019</v>
      </c>
      <c r="S160" t="s">
        <v>1857</v>
      </c>
      <c r="T160" t="s">
        <v>788</v>
      </c>
      <c r="U160" t="s">
        <v>1800</v>
      </c>
      <c r="V160" t="s">
        <v>1372</v>
      </c>
      <c r="W160" t="s">
        <v>1339</v>
      </c>
      <c r="X160" t="s">
        <v>1099</v>
      </c>
      <c r="Y160" t="s">
        <v>1005</v>
      </c>
      <c r="Z160" t="s">
        <v>956</v>
      </c>
      <c r="AA160" t="s">
        <v>1858</v>
      </c>
      <c r="AB160" t="s">
        <v>821</v>
      </c>
      <c r="AC160" t="s">
        <v>955</v>
      </c>
      <c r="AD160" t="s">
        <v>1859</v>
      </c>
    </row>
    <row r="161" spans="1:30">
      <c r="A161" t="s">
        <v>56</v>
      </c>
      <c r="B161" t="s">
        <v>55</v>
      </c>
      <c r="C161" t="s">
        <v>772</v>
      </c>
      <c r="D161" t="s">
        <v>926</v>
      </c>
      <c r="E161" t="s">
        <v>1046</v>
      </c>
      <c r="F161" t="s">
        <v>822</v>
      </c>
      <c r="G161" t="s">
        <v>821</v>
      </c>
      <c r="H161" t="s">
        <v>822</v>
      </c>
      <c r="I161" t="s">
        <v>803</v>
      </c>
      <c r="J161" t="s">
        <v>778</v>
      </c>
      <c r="K161" t="s">
        <v>846</v>
      </c>
      <c r="L161" t="s">
        <v>971</v>
      </c>
      <c r="M161" t="s">
        <v>846</v>
      </c>
      <c r="N161" t="s">
        <v>926</v>
      </c>
      <c r="O161" t="s">
        <v>778</v>
      </c>
      <c r="P161" t="s">
        <v>1860</v>
      </c>
      <c r="Q161" t="s">
        <v>1104</v>
      </c>
      <c r="R161" t="s">
        <v>898</v>
      </c>
      <c r="S161" t="s">
        <v>1861</v>
      </c>
      <c r="T161" t="s">
        <v>946</v>
      </c>
      <c r="U161" t="s">
        <v>1063</v>
      </c>
      <c r="V161" t="s">
        <v>1072</v>
      </c>
      <c r="W161" t="s">
        <v>1002</v>
      </c>
      <c r="X161" t="s">
        <v>1332</v>
      </c>
      <c r="Y161" t="s">
        <v>1860</v>
      </c>
      <c r="Z161" t="s">
        <v>898</v>
      </c>
      <c r="AA161" t="s">
        <v>1862</v>
      </c>
      <c r="AB161" t="s">
        <v>777</v>
      </c>
      <c r="AC161" t="s">
        <v>804</v>
      </c>
      <c r="AD161" t="s">
        <v>1744</v>
      </c>
    </row>
    <row r="162" spans="1:30">
      <c r="A162" t="s">
        <v>56</v>
      </c>
      <c r="B162" t="s">
        <v>1863</v>
      </c>
      <c r="C162" t="s">
        <v>772</v>
      </c>
      <c r="D162" t="s">
        <v>823</v>
      </c>
      <c r="E162" t="s">
        <v>1449</v>
      </c>
      <c r="F162" t="s">
        <v>846</v>
      </c>
      <c r="G162" t="s">
        <v>782</v>
      </c>
      <c r="H162" t="s">
        <v>777</v>
      </c>
      <c r="I162" t="s">
        <v>803</v>
      </c>
      <c r="J162" t="s">
        <v>803</v>
      </c>
      <c r="K162" t="s">
        <v>803</v>
      </c>
      <c r="L162" t="s">
        <v>825</v>
      </c>
      <c r="M162" t="s">
        <v>822</v>
      </c>
      <c r="N162" t="s">
        <v>821</v>
      </c>
      <c r="O162" t="s">
        <v>778</v>
      </c>
      <c r="P162" t="s">
        <v>1209</v>
      </c>
      <c r="Q162" t="s">
        <v>906</v>
      </c>
      <c r="R162" t="s">
        <v>1452</v>
      </c>
      <c r="S162" t="s">
        <v>1864</v>
      </c>
      <c r="T162" t="s">
        <v>939</v>
      </c>
      <c r="U162" t="s">
        <v>1120</v>
      </c>
      <c r="V162" t="s">
        <v>1345</v>
      </c>
      <c r="W162" t="s">
        <v>1136</v>
      </c>
      <c r="X162" t="s">
        <v>991</v>
      </c>
      <c r="Y162" t="s">
        <v>1865</v>
      </c>
      <c r="Z162" t="s">
        <v>1585</v>
      </c>
      <c r="AA162" t="s">
        <v>1866</v>
      </c>
      <c r="AB162" t="s">
        <v>777</v>
      </c>
      <c r="AC162" t="s">
        <v>1129</v>
      </c>
      <c r="AD162" t="s">
        <v>939</v>
      </c>
    </row>
    <row r="163" spans="1:30">
      <c r="A163" t="s">
        <v>56</v>
      </c>
      <c r="B163" t="s">
        <v>1867</v>
      </c>
      <c r="C163" t="s">
        <v>1079</v>
      </c>
      <c r="D163" t="s">
        <v>971</v>
      </c>
      <c r="E163" t="s">
        <v>972</v>
      </c>
      <c r="F163" t="s">
        <v>846</v>
      </c>
      <c r="G163" t="s">
        <v>779</v>
      </c>
      <c r="H163" t="s">
        <v>845</v>
      </c>
      <c r="I163" t="s">
        <v>803</v>
      </c>
      <c r="J163" t="s">
        <v>778</v>
      </c>
      <c r="K163" t="s">
        <v>777</v>
      </c>
      <c r="L163" t="s">
        <v>796</v>
      </c>
      <c r="M163" t="s">
        <v>777</v>
      </c>
      <c r="N163" t="s">
        <v>863</v>
      </c>
      <c r="O163" t="s">
        <v>778</v>
      </c>
      <c r="P163" t="s">
        <v>881</v>
      </c>
      <c r="Q163" t="s">
        <v>1131</v>
      </c>
      <c r="R163" t="s">
        <v>1522</v>
      </c>
      <c r="S163" t="s">
        <v>1868</v>
      </c>
      <c r="T163" t="s">
        <v>831</v>
      </c>
      <c r="U163" t="s">
        <v>1381</v>
      </c>
      <c r="V163" t="s">
        <v>887</v>
      </c>
      <c r="W163" t="s">
        <v>1865</v>
      </c>
      <c r="X163" t="s">
        <v>991</v>
      </c>
      <c r="Y163" t="s">
        <v>1839</v>
      </c>
      <c r="Z163" t="s">
        <v>973</v>
      </c>
      <c r="AA163" t="s">
        <v>1869</v>
      </c>
      <c r="AB163" t="s">
        <v>822</v>
      </c>
      <c r="AC163" t="s">
        <v>1449</v>
      </c>
      <c r="AD163" t="s">
        <v>984</v>
      </c>
    </row>
    <row r="164" spans="1:30">
      <c r="A164" t="s">
        <v>56</v>
      </c>
      <c r="B164" t="s">
        <v>1870</v>
      </c>
      <c r="C164" t="s">
        <v>799</v>
      </c>
      <c r="D164" t="s">
        <v>823</v>
      </c>
      <c r="E164" t="s">
        <v>1208</v>
      </c>
      <c r="F164" t="s">
        <v>777</v>
      </c>
      <c r="G164" t="s">
        <v>823</v>
      </c>
      <c r="H164" t="s">
        <v>778</v>
      </c>
      <c r="I164" t="s">
        <v>778</v>
      </c>
      <c r="J164" t="s">
        <v>803</v>
      </c>
      <c r="K164" t="s">
        <v>777</v>
      </c>
      <c r="L164" t="s">
        <v>802</v>
      </c>
      <c r="M164" t="s">
        <v>777</v>
      </c>
      <c r="N164" t="s">
        <v>779</v>
      </c>
      <c r="O164" t="s">
        <v>778</v>
      </c>
      <c r="P164" t="s">
        <v>1504</v>
      </c>
      <c r="Q164" t="s">
        <v>807</v>
      </c>
      <c r="R164" t="s">
        <v>1771</v>
      </c>
      <c r="S164" t="s">
        <v>1871</v>
      </c>
      <c r="T164" t="s">
        <v>831</v>
      </c>
      <c r="U164" t="s">
        <v>1476</v>
      </c>
      <c r="V164" t="s">
        <v>1872</v>
      </c>
      <c r="W164" t="s">
        <v>936</v>
      </c>
      <c r="X164" t="s">
        <v>1340</v>
      </c>
      <c r="Y164" t="s">
        <v>1153</v>
      </c>
      <c r="Z164" t="s">
        <v>1082</v>
      </c>
      <c r="AA164" t="s">
        <v>1873</v>
      </c>
      <c r="AB164" t="s">
        <v>845</v>
      </c>
      <c r="AC164" t="s">
        <v>864</v>
      </c>
      <c r="AD164" t="s">
        <v>939</v>
      </c>
    </row>
    <row r="165" spans="1:30">
      <c r="A165" t="s">
        <v>56</v>
      </c>
      <c r="B165" t="s">
        <v>1874</v>
      </c>
      <c r="C165" t="s">
        <v>772</v>
      </c>
      <c r="D165" t="s">
        <v>796</v>
      </c>
      <c r="E165" t="s">
        <v>926</v>
      </c>
      <c r="F165" t="s">
        <v>846</v>
      </c>
      <c r="G165" t="s">
        <v>846</v>
      </c>
      <c r="H165" t="s">
        <v>778</v>
      </c>
      <c r="I165" t="s">
        <v>803</v>
      </c>
      <c r="J165" t="s">
        <v>803</v>
      </c>
      <c r="K165" t="s">
        <v>803</v>
      </c>
      <c r="L165" t="s">
        <v>821</v>
      </c>
      <c r="M165" t="s">
        <v>845</v>
      </c>
      <c r="N165" t="s">
        <v>846</v>
      </c>
      <c r="O165" t="s">
        <v>803</v>
      </c>
      <c r="P165" t="s">
        <v>1199</v>
      </c>
      <c r="Q165" t="s">
        <v>1609</v>
      </c>
      <c r="R165" t="s">
        <v>995</v>
      </c>
      <c r="S165" t="s">
        <v>1875</v>
      </c>
      <c r="T165" t="s">
        <v>885</v>
      </c>
      <c r="U165" t="s">
        <v>948</v>
      </c>
      <c r="V165" t="s">
        <v>1280</v>
      </c>
      <c r="W165" t="s">
        <v>1486</v>
      </c>
      <c r="X165" t="s">
        <v>1001</v>
      </c>
      <c r="Y165" t="s">
        <v>1023</v>
      </c>
      <c r="Z165" t="s">
        <v>1484</v>
      </c>
      <c r="AA165" t="s">
        <v>1876</v>
      </c>
      <c r="AB165" t="s">
        <v>778</v>
      </c>
      <c r="AC165" t="s">
        <v>925</v>
      </c>
      <c r="AD165" t="s">
        <v>939</v>
      </c>
    </row>
    <row r="166" spans="1:30">
      <c r="A166" t="s">
        <v>56</v>
      </c>
      <c r="B166" t="s">
        <v>141</v>
      </c>
      <c r="C166" t="s">
        <v>799</v>
      </c>
      <c r="D166" t="s">
        <v>846</v>
      </c>
      <c r="E166" t="s">
        <v>971</v>
      </c>
      <c r="F166" t="s">
        <v>845</v>
      </c>
      <c r="G166" t="s">
        <v>803</v>
      </c>
      <c r="H166" t="s">
        <v>803</v>
      </c>
      <c r="I166" t="s">
        <v>803</v>
      </c>
      <c r="J166" t="s">
        <v>803</v>
      </c>
      <c r="K166" t="s">
        <v>803</v>
      </c>
      <c r="L166" t="s">
        <v>803</v>
      </c>
      <c r="M166" t="s">
        <v>845</v>
      </c>
      <c r="N166" t="s">
        <v>822</v>
      </c>
      <c r="O166" t="s">
        <v>803</v>
      </c>
      <c r="P166" t="s">
        <v>1008</v>
      </c>
      <c r="Q166" t="s">
        <v>942</v>
      </c>
      <c r="R166" t="s">
        <v>1008</v>
      </c>
      <c r="S166" t="s">
        <v>942</v>
      </c>
      <c r="T166" t="s">
        <v>901</v>
      </c>
      <c r="U166" t="s">
        <v>901</v>
      </c>
      <c r="V166" t="s">
        <v>1877</v>
      </c>
      <c r="W166" t="s">
        <v>1592</v>
      </c>
      <c r="X166" t="s">
        <v>1154</v>
      </c>
      <c r="Y166" t="s">
        <v>1008</v>
      </c>
      <c r="Z166" t="s">
        <v>1217</v>
      </c>
      <c r="AA166" t="s">
        <v>1573</v>
      </c>
      <c r="AB166" t="s">
        <v>803</v>
      </c>
      <c r="AC166" t="s">
        <v>825</v>
      </c>
      <c r="AD166" t="s">
        <v>939</v>
      </c>
    </row>
    <row r="167" spans="1:30">
      <c r="A167" t="s">
        <v>56</v>
      </c>
      <c r="B167" t="s">
        <v>1878</v>
      </c>
      <c r="C167" t="s">
        <v>799</v>
      </c>
      <c r="D167" t="s">
        <v>858</v>
      </c>
      <c r="E167" t="s">
        <v>823</v>
      </c>
      <c r="F167" t="s">
        <v>778</v>
      </c>
      <c r="G167" t="s">
        <v>778</v>
      </c>
      <c r="H167" t="s">
        <v>803</v>
      </c>
      <c r="I167" t="s">
        <v>803</v>
      </c>
      <c r="J167" t="s">
        <v>778</v>
      </c>
      <c r="K167" t="s">
        <v>822</v>
      </c>
      <c r="L167" t="s">
        <v>777</v>
      </c>
      <c r="M167" t="s">
        <v>778</v>
      </c>
      <c r="N167" t="s">
        <v>858</v>
      </c>
      <c r="O167" t="s">
        <v>803</v>
      </c>
      <c r="P167" t="s">
        <v>1002</v>
      </c>
      <c r="Q167" t="s">
        <v>1642</v>
      </c>
      <c r="R167" t="s">
        <v>913</v>
      </c>
      <c r="S167" t="s">
        <v>1879</v>
      </c>
      <c r="T167" t="s">
        <v>939</v>
      </c>
      <c r="U167" t="s">
        <v>932</v>
      </c>
      <c r="V167" t="s">
        <v>1255</v>
      </c>
      <c r="W167" t="s">
        <v>1486</v>
      </c>
      <c r="X167" t="s">
        <v>1447</v>
      </c>
      <c r="Y167" t="s">
        <v>995</v>
      </c>
      <c r="Z167" t="s">
        <v>913</v>
      </c>
      <c r="AA167" t="s">
        <v>1218</v>
      </c>
      <c r="AB167" t="s">
        <v>778</v>
      </c>
      <c r="AC167" t="s">
        <v>782</v>
      </c>
      <c r="AD167" t="s">
        <v>851</v>
      </c>
    </row>
    <row r="168" spans="1:30">
      <c r="A168" t="s">
        <v>56</v>
      </c>
      <c r="B168" t="s">
        <v>1880</v>
      </c>
      <c r="C168" t="s">
        <v>772</v>
      </c>
      <c r="D168" t="s">
        <v>858</v>
      </c>
      <c r="E168" t="s">
        <v>823</v>
      </c>
      <c r="F168" t="s">
        <v>778</v>
      </c>
      <c r="G168" t="s">
        <v>778</v>
      </c>
      <c r="H168" t="s">
        <v>803</v>
      </c>
      <c r="I168" t="s">
        <v>803</v>
      </c>
      <c r="J168" t="s">
        <v>778</v>
      </c>
      <c r="K168" t="s">
        <v>822</v>
      </c>
      <c r="L168" t="s">
        <v>777</v>
      </c>
      <c r="M168" t="s">
        <v>778</v>
      </c>
      <c r="N168" t="s">
        <v>858</v>
      </c>
      <c r="O168" t="s">
        <v>803</v>
      </c>
      <c r="P168" t="s">
        <v>1002</v>
      </c>
      <c r="Q168" t="s">
        <v>1642</v>
      </c>
      <c r="R168" t="s">
        <v>913</v>
      </c>
      <c r="S168" t="s">
        <v>1879</v>
      </c>
      <c r="T168" t="s">
        <v>939</v>
      </c>
      <c r="U168" t="s">
        <v>932</v>
      </c>
      <c r="V168" t="s">
        <v>1255</v>
      </c>
      <c r="W168" t="s">
        <v>1486</v>
      </c>
      <c r="X168" t="s">
        <v>1447</v>
      </c>
      <c r="Y168" t="s">
        <v>995</v>
      </c>
      <c r="Z168" t="s">
        <v>913</v>
      </c>
      <c r="AA168" t="s">
        <v>1218</v>
      </c>
      <c r="AB168" t="s">
        <v>778</v>
      </c>
      <c r="AC168" t="s">
        <v>782</v>
      </c>
      <c r="AD168" t="s">
        <v>851</v>
      </c>
    </row>
    <row r="169" spans="1:30">
      <c r="A169" t="s">
        <v>56</v>
      </c>
      <c r="B169" t="s">
        <v>1881</v>
      </c>
      <c r="C169" t="s">
        <v>1079</v>
      </c>
      <c r="D169" t="s">
        <v>777</v>
      </c>
      <c r="E169" t="s">
        <v>863</v>
      </c>
      <c r="F169" t="s">
        <v>803</v>
      </c>
      <c r="G169" t="s">
        <v>778</v>
      </c>
      <c r="H169" t="s">
        <v>803</v>
      </c>
      <c r="I169" t="s">
        <v>803</v>
      </c>
      <c r="J169" t="s">
        <v>803</v>
      </c>
      <c r="K169" t="s">
        <v>803</v>
      </c>
      <c r="L169" t="s">
        <v>778</v>
      </c>
      <c r="M169" t="s">
        <v>778</v>
      </c>
      <c r="N169" t="s">
        <v>845</v>
      </c>
      <c r="O169" t="s">
        <v>803</v>
      </c>
      <c r="P169" t="s">
        <v>1546</v>
      </c>
      <c r="Q169" t="s">
        <v>995</v>
      </c>
      <c r="R169" t="s">
        <v>1546</v>
      </c>
      <c r="S169" t="s">
        <v>1311</v>
      </c>
      <c r="T169" t="s">
        <v>939</v>
      </c>
      <c r="U169" t="s">
        <v>869</v>
      </c>
      <c r="V169" t="s">
        <v>948</v>
      </c>
      <c r="W169" t="s">
        <v>1002</v>
      </c>
      <c r="X169" t="s">
        <v>991</v>
      </c>
      <c r="Y169" t="s">
        <v>1008</v>
      </c>
      <c r="Z169" t="s">
        <v>1546</v>
      </c>
      <c r="AA169" t="s">
        <v>1882</v>
      </c>
      <c r="AB169" t="s">
        <v>803</v>
      </c>
      <c r="AC169" t="s">
        <v>823</v>
      </c>
      <c r="AD169" t="s">
        <v>939</v>
      </c>
    </row>
    <row r="170" spans="1:30">
      <c r="A170" t="s">
        <v>56</v>
      </c>
      <c r="B170" t="s">
        <v>1883</v>
      </c>
      <c r="C170" t="s">
        <v>772</v>
      </c>
      <c r="D170" t="s">
        <v>845</v>
      </c>
      <c r="E170" t="s">
        <v>846</v>
      </c>
      <c r="F170" t="s">
        <v>778</v>
      </c>
      <c r="G170" t="s">
        <v>778</v>
      </c>
      <c r="H170" t="s">
        <v>803</v>
      </c>
      <c r="I170" t="s">
        <v>803</v>
      </c>
      <c r="J170" t="s">
        <v>778</v>
      </c>
      <c r="K170" t="s">
        <v>778</v>
      </c>
      <c r="L170" t="s">
        <v>777</v>
      </c>
      <c r="M170" t="s">
        <v>803</v>
      </c>
      <c r="N170" t="s">
        <v>778</v>
      </c>
      <c r="O170" t="s">
        <v>803</v>
      </c>
      <c r="P170" t="s">
        <v>942</v>
      </c>
      <c r="Q170" t="s">
        <v>942</v>
      </c>
      <c r="R170" t="s">
        <v>1745</v>
      </c>
      <c r="S170" t="s">
        <v>1494</v>
      </c>
      <c r="T170" t="s">
        <v>1020</v>
      </c>
      <c r="U170" t="s">
        <v>1051</v>
      </c>
      <c r="V170" t="s">
        <v>1538</v>
      </c>
      <c r="W170" t="s">
        <v>1008</v>
      </c>
      <c r="X170" t="s">
        <v>1009</v>
      </c>
      <c r="Y170" t="s">
        <v>1884</v>
      </c>
      <c r="Z170" t="s">
        <v>1884</v>
      </c>
      <c r="AA170" t="s">
        <v>1623</v>
      </c>
      <c r="AB170" t="s">
        <v>778</v>
      </c>
      <c r="AC170" t="s">
        <v>846</v>
      </c>
      <c r="AD170" t="s">
        <v>1143</v>
      </c>
    </row>
    <row r="171" spans="1:30">
      <c r="A171" t="s">
        <v>37</v>
      </c>
      <c r="B171" t="s">
        <v>239</v>
      </c>
      <c r="C171" t="s">
        <v>1079</v>
      </c>
      <c r="D171" t="s">
        <v>1208</v>
      </c>
      <c r="E171" t="s">
        <v>1586</v>
      </c>
      <c r="F171" t="s">
        <v>802</v>
      </c>
      <c r="G171" t="s">
        <v>1030</v>
      </c>
      <c r="H171" t="s">
        <v>845</v>
      </c>
      <c r="I171" t="s">
        <v>803</v>
      </c>
      <c r="J171" t="s">
        <v>777</v>
      </c>
      <c r="K171" t="s">
        <v>780</v>
      </c>
      <c r="L171" t="s">
        <v>1147</v>
      </c>
      <c r="M171" t="s">
        <v>777</v>
      </c>
      <c r="N171" t="s">
        <v>842</v>
      </c>
      <c r="O171" t="s">
        <v>845</v>
      </c>
      <c r="P171" t="s">
        <v>1521</v>
      </c>
      <c r="Q171" t="s">
        <v>974</v>
      </c>
      <c r="R171" t="s">
        <v>1885</v>
      </c>
      <c r="S171" t="s">
        <v>1886</v>
      </c>
      <c r="T171" t="s">
        <v>939</v>
      </c>
      <c r="U171" t="s">
        <v>1887</v>
      </c>
      <c r="V171" t="s">
        <v>1087</v>
      </c>
      <c r="W171" t="s">
        <v>1693</v>
      </c>
      <c r="X171" t="s">
        <v>1888</v>
      </c>
      <c r="Y171" t="s">
        <v>872</v>
      </c>
      <c r="Z171" t="s">
        <v>1026</v>
      </c>
      <c r="AA171" t="s">
        <v>937</v>
      </c>
      <c r="AB171" t="s">
        <v>821</v>
      </c>
      <c r="AC171" t="s">
        <v>1580</v>
      </c>
      <c r="AD171" t="s">
        <v>1889</v>
      </c>
    </row>
    <row r="172" spans="1:30">
      <c r="A172" t="s">
        <v>37</v>
      </c>
      <c r="B172" t="s">
        <v>452</v>
      </c>
      <c r="C172" t="s">
        <v>772</v>
      </c>
      <c r="D172" t="s">
        <v>1208</v>
      </c>
      <c r="E172" t="s">
        <v>1056</v>
      </c>
      <c r="F172" t="s">
        <v>805</v>
      </c>
      <c r="G172" t="s">
        <v>773</v>
      </c>
      <c r="H172" t="s">
        <v>863</v>
      </c>
      <c r="I172" t="s">
        <v>803</v>
      </c>
      <c r="J172" t="s">
        <v>846</v>
      </c>
      <c r="K172" t="s">
        <v>796</v>
      </c>
      <c r="L172" t="s">
        <v>955</v>
      </c>
      <c r="M172" t="s">
        <v>926</v>
      </c>
      <c r="N172" t="s">
        <v>1198</v>
      </c>
      <c r="O172" t="s">
        <v>777</v>
      </c>
      <c r="P172" t="s">
        <v>881</v>
      </c>
      <c r="Q172" t="s">
        <v>1473</v>
      </c>
      <c r="R172" t="s">
        <v>1890</v>
      </c>
      <c r="S172" t="s">
        <v>1323</v>
      </c>
      <c r="T172" t="s">
        <v>810</v>
      </c>
      <c r="U172" t="s">
        <v>1541</v>
      </c>
      <c r="V172" t="s">
        <v>1134</v>
      </c>
      <c r="W172" t="s">
        <v>815</v>
      </c>
      <c r="X172" t="s">
        <v>873</v>
      </c>
      <c r="Y172" t="s">
        <v>942</v>
      </c>
      <c r="Z172" t="s">
        <v>1762</v>
      </c>
      <c r="AA172" t="s">
        <v>1891</v>
      </c>
      <c r="AB172" t="s">
        <v>802</v>
      </c>
      <c r="AC172" t="s">
        <v>1892</v>
      </c>
      <c r="AD172" t="s">
        <v>909</v>
      </c>
    </row>
    <row r="173" spans="1:30">
      <c r="A173" t="s">
        <v>37</v>
      </c>
      <c r="B173" t="s">
        <v>339</v>
      </c>
      <c r="C173" t="s">
        <v>819</v>
      </c>
      <c r="D173" t="s">
        <v>842</v>
      </c>
      <c r="E173" t="s">
        <v>1029</v>
      </c>
      <c r="F173" t="s">
        <v>863</v>
      </c>
      <c r="G173" t="s">
        <v>895</v>
      </c>
      <c r="H173" t="s">
        <v>777</v>
      </c>
      <c r="I173" t="s">
        <v>803</v>
      </c>
      <c r="J173" t="s">
        <v>822</v>
      </c>
      <c r="K173" t="s">
        <v>780</v>
      </c>
      <c r="L173" t="s">
        <v>824</v>
      </c>
      <c r="M173" t="s">
        <v>823</v>
      </c>
      <c r="N173" t="s">
        <v>780</v>
      </c>
      <c r="O173" t="s">
        <v>803</v>
      </c>
      <c r="P173" t="s">
        <v>1707</v>
      </c>
      <c r="Q173" t="s">
        <v>1582</v>
      </c>
      <c r="R173" t="s">
        <v>1235</v>
      </c>
      <c r="S173" t="s">
        <v>1893</v>
      </c>
      <c r="T173" t="s">
        <v>1119</v>
      </c>
      <c r="U173" t="s">
        <v>1567</v>
      </c>
      <c r="V173" t="s">
        <v>1279</v>
      </c>
      <c r="W173" t="s">
        <v>1631</v>
      </c>
      <c r="X173" t="s">
        <v>1894</v>
      </c>
      <c r="Y173" t="s">
        <v>1546</v>
      </c>
      <c r="Z173" t="s">
        <v>1160</v>
      </c>
      <c r="AA173" t="s">
        <v>1195</v>
      </c>
      <c r="AB173" t="s">
        <v>858</v>
      </c>
      <c r="AC173" t="s">
        <v>1206</v>
      </c>
      <c r="AD173" t="s">
        <v>1822</v>
      </c>
    </row>
    <row r="174" spans="1:30">
      <c r="A174" t="s">
        <v>37</v>
      </c>
      <c r="B174" t="s">
        <v>328</v>
      </c>
      <c r="C174" t="s">
        <v>879</v>
      </c>
      <c r="D174" t="s">
        <v>773</v>
      </c>
      <c r="E174" t="s">
        <v>1496</v>
      </c>
      <c r="F174" t="s">
        <v>842</v>
      </c>
      <c r="G174" t="s">
        <v>895</v>
      </c>
      <c r="H174" t="s">
        <v>777</v>
      </c>
      <c r="I174" t="s">
        <v>803</v>
      </c>
      <c r="J174" t="s">
        <v>779</v>
      </c>
      <c r="K174" t="s">
        <v>926</v>
      </c>
      <c r="L174" t="s">
        <v>1437</v>
      </c>
      <c r="M174" t="s">
        <v>1208</v>
      </c>
      <c r="N174" t="s">
        <v>842</v>
      </c>
      <c r="O174" t="s">
        <v>777</v>
      </c>
      <c r="P174" t="s">
        <v>1497</v>
      </c>
      <c r="Q174" t="s">
        <v>1141</v>
      </c>
      <c r="R174" t="s">
        <v>1502</v>
      </c>
      <c r="S174" t="s">
        <v>1611</v>
      </c>
      <c r="T174" t="s">
        <v>1035</v>
      </c>
      <c r="U174" t="s">
        <v>1647</v>
      </c>
      <c r="V174" t="s">
        <v>1872</v>
      </c>
      <c r="W174" t="s">
        <v>1895</v>
      </c>
      <c r="X174" t="s">
        <v>1896</v>
      </c>
      <c r="Y174" t="s">
        <v>1094</v>
      </c>
      <c r="Z174" t="s">
        <v>1897</v>
      </c>
      <c r="AA174" t="s">
        <v>1644</v>
      </c>
      <c r="AB174" t="s">
        <v>802</v>
      </c>
      <c r="AC174" t="s">
        <v>1898</v>
      </c>
      <c r="AD174" t="s">
        <v>916</v>
      </c>
    </row>
    <row r="175" spans="1:30">
      <c r="A175" t="s">
        <v>37</v>
      </c>
      <c r="B175" t="s">
        <v>243</v>
      </c>
      <c r="C175" t="s">
        <v>879</v>
      </c>
      <c r="D175" t="s">
        <v>776</v>
      </c>
      <c r="E175" t="s">
        <v>1899</v>
      </c>
      <c r="F175" t="s">
        <v>796</v>
      </c>
      <c r="G175" t="s">
        <v>805</v>
      </c>
      <c r="H175" t="s">
        <v>846</v>
      </c>
      <c r="I175" t="s">
        <v>803</v>
      </c>
      <c r="J175" t="s">
        <v>846</v>
      </c>
      <c r="K175" t="s">
        <v>926</v>
      </c>
      <c r="L175" t="s">
        <v>783</v>
      </c>
      <c r="M175" t="s">
        <v>971</v>
      </c>
      <c r="N175" t="s">
        <v>824</v>
      </c>
      <c r="O175" t="s">
        <v>803</v>
      </c>
      <c r="P175" t="s">
        <v>1479</v>
      </c>
      <c r="Q175" t="s">
        <v>956</v>
      </c>
      <c r="R175" t="s">
        <v>1533</v>
      </c>
      <c r="S175" t="s">
        <v>1900</v>
      </c>
      <c r="T175" t="s">
        <v>831</v>
      </c>
      <c r="U175" t="s">
        <v>1722</v>
      </c>
      <c r="V175" t="s">
        <v>1120</v>
      </c>
      <c r="W175" t="s">
        <v>1010</v>
      </c>
      <c r="X175" t="s">
        <v>1179</v>
      </c>
      <c r="Y175" t="s">
        <v>1901</v>
      </c>
      <c r="Z175" t="s">
        <v>1799</v>
      </c>
      <c r="AA175" t="s">
        <v>1858</v>
      </c>
      <c r="AB175" t="s">
        <v>823</v>
      </c>
      <c r="AC175" t="s">
        <v>1289</v>
      </c>
      <c r="AD175" t="s">
        <v>1902</v>
      </c>
    </row>
    <row r="176" spans="1:30">
      <c r="A176" t="s">
        <v>37</v>
      </c>
      <c r="B176" t="s">
        <v>1903</v>
      </c>
      <c r="C176" t="s">
        <v>536</v>
      </c>
      <c r="D176" t="s">
        <v>842</v>
      </c>
      <c r="E176" t="s">
        <v>893</v>
      </c>
      <c r="F176" t="s">
        <v>779</v>
      </c>
      <c r="G176" t="s">
        <v>1232</v>
      </c>
      <c r="H176" t="s">
        <v>778</v>
      </c>
      <c r="I176" t="s">
        <v>803</v>
      </c>
      <c r="J176" t="s">
        <v>778</v>
      </c>
      <c r="K176" t="s">
        <v>863</v>
      </c>
      <c r="L176" t="s">
        <v>926</v>
      </c>
      <c r="M176" t="s">
        <v>782</v>
      </c>
      <c r="N176" t="s">
        <v>895</v>
      </c>
      <c r="O176" t="s">
        <v>803</v>
      </c>
      <c r="P176" t="s">
        <v>1455</v>
      </c>
      <c r="Q176" t="s">
        <v>1271</v>
      </c>
      <c r="R176" t="s">
        <v>1209</v>
      </c>
      <c r="S176" t="s">
        <v>1904</v>
      </c>
      <c r="T176" t="s">
        <v>831</v>
      </c>
      <c r="U176" t="s">
        <v>1372</v>
      </c>
      <c r="V176" t="s">
        <v>1280</v>
      </c>
      <c r="W176" t="s">
        <v>1471</v>
      </c>
      <c r="X176" t="s">
        <v>1905</v>
      </c>
      <c r="Y176" t="s">
        <v>1356</v>
      </c>
      <c r="Z176" t="s">
        <v>1604</v>
      </c>
      <c r="AA176" t="s">
        <v>1906</v>
      </c>
      <c r="AB176" t="s">
        <v>845</v>
      </c>
      <c r="AC176" t="s">
        <v>859</v>
      </c>
      <c r="AD176" t="s">
        <v>1607</v>
      </c>
    </row>
    <row r="177" spans="1:30">
      <c r="A177" t="s">
        <v>37</v>
      </c>
      <c r="B177" t="s">
        <v>451</v>
      </c>
      <c r="C177" t="s">
        <v>1068</v>
      </c>
      <c r="D177" t="s">
        <v>776</v>
      </c>
      <c r="E177" t="s">
        <v>1532</v>
      </c>
      <c r="F177" t="s">
        <v>779</v>
      </c>
      <c r="G177" t="s">
        <v>825</v>
      </c>
      <c r="H177" t="s">
        <v>803</v>
      </c>
      <c r="I177" t="s">
        <v>778</v>
      </c>
      <c r="J177" t="s">
        <v>822</v>
      </c>
      <c r="K177" t="s">
        <v>779</v>
      </c>
      <c r="L177" t="s">
        <v>842</v>
      </c>
      <c r="M177" t="s">
        <v>825</v>
      </c>
      <c r="N177" t="s">
        <v>1221</v>
      </c>
      <c r="O177" t="s">
        <v>803</v>
      </c>
      <c r="P177" t="s">
        <v>942</v>
      </c>
      <c r="Q177" t="s">
        <v>1618</v>
      </c>
      <c r="R177" t="s">
        <v>1510</v>
      </c>
      <c r="S177" t="s">
        <v>1886</v>
      </c>
      <c r="T177" t="s">
        <v>1337</v>
      </c>
      <c r="U177" t="s">
        <v>1907</v>
      </c>
      <c r="V177" t="s">
        <v>1381</v>
      </c>
      <c r="W177" t="s">
        <v>1317</v>
      </c>
      <c r="X177" t="s">
        <v>991</v>
      </c>
      <c r="Y177" t="s">
        <v>815</v>
      </c>
      <c r="Z177" t="s">
        <v>1510</v>
      </c>
      <c r="AA177" t="s">
        <v>795</v>
      </c>
      <c r="AB177" t="s">
        <v>777</v>
      </c>
      <c r="AC177" t="s">
        <v>1908</v>
      </c>
      <c r="AD177" t="s">
        <v>1909</v>
      </c>
    </row>
    <row r="178" spans="1:30">
      <c r="A178" t="s">
        <v>37</v>
      </c>
      <c r="B178" t="s">
        <v>348</v>
      </c>
      <c r="C178" t="s">
        <v>1068</v>
      </c>
      <c r="D178" t="s">
        <v>842</v>
      </c>
      <c r="E178" t="s">
        <v>1532</v>
      </c>
      <c r="F178" t="s">
        <v>823</v>
      </c>
      <c r="G178" t="s">
        <v>805</v>
      </c>
      <c r="H178" t="s">
        <v>777</v>
      </c>
      <c r="I178" t="s">
        <v>803</v>
      </c>
      <c r="J178" t="s">
        <v>777</v>
      </c>
      <c r="K178" t="s">
        <v>863</v>
      </c>
      <c r="L178" t="s">
        <v>972</v>
      </c>
      <c r="M178" t="s">
        <v>858</v>
      </c>
      <c r="N178" t="s">
        <v>805</v>
      </c>
      <c r="O178" t="s">
        <v>846</v>
      </c>
      <c r="P178" t="s">
        <v>785</v>
      </c>
      <c r="Q178" t="s">
        <v>1452</v>
      </c>
      <c r="R178" t="s">
        <v>1910</v>
      </c>
      <c r="S178" t="s">
        <v>1911</v>
      </c>
      <c r="T178" t="s">
        <v>850</v>
      </c>
      <c r="U178" t="s">
        <v>1887</v>
      </c>
      <c r="V178" t="s">
        <v>1912</v>
      </c>
      <c r="W178" t="s">
        <v>791</v>
      </c>
      <c r="X178" t="s">
        <v>1179</v>
      </c>
      <c r="Y178" t="s">
        <v>856</v>
      </c>
      <c r="Z178" t="s">
        <v>1473</v>
      </c>
      <c r="AA178" t="s">
        <v>1913</v>
      </c>
      <c r="AB178" t="s">
        <v>863</v>
      </c>
      <c r="AC178" t="s">
        <v>1661</v>
      </c>
      <c r="AD178" t="s">
        <v>1914</v>
      </c>
    </row>
    <row r="179" spans="1:30">
      <c r="A179" t="s">
        <v>37</v>
      </c>
      <c r="B179" t="s">
        <v>249</v>
      </c>
      <c r="C179" t="s">
        <v>879</v>
      </c>
      <c r="D179" t="s">
        <v>776</v>
      </c>
      <c r="E179" t="s">
        <v>896</v>
      </c>
      <c r="F179" t="s">
        <v>821</v>
      </c>
      <c r="G179" t="s">
        <v>802</v>
      </c>
      <c r="H179" t="s">
        <v>778</v>
      </c>
      <c r="I179" t="s">
        <v>803</v>
      </c>
      <c r="J179" t="s">
        <v>822</v>
      </c>
      <c r="K179" t="s">
        <v>779</v>
      </c>
      <c r="L179" t="s">
        <v>895</v>
      </c>
      <c r="M179" t="s">
        <v>846</v>
      </c>
      <c r="N179" t="s">
        <v>925</v>
      </c>
      <c r="O179" t="s">
        <v>778</v>
      </c>
      <c r="P179" t="s">
        <v>897</v>
      </c>
      <c r="Q179" t="s">
        <v>1199</v>
      </c>
      <c r="R179" t="s">
        <v>956</v>
      </c>
      <c r="S179" t="s">
        <v>1568</v>
      </c>
      <c r="T179" t="s">
        <v>901</v>
      </c>
      <c r="U179" t="s">
        <v>1052</v>
      </c>
      <c r="V179" t="s">
        <v>1280</v>
      </c>
      <c r="W179" t="s">
        <v>1136</v>
      </c>
      <c r="X179" t="s">
        <v>1848</v>
      </c>
      <c r="Y179" t="s">
        <v>1349</v>
      </c>
      <c r="Z179" t="s">
        <v>1497</v>
      </c>
      <c r="AA179" t="s">
        <v>1858</v>
      </c>
      <c r="AB179" t="s">
        <v>777</v>
      </c>
      <c r="AC179" t="s">
        <v>908</v>
      </c>
      <c r="AD179" t="s">
        <v>909</v>
      </c>
    </row>
    <row r="180" spans="1:30">
      <c r="A180" t="s">
        <v>37</v>
      </c>
      <c r="B180" t="s">
        <v>36</v>
      </c>
      <c r="C180" t="s">
        <v>841</v>
      </c>
      <c r="D180" t="s">
        <v>805</v>
      </c>
      <c r="E180" t="s">
        <v>1147</v>
      </c>
      <c r="F180" t="s">
        <v>971</v>
      </c>
      <c r="G180" t="s">
        <v>971</v>
      </c>
      <c r="H180" t="s">
        <v>822</v>
      </c>
      <c r="I180" t="s">
        <v>778</v>
      </c>
      <c r="J180" t="s">
        <v>778</v>
      </c>
      <c r="K180" t="s">
        <v>846</v>
      </c>
      <c r="L180" t="s">
        <v>926</v>
      </c>
      <c r="M180" t="s">
        <v>821</v>
      </c>
      <c r="N180" t="s">
        <v>862</v>
      </c>
      <c r="O180" t="s">
        <v>803</v>
      </c>
      <c r="P180" t="s">
        <v>1536</v>
      </c>
      <c r="Q180" t="s">
        <v>1915</v>
      </c>
      <c r="R180" t="s">
        <v>1916</v>
      </c>
      <c r="S180" t="s">
        <v>1917</v>
      </c>
      <c r="T180" t="s">
        <v>1096</v>
      </c>
      <c r="U180" t="s">
        <v>1853</v>
      </c>
      <c r="V180" t="s">
        <v>1373</v>
      </c>
      <c r="W180" t="s">
        <v>1010</v>
      </c>
      <c r="X180" t="s">
        <v>1755</v>
      </c>
      <c r="Y180" t="s">
        <v>1710</v>
      </c>
      <c r="Z180" t="s">
        <v>1140</v>
      </c>
      <c r="AA180" t="s">
        <v>1090</v>
      </c>
      <c r="AB180" t="s">
        <v>846</v>
      </c>
      <c r="AC180" t="s">
        <v>1437</v>
      </c>
      <c r="AD180" t="s">
        <v>1918</v>
      </c>
    </row>
    <row r="181" spans="1:30">
      <c r="A181" t="s">
        <v>37</v>
      </c>
      <c r="B181" t="s">
        <v>65</v>
      </c>
      <c r="C181" t="s">
        <v>1079</v>
      </c>
      <c r="D181" t="s">
        <v>844</v>
      </c>
      <c r="E181" t="s">
        <v>1221</v>
      </c>
      <c r="F181" t="s">
        <v>845</v>
      </c>
      <c r="G181" t="s">
        <v>821</v>
      </c>
      <c r="H181" t="s">
        <v>803</v>
      </c>
      <c r="I181" t="s">
        <v>803</v>
      </c>
      <c r="J181" t="s">
        <v>803</v>
      </c>
      <c r="K181" t="s">
        <v>778</v>
      </c>
      <c r="L181" t="s">
        <v>821</v>
      </c>
      <c r="M181" t="s">
        <v>845</v>
      </c>
      <c r="N181" t="s">
        <v>796</v>
      </c>
      <c r="O181" t="s">
        <v>845</v>
      </c>
      <c r="P181" t="s">
        <v>942</v>
      </c>
      <c r="Q181" t="s">
        <v>1199</v>
      </c>
      <c r="R181" t="s">
        <v>942</v>
      </c>
      <c r="S181" t="s">
        <v>1222</v>
      </c>
      <c r="T181" t="s">
        <v>1119</v>
      </c>
      <c r="U181" t="s">
        <v>810</v>
      </c>
      <c r="V181" t="s">
        <v>1035</v>
      </c>
      <c r="W181" t="s">
        <v>1565</v>
      </c>
      <c r="X181" t="s">
        <v>1447</v>
      </c>
      <c r="Y181" t="s">
        <v>1008</v>
      </c>
      <c r="Z181" t="s">
        <v>1592</v>
      </c>
      <c r="AA181" t="s">
        <v>876</v>
      </c>
      <c r="AB181" t="s">
        <v>803</v>
      </c>
      <c r="AC181" t="s">
        <v>864</v>
      </c>
      <c r="AD181" t="s">
        <v>939</v>
      </c>
    </row>
    <row r="182" spans="1:30">
      <c r="A182" t="s">
        <v>37</v>
      </c>
      <c r="B182" t="s">
        <v>431</v>
      </c>
      <c r="C182" t="s">
        <v>841</v>
      </c>
      <c r="D182" t="s">
        <v>823</v>
      </c>
      <c r="E182" t="s">
        <v>773</v>
      </c>
      <c r="F182" t="s">
        <v>777</v>
      </c>
      <c r="G182" t="s">
        <v>823</v>
      </c>
      <c r="H182" t="s">
        <v>822</v>
      </c>
      <c r="I182" t="s">
        <v>803</v>
      </c>
      <c r="J182" t="s">
        <v>803</v>
      </c>
      <c r="K182" t="s">
        <v>822</v>
      </c>
      <c r="L182" t="s">
        <v>802</v>
      </c>
      <c r="M182" t="s">
        <v>821</v>
      </c>
      <c r="N182" t="s">
        <v>845</v>
      </c>
      <c r="O182" t="s">
        <v>803</v>
      </c>
      <c r="P182" t="s">
        <v>987</v>
      </c>
      <c r="Q182" t="s">
        <v>1575</v>
      </c>
      <c r="R182" t="s">
        <v>1663</v>
      </c>
      <c r="S182" t="s">
        <v>1919</v>
      </c>
      <c r="T182" t="s">
        <v>1337</v>
      </c>
      <c r="U182" t="s">
        <v>1052</v>
      </c>
      <c r="V182" t="s">
        <v>1872</v>
      </c>
      <c r="W182" t="s">
        <v>1217</v>
      </c>
      <c r="X182" t="s">
        <v>1920</v>
      </c>
      <c r="Y182" t="s">
        <v>1294</v>
      </c>
      <c r="Z182" t="s">
        <v>1301</v>
      </c>
      <c r="AA182" t="s">
        <v>1921</v>
      </c>
      <c r="AB182" t="s">
        <v>822</v>
      </c>
      <c r="AC182" t="s">
        <v>824</v>
      </c>
      <c r="AD182" t="s">
        <v>939</v>
      </c>
    </row>
    <row r="183" spans="1:30">
      <c r="A183" t="s">
        <v>37</v>
      </c>
      <c r="B183" t="s">
        <v>422</v>
      </c>
      <c r="C183" t="s">
        <v>536</v>
      </c>
      <c r="D183" t="s">
        <v>858</v>
      </c>
      <c r="E183" t="s">
        <v>926</v>
      </c>
      <c r="F183" t="s">
        <v>845</v>
      </c>
      <c r="G183" t="s">
        <v>822</v>
      </c>
      <c r="H183" t="s">
        <v>778</v>
      </c>
      <c r="I183" t="s">
        <v>803</v>
      </c>
      <c r="J183" t="s">
        <v>803</v>
      </c>
      <c r="K183" t="s">
        <v>803</v>
      </c>
      <c r="L183" t="s">
        <v>777</v>
      </c>
      <c r="M183" t="s">
        <v>845</v>
      </c>
      <c r="N183" t="s">
        <v>846</v>
      </c>
      <c r="O183" t="s">
        <v>803</v>
      </c>
      <c r="P183" t="s">
        <v>1484</v>
      </c>
      <c r="Q183" t="s">
        <v>1253</v>
      </c>
      <c r="R183" t="s">
        <v>942</v>
      </c>
      <c r="S183" t="s">
        <v>1922</v>
      </c>
      <c r="T183" t="s">
        <v>946</v>
      </c>
      <c r="U183" t="s">
        <v>1051</v>
      </c>
      <c r="V183" t="s">
        <v>1559</v>
      </c>
      <c r="W183" t="s">
        <v>791</v>
      </c>
      <c r="X183" t="s">
        <v>1001</v>
      </c>
      <c r="Y183" t="s">
        <v>1023</v>
      </c>
      <c r="Z183" t="s">
        <v>1484</v>
      </c>
      <c r="AA183" t="s">
        <v>1873</v>
      </c>
      <c r="AB183" t="s">
        <v>778</v>
      </c>
      <c r="AC183" t="s">
        <v>844</v>
      </c>
      <c r="AD183" t="s">
        <v>939</v>
      </c>
    </row>
    <row r="184" spans="1:30">
      <c r="A184" t="s">
        <v>37</v>
      </c>
      <c r="B184" t="s">
        <v>1923</v>
      </c>
      <c r="C184" t="s">
        <v>1068</v>
      </c>
      <c r="D184" t="s">
        <v>858</v>
      </c>
      <c r="E184" t="s">
        <v>780</v>
      </c>
      <c r="F184" t="s">
        <v>822</v>
      </c>
      <c r="G184" t="s">
        <v>845</v>
      </c>
      <c r="H184" t="s">
        <v>845</v>
      </c>
      <c r="I184" t="s">
        <v>803</v>
      </c>
      <c r="J184" t="s">
        <v>803</v>
      </c>
      <c r="K184" t="s">
        <v>803</v>
      </c>
      <c r="L184" t="s">
        <v>777</v>
      </c>
      <c r="M184" t="s">
        <v>778</v>
      </c>
      <c r="N184" t="s">
        <v>863</v>
      </c>
      <c r="O184" t="s">
        <v>803</v>
      </c>
      <c r="P184" t="s">
        <v>1010</v>
      </c>
      <c r="Q184" t="s">
        <v>942</v>
      </c>
      <c r="R184" t="s">
        <v>1005</v>
      </c>
      <c r="S184" t="s">
        <v>1211</v>
      </c>
      <c r="T184" t="s">
        <v>946</v>
      </c>
      <c r="U184" t="s">
        <v>831</v>
      </c>
      <c r="V184" t="s">
        <v>1337</v>
      </c>
      <c r="W184" t="s">
        <v>1023</v>
      </c>
      <c r="X184" t="s">
        <v>1678</v>
      </c>
      <c r="Y184" t="s">
        <v>1010</v>
      </c>
      <c r="Z184" t="s">
        <v>1217</v>
      </c>
      <c r="AA184" t="s">
        <v>1548</v>
      </c>
      <c r="AB184" t="s">
        <v>845</v>
      </c>
      <c r="AC184" t="s">
        <v>926</v>
      </c>
      <c r="AD184" t="s">
        <v>939</v>
      </c>
    </row>
    <row r="185" spans="1:30">
      <c r="A185" t="s">
        <v>79</v>
      </c>
      <c r="B185" t="s">
        <v>230</v>
      </c>
      <c r="C185" t="s">
        <v>772</v>
      </c>
      <c r="D185" t="s">
        <v>1015</v>
      </c>
      <c r="E185" t="s">
        <v>1056</v>
      </c>
      <c r="F185" t="s">
        <v>782</v>
      </c>
      <c r="G185" t="s">
        <v>826</v>
      </c>
      <c r="H185" t="s">
        <v>821</v>
      </c>
      <c r="I185" t="s">
        <v>803</v>
      </c>
      <c r="J185" t="s">
        <v>845</v>
      </c>
      <c r="K185" t="s">
        <v>796</v>
      </c>
      <c r="L185" t="s">
        <v>1046</v>
      </c>
      <c r="M185" t="s">
        <v>778</v>
      </c>
      <c r="N185" t="s">
        <v>802</v>
      </c>
      <c r="O185" t="s">
        <v>778</v>
      </c>
      <c r="P185" t="s">
        <v>1061</v>
      </c>
      <c r="Q185" t="s">
        <v>1829</v>
      </c>
      <c r="R185" t="s">
        <v>1762</v>
      </c>
      <c r="S185" t="s">
        <v>1924</v>
      </c>
      <c r="T185" t="s">
        <v>939</v>
      </c>
      <c r="U185" t="s">
        <v>1925</v>
      </c>
      <c r="V185" t="s">
        <v>1638</v>
      </c>
      <c r="W185" t="s">
        <v>1396</v>
      </c>
      <c r="X185" t="s">
        <v>1552</v>
      </c>
      <c r="Y185" t="s">
        <v>903</v>
      </c>
      <c r="Z185" t="s">
        <v>834</v>
      </c>
      <c r="AA185" t="s">
        <v>1849</v>
      </c>
      <c r="AB185" t="s">
        <v>863</v>
      </c>
      <c r="AC185" t="s">
        <v>1586</v>
      </c>
      <c r="AD185" t="s">
        <v>1926</v>
      </c>
    </row>
    <row r="186" spans="1:30">
      <c r="A186" t="s">
        <v>79</v>
      </c>
      <c r="B186" t="s">
        <v>391</v>
      </c>
      <c r="C186" t="s">
        <v>536</v>
      </c>
      <c r="D186" t="s">
        <v>1015</v>
      </c>
      <c r="E186" t="s">
        <v>1390</v>
      </c>
      <c r="F186" t="s">
        <v>775</v>
      </c>
      <c r="G186" t="s">
        <v>801</v>
      </c>
      <c r="H186" t="s">
        <v>846</v>
      </c>
      <c r="I186" t="s">
        <v>803</v>
      </c>
      <c r="J186" t="s">
        <v>863</v>
      </c>
      <c r="K186" t="s">
        <v>796</v>
      </c>
      <c r="L186" t="s">
        <v>954</v>
      </c>
      <c r="M186" t="s">
        <v>823</v>
      </c>
      <c r="N186" t="s">
        <v>1030</v>
      </c>
      <c r="O186" t="s">
        <v>803</v>
      </c>
      <c r="P186" t="s">
        <v>906</v>
      </c>
      <c r="Q186" t="s">
        <v>1296</v>
      </c>
      <c r="R186" t="s">
        <v>1927</v>
      </c>
      <c r="S186" t="s">
        <v>1928</v>
      </c>
      <c r="T186" t="s">
        <v>1035</v>
      </c>
      <c r="U186" t="s">
        <v>1929</v>
      </c>
      <c r="V186" t="s">
        <v>902</v>
      </c>
      <c r="W186" t="s">
        <v>1842</v>
      </c>
      <c r="X186" t="s">
        <v>1854</v>
      </c>
      <c r="Y186" t="s">
        <v>1290</v>
      </c>
      <c r="Z186" t="s">
        <v>1618</v>
      </c>
      <c r="AA186" t="s">
        <v>937</v>
      </c>
      <c r="AB186" t="s">
        <v>802</v>
      </c>
      <c r="AC186" t="s">
        <v>1298</v>
      </c>
      <c r="AD186" t="s">
        <v>1524</v>
      </c>
    </row>
    <row r="187" spans="1:30">
      <c r="A187" t="s">
        <v>79</v>
      </c>
      <c r="B187" t="s">
        <v>418</v>
      </c>
      <c r="C187" t="s">
        <v>799</v>
      </c>
      <c r="D187" t="s">
        <v>773</v>
      </c>
      <c r="E187" t="s">
        <v>820</v>
      </c>
      <c r="F187" t="s">
        <v>796</v>
      </c>
      <c r="G187" t="s">
        <v>895</v>
      </c>
      <c r="H187" t="s">
        <v>823</v>
      </c>
      <c r="I187" t="s">
        <v>778</v>
      </c>
      <c r="J187" t="s">
        <v>822</v>
      </c>
      <c r="K187" t="s">
        <v>780</v>
      </c>
      <c r="L187" t="s">
        <v>1046</v>
      </c>
      <c r="M187" t="s">
        <v>796</v>
      </c>
      <c r="N187" t="s">
        <v>895</v>
      </c>
      <c r="O187" t="s">
        <v>778</v>
      </c>
      <c r="P187" t="s">
        <v>1845</v>
      </c>
      <c r="Q187" t="s">
        <v>1156</v>
      </c>
      <c r="R187" t="s">
        <v>1589</v>
      </c>
      <c r="S187" t="s">
        <v>1748</v>
      </c>
      <c r="T187" t="s">
        <v>1020</v>
      </c>
      <c r="U187" t="s">
        <v>1590</v>
      </c>
      <c r="V187" t="s">
        <v>1087</v>
      </c>
      <c r="W187" t="s">
        <v>1333</v>
      </c>
      <c r="X187" t="s">
        <v>1930</v>
      </c>
      <c r="Y187" t="s">
        <v>827</v>
      </c>
      <c r="Z187" t="s">
        <v>829</v>
      </c>
      <c r="AA187" t="s">
        <v>1931</v>
      </c>
      <c r="AB187" t="s">
        <v>796</v>
      </c>
      <c r="AC187" t="s">
        <v>1298</v>
      </c>
      <c r="AD187" t="s">
        <v>840</v>
      </c>
    </row>
    <row r="188" spans="1:30">
      <c r="A188" t="s">
        <v>79</v>
      </c>
      <c r="B188" t="s">
        <v>342</v>
      </c>
      <c r="C188" t="s">
        <v>819</v>
      </c>
      <c r="D188" t="s">
        <v>1015</v>
      </c>
      <c r="E188" t="s">
        <v>1045</v>
      </c>
      <c r="F188" t="s">
        <v>862</v>
      </c>
      <c r="G188" t="s">
        <v>895</v>
      </c>
      <c r="H188" t="s">
        <v>822</v>
      </c>
      <c r="I188" t="s">
        <v>803</v>
      </c>
      <c r="J188" t="s">
        <v>846</v>
      </c>
      <c r="K188" t="s">
        <v>971</v>
      </c>
      <c r="L188" t="s">
        <v>783</v>
      </c>
      <c r="M188" t="s">
        <v>1221</v>
      </c>
      <c r="N188" t="s">
        <v>1184</v>
      </c>
      <c r="O188" t="s">
        <v>822</v>
      </c>
      <c r="P188" t="s">
        <v>1550</v>
      </c>
      <c r="Q188" t="s">
        <v>807</v>
      </c>
      <c r="R188" t="s">
        <v>1741</v>
      </c>
      <c r="S188" t="s">
        <v>1932</v>
      </c>
      <c r="T188" t="s">
        <v>1188</v>
      </c>
      <c r="U188" t="s">
        <v>1242</v>
      </c>
      <c r="V188" t="s">
        <v>1527</v>
      </c>
      <c r="W188" t="s">
        <v>1478</v>
      </c>
      <c r="X188" t="s">
        <v>1012</v>
      </c>
      <c r="Y188" t="s">
        <v>1059</v>
      </c>
      <c r="Z188" t="s">
        <v>1263</v>
      </c>
      <c r="AA188" t="s">
        <v>1933</v>
      </c>
      <c r="AB188" t="s">
        <v>863</v>
      </c>
      <c r="AC188" t="s">
        <v>1705</v>
      </c>
      <c r="AD188" t="s">
        <v>1701</v>
      </c>
    </row>
    <row r="189" spans="1:30">
      <c r="A189" t="s">
        <v>79</v>
      </c>
      <c r="B189" t="s">
        <v>327</v>
      </c>
      <c r="C189" t="s">
        <v>1068</v>
      </c>
      <c r="D189" t="s">
        <v>842</v>
      </c>
      <c r="E189" t="s">
        <v>1908</v>
      </c>
      <c r="F189" t="s">
        <v>825</v>
      </c>
      <c r="G189" t="s">
        <v>925</v>
      </c>
      <c r="H189" t="s">
        <v>846</v>
      </c>
      <c r="I189" t="s">
        <v>845</v>
      </c>
      <c r="J189" t="s">
        <v>845</v>
      </c>
      <c r="K189" t="s">
        <v>858</v>
      </c>
      <c r="L189" t="s">
        <v>972</v>
      </c>
      <c r="M189" t="s">
        <v>821</v>
      </c>
      <c r="N189" t="s">
        <v>972</v>
      </c>
      <c r="O189" t="s">
        <v>845</v>
      </c>
      <c r="P189" t="s">
        <v>1934</v>
      </c>
      <c r="Q189" t="s">
        <v>882</v>
      </c>
      <c r="R189" t="s">
        <v>1084</v>
      </c>
      <c r="S189" t="s">
        <v>1841</v>
      </c>
      <c r="T189" t="s">
        <v>885</v>
      </c>
      <c r="U189" t="s">
        <v>916</v>
      </c>
      <c r="V189" t="s">
        <v>887</v>
      </c>
      <c r="W189" t="s">
        <v>1935</v>
      </c>
      <c r="X189" t="s">
        <v>1024</v>
      </c>
      <c r="Y189" t="s">
        <v>1317</v>
      </c>
      <c r="Z189" t="s">
        <v>1934</v>
      </c>
      <c r="AA189" t="s">
        <v>1125</v>
      </c>
      <c r="AB189" t="s">
        <v>779</v>
      </c>
      <c r="AC189" t="s">
        <v>1029</v>
      </c>
      <c r="AD189" t="s">
        <v>1936</v>
      </c>
    </row>
    <row r="190" spans="1:30">
      <c r="A190" t="s">
        <v>79</v>
      </c>
      <c r="B190" t="s">
        <v>1937</v>
      </c>
      <c r="C190" t="s">
        <v>879</v>
      </c>
      <c r="D190" t="s">
        <v>842</v>
      </c>
      <c r="E190" t="s">
        <v>1220</v>
      </c>
      <c r="F190" t="s">
        <v>863</v>
      </c>
      <c r="G190" t="s">
        <v>1232</v>
      </c>
      <c r="H190" t="s">
        <v>845</v>
      </c>
      <c r="I190" t="s">
        <v>803</v>
      </c>
      <c r="J190" t="s">
        <v>845</v>
      </c>
      <c r="K190" t="s">
        <v>779</v>
      </c>
      <c r="L190" t="s">
        <v>844</v>
      </c>
      <c r="M190" t="s">
        <v>779</v>
      </c>
      <c r="N190" t="s">
        <v>776</v>
      </c>
      <c r="O190" t="s">
        <v>777</v>
      </c>
      <c r="P190" t="s">
        <v>1585</v>
      </c>
      <c r="Q190" t="s">
        <v>1262</v>
      </c>
      <c r="R190" t="s">
        <v>1318</v>
      </c>
      <c r="S190" t="s">
        <v>1938</v>
      </c>
      <c r="T190" t="s">
        <v>946</v>
      </c>
      <c r="U190" t="s">
        <v>1440</v>
      </c>
      <c r="V190" t="s">
        <v>1255</v>
      </c>
      <c r="W190" t="s">
        <v>949</v>
      </c>
      <c r="X190" t="s">
        <v>1266</v>
      </c>
      <c r="Y190" t="s">
        <v>1865</v>
      </c>
      <c r="Z190" t="s">
        <v>865</v>
      </c>
      <c r="AA190" t="s">
        <v>1939</v>
      </c>
      <c r="AB190" t="s">
        <v>777</v>
      </c>
      <c r="AC190" t="s">
        <v>1045</v>
      </c>
      <c r="AD190" t="s">
        <v>1454</v>
      </c>
    </row>
    <row r="191" spans="1:30">
      <c r="A191" t="s">
        <v>79</v>
      </c>
      <c r="B191" t="s">
        <v>1940</v>
      </c>
      <c r="C191" t="s">
        <v>841</v>
      </c>
      <c r="D191" t="s">
        <v>1015</v>
      </c>
      <c r="E191" t="s">
        <v>1661</v>
      </c>
      <c r="F191" t="s">
        <v>863</v>
      </c>
      <c r="G191" t="s">
        <v>844</v>
      </c>
      <c r="H191" t="s">
        <v>846</v>
      </c>
      <c r="I191" t="s">
        <v>803</v>
      </c>
      <c r="J191" t="s">
        <v>778</v>
      </c>
      <c r="K191" t="s">
        <v>821</v>
      </c>
      <c r="L191" t="s">
        <v>826</v>
      </c>
      <c r="M191" t="s">
        <v>863</v>
      </c>
      <c r="N191" t="s">
        <v>971</v>
      </c>
      <c r="O191" t="s">
        <v>778</v>
      </c>
      <c r="P191" t="s">
        <v>986</v>
      </c>
      <c r="Q191" t="s">
        <v>1054</v>
      </c>
      <c r="R191" t="s">
        <v>1941</v>
      </c>
      <c r="S191" t="s">
        <v>1942</v>
      </c>
      <c r="T191" t="s">
        <v>869</v>
      </c>
      <c r="U191" t="s">
        <v>961</v>
      </c>
      <c r="V191" t="s">
        <v>1304</v>
      </c>
      <c r="W191" t="s">
        <v>791</v>
      </c>
      <c r="X191" t="s">
        <v>1154</v>
      </c>
      <c r="Y191" t="s">
        <v>949</v>
      </c>
      <c r="Z191" t="s">
        <v>929</v>
      </c>
      <c r="AA191" t="s">
        <v>982</v>
      </c>
      <c r="AB191" t="s">
        <v>821</v>
      </c>
      <c r="AC191" t="s">
        <v>1183</v>
      </c>
      <c r="AD191" t="s">
        <v>1943</v>
      </c>
    </row>
    <row r="192" spans="1:30">
      <c r="A192" t="s">
        <v>79</v>
      </c>
      <c r="B192" t="s">
        <v>1944</v>
      </c>
      <c r="C192" t="s">
        <v>799</v>
      </c>
      <c r="D192" t="s">
        <v>925</v>
      </c>
      <c r="E192" t="s">
        <v>1368</v>
      </c>
      <c r="F192" t="s">
        <v>863</v>
      </c>
      <c r="G192" t="s">
        <v>895</v>
      </c>
      <c r="H192" t="s">
        <v>846</v>
      </c>
      <c r="I192" t="s">
        <v>778</v>
      </c>
      <c r="J192" t="s">
        <v>777</v>
      </c>
      <c r="K192" t="s">
        <v>802</v>
      </c>
      <c r="L192" t="s">
        <v>983</v>
      </c>
      <c r="M192" t="s">
        <v>821</v>
      </c>
      <c r="N192" t="s">
        <v>777</v>
      </c>
      <c r="O192" t="s">
        <v>803</v>
      </c>
      <c r="P192" t="s">
        <v>1945</v>
      </c>
      <c r="Q192" t="s">
        <v>1554</v>
      </c>
      <c r="R192" t="s">
        <v>1336</v>
      </c>
      <c r="S192" t="s">
        <v>1946</v>
      </c>
      <c r="T192" t="s">
        <v>850</v>
      </c>
      <c r="U192" t="s">
        <v>1057</v>
      </c>
      <c r="V192" t="s">
        <v>1947</v>
      </c>
      <c r="W192" t="s">
        <v>888</v>
      </c>
      <c r="X192" t="s">
        <v>1135</v>
      </c>
      <c r="Y192" t="s">
        <v>1140</v>
      </c>
      <c r="Z192" t="s">
        <v>1948</v>
      </c>
      <c r="AA192" t="s">
        <v>1891</v>
      </c>
      <c r="AB192" t="s">
        <v>823</v>
      </c>
      <c r="AC192" t="s">
        <v>1103</v>
      </c>
      <c r="AD192" t="s">
        <v>1820</v>
      </c>
    </row>
    <row r="193" spans="1:30">
      <c r="A193" t="s">
        <v>79</v>
      </c>
      <c r="B193" t="s">
        <v>1949</v>
      </c>
      <c r="C193" t="s">
        <v>1079</v>
      </c>
      <c r="D193" t="s">
        <v>925</v>
      </c>
      <c r="E193" t="s">
        <v>1358</v>
      </c>
      <c r="F193" t="s">
        <v>777</v>
      </c>
      <c r="G193" t="s">
        <v>779</v>
      </c>
      <c r="H193" t="s">
        <v>778</v>
      </c>
      <c r="I193" t="s">
        <v>803</v>
      </c>
      <c r="J193" t="s">
        <v>803</v>
      </c>
      <c r="K193" t="s">
        <v>821</v>
      </c>
      <c r="L193" t="s">
        <v>823</v>
      </c>
      <c r="M193" t="s">
        <v>777</v>
      </c>
      <c r="N193" t="s">
        <v>844</v>
      </c>
      <c r="O193" t="s">
        <v>845</v>
      </c>
      <c r="P193" t="s">
        <v>1756</v>
      </c>
      <c r="Q193" t="s">
        <v>1950</v>
      </c>
      <c r="R193" t="s">
        <v>1059</v>
      </c>
      <c r="S193" t="s">
        <v>1186</v>
      </c>
      <c r="T193" t="s">
        <v>931</v>
      </c>
      <c r="U193" t="s">
        <v>1022</v>
      </c>
      <c r="V193" t="s">
        <v>1051</v>
      </c>
      <c r="W193" t="s">
        <v>990</v>
      </c>
      <c r="X193" t="s">
        <v>1192</v>
      </c>
      <c r="Y193" t="s">
        <v>1951</v>
      </c>
      <c r="Z193" t="s">
        <v>1465</v>
      </c>
      <c r="AA193" t="s">
        <v>1906</v>
      </c>
      <c r="AB193" t="s">
        <v>778</v>
      </c>
      <c r="AC193" t="s">
        <v>1126</v>
      </c>
      <c r="AD193" t="s">
        <v>939</v>
      </c>
    </row>
    <row r="194" spans="1:30">
      <c r="A194" t="s">
        <v>79</v>
      </c>
      <c r="B194" t="s">
        <v>78</v>
      </c>
      <c r="C194" t="s">
        <v>879</v>
      </c>
      <c r="D194" t="s">
        <v>802</v>
      </c>
      <c r="E194" t="s">
        <v>1147</v>
      </c>
      <c r="F194" t="s">
        <v>846</v>
      </c>
      <c r="G194" t="s">
        <v>821</v>
      </c>
      <c r="H194" t="s">
        <v>803</v>
      </c>
      <c r="I194" t="s">
        <v>803</v>
      </c>
      <c r="J194" t="s">
        <v>845</v>
      </c>
      <c r="K194" t="s">
        <v>863</v>
      </c>
      <c r="L194" t="s">
        <v>971</v>
      </c>
      <c r="M194" t="s">
        <v>858</v>
      </c>
      <c r="N194" t="s">
        <v>775</v>
      </c>
      <c r="O194" t="s">
        <v>845</v>
      </c>
      <c r="P194" t="s">
        <v>1592</v>
      </c>
      <c r="Q194" t="s">
        <v>1277</v>
      </c>
      <c r="R194" t="s">
        <v>1536</v>
      </c>
      <c r="S194" t="s">
        <v>1952</v>
      </c>
      <c r="T194" t="s">
        <v>901</v>
      </c>
      <c r="U194" t="s">
        <v>1626</v>
      </c>
      <c r="V194" t="s">
        <v>948</v>
      </c>
      <c r="W194" t="s">
        <v>1384</v>
      </c>
      <c r="X194" t="s">
        <v>1729</v>
      </c>
      <c r="Y194" t="s">
        <v>1592</v>
      </c>
      <c r="Z194" t="s">
        <v>956</v>
      </c>
      <c r="AA194" t="s">
        <v>1953</v>
      </c>
      <c r="AB194" t="s">
        <v>845</v>
      </c>
      <c r="AC194" t="s">
        <v>1437</v>
      </c>
      <c r="AD194" t="s">
        <v>1859</v>
      </c>
    </row>
    <row r="195" spans="1:30">
      <c r="A195" t="s">
        <v>79</v>
      </c>
      <c r="B195" t="s">
        <v>1954</v>
      </c>
      <c r="C195" t="s">
        <v>536</v>
      </c>
      <c r="D195" t="s">
        <v>823</v>
      </c>
      <c r="E195" t="s">
        <v>773</v>
      </c>
      <c r="F195" t="s">
        <v>845</v>
      </c>
      <c r="G195" t="s">
        <v>822</v>
      </c>
      <c r="H195" t="s">
        <v>803</v>
      </c>
      <c r="I195" t="s">
        <v>803</v>
      </c>
      <c r="J195" t="s">
        <v>803</v>
      </c>
      <c r="K195" t="s">
        <v>803</v>
      </c>
      <c r="L195" t="s">
        <v>822</v>
      </c>
      <c r="M195" t="s">
        <v>845</v>
      </c>
      <c r="N195" t="s">
        <v>846</v>
      </c>
      <c r="O195" t="s">
        <v>803</v>
      </c>
      <c r="P195" t="s">
        <v>1294</v>
      </c>
      <c r="Q195" t="s">
        <v>1217</v>
      </c>
      <c r="R195" t="s">
        <v>1294</v>
      </c>
      <c r="S195" t="s">
        <v>943</v>
      </c>
      <c r="T195" t="s">
        <v>901</v>
      </c>
      <c r="U195" t="s">
        <v>901</v>
      </c>
      <c r="V195" t="s">
        <v>901</v>
      </c>
      <c r="W195" t="s">
        <v>1136</v>
      </c>
      <c r="X195" t="s">
        <v>1001</v>
      </c>
      <c r="Y195" t="s">
        <v>1008</v>
      </c>
      <c r="Z195" t="s">
        <v>979</v>
      </c>
      <c r="AA195" t="s">
        <v>1955</v>
      </c>
      <c r="AB195" t="s">
        <v>803</v>
      </c>
      <c r="AC195" t="s">
        <v>1030</v>
      </c>
      <c r="AD195" t="s">
        <v>939</v>
      </c>
    </row>
    <row r="196" spans="1:30">
      <c r="A196" t="s">
        <v>79</v>
      </c>
      <c r="B196" t="s">
        <v>143</v>
      </c>
      <c r="C196" t="s">
        <v>1068</v>
      </c>
      <c r="D196" t="s">
        <v>825</v>
      </c>
      <c r="E196" t="s">
        <v>1015</v>
      </c>
      <c r="F196" t="s">
        <v>845</v>
      </c>
      <c r="G196" t="s">
        <v>821</v>
      </c>
      <c r="H196" t="s">
        <v>803</v>
      </c>
      <c r="I196" t="s">
        <v>803</v>
      </c>
      <c r="J196" t="s">
        <v>778</v>
      </c>
      <c r="K196" t="s">
        <v>845</v>
      </c>
      <c r="L196" t="s">
        <v>779</v>
      </c>
      <c r="M196" t="s">
        <v>777</v>
      </c>
      <c r="N196" t="s">
        <v>846</v>
      </c>
      <c r="O196" t="s">
        <v>845</v>
      </c>
      <c r="P196" t="s">
        <v>1005</v>
      </c>
      <c r="Q196" t="s">
        <v>1271</v>
      </c>
      <c r="R196" t="s">
        <v>956</v>
      </c>
      <c r="S196" t="s">
        <v>1956</v>
      </c>
      <c r="T196" t="s">
        <v>939</v>
      </c>
      <c r="U196" t="s">
        <v>977</v>
      </c>
      <c r="V196" t="s">
        <v>1381</v>
      </c>
      <c r="W196" t="s">
        <v>1546</v>
      </c>
      <c r="X196" t="s">
        <v>1957</v>
      </c>
      <c r="Y196" t="s">
        <v>1010</v>
      </c>
      <c r="Z196" t="s">
        <v>956</v>
      </c>
      <c r="AA196" t="s">
        <v>1958</v>
      </c>
      <c r="AB196" t="s">
        <v>778</v>
      </c>
      <c r="AC196" t="s">
        <v>826</v>
      </c>
      <c r="AD196" t="s">
        <v>1443</v>
      </c>
    </row>
    <row r="197" spans="1:30">
      <c r="A197" t="s">
        <v>79</v>
      </c>
      <c r="B197" t="s">
        <v>453</v>
      </c>
      <c r="C197" t="s">
        <v>841</v>
      </c>
      <c r="D197" t="s">
        <v>802</v>
      </c>
      <c r="E197" t="s">
        <v>844</v>
      </c>
      <c r="F197" t="s">
        <v>846</v>
      </c>
      <c r="G197" t="s">
        <v>846</v>
      </c>
      <c r="H197" t="s">
        <v>778</v>
      </c>
      <c r="I197" t="s">
        <v>803</v>
      </c>
      <c r="J197" t="s">
        <v>778</v>
      </c>
      <c r="K197" t="s">
        <v>777</v>
      </c>
      <c r="L197" t="s">
        <v>779</v>
      </c>
      <c r="M197" t="s">
        <v>803</v>
      </c>
      <c r="N197" t="s">
        <v>858</v>
      </c>
      <c r="O197" t="s">
        <v>778</v>
      </c>
      <c r="P197" t="s">
        <v>1363</v>
      </c>
      <c r="Q197" t="s">
        <v>1363</v>
      </c>
      <c r="R197" t="s">
        <v>1788</v>
      </c>
      <c r="S197" t="s">
        <v>1568</v>
      </c>
      <c r="T197" t="s">
        <v>939</v>
      </c>
      <c r="U197" t="s">
        <v>998</v>
      </c>
      <c r="V197" t="s">
        <v>1626</v>
      </c>
      <c r="W197" t="s">
        <v>1008</v>
      </c>
      <c r="X197" t="s">
        <v>1009</v>
      </c>
      <c r="Y197" t="s">
        <v>1217</v>
      </c>
      <c r="Z197" t="s">
        <v>1363</v>
      </c>
      <c r="AA197" t="s">
        <v>1389</v>
      </c>
      <c r="AB197" t="s">
        <v>845</v>
      </c>
      <c r="AC197" t="s">
        <v>776</v>
      </c>
      <c r="AD197" t="s">
        <v>1739</v>
      </c>
    </row>
    <row r="198" spans="1:30">
      <c r="A198" t="s">
        <v>79</v>
      </c>
      <c r="B198" t="s">
        <v>1959</v>
      </c>
      <c r="C198" t="s">
        <v>1068</v>
      </c>
      <c r="D198" t="s">
        <v>782</v>
      </c>
      <c r="E198" t="s">
        <v>862</v>
      </c>
      <c r="F198" t="s">
        <v>778</v>
      </c>
      <c r="G198" t="s">
        <v>845</v>
      </c>
      <c r="H198" t="s">
        <v>803</v>
      </c>
      <c r="I198" t="s">
        <v>803</v>
      </c>
      <c r="J198" t="s">
        <v>803</v>
      </c>
      <c r="K198" t="s">
        <v>822</v>
      </c>
      <c r="L198" t="s">
        <v>845</v>
      </c>
      <c r="M198" t="s">
        <v>778</v>
      </c>
      <c r="N198" t="s">
        <v>845</v>
      </c>
      <c r="O198" t="s">
        <v>803</v>
      </c>
      <c r="P198" t="s">
        <v>1471</v>
      </c>
      <c r="Q198" t="s">
        <v>1217</v>
      </c>
      <c r="R198" t="s">
        <v>1471</v>
      </c>
      <c r="S198" t="s">
        <v>1582</v>
      </c>
      <c r="T198" t="s">
        <v>901</v>
      </c>
      <c r="U198" t="s">
        <v>946</v>
      </c>
      <c r="V198" t="s">
        <v>901</v>
      </c>
      <c r="W198" t="s">
        <v>1432</v>
      </c>
      <c r="X198" t="s">
        <v>991</v>
      </c>
      <c r="Y198" t="s">
        <v>1008</v>
      </c>
      <c r="Z198" t="s">
        <v>1560</v>
      </c>
      <c r="AA198" t="s">
        <v>1920</v>
      </c>
      <c r="AB198" t="s">
        <v>803</v>
      </c>
      <c r="AC198" t="s">
        <v>780</v>
      </c>
      <c r="AD198" t="s">
        <v>939</v>
      </c>
    </row>
    <row r="199" spans="1:30">
      <c r="A199" t="s">
        <v>79</v>
      </c>
      <c r="B199" t="s">
        <v>123</v>
      </c>
      <c r="C199" t="s">
        <v>879</v>
      </c>
      <c r="D199" t="s">
        <v>778</v>
      </c>
      <c r="E199" t="s">
        <v>777</v>
      </c>
      <c r="F199" t="s">
        <v>803</v>
      </c>
      <c r="G199" t="s">
        <v>778</v>
      </c>
      <c r="H199" t="s">
        <v>803</v>
      </c>
      <c r="I199" t="s">
        <v>803</v>
      </c>
      <c r="J199" t="s">
        <v>803</v>
      </c>
      <c r="K199" t="s">
        <v>778</v>
      </c>
      <c r="L199" t="s">
        <v>778</v>
      </c>
      <c r="M199" t="s">
        <v>803</v>
      </c>
      <c r="N199" t="s">
        <v>822</v>
      </c>
      <c r="O199" t="s">
        <v>803</v>
      </c>
      <c r="P199" t="s">
        <v>1199</v>
      </c>
      <c r="Q199" t="s">
        <v>1199</v>
      </c>
      <c r="R199" t="s">
        <v>1199</v>
      </c>
      <c r="S199" t="s">
        <v>1312</v>
      </c>
      <c r="T199" t="s">
        <v>939</v>
      </c>
      <c r="U199" t="s">
        <v>831</v>
      </c>
      <c r="V199" t="s">
        <v>1022</v>
      </c>
      <c r="W199" t="s">
        <v>1008</v>
      </c>
      <c r="X199" t="s">
        <v>1009</v>
      </c>
      <c r="Y199" t="s">
        <v>1008</v>
      </c>
      <c r="Z199" t="s">
        <v>1008</v>
      </c>
      <c r="AA199" t="s">
        <v>1960</v>
      </c>
      <c r="AB199" t="s">
        <v>803</v>
      </c>
      <c r="AC199" t="s">
        <v>777</v>
      </c>
      <c r="AD199" t="s">
        <v>939</v>
      </c>
    </row>
    <row r="200" spans="1:30">
      <c r="A200" t="s">
        <v>117</v>
      </c>
      <c r="B200" t="s">
        <v>116</v>
      </c>
      <c r="C200" t="s">
        <v>536</v>
      </c>
      <c r="D200" t="s">
        <v>1208</v>
      </c>
      <c r="E200" t="s">
        <v>1042</v>
      </c>
      <c r="F200" t="s">
        <v>971</v>
      </c>
      <c r="G200" t="s">
        <v>895</v>
      </c>
      <c r="H200" t="s">
        <v>777</v>
      </c>
      <c r="I200" t="s">
        <v>803</v>
      </c>
      <c r="J200" t="s">
        <v>821</v>
      </c>
      <c r="K200" t="s">
        <v>825</v>
      </c>
      <c r="L200" t="s">
        <v>1147</v>
      </c>
      <c r="M200" t="s">
        <v>796</v>
      </c>
      <c r="N200" t="s">
        <v>972</v>
      </c>
      <c r="O200" t="s">
        <v>845</v>
      </c>
      <c r="P200" t="s">
        <v>1509</v>
      </c>
      <c r="Q200" t="s">
        <v>1600</v>
      </c>
      <c r="R200" t="s">
        <v>1961</v>
      </c>
      <c r="S200" t="s">
        <v>1962</v>
      </c>
      <c r="T200" t="s">
        <v>932</v>
      </c>
      <c r="U200" t="s">
        <v>1590</v>
      </c>
      <c r="V200" t="s">
        <v>852</v>
      </c>
      <c r="W200" t="s">
        <v>1247</v>
      </c>
      <c r="X200" t="s">
        <v>904</v>
      </c>
      <c r="Y200" t="s">
        <v>1774</v>
      </c>
      <c r="Z200" t="s">
        <v>1392</v>
      </c>
      <c r="AA200" t="s">
        <v>1843</v>
      </c>
      <c r="AB200" t="s">
        <v>823</v>
      </c>
      <c r="AC200" t="s">
        <v>1963</v>
      </c>
      <c r="AD200" t="s">
        <v>1914</v>
      </c>
    </row>
    <row r="201" spans="1:30">
      <c r="A201" t="s">
        <v>117</v>
      </c>
      <c r="B201" t="s">
        <v>225</v>
      </c>
      <c r="C201" t="s">
        <v>1079</v>
      </c>
      <c r="D201" t="s">
        <v>1208</v>
      </c>
      <c r="E201" t="s">
        <v>1390</v>
      </c>
      <c r="F201" t="s">
        <v>971</v>
      </c>
      <c r="G201" t="s">
        <v>773</v>
      </c>
      <c r="H201" t="s">
        <v>822</v>
      </c>
      <c r="I201" t="s">
        <v>803</v>
      </c>
      <c r="J201" t="s">
        <v>845</v>
      </c>
      <c r="K201" t="s">
        <v>823</v>
      </c>
      <c r="L201" t="s">
        <v>972</v>
      </c>
      <c r="M201" t="s">
        <v>971</v>
      </c>
      <c r="N201" t="s">
        <v>1208</v>
      </c>
      <c r="O201" t="s">
        <v>822</v>
      </c>
      <c r="P201" t="s">
        <v>1199</v>
      </c>
      <c r="Q201" t="s">
        <v>956</v>
      </c>
      <c r="R201" t="s">
        <v>1173</v>
      </c>
      <c r="S201" t="s">
        <v>1964</v>
      </c>
      <c r="T201" t="s">
        <v>869</v>
      </c>
      <c r="U201" t="s">
        <v>1965</v>
      </c>
      <c r="V201" t="s">
        <v>1087</v>
      </c>
      <c r="W201" t="s">
        <v>949</v>
      </c>
      <c r="X201" t="s">
        <v>889</v>
      </c>
      <c r="Y201" t="s">
        <v>1038</v>
      </c>
      <c r="Z201" t="s">
        <v>1455</v>
      </c>
      <c r="AA201" t="s">
        <v>1769</v>
      </c>
      <c r="AB201" t="s">
        <v>846</v>
      </c>
      <c r="AC201" t="s">
        <v>1580</v>
      </c>
      <c r="AD201" t="s">
        <v>1966</v>
      </c>
    </row>
    <row r="202" spans="1:30">
      <c r="A202" t="s">
        <v>117</v>
      </c>
      <c r="B202" t="s">
        <v>362</v>
      </c>
      <c r="C202" t="s">
        <v>799</v>
      </c>
      <c r="D202" t="s">
        <v>1208</v>
      </c>
      <c r="E202" t="s">
        <v>1574</v>
      </c>
      <c r="F202" t="s">
        <v>775</v>
      </c>
      <c r="G202" t="s">
        <v>1208</v>
      </c>
      <c r="H202" t="s">
        <v>863</v>
      </c>
      <c r="I202" t="s">
        <v>803</v>
      </c>
      <c r="J202" t="s">
        <v>845</v>
      </c>
      <c r="K202" t="s">
        <v>782</v>
      </c>
      <c r="L202" t="s">
        <v>1449</v>
      </c>
      <c r="M202" t="s">
        <v>971</v>
      </c>
      <c r="N202" t="s">
        <v>842</v>
      </c>
      <c r="O202" t="s">
        <v>858</v>
      </c>
      <c r="P202" t="s">
        <v>1082</v>
      </c>
      <c r="Q202" t="s">
        <v>1296</v>
      </c>
      <c r="R202" t="s">
        <v>1948</v>
      </c>
      <c r="S202" t="s">
        <v>1431</v>
      </c>
      <c r="T202" t="s">
        <v>850</v>
      </c>
      <c r="U202" t="s">
        <v>1967</v>
      </c>
      <c r="V202" t="s">
        <v>1912</v>
      </c>
      <c r="W202" t="s">
        <v>1339</v>
      </c>
      <c r="X202" t="s">
        <v>1109</v>
      </c>
      <c r="Y202" t="s">
        <v>1592</v>
      </c>
      <c r="Z202" t="s">
        <v>1185</v>
      </c>
      <c r="AA202" t="s">
        <v>1603</v>
      </c>
      <c r="AB202" t="s">
        <v>823</v>
      </c>
      <c r="AC202" t="s">
        <v>1298</v>
      </c>
      <c r="AD202" t="s">
        <v>1968</v>
      </c>
    </row>
    <row r="203" spans="1:30">
      <c r="A203" t="s">
        <v>117</v>
      </c>
      <c r="B203" t="s">
        <v>124</v>
      </c>
      <c r="C203" t="s">
        <v>841</v>
      </c>
      <c r="D203" t="s">
        <v>1208</v>
      </c>
      <c r="E203" t="s">
        <v>1101</v>
      </c>
      <c r="F203" t="s">
        <v>780</v>
      </c>
      <c r="G203" t="s">
        <v>1015</v>
      </c>
      <c r="H203" t="s">
        <v>822</v>
      </c>
      <c r="I203" t="s">
        <v>778</v>
      </c>
      <c r="J203" t="s">
        <v>822</v>
      </c>
      <c r="K203" t="s">
        <v>796</v>
      </c>
      <c r="L203" t="s">
        <v>783</v>
      </c>
      <c r="M203" t="s">
        <v>782</v>
      </c>
      <c r="N203" t="s">
        <v>842</v>
      </c>
      <c r="O203" t="s">
        <v>778</v>
      </c>
      <c r="P203" t="s">
        <v>1536</v>
      </c>
      <c r="Q203" t="s">
        <v>1083</v>
      </c>
      <c r="R203" t="s">
        <v>1343</v>
      </c>
      <c r="S203" t="s">
        <v>1969</v>
      </c>
      <c r="T203" t="s">
        <v>1559</v>
      </c>
      <c r="U203" t="s">
        <v>1268</v>
      </c>
      <c r="V203" t="s">
        <v>1143</v>
      </c>
      <c r="W203" t="s">
        <v>1100</v>
      </c>
      <c r="X203" t="s">
        <v>1970</v>
      </c>
      <c r="Y203" t="s">
        <v>1256</v>
      </c>
      <c r="Z203" t="s">
        <v>928</v>
      </c>
      <c r="AA203" t="s">
        <v>1730</v>
      </c>
      <c r="AB203" t="s">
        <v>858</v>
      </c>
      <c r="AC203" t="s">
        <v>1757</v>
      </c>
      <c r="AD203" t="s">
        <v>1971</v>
      </c>
    </row>
    <row r="204" spans="1:30">
      <c r="A204" t="s">
        <v>117</v>
      </c>
      <c r="B204" t="s">
        <v>250</v>
      </c>
      <c r="C204" t="s">
        <v>819</v>
      </c>
      <c r="D204" t="s">
        <v>842</v>
      </c>
      <c r="E204" t="s">
        <v>1101</v>
      </c>
      <c r="F204" t="s">
        <v>858</v>
      </c>
      <c r="G204" t="s">
        <v>805</v>
      </c>
      <c r="H204" t="s">
        <v>845</v>
      </c>
      <c r="I204" t="s">
        <v>803</v>
      </c>
      <c r="J204" t="s">
        <v>822</v>
      </c>
      <c r="K204" t="s">
        <v>782</v>
      </c>
      <c r="L204" t="s">
        <v>826</v>
      </c>
      <c r="M204" t="s">
        <v>823</v>
      </c>
      <c r="N204" t="s">
        <v>926</v>
      </c>
      <c r="O204" t="s">
        <v>777</v>
      </c>
      <c r="P204" t="s">
        <v>1363</v>
      </c>
      <c r="Q204" t="s">
        <v>1137</v>
      </c>
      <c r="R204" t="s">
        <v>1234</v>
      </c>
      <c r="S204" t="s">
        <v>1884</v>
      </c>
      <c r="T204" t="s">
        <v>931</v>
      </c>
      <c r="U204" t="s">
        <v>1503</v>
      </c>
      <c r="V204" t="s">
        <v>1280</v>
      </c>
      <c r="W204" t="s">
        <v>1124</v>
      </c>
      <c r="X204" t="s">
        <v>991</v>
      </c>
      <c r="Y204" t="s">
        <v>1247</v>
      </c>
      <c r="Z204" t="s">
        <v>1972</v>
      </c>
      <c r="AA204" t="s">
        <v>1566</v>
      </c>
      <c r="AB204" t="s">
        <v>846</v>
      </c>
      <c r="AC204" t="s">
        <v>1042</v>
      </c>
      <c r="AD204" t="s">
        <v>1971</v>
      </c>
    </row>
    <row r="205" spans="1:30">
      <c r="A205" t="s">
        <v>117</v>
      </c>
      <c r="B205" t="s">
        <v>293</v>
      </c>
      <c r="C205" t="s">
        <v>879</v>
      </c>
      <c r="D205" t="s">
        <v>1015</v>
      </c>
      <c r="E205" t="s">
        <v>893</v>
      </c>
      <c r="F205" t="s">
        <v>782</v>
      </c>
      <c r="G205" t="s">
        <v>805</v>
      </c>
      <c r="H205" t="s">
        <v>777</v>
      </c>
      <c r="I205" t="s">
        <v>778</v>
      </c>
      <c r="J205" t="s">
        <v>846</v>
      </c>
      <c r="K205" t="s">
        <v>802</v>
      </c>
      <c r="L205" t="s">
        <v>983</v>
      </c>
      <c r="M205" t="s">
        <v>846</v>
      </c>
      <c r="N205" t="s">
        <v>1030</v>
      </c>
      <c r="O205" t="s">
        <v>803</v>
      </c>
      <c r="P205" t="s">
        <v>1779</v>
      </c>
      <c r="Q205" t="s">
        <v>1846</v>
      </c>
      <c r="R205" t="s">
        <v>1973</v>
      </c>
      <c r="S205" t="s">
        <v>1974</v>
      </c>
      <c r="T205" t="s">
        <v>1337</v>
      </c>
      <c r="U205" t="s">
        <v>1299</v>
      </c>
      <c r="V205" t="s">
        <v>1912</v>
      </c>
      <c r="W205" t="s">
        <v>1560</v>
      </c>
      <c r="X205" t="s">
        <v>1024</v>
      </c>
      <c r="Y205" t="s">
        <v>1779</v>
      </c>
      <c r="Z205" t="s">
        <v>1301</v>
      </c>
      <c r="AA205" t="s">
        <v>1716</v>
      </c>
      <c r="AB205" t="s">
        <v>823</v>
      </c>
      <c r="AC205" t="s">
        <v>1975</v>
      </c>
      <c r="AD205" t="s">
        <v>1658</v>
      </c>
    </row>
    <row r="206" spans="1:30">
      <c r="A206" t="s">
        <v>117</v>
      </c>
      <c r="B206" t="s">
        <v>1976</v>
      </c>
      <c r="C206" t="s">
        <v>772</v>
      </c>
      <c r="D206" t="s">
        <v>805</v>
      </c>
      <c r="E206" t="s">
        <v>880</v>
      </c>
      <c r="F206" t="s">
        <v>823</v>
      </c>
      <c r="G206" t="s">
        <v>802</v>
      </c>
      <c r="H206" t="s">
        <v>822</v>
      </c>
      <c r="I206" t="s">
        <v>803</v>
      </c>
      <c r="J206" t="s">
        <v>778</v>
      </c>
      <c r="K206" t="s">
        <v>821</v>
      </c>
      <c r="L206" t="s">
        <v>775</v>
      </c>
      <c r="M206" t="s">
        <v>825</v>
      </c>
      <c r="N206" t="s">
        <v>1232</v>
      </c>
      <c r="O206" t="s">
        <v>803</v>
      </c>
      <c r="P206" t="s">
        <v>1585</v>
      </c>
      <c r="Q206" t="s">
        <v>1504</v>
      </c>
      <c r="R206" t="s">
        <v>1117</v>
      </c>
      <c r="S206" t="s">
        <v>1977</v>
      </c>
      <c r="T206" t="s">
        <v>885</v>
      </c>
      <c r="U206" t="s">
        <v>917</v>
      </c>
      <c r="V206" t="s">
        <v>1121</v>
      </c>
      <c r="W206" t="s">
        <v>927</v>
      </c>
      <c r="X206" t="s">
        <v>1978</v>
      </c>
      <c r="Y206" t="s">
        <v>1631</v>
      </c>
      <c r="Z206" t="s">
        <v>986</v>
      </c>
      <c r="AA206" t="s">
        <v>1593</v>
      </c>
      <c r="AB206" t="s">
        <v>777</v>
      </c>
      <c r="AC206" t="s">
        <v>1080</v>
      </c>
      <c r="AD206" t="s">
        <v>1979</v>
      </c>
    </row>
    <row r="207" spans="1:30">
      <c r="A207" t="s">
        <v>117</v>
      </c>
      <c r="B207" t="s">
        <v>287</v>
      </c>
      <c r="C207" t="s">
        <v>841</v>
      </c>
      <c r="D207" t="s">
        <v>895</v>
      </c>
      <c r="E207" t="s">
        <v>1980</v>
      </c>
      <c r="F207" t="s">
        <v>777</v>
      </c>
      <c r="G207" t="s">
        <v>782</v>
      </c>
      <c r="H207" t="s">
        <v>778</v>
      </c>
      <c r="I207" t="s">
        <v>778</v>
      </c>
      <c r="J207" t="s">
        <v>803</v>
      </c>
      <c r="K207" t="s">
        <v>858</v>
      </c>
      <c r="L207" t="s">
        <v>796</v>
      </c>
      <c r="M207" t="s">
        <v>823</v>
      </c>
      <c r="N207" t="s">
        <v>844</v>
      </c>
      <c r="O207" t="s">
        <v>803</v>
      </c>
      <c r="P207" t="s">
        <v>981</v>
      </c>
      <c r="Q207" t="s">
        <v>1981</v>
      </c>
      <c r="R207" t="s">
        <v>1982</v>
      </c>
      <c r="S207" t="s">
        <v>1033</v>
      </c>
      <c r="T207" t="s">
        <v>901</v>
      </c>
      <c r="U207" t="s">
        <v>1087</v>
      </c>
      <c r="V207" t="s">
        <v>1022</v>
      </c>
      <c r="W207" t="s">
        <v>1728</v>
      </c>
      <c r="X207" t="s">
        <v>1970</v>
      </c>
      <c r="Y207" t="s">
        <v>1983</v>
      </c>
      <c r="Z207" t="s">
        <v>855</v>
      </c>
      <c r="AA207" t="s">
        <v>1984</v>
      </c>
      <c r="AB207" t="s">
        <v>845</v>
      </c>
      <c r="AC207" t="s">
        <v>1231</v>
      </c>
      <c r="AD207" t="s">
        <v>939</v>
      </c>
    </row>
    <row r="208" spans="1:30">
      <c r="A208" t="s">
        <v>117</v>
      </c>
      <c r="B208" t="s">
        <v>135</v>
      </c>
      <c r="C208" t="s">
        <v>879</v>
      </c>
      <c r="D208" t="s">
        <v>844</v>
      </c>
      <c r="E208" t="s">
        <v>1368</v>
      </c>
      <c r="F208" t="s">
        <v>779</v>
      </c>
      <c r="G208" t="s">
        <v>862</v>
      </c>
      <c r="H208" t="s">
        <v>821</v>
      </c>
      <c r="I208" t="s">
        <v>803</v>
      </c>
      <c r="J208" t="s">
        <v>822</v>
      </c>
      <c r="K208" t="s">
        <v>971</v>
      </c>
      <c r="L208" t="s">
        <v>826</v>
      </c>
      <c r="M208" t="s">
        <v>846</v>
      </c>
      <c r="N208" t="s">
        <v>802</v>
      </c>
      <c r="O208" t="s">
        <v>778</v>
      </c>
      <c r="P208" t="s">
        <v>1318</v>
      </c>
      <c r="Q208" t="s">
        <v>1244</v>
      </c>
      <c r="R208" t="s">
        <v>1985</v>
      </c>
      <c r="S208" t="s">
        <v>1719</v>
      </c>
      <c r="T208" t="s">
        <v>869</v>
      </c>
      <c r="U208" t="s">
        <v>832</v>
      </c>
      <c r="V208" t="s">
        <v>1021</v>
      </c>
      <c r="W208" t="s">
        <v>1697</v>
      </c>
      <c r="X208" t="s">
        <v>904</v>
      </c>
      <c r="Y208" t="s">
        <v>1116</v>
      </c>
      <c r="Z208" t="s">
        <v>1986</v>
      </c>
      <c r="AA208" t="s">
        <v>1955</v>
      </c>
      <c r="AB208" t="s">
        <v>779</v>
      </c>
      <c r="AC208" t="s">
        <v>1980</v>
      </c>
      <c r="AD208" t="s">
        <v>1242</v>
      </c>
    </row>
    <row r="209" spans="1:30">
      <c r="A209" t="s">
        <v>117</v>
      </c>
      <c r="B209" t="s">
        <v>1987</v>
      </c>
      <c r="C209" t="s">
        <v>841</v>
      </c>
      <c r="D209" t="s">
        <v>780</v>
      </c>
      <c r="E209" t="s">
        <v>968</v>
      </c>
      <c r="F209" t="s">
        <v>858</v>
      </c>
      <c r="G209" t="s">
        <v>862</v>
      </c>
      <c r="H209" t="s">
        <v>822</v>
      </c>
      <c r="I209" t="s">
        <v>803</v>
      </c>
      <c r="J209" t="s">
        <v>822</v>
      </c>
      <c r="K209" t="s">
        <v>863</v>
      </c>
      <c r="L209" t="s">
        <v>1208</v>
      </c>
      <c r="M209" t="s">
        <v>779</v>
      </c>
      <c r="N209" t="s">
        <v>971</v>
      </c>
      <c r="O209" t="s">
        <v>778</v>
      </c>
      <c r="P209" t="s">
        <v>906</v>
      </c>
      <c r="Q209" t="s">
        <v>1530</v>
      </c>
      <c r="R209" t="s">
        <v>1988</v>
      </c>
      <c r="S209" t="s">
        <v>1989</v>
      </c>
      <c r="T209" t="s">
        <v>932</v>
      </c>
      <c r="U209" t="s">
        <v>1887</v>
      </c>
      <c r="V209" t="s">
        <v>1794</v>
      </c>
      <c r="W209" t="s">
        <v>952</v>
      </c>
      <c r="X209" t="s">
        <v>1012</v>
      </c>
      <c r="Y209" t="s">
        <v>1276</v>
      </c>
      <c r="Z209" t="s">
        <v>1788</v>
      </c>
      <c r="AA209" t="s">
        <v>1389</v>
      </c>
      <c r="AB209" t="s">
        <v>821</v>
      </c>
      <c r="AC209" t="s">
        <v>922</v>
      </c>
      <c r="AD209" t="s">
        <v>1790</v>
      </c>
    </row>
    <row r="210" spans="1:30">
      <c r="A210" t="s">
        <v>117</v>
      </c>
      <c r="B210" t="s">
        <v>374</v>
      </c>
      <c r="C210" t="s">
        <v>879</v>
      </c>
      <c r="D210" t="s">
        <v>1232</v>
      </c>
      <c r="E210" t="s">
        <v>864</v>
      </c>
      <c r="F210" t="s">
        <v>822</v>
      </c>
      <c r="G210" t="s">
        <v>777</v>
      </c>
      <c r="H210" t="s">
        <v>803</v>
      </c>
      <c r="I210" t="s">
        <v>803</v>
      </c>
      <c r="J210" t="s">
        <v>845</v>
      </c>
      <c r="K210" t="s">
        <v>822</v>
      </c>
      <c r="L210" t="s">
        <v>823</v>
      </c>
      <c r="M210" t="s">
        <v>777</v>
      </c>
      <c r="N210" t="s">
        <v>863</v>
      </c>
      <c r="O210" t="s">
        <v>803</v>
      </c>
      <c r="P210" t="s">
        <v>936</v>
      </c>
      <c r="Q210" t="s">
        <v>1053</v>
      </c>
      <c r="R210" t="s">
        <v>1156</v>
      </c>
      <c r="S210" t="s">
        <v>1990</v>
      </c>
      <c r="T210" t="s">
        <v>1020</v>
      </c>
      <c r="U210" t="s">
        <v>1255</v>
      </c>
      <c r="V210" t="s">
        <v>1072</v>
      </c>
      <c r="W210" t="s">
        <v>1490</v>
      </c>
      <c r="X210" t="s">
        <v>991</v>
      </c>
      <c r="Y210" t="s">
        <v>1642</v>
      </c>
      <c r="Z210" t="s">
        <v>1156</v>
      </c>
      <c r="AA210" t="s">
        <v>1367</v>
      </c>
      <c r="AB210" t="s">
        <v>845</v>
      </c>
      <c r="AC210" t="s">
        <v>1198</v>
      </c>
      <c r="AD210" t="s">
        <v>1991</v>
      </c>
    </row>
    <row r="211" spans="1:30">
      <c r="A211" t="s">
        <v>117</v>
      </c>
      <c r="B211" t="s">
        <v>1992</v>
      </c>
      <c r="C211" t="s">
        <v>536</v>
      </c>
      <c r="D211" t="s">
        <v>782</v>
      </c>
      <c r="E211" t="s">
        <v>1221</v>
      </c>
      <c r="F211" t="s">
        <v>777</v>
      </c>
      <c r="G211" t="s">
        <v>821</v>
      </c>
      <c r="H211" t="s">
        <v>778</v>
      </c>
      <c r="I211" t="s">
        <v>803</v>
      </c>
      <c r="J211" t="s">
        <v>803</v>
      </c>
      <c r="K211" t="s">
        <v>803</v>
      </c>
      <c r="L211" t="s">
        <v>858</v>
      </c>
      <c r="M211" t="s">
        <v>846</v>
      </c>
      <c r="N211" t="s">
        <v>782</v>
      </c>
      <c r="O211" t="s">
        <v>803</v>
      </c>
      <c r="P211" t="s">
        <v>942</v>
      </c>
      <c r="Q211" t="s">
        <v>1185</v>
      </c>
      <c r="R211" t="s">
        <v>865</v>
      </c>
      <c r="S211" t="s">
        <v>1708</v>
      </c>
      <c r="T211" t="s">
        <v>939</v>
      </c>
      <c r="U211" t="s">
        <v>1692</v>
      </c>
      <c r="V211" t="s">
        <v>1280</v>
      </c>
      <c r="W211" t="s">
        <v>992</v>
      </c>
      <c r="X211" t="s">
        <v>1039</v>
      </c>
      <c r="Y211" t="s">
        <v>1122</v>
      </c>
      <c r="Z211" t="s">
        <v>942</v>
      </c>
      <c r="AA211" t="s">
        <v>1993</v>
      </c>
      <c r="AB211" t="s">
        <v>778</v>
      </c>
      <c r="AC211" t="s">
        <v>1081</v>
      </c>
      <c r="AD211" t="s">
        <v>939</v>
      </c>
    </row>
    <row r="212" spans="1:30">
      <c r="A212" t="s">
        <v>117</v>
      </c>
      <c r="B212" t="s">
        <v>127</v>
      </c>
      <c r="C212" t="s">
        <v>819</v>
      </c>
      <c r="D212" t="s">
        <v>846</v>
      </c>
      <c r="E212" t="s">
        <v>796</v>
      </c>
      <c r="F212" t="s">
        <v>778</v>
      </c>
      <c r="G212" t="s">
        <v>822</v>
      </c>
      <c r="H212" t="s">
        <v>778</v>
      </c>
      <c r="I212" t="s">
        <v>803</v>
      </c>
      <c r="J212" t="s">
        <v>803</v>
      </c>
      <c r="K212" t="s">
        <v>845</v>
      </c>
      <c r="L212" t="s">
        <v>777</v>
      </c>
      <c r="M212" t="s">
        <v>778</v>
      </c>
      <c r="N212" t="s">
        <v>846</v>
      </c>
      <c r="O212" t="s">
        <v>778</v>
      </c>
      <c r="P212" t="s">
        <v>1276</v>
      </c>
      <c r="Q212" t="s">
        <v>1536</v>
      </c>
      <c r="R212" t="s">
        <v>986</v>
      </c>
      <c r="S212" t="s">
        <v>1994</v>
      </c>
      <c r="T212" t="s">
        <v>885</v>
      </c>
      <c r="U212" t="s">
        <v>960</v>
      </c>
      <c r="V212" t="s">
        <v>998</v>
      </c>
      <c r="W212" t="s">
        <v>990</v>
      </c>
      <c r="X212" t="s">
        <v>934</v>
      </c>
      <c r="Y212" t="s">
        <v>979</v>
      </c>
      <c r="Z212" t="s">
        <v>1276</v>
      </c>
      <c r="AA212" t="s">
        <v>1995</v>
      </c>
      <c r="AB212" t="s">
        <v>778</v>
      </c>
      <c r="AC212" t="s">
        <v>825</v>
      </c>
      <c r="AD212" t="s">
        <v>939</v>
      </c>
    </row>
    <row r="213" spans="1:30">
      <c r="A213" t="s">
        <v>117</v>
      </c>
      <c r="B213" t="s">
        <v>1996</v>
      </c>
      <c r="C213" t="s">
        <v>879</v>
      </c>
      <c r="D213" t="s">
        <v>846</v>
      </c>
      <c r="E213" t="s">
        <v>802</v>
      </c>
      <c r="F213" t="s">
        <v>803</v>
      </c>
      <c r="G213" t="s">
        <v>822</v>
      </c>
      <c r="H213" t="s">
        <v>778</v>
      </c>
      <c r="I213" t="s">
        <v>803</v>
      </c>
      <c r="J213" t="s">
        <v>803</v>
      </c>
      <c r="K213" t="s">
        <v>778</v>
      </c>
      <c r="L213" t="s">
        <v>777</v>
      </c>
      <c r="M213" t="s">
        <v>803</v>
      </c>
      <c r="N213" t="s">
        <v>822</v>
      </c>
      <c r="O213" t="s">
        <v>778</v>
      </c>
      <c r="P213" t="s">
        <v>1479</v>
      </c>
      <c r="Q213" t="s">
        <v>1479</v>
      </c>
      <c r="R213" t="s">
        <v>882</v>
      </c>
      <c r="S213" t="s">
        <v>1973</v>
      </c>
      <c r="T213" t="s">
        <v>885</v>
      </c>
      <c r="U213" t="s">
        <v>1051</v>
      </c>
      <c r="V213" t="s">
        <v>1626</v>
      </c>
      <c r="W213" t="s">
        <v>1008</v>
      </c>
      <c r="X213" t="s">
        <v>1009</v>
      </c>
      <c r="Y213" t="s">
        <v>1448</v>
      </c>
      <c r="Z213" t="s">
        <v>1000</v>
      </c>
      <c r="AA213" t="s">
        <v>1603</v>
      </c>
      <c r="AB213" t="s">
        <v>778</v>
      </c>
      <c r="AC213" t="s">
        <v>802</v>
      </c>
      <c r="AD213" t="s">
        <v>939</v>
      </c>
    </row>
    <row r="214" spans="1:30">
      <c r="A214" t="s">
        <v>117</v>
      </c>
      <c r="B214" t="s">
        <v>1997</v>
      </c>
      <c r="C214" t="s">
        <v>1068</v>
      </c>
      <c r="D214" t="s">
        <v>778</v>
      </c>
      <c r="E214" t="s">
        <v>845</v>
      </c>
      <c r="F214" t="s">
        <v>778</v>
      </c>
      <c r="G214" t="s">
        <v>778</v>
      </c>
      <c r="H214" t="s">
        <v>803</v>
      </c>
      <c r="I214" t="s">
        <v>803</v>
      </c>
      <c r="J214" t="s">
        <v>778</v>
      </c>
      <c r="K214" t="s">
        <v>845</v>
      </c>
      <c r="L214" t="s">
        <v>777</v>
      </c>
      <c r="M214" t="s">
        <v>803</v>
      </c>
      <c r="N214" t="s">
        <v>803</v>
      </c>
      <c r="O214" t="s">
        <v>803</v>
      </c>
      <c r="P214" t="s">
        <v>1312</v>
      </c>
      <c r="Q214" t="s">
        <v>1312</v>
      </c>
      <c r="R214" t="s">
        <v>1998</v>
      </c>
      <c r="S214" t="s">
        <v>1999</v>
      </c>
      <c r="T214" t="s">
        <v>1020</v>
      </c>
      <c r="U214" t="s">
        <v>1035</v>
      </c>
      <c r="V214" t="s">
        <v>2000</v>
      </c>
      <c r="W214" t="s">
        <v>1008</v>
      </c>
      <c r="X214" t="s">
        <v>1009</v>
      </c>
      <c r="Y214" t="s">
        <v>2001</v>
      </c>
      <c r="Z214" t="s">
        <v>2001</v>
      </c>
      <c r="AA214" t="s">
        <v>1495</v>
      </c>
      <c r="AB214" t="s">
        <v>778</v>
      </c>
      <c r="AC214" t="s">
        <v>845</v>
      </c>
      <c r="AD214" t="s">
        <v>998</v>
      </c>
    </row>
    <row r="215" spans="1:30">
      <c r="A215" t="s">
        <v>117</v>
      </c>
      <c r="B215" t="s">
        <v>2002</v>
      </c>
      <c r="C215" t="s">
        <v>841</v>
      </c>
      <c r="D215" t="s">
        <v>778</v>
      </c>
      <c r="E215" t="s">
        <v>845</v>
      </c>
      <c r="F215" t="s">
        <v>803</v>
      </c>
      <c r="G215" t="s">
        <v>803</v>
      </c>
      <c r="H215" t="s">
        <v>803</v>
      </c>
      <c r="I215" t="s">
        <v>803</v>
      </c>
      <c r="J215" t="s">
        <v>803</v>
      </c>
      <c r="K215" t="s">
        <v>803</v>
      </c>
      <c r="L215" t="s">
        <v>803</v>
      </c>
      <c r="M215" t="s">
        <v>803</v>
      </c>
      <c r="N215" t="s">
        <v>845</v>
      </c>
      <c r="O215" t="s">
        <v>803</v>
      </c>
      <c r="P215" t="s">
        <v>1008</v>
      </c>
      <c r="Q215" t="s">
        <v>1008</v>
      </c>
      <c r="R215" t="s">
        <v>1008</v>
      </c>
      <c r="S215" t="s">
        <v>1008</v>
      </c>
      <c r="T215" t="s">
        <v>885</v>
      </c>
      <c r="U215" t="s">
        <v>946</v>
      </c>
      <c r="V215" t="s">
        <v>2003</v>
      </c>
      <c r="W215" t="s">
        <v>1008</v>
      </c>
      <c r="X215" t="s">
        <v>1009</v>
      </c>
      <c r="Y215" t="s">
        <v>1008</v>
      </c>
      <c r="Z215" t="s">
        <v>1008</v>
      </c>
      <c r="AA215" t="s">
        <v>2004</v>
      </c>
      <c r="AB215" t="s">
        <v>803</v>
      </c>
      <c r="AC215" t="s">
        <v>845</v>
      </c>
      <c r="AD215" t="s">
        <v>939</v>
      </c>
    </row>
    <row r="216" spans="1:30">
      <c r="A216" t="s">
        <v>117</v>
      </c>
      <c r="B216" t="s">
        <v>2005</v>
      </c>
      <c r="C216" t="s">
        <v>819</v>
      </c>
      <c r="D216" t="s">
        <v>778</v>
      </c>
      <c r="E216" t="s">
        <v>778</v>
      </c>
      <c r="F216" t="s">
        <v>803</v>
      </c>
      <c r="G216" t="s">
        <v>803</v>
      </c>
      <c r="H216" t="s">
        <v>803</v>
      </c>
      <c r="I216" t="s">
        <v>803</v>
      </c>
      <c r="J216" t="s">
        <v>803</v>
      </c>
      <c r="K216" t="s">
        <v>803</v>
      </c>
      <c r="L216" t="s">
        <v>803</v>
      </c>
      <c r="M216" t="s">
        <v>803</v>
      </c>
      <c r="N216" t="s">
        <v>778</v>
      </c>
      <c r="O216" t="s">
        <v>803</v>
      </c>
      <c r="P216" t="s">
        <v>1008</v>
      </c>
      <c r="Q216" t="s">
        <v>1008</v>
      </c>
      <c r="R216" t="s">
        <v>1008</v>
      </c>
      <c r="S216" t="s">
        <v>1008</v>
      </c>
      <c r="T216" t="s">
        <v>939</v>
      </c>
      <c r="U216" t="s">
        <v>885</v>
      </c>
      <c r="V216" t="s">
        <v>2003</v>
      </c>
      <c r="W216" t="s">
        <v>1008</v>
      </c>
      <c r="X216" t="s">
        <v>1009</v>
      </c>
      <c r="Y216" t="s">
        <v>1008</v>
      </c>
      <c r="Z216" t="s">
        <v>1008</v>
      </c>
      <c r="AA216" t="s">
        <v>1920</v>
      </c>
      <c r="AB216" t="s">
        <v>803</v>
      </c>
      <c r="AC216" t="s">
        <v>778</v>
      </c>
      <c r="AD216" t="s">
        <v>939</v>
      </c>
    </row>
    <row r="217" spans="1:30">
      <c r="A217" t="s">
        <v>25</v>
      </c>
      <c r="B217" t="s">
        <v>58</v>
      </c>
      <c r="C217" t="s">
        <v>799</v>
      </c>
      <c r="D217" t="s">
        <v>773</v>
      </c>
      <c r="E217" t="s">
        <v>1757</v>
      </c>
      <c r="F217" t="s">
        <v>796</v>
      </c>
      <c r="G217" t="s">
        <v>826</v>
      </c>
      <c r="H217" t="s">
        <v>858</v>
      </c>
      <c r="I217" t="s">
        <v>778</v>
      </c>
      <c r="J217" t="s">
        <v>777</v>
      </c>
      <c r="K217" t="s">
        <v>971</v>
      </c>
      <c r="L217" t="s">
        <v>1358</v>
      </c>
      <c r="M217" t="s">
        <v>782</v>
      </c>
      <c r="N217" t="s">
        <v>842</v>
      </c>
      <c r="O217" t="s">
        <v>778</v>
      </c>
      <c r="P217" t="s">
        <v>1194</v>
      </c>
      <c r="Q217" t="s">
        <v>1799</v>
      </c>
      <c r="R217" t="s">
        <v>1811</v>
      </c>
      <c r="S217" t="s">
        <v>2006</v>
      </c>
      <c r="T217" t="s">
        <v>1051</v>
      </c>
      <c r="U217" t="s">
        <v>1914</v>
      </c>
      <c r="V217" t="s">
        <v>1373</v>
      </c>
      <c r="W217" t="s">
        <v>1631</v>
      </c>
      <c r="X217" t="s">
        <v>1970</v>
      </c>
      <c r="Y217" t="s">
        <v>2007</v>
      </c>
      <c r="Z217" t="s">
        <v>1600</v>
      </c>
      <c r="AA217" t="s">
        <v>1112</v>
      </c>
      <c r="AB217" t="s">
        <v>971</v>
      </c>
      <c r="AC217" t="s">
        <v>1963</v>
      </c>
      <c r="AD217" t="s">
        <v>1786</v>
      </c>
    </row>
    <row r="218" spans="1:30">
      <c r="A218" t="s">
        <v>25</v>
      </c>
      <c r="B218" t="s">
        <v>233</v>
      </c>
      <c r="C218" t="s">
        <v>819</v>
      </c>
      <c r="D218" t="s">
        <v>773</v>
      </c>
      <c r="E218" t="s">
        <v>1016</v>
      </c>
      <c r="F218" t="s">
        <v>823</v>
      </c>
      <c r="G218" t="s">
        <v>776</v>
      </c>
      <c r="H218" t="s">
        <v>777</v>
      </c>
      <c r="I218" t="s">
        <v>803</v>
      </c>
      <c r="J218" t="s">
        <v>846</v>
      </c>
      <c r="K218" t="s">
        <v>775</v>
      </c>
      <c r="L218" t="s">
        <v>1046</v>
      </c>
      <c r="M218" t="s">
        <v>777</v>
      </c>
      <c r="N218" t="s">
        <v>1081</v>
      </c>
      <c r="O218" t="s">
        <v>803</v>
      </c>
      <c r="P218" t="s">
        <v>1075</v>
      </c>
      <c r="Q218" t="s">
        <v>1209</v>
      </c>
      <c r="R218" t="s">
        <v>1200</v>
      </c>
      <c r="S218" t="s">
        <v>1864</v>
      </c>
      <c r="T218" t="s">
        <v>831</v>
      </c>
      <c r="U218" t="s">
        <v>2008</v>
      </c>
      <c r="V218" t="s">
        <v>947</v>
      </c>
      <c r="W218" t="s">
        <v>1281</v>
      </c>
      <c r="X218" t="s">
        <v>1282</v>
      </c>
      <c r="Y218" t="s">
        <v>1026</v>
      </c>
      <c r="Z218" t="s">
        <v>1525</v>
      </c>
      <c r="AA218" t="s">
        <v>993</v>
      </c>
      <c r="AB218" t="s">
        <v>779</v>
      </c>
      <c r="AC218" t="s">
        <v>1586</v>
      </c>
      <c r="AD218" t="s">
        <v>2009</v>
      </c>
    </row>
    <row r="219" spans="1:30">
      <c r="A219" t="s">
        <v>25</v>
      </c>
      <c r="B219" t="s">
        <v>129</v>
      </c>
      <c r="C219" t="s">
        <v>772</v>
      </c>
      <c r="D219" t="s">
        <v>1015</v>
      </c>
      <c r="E219" t="s">
        <v>1077</v>
      </c>
      <c r="F219" t="s">
        <v>775</v>
      </c>
      <c r="G219" t="s">
        <v>925</v>
      </c>
      <c r="H219" t="s">
        <v>777</v>
      </c>
      <c r="I219" t="s">
        <v>803</v>
      </c>
      <c r="J219" t="s">
        <v>821</v>
      </c>
      <c r="K219" t="s">
        <v>862</v>
      </c>
      <c r="L219" t="s">
        <v>1046</v>
      </c>
      <c r="M219" t="s">
        <v>796</v>
      </c>
      <c r="N219" t="s">
        <v>773</v>
      </c>
      <c r="O219" t="s">
        <v>778</v>
      </c>
      <c r="P219" t="s">
        <v>1901</v>
      </c>
      <c r="Q219" t="s">
        <v>1460</v>
      </c>
      <c r="R219" t="s">
        <v>2010</v>
      </c>
      <c r="S219" t="s">
        <v>2011</v>
      </c>
      <c r="T219" t="s">
        <v>850</v>
      </c>
      <c r="U219" t="s">
        <v>1303</v>
      </c>
      <c r="V219" t="s">
        <v>1143</v>
      </c>
      <c r="W219" t="s">
        <v>872</v>
      </c>
      <c r="X219" t="s">
        <v>991</v>
      </c>
      <c r="Y219" t="s">
        <v>1901</v>
      </c>
      <c r="Z219" t="s">
        <v>1438</v>
      </c>
      <c r="AA219" t="s">
        <v>1955</v>
      </c>
      <c r="AB219" t="s">
        <v>823</v>
      </c>
      <c r="AC219" t="s">
        <v>1586</v>
      </c>
      <c r="AD219" t="s">
        <v>2012</v>
      </c>
    </row>
    <row r="220" spans="1:30">
      <c r="A220" t="s">
        <v>25</v>
      </c>
      <c r="B220" t="s">
        <v>248</v>
      </c>
      <c r="C220" t="s">
        <v>1068</v>
      </c>
      <c r="D220" t="s">
        <v>776</v>
      </c>
      <c r="E220" t="s">
        <v>1899</v>
      </c>
      <c r="F220" t="s">
        <v>971</v>
      </c>
      <c r="G220" t="s">
        <v>773</v>
      </c>
      <c r="H220" t="s">
        <v>782</v>
      </c>
      <c r="I220" t="s">
        <v>803</v>
      </c>
      <c r="J220" t="s">
        <v>777</v>
      </c>
      <c r="K220" t="s">
        <v>796</v>
      </c>
      <c r="L220" t="s">
        <v>955</v>
      </c>
      <c r="M220" t="s">
        <v>858</v>
      </c>
      <c r="N220" t="s">
        <v>862</v>
      </c>
      <c r="O220" t="s">
        <v>778</v>
      </c>
      <c r="P220" t="s">
        <v>882</v>
      </c>
      <c r="Q220" t="s">
        <v>1473</v>
      </c>
      <c r="R220" t="s">
        <v>1168</v>
      </c>
      <c r="S220" t="s">
        <v>2013</v>
      </c>
      <c r="T220" t="s">
        <v>960</v>
      </c>
      <c r="U220" t="s">
        <v>2014</v>
      </c>
      <c r="V220" t="s">
        <v>902</v>
      </c>
      <c r="W220" t="s">
        <v>2015</v>
      </c>
      <c r="X220" t="s">
        <v>889</v>
      </c>
      <c r="Y220" t="s">
        <v>1047</v>
      </c>
      <c r="Z220" t="s">
        <v>1385</v>
      </c>
      <c r="AA220" t="s">
        <v>1112</v>
      </c>
      <c r="AB220" t="s">
        <v>825</v>
      </c>
      <c r="AC220" t="s">
        <v>1077</v>
      </c>
      <c r="AD220" t="s">
        <v>2016</v>
      </c>
    </row>
    <row r="221" spans="1:30">
      <c r="A221" t="s">
        <v>25</v>
      </c>
      <c r="B221" t="s">
        <v>170</v>
      </c>
      <c r="C221" t="s">
        <v>1079</v>
      </c>
      <c r="D221" t="s">
        <v>773</v>
      </c>
      <c r="E221" t="s">
        <v>1342</v>
      </c>
      <c r="F221" t="s">
        <v>823</v>
      </c>
      <c r="G221" t="s">
        <v>862</v>
      </c>
      <c r="H221" t="s">
        <v>777</v>
      </c>
      <c r="I221" t="s">
        <v>803</v>
      </c>
      <c r="J221" t="s">
        <v>822</v>
      </c>
      <c r="K221" t="s">
        <v>779</v>
      </c>
      <c r="L221" t="s">
        <v>1221</v>
      </c>
      <c r="M221" t="s">
        <v>825</v>
      </c>
      <c r="N221" t="s">
        <v>895</v>
      </c>
      <c r="O221" t="s">
        <v>846</v>
      </c>
      <c r="P221" t="s">
        <v>1525</v>
      </c>
      <c r="Q221" t="s">
        <v>956</v>
      </c>
      <c r="R221" t="s">
        <v>1461</v>
      </c>
      <c r="S221" t="s">
        <v>2017</v>
      </c>
      <c r="T221" t="s">
        <v>1188</v>
      </c>
      <c r="U221" t="s">
        <v>1773</v>
      </c>
      <c r="V221" t="s">
        <v>1120</v>
      </c>
      <c r="W221" t="s">
        <v>815</v>
      </c>
      <c r="X221" t="s">
        <v>1617</v>
      </c>
      <c r="Y221" t="s">
        <v>813</v>
      </c>
      <c r="Z221" t="s">
        <v>1084</v>
      </c>
      <c r="AA221" t="s">
        <v>1284</v>
      </c>
      <c r="AB221" t="s">
        <v>858</v>
      </c>
      <c r="AC221" t="s">
        <v>1196</v>
      </c>
      <c r="AD221" t="s">
        <v>2018</v>
      </c>
    </row>
    <row r="222" spans="1:30">
      <c r="A222" t="s">
        <v>25</v>
      </c>
      <c r="B222" t="s">
        <v>2019</v>
      </c>
      <c r="C222" t="s">
        <v>799</v>
      </c>
      <c r="D222" t="s">
        <v>926</v>
      </c>
      <c r="E222" t="s">
        <v>1250</v>
      </c>
      <c r="F222" t="s">
        <v>779</v>
      </c>
      <c r="G222" t="s">
        <v>775</v>
      </c>
      <c r="H222" t="s">
        <v>822</v>
      </c>
      <c r="I222" t="s">
        <v>845</v>
      </c>
      <c r="J222" t="s">
        <v>778</v>
      </c>
      <c r="K222" t="s">
        <v>777</v>
      </c>
      <c r="L222" t="s">
        <v>1208</v>
      </c>
      <c r="M222" t="s">
        <v>777</v>
      </c>
      <c r="N222" t="s">
        <v>775</v>
      </c>
      <c r="O222" t="s">
        <v>822</v>
      </c>
      <c r="P222" t="s">
        <v>928</v>
      </c>
      <c r="Q222" t="s">
        <v>943</v>
      </c>
      <c r="R222" t="s">
        <v>1588</v>
      </c>
      <c r="S222" t="s">
        <v>2020</v>
      </c>
      <c r="T222" t="s">
        <v>1096</v>
      </c>
      <c r="U222" t="s">
        <v>1853</v>
      </c>
      <c r="V222" t="s">
        <v>1545</v>
      </c>
      <c r="W222" t="s">
        <v>2021</v>
      </c>
      <c r="X222" t="s">
        <v>1216</v>
      </c>
      <c r="Y222" t="s">
        <v>1546</v>
      </c>
      <c r="Z222" t="s">
        <v>856</v>
      </c>
      <c r="AA222" t="s">
        <v>1789</v>
      </c>
      <c r="AB222" t="s">
        <v>821</v>
      </c>
      <c r="AC222" t="s">
        <v>1661</v>
      </c>
      <c r="AD222" t="s">
        <v>2022</v>
      </c>
    </row>
    <row r="223" spans="1:30">
      <c r="A223" t="s">
        <v>25</v>
      </c>
      <c r="B223" t="s">
        <v>251</v>
      </c>
      <c r="C223" t="s">
        <v>772</v>
      </c>
      <c r="D223" t="s">
        <v>842</v>
      </c>
      <c r="E223" t="s">
        <v>908</v>
      </c>
      <c r="F223" t="s">
        <v>821</v>
      </c>
      <c r="G223" t="s">
        <v>1232</v>
      </c>
      <c r="H223" t="s">
        <v>845</v>
      </c>
      <c r="I223" t="s">
        <v>803</v>
      </c>
      <c r="J223" t="s">
        <v>803</v>
      </c>
      <c r="K223" t="s">
        <v>821</v>
      </c>
      <c r="L223" t="s">
        <v>780</v>
      </c>
      <c r="M223" t="s">
        <v>802</v>
      </c>
      <c r="N223" t="s">
        <v>1232</v>
      </c>
      <c r="O223" t="s">
        <v>845</v>
      </c>
      <c r="P223" t="s">
        <v>1363</v>
      </c>
      <c r="Q223" t="s">
        <v>1131</v>
      </c>
      <c r="R223" t="s">
        <v>1761</v>
      </c>
      <c r="S223" t="s">
        <v>1168</v>
      </c>
      <c r="T223" t="s">
        <v>885</v>
      </c>
      <c r="U223" t="s">
        <v>902</v>
      </c>
      <c r="V223" t="s">
        <v>1121</v>
      </c>
      <c r="W223" t="s">
        <v>2023</v>
      </c>
      <c r="X223" t="s">
        <v>2024</v>
      </c>
      <c r="Y223" t="s">
        <v>1459</v>
      </c>
      <c r="Z223" t="s">
        <v>1363</v>
      </c>
      <c r="AA223" t="s">
        <v>1716</v>
      </c>
      <c r="AB223" t="s">
        <v>845</v>
      </c>
      <c r="AC223" t="s">
        <v>1908</v>
      </c>
      <c r="AD223" t="s">
        <v>939</v>
      </c>
    </row>
    <row r="224" spans="1:30">
      <c r="A224" t="s">
        <v>25</v>
      </c>
      <c r="B224" t="s">
        <v>2025</v>
      </c>
      <c r="C224" t="s">
        <v>536</v>
      </c>
      <c r="D224" t="s">
        <v>775</v>
      </c>
      <c r="E224" t="s">
        <v>954</v>
      </c>
      <c r="F224" t="s">
        <v>777</v>
      </c>
      <c r="G224" t="s">
        <v>802</v>
      </c>
      <c r="H224" t="s">
        <v>777</v>
      </c>
      <c r="I224" t="s">
        <v>803</v>
      </c>
      <c r="J224" t="s">
        <v>778</v>
      </c>
      <c r="K224" t="s">
        <v>821</v>
      </c>
      <c r="L224" t="s">
        <v>926</v>
      </c>
      <c r="M224" t="s">
        <v>846</v>
      </c>
      <c r="N224" t="s">
        <v>895</v>
      </c>
      <c r="O224" t="s">
        <v>803</v>
      </c>
      <c r="P224" t="s">
        <v>1982</v>
      </c>
      <c r="Q224" t="s">
        <v>1981</v>
      </c>
      <c r="R224" t="s">
        <v>1234</v>
      </c>
      <c r="S224" t="s">
        <v>2026</v>
      </c>
      <c r="T224" t="s">
        <v>831</v>
      </c>
      <c r="U224" t="s">
        <v>1345</v>
      </c>
      <c r="V224" t="s">
        <v>1273</v>
      </c>
      <c r="W224" t="s">
        <v>2027</v>
      </c>
      <c r="X224" t="s">
        <v>1347</v>
      </c>
      <c r="Y224" t="s">
        <v>1010</v>
      </c>
      <c r="Z224" t="s">
        <v>1785</v>
      </c>
      <c r="AA224" t="s">
        <v>1648</v>
      </c>
      <c r="AB224" t="s">
        <v>846</v>
      </c>
      <c r="AC224" t="s">
        <v>896</v>
      </c>
      <c r="AD224" t="s">
        <v>2028</v>
      </c>
    </row>
    <row r="225" spans="1:30">
      <c r="A225" t="s">
        <v>25</v>
      </c>
      <c r="B225" t="s">
        <v>240</v>
      </c>
      <c r="C225" t="s">
        <v>819</v>
      </c>
      <c r="D225" t="s">
        <v>842</v>
      </c>
      <c r="E225" t="s">
        <v>1368</v>
      </c>
      <c r="F225" t="s">
        <v>823</v>
      </c>
      <c r="G225" t="s">
        <v>796</v>
      </c>
      <c r="H225" t="s">
        <v>778</v>
      </c>
      <c r="I225" t="s">
        <v>803</v>
      </c>
      <c r="J225" t="s">
        <v>778</v>
      </c>
      <c r="K225" t="s">
        <v>777</v>
      </c>
      <c r="L225" t="s">
        <v>780</v>
      </c>
      <c r="M225" t="s">
        <v>971</v>
      </c>
      <c r="N225" t="s">
        <v>926</v>
      </c>
      <c r="O225" t="s">
        <v>803</v>
      </c>
      <c r="P225" t="s">
        <v>1166</v>
      </c>
      <c r="Q225" t="s">
        <v>1473</v>
      </c>
      <c r="R225" t="s">
        <v>2029</v>
      </c>
      <c r="S225" t="s">
        <v>2030</v>
      </c>
      <c r="T225" t="s">
        <v>939</v>
      </c>
      <c r="U225" t="s">
        <v>1107</v>
      </c>
      <c r="V225" t="s">
        <v>977</v>
      </c>
      <c r="W225" t="s">
        <v>1233</v>
      </c>
      <c r="X225" t="s">
        <v>1073</v>
      </c>
      <c r="Y225" t="s">
        <v>1366</v>
      </c>
      <c r="Z225" t="s">
        <v>2031</v>
      </c>
      <c r="AA225" t="s">
        <v>2032</v>
      </c>
      <c r="AB225" t="s">
        <v>845</v>
      </c>
      <c r="AC225" t="s">
        <v>1532</v>
      </c>
      <c r="AD225" t="s">
        <v>2033</v>
      </c>
    </row>
    <row r="226" spans="1:30">
      <c r="A226" t="s">
        <v>25</v>
      </c>
      <c r="B226" t="s">
        <v>161</v>
      </c>
      <c r="C226" t="s">
        <v>772</v>
      </c>
      <c r="D226" t="s">
        <v>926</v>
      </c>
      <c r="E226" t="s">
        <v>1358</v>
      </c>
      <c r="F226" t="s">
        <v>858</v>
      </c>
      <c r="G226" t="s">
        <v>796</v>
      </c>
      <c r="H226" t="s">
        <v>777</v>
      </c>
      <c r="I226" t="s">
        <v>803</v>
      </c>
      <c r="J226" t="s">
        <v>778</v>
      </c>
      <c r="K226" t="s">
        <v>863</v>
      </c>
      <c r="L226" t="s">
        <v>805</v>
      </c>
      <c r="M226" t="s">
        <v>777</v>
      </c>
      <c r="N226" t="s">
        <v>971</v>
      </c>
      <c r="O226" t="s">
        <v>822</v>
      </c>
      <c r="P226" t="s">
        <v>1425</v>
      </c>
      <c r="Q226" t="s">
        <v>1460</v>
      </c>
      <c r="R226" t="s">
        <v>1200</v>
      </c>
      <c r="S226" t="s">
        <v>1302</v>
      </c>
      <c r="T226" t="s">
        <v>1020</v>
      </c>
      <c r="U226" t="s">
        <v>902</v>
      </c>
      <c r="V226" t="s">
        <v>790</v>
      </c>
      <c r="W226" t="s">
        <v>2015</v>
      </c>
      <c r="X226" t="s">
        <v>1179</v>
      </c>
      <c r="Y226" t="s">
        <v>1465</v>
      </c>
      <c r="Z226" t="s">
        <v>1425</v>
      </c>
      <c r="AA226" t="s">
        <v>1955</v>
      </c>
      <c r="AB226" t="s">
        <v>846</v>
      </c>
      <c r="AC226" t="s">
        <v>1115</v>
      </c>
      <c r="AD226" t="s">
        <v>1649</v>
      </c>
    </row>
    <row r="227" spans="1:30">
      <c r="A227" t="s">
        <v>25</v>
      </c>
      <c r="B227" t="s">
        <v>262</v>
      </c>
      <c r="C227" t="s">
        <v>536</v>
      </c>
      <c r="D227" t="s">
        <v>971</v>
      </c>
      <c r="E227" t="s">
        <v>972</v>
      </c>
      <c r="F227" t="s">
        <v>846</v>
      </c>
      <c r="G227" t="s">
        <v>863</v>
      </c>
      <c r="H227" t="s">
        <v>778</v>
      </c>
      <c r="I227" t="s">
        <v>803</v>
      </c>
      <c r="J227" t="s">
        <v>778</v>
      </c>
      <c r="K227" t="s">
        <v>822</v>
      </c>
      <c r="L227" t="s">
        <v>971</v>
      </c>
      <c r="M227" t="s">
        <v>846</v>
      </c>
      <c r="N227" t="s">
        <v>782</v>
      </c>
      <c r="O227" t="s">
        <v>803</v>
      </c>
      <c r="P227" t="s">
        <v>973</v>
      </c>
      <c r="Q227" t="s">
        <v>974</v>
      </c>
      <c r="R227" t="s">
        <v>1543</v>
      </c>
      <c r="S227" t="s">
        <v>1245</v>
      </c>
      <c r="T227" t="s">
        <v>939</v>
      </c>
      <c r="U227" t="s">
        <v>833</v>
      </c>
      <c r="V227" t="s">
        <v>1280</v>
      </c>
      <c r="W227" t="s">
        <v>1764</v>
      </c>
      <c r="X227" t="s">
        <v>1039</v>
      </c>
      <c r="Y227" t="s">
        <v>2034</v>
      </c>
      <c r="Z227" t="s">
        <v>881</v>
      </c>
      <c r="AA227" t="s">
        <v>838</v>
      </c>
      <c r="AB227" t="s">
        <v>845</v>
      </c>
      <c r="AC227" t="s">
        <v>983</v>
      </c>
      <c r="AD227" t="s">
        <v>984</v>
      </c>
    </row>
    <row r="228" spans="1:30">
      <c r="A228" t="s">
        <v>25</v>
      </c>
      <c r="B228" t="s">
        <v>24</v>
      </c>
      <c r="C228" t="s">
        <v>879</v>
      </c>
      <c r="D228" t="s">
        <v>775</v>
      </c>
      <c r="E228" t="s">
        <v>972</v>
      </c>
      <c r="F228" t="s">
        <v>777</v>
      </c>
      <c r="G228" t="s">
        <v>863</v>
      </c>
      <c r="H228" t="s">
        <v>845</v>
      </c>
      <c r="I228" t="s">
        <v>803</v>
      </c>
      <c r="J228" t="s">
        <v>778</v>
      </c>
      <c r="K228" t="s">
        <v>846</v>
      </c>
      <c r="L228" t="s">
        <v>802</v>
      </c>
      <c r="M228" t="s">
        <v>822</v>
      </c>
      <c r="N228" t="s">
        <v>862</v>
      </c>
      <c r="O228" t="s">
        <v>803</v>
      </c>
      <c r="P228" t="s">
        <v>973</v>
      </c>
      <c r="Q228" t="s">
        <v>1145</v>
      </c>
      <c r="R228" t="s">
        <v>1083</v>
      </c>
      <c r="S228" t="s">
        <v>2035</v>
      </c>
      <c r="T228" t="s">
        <v>885</v>
      </c>
      <c r="U228" t="s">
        <v>977</v>
      </c>
      <c r="V228" t="s">
        <v>833</v>
      </c>
      <c r="W228" t="s">
        <v>1683</v>
      </c>
      <c r="X228" t="s">
        <v>1602</v>
      </c>
      <c r="Y228" t="s">
        <v>1839</v>
      </c>
      <c r="Z228" t="s">
        <v>973</v>
      </c>
      <c r="AA228" t="s">
        <v>2036</v>
      </c>
      <c r="AB228" t="s">
        <v>822</v>
      </c>
      <c r="AC228" t="s">
        <v>783</v>
      </c>
      <c r="AD228" t="s">
        <v>984</v>
      </c>
    </row>
    <row r="229" spans="1:30">
      <c r="A229" t="s">
        <v>25</v>
      </c>
      <c r="B229" t="s">
        <v>404</v>
      </c>
      <c r="C229" t="s">
        <v>1079</v>
      </c>
      <c r="D229" t="s">
        <v>825</v>
      </c>
      <c r="E229" t="s">
        <v>805</v>
      </c>
      <c r="F229" t="s">
        <v>845</v>
      </c>
      <c r="G229" t="s">
        <v>822</v>
      </c>
      <c r="H229" t="s">
        <v>803</v>
      </c>
      <c r="I229" t="s">
        <v>803</v>
      </c>
      <c r="J229" t="s">
        <v>803</v>
      </c>
      <c r="K229" t="s">
        <v>803</v>
      </c>
      <c r="L229" t="s">
        <v>822</v>
      </c>
      <c r="M229" t="s">
        <v>778</v>
      </c>
      <c r="N229" t="s">
        <v>782</v>
      </c>
      <c r="O229" t="s">
        <v>778</v>
      </c>
      <c r="P229" t="s">
        <v>992</v>
      </c>
      <c r="Q229" t="s">
        <v>1642</v>
      </c>
      <c r="R229" t="s">
        <v>992</v>
      </c>
      <c r="S229" t="s">
        <v>866</v>
      </c>
      <c r="T229" t="s">
        <v>901</v>
      </c>
      <c r="U229" t="s">
        <v>831</v>
      </c>
      <c r="V229" t="s">
        <v>831</v>
      </c>
      <c r="W229" t="s">
        <v>2037</v>
      </c>
      <c r="X229" t="s">
        <v>1458</v>
      </c>
      <c r="Y229" t="s">
        <v>1008</v>
      </c>
      <c r="Z229" t="s">
        <v>949</v>
      </c>
      <c r="AA229" t="s">
        <v>1334</v>
      </c>
      <c r="AB229" t="s">
        <v>803</v>
      </c>
      <c r="AC229" t="s">
        <v>925</v>
      </c>
      <c r="AD229" t="s">
        <v>939</v>
      </c>
    </row>
    <row r="230" spans="1:30">
      <c r="A230" t="s">
        <v>25</v>
      </c>
      <c r="B230" t="s">
        <v>27</v>
      </c>
      <c r="C230" t="s">
        <v>799</v>
      </c>
      <c r="D230" t="s">
        <v>822</v>
      </c>
      <c r="E230" t="s">
        <v>846</v>
      </c>
      <c r="F230" t="s">
        <v>778</v>
      </c>
      <c r="G230" t="s">
        <v>845</v>
      </c>
      <c r="H230" t="s">
        <v>803</v>
      </c>
      <c r="I230" t="s">
        <v>803</v>
      </c>
      <c r="J230" t="s">
        <v>803</v>
      </c>
      <c r="K230" t="s">
        <v>803</v>
      </c>
      <c r="L230" t="s">
        <v>845</v>
      </c>
      <c r="M230" t="s">
        <v>845</v>
      </c>
      <c r="N230" t="s">
        <v>803</v>
      </c>
      <c r="O230" t="s">
        <v>803</v>
      </c>
      <c r="P230" t="s">
        <v>913</v>
      </c>
      <c r="Q230" t="s">
        <v>2038</v>
      </c>
      <c r="R230" t="s">
        <v>913</v>
      </c>
      <c r="S230" t="s">
        <v>2039</v>
      </c>
      <c r="T230" t="s">
        <v>939</v>
      </c>
      <c r="U230" t="s">
        <v>1188</v>
      </c>
      <c r="V230" t="s">
        <v>2040</v>
      </c>
      <c r="W230" t="s">
        <v>986</v>
      </c>
      <c r="X230" t="s">
        <v>1009</v>
      </c>
      <c r="Y230" t="s">
        <v>1008</v>
      </c>
      <c r="Z230" t="s">
        <v>942</v>
      </c>
      <c r="AA230" t="s">
        <v>1406</v>
      </c>
      <c r="AB230" t="s">
        <v>803</v>
      </c>
      <c r="AC230" t="s">
        <v>858</v>
      </c>
      <c r="AD230" t="s">
        <v>939</v>
      </c>
    </row>
    <row r="231" spans="1:30">
      <c r="A231" t="s">
        <v>44</v>
      </c>
      <c r="B231" t="s">
        <v>131</v>
      </c>
      <c r="C231" t="s">
        <v>536</v>
      </c>
      <c r="D231" t="s">
        <v>1208</v>
      </c>
      <c r="E231" t="s">
        <v>774</v>
      </c>
      <c r="F231" t="s">
        <v>1208</v>
      </c>
      <c r="G231" t="s">
        <v>972</v>
      </c>
      <c r="H231" t="s">
        <v>777</v>
      </c>
      <c r="I231" t="s">
        <v>803</v>
      </c>
      <c r="J231" t="s">
        <v>858</v>
      </c>
      <c r="K231" t="s">
        <v>776</v>
      </c>
      <c r="L231" t="s">
        <v>1251</v>
      </c>
      <c r="M231" t="s">
        <v>802</v>
      </c>
      <c r="N231" t="s">
        <v>842</v>
      </c>
      <c r="O231" t="s">
        <v>778</v>
      </c>
      <c r="P231" t="s">
        <v>1140</v>
      </c>
      <c r="Q231" t="s">
        <v>1621</v>
      </c>
      <c r="R231" t="s">
        <v>2041</v>
      </c>
      <c r="S231" t="s">
        <v>2042</v>
      </c>
      <c r="T231" t="s">
        <v>1170</v>
      </c>
      <c r="U231" t="s">
        <v>2016</v>
      </c>
      <c r="V231" t="s">
        <v>1372</v>
      </c>
      <c r="W231" t="s">
        <v>1257</v>
      </c>
      <c r="X231" t="s">
        <v>991</v>
      </c>
      <c r="Y231" t="s">
        <v>784</v>
      </c>
      <c r="Z231" t="s">
        <v>1986</v>
      </c>
      <c r="AA231" t="s">
        <v>921</v>
      </c>
      <c r="AB231" t="s">
        <v>782</v>
      </c>
      <c r="AC231" t="s">
        <v>2043</v>
      </c>
      <c r="AD231" t="s">
        <v>969</v>
      </c>
    </row>
    <row r="232" spans="1:30">
      <c r="A232" t="s">
        <v>44</v>
      </c>
      <c r="B232" t="s">
        <v>325</v>
      </c>
      <c r="C232" t="s">
        <v>819</v>
      </c>
      <c r="D232" t="s">
        <v>1208</v>
      </c>
      <c r="E232" t="s">
        <v>1056</v>
      </c>
      <c r="F232" t="s">
        <v>776</v>
      </c>
      <c r="G232" t="s">
        <v>801</v>
      </c>
      <c r="H232" t="s">
        <v>971</v>
      </c>
      <c r="I232" t="s">
        <v>803</v>
      </c>
      <c r="J232" t="s">
        <v>863</v>
      </c>
      <c r="K232" t="s">
        <v>776</v>
      </c>
      <c r="L232" t="s">
        <v>880</v>
      </c>
      <c r="M232" t="s">
        <v>825</v>
      </c>
      <c r="N232" t="s">
        <v>1030</v>
      </c>
      <c r="O232" t="s">
        <v>803</v>
      </c>
      <c r="P232" t="s">
        <v>2044</v>
      </c>
      <c r="Q232" t="s">
        <v>1048</v>
      </c>
      <c r="R232" t="s">
        <v>2045</v>
      </c>
      <c r="S232" t="s">
        <v>2046</v>
      </c>
      <c r="T232" t="s">
        <v>1022</v>
      </c>
      <c r="U232" t="s">
        <v>2047</v>
      </c>
      <c r="V232" t="s">
        <v>1567</v>
      </c>
      <c r="W232" t="s">
        <v>1333</v>
      </c>
      <c r="X232" t="s">
        <v>1905</v>
      </c>
      <c r="Y232" t="s">
        <v>1094</v>
      </c>
      <c r="Z232" t="s">
        <v>1890</v>
      </c>
      <c r="AA232" t="s">
        <v>2048</v>
      </c>
      <c r="AB232" t="s">
        <v>926</v>
      </c>
      <c r="AC232" t="s">
        <v>2049</v>
      </c>
      <c r="AD232" t="s">
        <v>2050</v>
      </c>
    </row>
    <row r="233" spans="1:30">
      <c r="A233" t="s">
        <v>44</v>
      </c>
      <c r="B233" t="s">
        <v>352</v>
      </c>
      <c r="C233" t="s">
        <v>841</v>
      </c>
      <c r="D233" t="s">
        <v>1208</v>
      </c>
      <c r="E233" t="s">
        <v>1757</v>
      </c>
      <c r="F233" t="s">
        <v>775</v>
      </c>
      <c r="G233" t="s">
        <v>824</v>
      </c>
      <c r="H233" t="s">
        <v>846</v>
      </c>
      <c r="I233" t="s">
        <v>803</v>
      </c>
      <c r="J233" t="s">
        <v>846</v>
      </c>
      <c r="K233" t="s">
        <v>1232</v>
      </c>
      <c r="L233" t="s">
        <v>968</v>
      </c>
      <c r="M233" t="s">
        <v>858</v>
      </c>
      <c r="N233" t="s">
        <v>825</v>
      </c>
      <c r="O233" t="s">
        <v>803</v>
      </c>
      <c r="P233" t="s">
        <v>1460</v>
      </c>
      <c r="Q233" t="s">
        <v>1377</v>
      </c>
      <c r="R233" t="s">
        <v>2051</v>
      </c>
      <c r="S233" t="s">
        <v>2052</v>
      </c>
      <c r="T233" t="s">
        <v>1188</v>
      </c>
      <c r="U233" t="s">
        <v>1652</v>
      </c>
      <c r="V233" t="s">
        <v>1052</v>
      </c>
      <c r="W233" t="s">
        <v>1432</v>
      </c>
      <c r="X233" t="s">
        <v>835</v>
      </c>
      <c r="Y233" t="s">
        <v>1785</v>
      </c>
      <c r="Z233" t="s">
        <v>874</v>
      </c>
      <c r="AA233" t="s">
        <v>2053</v>
      </c>
      <c r="AB233" t="s">
        <v>823</v>
      </c>
      <c r="AC233" t="s">
        <v>2054</v>
      </c>
      <c r="AD233" t="s">
        <v>2016</v>
      </c>
    </row>
    <row r="234" spans="1:30">
      <c r="A234" t="s">
        <v>44</v>
      </c>
      <c r="B234" t="s">
        <v>43</v>
      </c>
      <c r="C234" t="s">
        <v>1068</v>
      </c>
      <c r="D234" t="s">
        <v>1208</v>
      </c>
      <c r="E234" t="s">
        <v>2055</v>
      </c>
      <c r="F234" t="s">
        <v>825</v>
      </c>
      <c r="G234" t="s">
        <v>895</v>
      </c>
      <c r="H234" t="s">
        <v>821</v>
      </c>
      <c r="I234" t="s">
        <v>803</v>
      </c>
      <c r="J234" t="s">
        <v>822</v>
      </c>
      <c r="K234" t="s">
        <v>862</v>
      </c>
      <c r="L234" t="s">
        <v>1198</v>
      </c>
      <c r="M234" t="s">
        <v>971</v>
      </c>
      <c r="N234" t="s">
        <v>776</v>
      </c>
      <c r="O234" t="s">
        <v>845</v>
      </c>
      <c r="P234" t="s">
        <v>1682</v>
      </c>
      <c r="Q234" t="s">
        <v>1031</v>
      </c>
      <c r="R234" t="s">
        <v>1504</v>
      </c>
      <c r="S234" t="s">
        <v>1643</v>
      </c>
      <c r="T234" t="s">
        <v>1020</v>
      </c>
      <c r="U234" t="s">
        <v>1725</v>
      </c>
      <c r="V234" t="s">
        <v>1545</v>
      </c>
      <c r="W234" t="s">
        <v>1257</v>
      </c>
      <c r="X234" t="s">
        <v>1905</v>
      </c>
      <c r="Y234" t="s">
        <v>1860</v>
      </c>
      <c r="Z234" t="s">
        <v>1425</v>
      </c>
      <c r="AA234" t="s">
        <v>2056</v>
      </c>
      <c r="AB234" t="s">
        <v>779</v>
      </c>
      <c r="AC234" t="s">
        <v>2054</v>
      </c>
      <c r="AD234" t="s">
        <v>2057</v>
      </c>
    </row>
    <row r="235" spans="1:30">
      <c r="A235" t="s">
        <v>44</v>
      </c>
      <c r="B235" t="s">
        <v>2058</v>
      </c>
      <c r="C235" t="s">
        <v>879</v>
      </c>
      <c r="D235" t="s">
        <v>1208</v>
      </c>
      <c r="E235" t="s">
        <v>800</v>
      </c>
      <c r="F235" t="s">
        <v>796</v>
      </c>
      <c r="G235" t="s">
        <v>842</v>
      </c>
      <c r="H235" t="s">
        <v>846</v>
      </c>
      <c r="I235" t="s">
        <v>778</v>
      </c>
      <c r="J235" t="s">
        <v>845</v>
      </c>
      <c r="K235" t="s">
        <v>863</v>
      </c>
      <c r="L235" t="s">
        <v>1158</v>
      </c>
      <c r="M235" t="s">
        <v>780</v>
      </c>
      <c r="N235" t="s">
        <v>776</v>
      </c>
      <c r="O235" t="s">
        <v>821</v>
      </c>
      <c r="P235" t="s">
        <v>1934</v>
      </c>
      <c r="Q235" t="s">
        <v>875</v>
      </c>
      <c r="R235" t="s">
        <v>1054</v>
      </c>
      <c r="S235" t="s">
        <v>1748</v>
      </c>
      <c r="T235" t="s">
        <v>831</v>
      </c>
      <c r="U235" t="s">
        <v>2059</v>
      </c>
      <c r="V235" t="s">
        <v>790</v>
      </c>
      <c r="W235" t="s">
        <v>1860</v>
      </c>
      <c r="X235" t="s">
        <v>1295</v>
      </c>
      <c r="Y235" t="s">
        <v>1764</v>
      </c>
      <c r="Z235" t="s">
        <v>1156</v>
      </c>
      <c r="AA235" t="s">
        <v>1218</v>
      </c>
      <c r="AB235" t="s">
        <v>863</v>
      </c>
      <c r="AC235" t="s">
        <v>797</v>
      </c>
      <c r="AD235" t="s">
        <v>2060</v>
      </c>
    </row>
    <row r="236" spans="1:30">
      <c r="A236" t="s">
        <v>44</v>
      </c>
      <c r="B236" t="s">
        <v>301</v>
      </c>
      <c r="C236" t="s">
        <v>841</v>
      </c>
      <c r="D236" t="s">
        <v>1015</v>
      </c>
      <c r="E236" t="s">
        <v>1496</v>
      </c>
      <c r="F236" t="s">
        <v>796</v>
      </c>
      <c r="G236" t="s">
        <v>773</v>
      </c>
      <c r="H236" t="s">
        <v>858</v>
      </c>
      <c r="I236" t="s">
        <v>778</v>
      </c>
      <c r="J236" t="s">
        <v>845</v>
      </c>
      <c r="K236" t="s">
        <v>796</v>
      </c>
      <c r="L236" t="s">
        <v>1449</v>
      </c>
      <c r="M236" t="s">
        <v>821</v>
      </c>
      <c r="N236" t="s">
        <v>775</v>
      </c>
      <c r="O236" t="s">
        <v>803</v>
      </c>
      <c r="P236" t="s">
        <v>1137</v>
      </c>
      <c r="Q236" t="s">
        <v>1173</v>
      </c>
      <c r="R236" t="s">
        <v>2061</v>
      </c>
      <c r="S236" t="s">
        <v>1394</v>
      </c>
      <c r="T236" t="s">
        <v>850</v>
      </c>
      <c r="U236" t="s">
        <v>1887</v>
      </c>
      <c r="V236" t="s">
        <v>1120</v>
      </c>
      <c r="W236" t="s">
        <v>1163</v>
      </c>
      <c r="X236" t="s">
        <v>1854</v>
      </c>
      <c r="Y236" t="s">
        <v>1155</v>
      </c>
      <c r="Z236" t="s">
        <v>2062</v>
      </c>
      <c r="AA236" t="s">
        <v>1157</v>
      </c>
      <c r="AB236" t="s">
        <v>823</v>
      </c>
      <c r="AC236" t="s">
        <v>1300</v>
      </c>
      <c r="AD236" t="s">
        <v>1717</v>
      </c>
    </row>
    <row r="237" spans="1:30">
      <c r="A237" t="s">
        <v>44</v>
      </c>
      <c r="B237" t="s">
        <v>2063</v>
      </c>
      <c r="C237" t="s">
        <v>1079</v>
      </c>
      <c r="D237" t="s">
        <v>1015</v>
      </c>
      <c r="E237" t="s">
        <v>859</v>
      </c>
      <c r="F237" t="s">
        <v>782</v>
      </c>
      <c r="G237" t="s">
        <v>1221</v>
      </c>
      <c r="H237" t="s">
        <v>777</v>
      </c>
      <c r="I237" t="s">
        <v>803</v>
      </c>
      <c r="J237" t="s">
        <v>821</v>
      </c>
      <c r="K237" t="s">
        <v>926</v>
      </c>
      <c r="L237" t="s">
        <v>1309</v>
      </c>
      <c r="M237" t="s">
        <v>821</v>
      </c>
      <c r="N237" t="s">
        <v>862</v>
      </c>
      <c r="O237" t="s">
        <v>845</v>
      </c>
      <c r="P237" t="s">
        <v>1271</v>
      </c>
      <c r="Q237" t="s">
        <v>1473</v>
      </c>
      <c r="R237" t="s">
        <v>2064</v>
      </c>
      <c r="S237" t="s">
        <v>2065</v>
      </c>
      <c r="T237" t="s">
        <v>810</v>
      </c>
    </row>
    <row r="238" spans="1:30">
      <c r="A238" t="s">
        <v>44</v>
      </c>
      <c r="B238" t="s">
        <v>320</v>
      </c>
      <c r="C238" t="s">
        <v>879</v>
      </c>
      <c r="D238" t="s">
        <v>842</v>
      </c>
      <c r="E238" t="s">
        <v>1975</v>
      </c>
      <c r="F238" t="s">
        <v>782</v>
      </c>
      <c r="G238" t="s">
        <v>1232</v>
      </c>
      <c r="H238" t="s">
        <v>822</v>
      </c>
      <c r="I238" t="s">
        <v>778</v>
      </c>
      <c r="J238" t="s">
        <v>803</v>
      </c>
      <c r="K238" t="s">
        <v>846</v>
      </c>
      <c r="L238" t="s">
        <v>805</v>
      </c>
      <c r="M238" t="s">
        <v>863</v>
      </c>
      <c r="N238" t="s">
        <v>776</v>
      </c>
      <c r="O238" t="s">
        <v>778</v>
      </c>
      <c r="P238" t="s">
        <v>897</v>
      </c>
      <c r="Q238" t="s">
        <v>1420</v>
      </c>
      <c r="R238" t="s">
        <v>2066</v>
      </c>
      <c r="S238" t="s">
        <v>2067</v>
      </c>
      <c r="T238" t="s">
        <v>885</v>
      </c>
      <c r="U238" t="s">
        <v>871</v>
      </c>
      <c r="V238" t="s">
        <v>1273</v>
      </c>
      <c r="W238" t="s">
        <v>1669</v>
      </c>
      <c r="X238" t="s">
        <v>1854</v>
      </c>
      <c r="Y238" t="s">
        <v>1560</v>
      </c>
      <c r="Z238" t="s">
        <v>1513</v>
      </c>
      <c r="AA238" t="s">
        <v>1341</v>
      </c>
      <c r="AB238" t="s">
        <v>777</v>
      </c>
      <c r="AC238" t="s">
        <v>1414</v>
      </c>
      <c r="AD238" t="s">
        <v>939</v>
      </c>
    </row>
    <row r="239" spans="1:30">
      <c r="A239" t="s">
        <v>44</v>
      </c>
      <c r="B239" t="s">
        <v>149</v>
      </c>
      <c r="C239" t="s">
        <v>819</v>
      </c>
      <c r="D239" t="s">
        <v>805</v>
      </c>
      <c r="E239" t="s">
        <v>954</v>
      </c>
      <c r="F239" t="s">
        <v>782</v>
      </c>
      <c r="G239" t="s">
        <v>925</v>
      </c>
      <c r="H239" t="s">
        <v>845</v>
      </c>
      <c r="I239" t="s">
        <v>803</v>
      </c>
      <c r="J239" t="s">
        <v>777</v>
      </c>
      <c r="K239" t="s">
        <v>862</v>
      </c>
      <c r="L239" t="s">
        <v>824</v>
      </c>
      <c r="M239" t="s">
        <v>845</v>
      </c>
      <c r="N239" t="s">
        <v>863</v>
      </c>
      <c r="O239" t="s">
        <v>803</v>
      </c>
      <c r="P239" t="s">
        <v>1452</v>
      </c>
      <c r="Q239" t="s">
        <v>1824</v>
      </c>
      <c r="R239" t="s">
        <v>2038</v>
      </c>
      <c r="S239" t="s">
        <v>2068</v>
      </c>
      <c r="T239" t="s">
        <v>1096</v>
      </c>
      <c r="U239" t="s">
        <v>1674</v>
      </c>
      <c r="V239" t="s">
        <v>1853</v>
      </c>
      <c r="W239" t="s">
        <v>1469</v>
      </c>
      <c r="X239" t="s">
        <v>1332</v>
      </c>
      <c r="Y239" t="s">
        <v>1005</v>
      </c>
      <c r="Z239" t="s">
        <v>1111</v>
      </c>
      <c r="AA239" t="s">
        <v>1357</v>
      </c>
      <c r="AB239" t="s">
        <v>821</v>
      </c>
      <c r="AC239" t="s">
        <v>1980</v>
      </c>
      <c r="AD239" t="s">
        <v>1057</v>
      </c>
    </row>
    <row r="240" spans="1:30">
      <c r="A240" t="s">
        <v>44</v>
      </c>
      <c r="B240" t="s">
        <v>2069</v>
      </c>
      <c r="C240" t="s">
        <v>879</v>
      </c>
      <c r="D240" t="s">
        <v>1232</v>
      </c>
      <c r="E240" t="s">
        <v>824</v>
      </c>
      <c r="F240" t="s">
        <v>846</v>
      </c>
      <c r="G240" t="s">
        <v>858</v>
      </c>
      <c r="H240" t="s">
        <v>778</v>
      </c>
      <c r="I240" t="s">
        <v>803</v>
      </c>
      <c r="J240" t="s">
        <v>845</v>
      </c>
      <c r="K240" t="s">
        <v>821</v>
      </c>
      <c r="L240" t="s">
        <v>796</v>
      </c>
      <c r="M240" t="s">
        <v>778</v>
      </c>
      <c r="N240" t="s">
        <v>821</v>
      </c>
      <c r="O240" t="s">
        <v>803</v>
      </c>
      <c r="P240" t="s">
        <v>1270</v>
      </c>
      <c r="Q240" t="s">
        <v>1053</v>
      </c>
      <c r="R240" t="s">
        <v>1598</v>
      </c>
      <c r="S240" t="s">
        <v>1278</v>
      </c>
      <c r="T240" t="s">
        <v>1020</v>
      </c>
      <c r="U240" t="s">
        <v>947</v>
      </c>
      <c r="V240" t="s">
        <v>1626</v>
      </c>
      <c r="W240" t="s">
        <v>1459</v>
      </c>
      <c r="X240" t="s">
        <v>1192</v>
      </c>
      <c r="Y240" t="s">
        <v>1270</v>
      </c>
      <c r="Z240" t="s">
        <v>1005</v>
      </c>
      <c r="AA240" t="s">
        <v>2070</v>
      </c>
      <c r="AB240" t="s">
        <v>822</v>
      </c>
      <c r="AC240" t="s">
        <v>1198</v>
      </c>
      <c r="AD240" t="s">
        <v>1599</v>
      </c>
    </row>
    <row r="241" spans="1:30">
      <c r="A241" t="s">
        <v>44</v>
      </c>
      <c r="B241" t="s">
        <v>2071</v>
      </c>
      <c r="C241" t="s">
        <v>536</v>
      </c>
      <c r="D241" t="s">
        <v>779</v>
      </c>
      <c r="E241" t="s">
        <v>1221</v>
      </c>
      <c r="F241" t="s">
        <v>845</v>
      </c>
      <c r="G241" t="s">
        <v>858</v>
      </c>
      <c r="H241" t="s">
        <v>822</v>
      </c>
      <c r="I241" t="s">
        <v>803</v>
      </c>
      <c r="J241" t="s">
        <v>803</v>
      </c>
      <c r="K241" t="s">
        <v>845</v>
      </c>
      <c r="L241" t="s">
        <v>823</v>
      </c>
      <c r="M241" t="s">
        <v>777</v>
      </c>
      <c r="N241" t="s">
        <v>846</v>
      </c>
      <c r="O241" t="s">
        <v>803</v>
      </c>
      <c r="P241" t="s">
        <v>865</v>
      </c>
      <c r="Q241" t="s">
        <v>1543</v>
      </c>
      <c r="R241" t="s">
        <v>956</v>
      </c>
      <c r="S241" t="s">
        <v>1544</v>
      </c>
      <c r="T241" t="s">
        <v>885</v>
      </c>
      <c r="U241" t="s">
        <v>1638</v>
      </c>
      <c r="V241" t="s">
        <v>1345</v>
      </c>
      <c r="W241" t="s">
        <v>1471</v>
      </c>
      <c r="X241" t="s">
        <v>1957</v>
      </c>
      <c r="Y241" t="s">
        <v>1002</v>
      </c>
      <c r="Z241" t="s">
        <v>865</v>
      </c>
      <c r="AA241" t="s">
        <v>2072</v>
      </c>
      <c r="AB241" t="s">
        <v>822</v>
      </c>
      <c r="AC241" t="s">
        <v>801</v>
      </c>
      <c r="AD241" t="s">
        <v>939</v>
      </c>
    </row>
    <row r="242" spans="1:30">
      <c r="A242" t="s">
        <v>44</v>
      </c>
      <c r="B242" t="s">
        <v>2073</v>
      </c>
      <c r="C242" t="s">
        <v>772</v>
      </c>
      <c r="D242" t="s">
        <v>825</v>
      </c>
      <c r="E242" t="s">
        <v>773</v>
      </c>
      <c r="F242" t="s">
        <v>779</v>
      </c>
      <c r="G242" t="s">
        <v>863</v>
      </c>
      <c r="H242" t="s">
        <v>778</v>
      </c>
      <c r="I242" t="s">
        <v>803</v>
      </c>
      <c r="J242" t="s">
        <v>778</v>
      </c>
      <c r="K242" t="s">
        <v>822</v>
      </c>
      <c r="L242" t="s">
        <v>971</v>
      </c>
      <c r="M242" t="s">
        <v>845</v>
      </c>
      <c r="N242" t="s">
        <v>971</v>
      </c>
      <c r="O242" t="s">
        <v>845</v>
      </c>
      <c r="P242" t="s">
        <v>986</v>
      </c>
      <c r="Q242" t="s">
        <v>956</v>
      </c>
      <c r="R242" t="s">
        <v>1013</v>
      </c>
      <c r="S242" t="s">
        <v>2074</v>
      </c>
      <c r="T242" t="s">
        <v>1337</v>
      </c>
      <c r="U242" t="s">
        <v>1638</v>
      </c>
      <c r="V242" t="s">
        <v>1381</v>
      </c>
      <c r="W242" t="s">
        <v>990</v>
      </c>
      <c r="X242" t="s">
        <v>1192</v>
      </c>
      <c r="Y242" t="s">
        <v>992</v>
      </c>
      <c r="Z242" t="s">
        <v>1199</v>
      </c>
      <c r="AA242" t="s">
        <v>1835</v>
      </c>
      <c r="AB242" t="s">
        <v>845</v>
      </c>
      <c r="AC242" t="s">
        <v>1221</v>
      </c>
      <c r="AD242" t="s">
        <v>1288</v>
      </c>
    </row>
    <row r="243" spans="1:30">
      <c r="A243" t="s">
        <v>44</v>
      </c>
      <c r="B243" t="s">
        <v>2075</v>
      </c>
      <c r="C243" t="s">
        <v>841</v>
      </c>
      <c r="D243" t="s">
        <v>846</v>
      </c>
      <c r="E243" t="s">
        <v>821</v>
      </c>
      <c r="F243" t="s">
        <v>778</v>
      </c>
      <c r="G243" t="s">
        <v>845</v>
      </c>
      <c r="H243" t="s">
        <v>778</v>
      </c>
      <c r="I243" t="s">
        <v>803</v>
      </c>
      <c r="J243" t="s">
        <v>803</v>
      </c>
      <c r="K243" t="s">
        <v>822</v>
      </c>
      <c r="L243" t="s">
        <v>822</v>
      </c>
      <c r="M243" t="s">
        <v>803</v>
      </c>
      <c r="N243" t="s">
        <v>803</v>
      </c>
      <c r="O243" t="s">
        <v>803</v>
      </c>
      <c r="P243" t="s">
        <v>956</v>
      </c>
      <c r="Q243" t="s">
        <v>986</v>
      </c>
      <c r="R243" t="s">
        <v>1312</v>
      </c>
      <c r="S243" t="s">
        <v>1810</v>
      </c>
      <c r="T243" t="s">
        <v>939</v>
      </c>
      <c r="U243" t="s">
        <v>1051</v>
      </c>
      <c r="V243" t="s">
        <v>871</v>
      </c>
      <c r="W243" t="s">
        <v>1008</v>
      </c>
      <c r="X243" t="s">
        <v>1009</v>
      </c>
      <c r="Y243" t="s">
        <v>1217</v>
      </c>
      <c r="Z243" t="s">
        <v>1217</v>
      </c>
      <c r="AA243" t="s">
        <v>2076</v>
      </c>
      <c r="AB243" t="s">
        <v>778</v>
      </c>
      <c r="AC243" t="s">
        <v>858</v>
      </c>
      <c r="AD243" t="s">
        <v>939</v>
      </c>
    </row>
    <row r="244" spans="1:30">
      <c r="A244" t="s">
        <v>44</v>
      </c>
      <c r="B244" t="s">
        <v>2077</v>
      </c>
      <c r="C244" t="s">
        <v>772</v>
      </c>
      <c r="D244" t="s">
        <v>845</v>
      </c>
      <c r="E244" t="s">
        <v>803</v>
      </c>
      <c r="F244" t="s">
        <v>803</v>
      </c>
      <c r="G244" t="s">
        <v>803</v>
      </c>
      <c r="H244" t="s">
        <v>803</v>
      </c>
      <c r="I244" t="s">
        <v>803</v>
      </c>
      <c r="J244" t="s">
        <v>803</v>
      </c>
      <c r="K244" t="s">
        <v>803</v>
      </c>
      <c r="L244" t="s">
        <v>803</v>
      </c>
      <c r="M244" t="s">
        <v>778</v>
      </c>
      <c r="N244" t="s">
        <v>803</v>
      </c>
      <c r="O244" t="s">
        <v>803</v>
      </c>
      <c r="P244" t="s">
        <v>1008</v>
      </c>
      <c r="Q244" t="s">
        <v>1494</v>
      </c>
      <c r="R244" t="s">
        <v>1008</v>
      </c>
      <c r="S244" t="s">
        <v>1494</v>
      </c>
      <c r="T244" t="s">
        <v>885</v>
      </c>
      <c r="U244" t="s">
        <v>1337</v>
      </c>
      <c r="V244" t="s">
        <v>939</v>
      </c>
      <c r="W244" t="s">
        <v>1494</v>
      </c>
      <c r="X244" t="s">
        <v>1009</v>
      </c>
      <c r="Y244" t="s">
        <v>1008</v>
      </c>
      <c r="Z244" t="s">
        <v>1008</v>
      </c>
      <c r="AA244" t="s">
        <v>1218</v>
      </c>
      <c r="AB244" t="s">
        <v>803</v>
      </c>
      <c r="AC244" t="s">
        <v>778</v>
      </c>
      <c r="AD244" t="s">
        <v>939</v>
      </c>
    </row>
    <row r="245" spans="1:30">
      <c r="A245" t="s">
        <v>30</v>
      </c>
      <c r="B245" t="s">
        <v>235</v>
      </c>
      <c r="C245" t="s">
        <v>1079</v>
      </c>
      <c r="D245" t="s">
        <v>773</v>
      </c>
      <c r="E245" t="s">
        <v>820</v>
      </c>
      <c r="F245" t="s">
        <v>862</v>
      </c>
      <c r="G245" t="s">
        <v>775</v>
      </c>
      <c r="H245" t="s">
        <v>845</v>
      </c>
      <c r="I245" t="s">
        <v>845</v>
      </c>
      <c r="J245" t="s">
        <v>778</v>
      </c>
      <c r="K245" t="s">
        <v>863</v>
      </c>
      <c r="L245" t="s">
        <v>773</v>
      </c>
      <c r="M245" t="s">
        <v>1232</v>
      </c>
      <c r="N245" t="s">
        <v>842</v>
      </c>
      <c r="O245" t="s">
        <v>823</v>
      </c>
      <c r="P245" t="s">
        <v>1710</v>
      </c>
      <c r="Q245" t="s">
        <v>965</v>
      </c>
      <c r="R245" t="s">
        <v>2031</v>
      </c>
      <c r="S245" t="s">
        <v>2078</v>
      </c>
      <c r="T245" t="s">
        <v>946</v>
      </c>
      <c r="U245" t="s">
        <v>2079</v>
      </c>
      <c r="V245" t="s">
        <v>1564</v>
      </c>
      <c r="W245" t="s">
        <v>952</v>
      </c>
      <c r="X245" t="s">
        <v>1172</v>
      </c>
      <c r="Y245" t="s">
        <v>2080</v>
      </c>
      <c r="Z245" t="s">
        <v>1609</v>
      </c>
      <c r="AA245" t="s">
        <v>1891</v>
      </c>
      <c r="AB245" t="s">
        <v>846</v>
      </c>
      <c r="AC245" t="s">
        <v>1580</v>
      </c>
      <c r="AD245" t="s">
        <v>2081</v>
      </c>
    </row>
    <row r="246" spans="1:30">
      <c r="A246" t="s">
        <v>30</v>
      </c>
      <c r="B246" t="s">
        <v>446</v>
      </c>
      <c r="C246" t="s">
        <v>772</v>
      </c>
      <c r="D246" t="s">
        <v>773</v>
      </c>
      <c r="E246" t="s">
        <v>1574</v>
      </c>
      <c r="F246" t="s">
        <v>926</v>
      </c>
      <c r="G246" t="s">
        <v>824</v>
      </c>
      <c r="H246" t="s">
        <v>821</v>
      </c>
      <c r="I246" t="s">
        <v>845</v>
      </c>
      <c r="J246" t="s">
        <v>778</v>
      </c>
      <c r="K246" t="s">
        <v>779</v>
      </c>
      <c r="L246" t="s">
        <v>1391</v>
      </c>
      <c r="M246" t="s">
        <v>825</v>
      </c>
      <c r="N246" t="s">
        <v>825</v>
      </c>
      <c r="O246" t="s">
        <v>777</v>
      </c>
      <c r="P246" t="s">
        <v>1505</v>
      </c>
      <c r="Q246" t="s">
        <v>1311</v>
      </c>
      <c r="R246" t="s">
        <v>1689</v>
      </c>
      <c r="S246" t="s">
        <v>2082</v>
      </c>
      <c r="T246" t="s">
        <v>1051</v>
      </c>
      <c r="U246" t="s">
        <v>1499</v>
      </c>
      <c r="V246" t="s">
        <v>1355</v>
      </c>
      <c r="W246" t="s">
        <v>1768</v>
      </c>
      <c r="X246" t="s">
        <v>1464</v>
      </c>
      <c r="Y246" t="s">
        <v>1768</v>
      </c>
      <c r="Z246" t="s">
        <v>2029</v>
      </c>
      <c r="AA246" t="s">
        <v>1367</v>
      </c>
      <c r="AB246" t="s">
        <v>779</v>
      </c>
      <c r="AC246" t="s">
        <v>1515</v>
      </c>
      <c r="AD246" t="s">
        <v>2083</v>
      </c>
    </row>
    <row r="247" spans="1:30">
      <c r="A247" t="s">
        <v>30</v>
      </c>
      <c r="B247" t="s">
        <v>350</v>
      </c>
      <c r="C247" t="s">
        <v>841</v>
      </c>
      <c r="D247" t="s">
        <v>1015</v>
      </c>
      <c r="E247" t="s">
        <v>1574</v>
      </c>
      <c r="F247" t="s">
        <v>775</v>
      </c>
      <c r="G247" t="s">
        <v>864</v>
      </c>
      <c r="H247" t="s">
        <v>846</v>
      </c>
      <c r="I247" t="s">
        <v>845</v>
      </c>
      <c r="J247" t="s">
        <v>822</v>
      </c>
      <c r="K247" t="s">
        <v>971</v>
      </c>
      <c r="L247" t="s">
        <v>955</v>
      </c>
      <c r="M247" t="s">
        <v>821</v>
      </c>
      <c r="N247" t="s">
        <v>926</v>
      </c>
      <c r="O247" t="s">
        <v>777</v>
      </c>
      <c r="P247" t="s">
        <v>1185</v>
      </c>
      <c r="Q247" t="s">
        <v>1473</v>
      </c>
      <c r="R247" t="s">
        <v>2084</v>
      </c>
      <c r="S247" t="s">
        <v>1292</v>
      </c>
      <c r="T247" t="s">
        <v>1035</v>
      </c>
      <c r="U247" t="s">
        <v>2085</v>
      </c>
      <c r="V247" t="s">
        <v>1107</v>
      </c>
      <c r="W247" t="s">
        <v>1489</v>
      </c>
      <c r="X247" t="s">
        <v>950</v>
      </c>
      <c r="Y247" t="s">
        <v>1026</v>
      </c>
      <c r="Z247" t="s">
        <v>1161</v>
      </c>
      <c r="AA247" t="s">
        <v>2070</v>
      </c>
      <c r="AB247" t="s">
        <v>823</v>
      </c>
      <c r="AC247" t="s">
        <v>1757</v>
      </c>
      <c r="AD247" t="s">
        <v>894</v>
      </c>
    </row>
    <row r="248" spans="1:30">
      <c r="A248" t="s">
        <v>30</v>
      </c>
      <c r="B248" t="s">
        <v>29</v>
      </c>
      <c r="C248" t="s">
        <v>536</v>
      </c>
      <c r="D248" t="s">
        <v>842</v>
      </c>
      <c r="E248" t="s">
        <v>1066</v>
      </c>
      <c r="F248" t="s">
        <v>802</v>
      </c>
      <c r="G248" t="s">
        <v>895</v>
      </c>
      <c r="H248" t="s">
        <v>846</v>
      </c>
      <c r="I248" t="s">
        <v>778</v>
      </c>
      <c r="J248" t="s">
        <v>845</v>
      </c>
      <c r="K248" t="s">
        <v>971</v>
      </c>
      <c r="L248" t="s">
        <v>824</v>
      </c>
      <c r="M248" t="s">
        <v>779</v>
      </c>
      <c r="N248" t="s">
        <v>844</v>
      </c>
      <c r="O248" t="s">
        <v>845</v>
      </c>
      <c r="P248" t="s">
        <v>1018</v>
      </c>
      <c r="Q248" t="s">
        <v>1156</v>
      </c>
      <c r="R248" t="s">
        <v>2086</v>
      </c>
      <c r="S248" t="s">
        <v>1095</v>
      </c>
      <c r="T248" t="s">
        <v>1119</v>
      </c>
      <c r="U248" t="s">
        <v>2087</v>
      </c>
      <c r="V248" t="s">
        <v>1545</v>
      </c>
      <c r="W248" t="s">
        <v>791</v>
      </c>
      <c r="X248" t="s">
        <v>904</v>
      </c>
      <c r="Y248" t="s">
        <v>1592</v>
      </c>
      <c r="Z248" t="s">
        <v>1018</v>
      </c>
      <c r="AA248" t="s">
        <v>1334</v>
      </c>
      <c r="AB248" t="s">
        <v>863</v>
      </c>
      <c r="AC248" t="s">
        <v>800</v>
      </c>
      <c r="AD248" t="s">
        <v>2088</v>
      </c>
    </row>
    <row r="249" spans="1:30">
      <c r="A249" t="s">
        <v>30</v>
      </c>
      <c r="B249" t="s">
        <v>288</v>
      </c>
      <c r="C249" t="s">
        <v>536</v>
      </c>
      <c r="D249" t="s">
        <v>1015</v>
      </c>
      <c r="E249" t="s">
        <v>1220</v>
      </c>
      <c r="F249" t="s">
        <v>1232</v>
      </c>
      <c r="G249" t="s">
        <v>1015</v>
      </c>
      <c r="H249" t="s">
        <v>822</v>
      </c>
      <c r="I249" t="s">
        <v>803</v>
      </c>
      <c r="J249" t="s">
        <v>846</v>
      </c>
      <c r="K249" t="s">
        <v>844</v>
      </c>
      <c r="L249" t="s">
        <v>1147</v>
      </c>
      <c r="M249" t="s">
        <v>846</v>
      </c>
      <c r="N249" t="s">
        <v>821</v>
      </c>
      <c r="O249" t="s">
        <v>778</v>
      </c>
      <c r="P249" t="s">
        <v>1185</v>
      </c>
      <c r="Q249" t="s">
        <v>1032</v>
      </c>
      <c r="R249" t="s">
        <v>2089</v>
      </c>
      <c r="S249" t="s">
        <v>2090</v>
      </c>
      <c r="T249" t="s">
        <v>850</v>
      </c>
      <c r="U249" t="s">
        <v>2012</v>
      </c>
      <c r="V249" t="s">
        <v>1133</v>
      </c>
      <c r="W249" t="s">
        <v>1305</v>
      </c>
      <c r="X249" t="s">
        <v>1838</v>
      </c>
      <c r="Y249" t="s">
        <v>1682</v>
      </c>
      <c r="Z249" t="s">
        <v>1318</v>
      </c>
      <c r="AA249" t="s">
        <v>1666</v>
      </c>
      <c r="AB249" t="s">
        <v>863</v>
      </c>
      <c r="AC249" t="s">
        <v>1183</v>
      </c>
      <c r="AD249" t="s">
        <v>2091</v>
      </c>
    </row>
    <row r="250" spans="1:30">
      <c r="A250" t="s">
        <v>30</v>
      </c>
      <c r="B250" t="s">
        <v>128</v>
      </c>
      <c r="C250" t="s">
        <v>1068</v>
      </c>
      <c r="D250" t="s">
        <v>776</v>
      </c>
      <c r="E250" t="s">
        <v>877</v>
      </c>
      <c r="F250" t="s">
        <v>858</v>
      </c>
      <c r="G250" t="s">
        <v>775</v>
      </c>
      <c r="H250" t="s">
        <v>846</v>
      </c>
      <c r="I250" t="s">
        <v>803</v>
      </c>
      <c r="J250" t="s">
        <v>822</v>
      </c>
      <c r="K250" t="s">
        <v>823</v>
      </c>
      <c r="L250" t="s">
        <v>864</v>
      </c>
      <c r="M250" t="s">
        <v>779</v>
      </c>
      <c r="N250" t="s">
        <v>1015</v>
      </c>
      <c r="O250" t="s">
        <v>803</v>
      </c>
      <c r="P250" t="s">
        <v>891</v>
      </c>
      <c r="Q250" t="s">
        <v>1173</v>
      </c>
      <c r="R250" t="s">
        <v>1961</v>
      </c>
      <c r="S250" t="s">
        <v>2092</v>
      </c>
      <c r="T250" t="s">
        <v>1020</v>
      </c>
      <c r="U250" t="s">
        <v>2093</v>
      </c>
      <c r="V250" t="s">
        <v>1381</v>
      </c>
      <c r="W250" t="s">
        <v>1865</v>
      </c>
      <c r="X250" t="s">
        <v>1179</v>
      </c>
      <c r="Y250" t="s">
        <v>1069</v>
      </c>
      <c r="Z250" t="s">
        <v>793</v>
      </c>
      <c r="AA250" t="s">
        <v>1218</v>
      </c>
      <c r="AB250" t="s">
        <v>863</v>
      </c>
      <c r="AC250" t="s">
        <v>1091</v>
      </c>
      <c r="AD250" t="s">
        <v>2094</v>
      </c>
    </row>
    <row r="251" spans="1:30">
      <c r="A251" t="s">
        <v>30</v>
      </c>
      <c r="B251" t="s">
        <v>351</v>
      </c>
      <c r="C251" t="s">
        <v>879</v>
      </c>
      <c r="D251" t="s">
        <v>842</v>
      </c>
      <c r="E251" t="s">
        <v>893</v>
      </c>
      <c r="F251" t="s">
        <v>823</v>
      </c>
      <c r="G251" t="s">
        <v>862</v>
      </c>
      <c r="H251" t="s">
        <v>821</v>
      </c>
      <c r="I251" t="s">
        <v>803</v>
      </c>
      <c r="J251" t="s">
        <v>845</v>
      </c>
      <c r="K251" t="s">
        <v>796</v>
      </c>
      <c r="L251" t="s">
        <v>1208</v>
      </c>
      <c r="M251" t="s">
        <v>846</v>
      </c>
      <c r="N251" t="s">
        <v>824</v>
      </c>
      <c r="O251" t="s">
        <v>778</v>
      </c>
      <c r="P251" t="s">
        <v>2095</v>
      </c>
      <c r="Q251" t="s">
        <v>1536</v>
      </c>
      <c r="R251" t="s">
        <v>2096</v>
      </c>
      <c r="S251" t="s">
        <v>1637</v>
      </c>
      <c r="T251" t="s">
        <v>946</v>
      </c>
      <c r="U251" t="s">
        <v>1404</v>
      </c>
      <c r="V251" t="s">
        <v>833</v>
      </c>
      <c r="W251" t="s">
        <v>1935</v>
      </c>
      <c r="X251" t="s">
        <v>1447</v>
      </c>
      <c r="Y251" t="s">
        <v>1000</v>
      </c>
      <c r="Z251" t="s">
        <v>1479</v>
      </c>
      <c r="AA251" t="s">
        <v>2097</v>
      </c>
      <c r="AB251" t="s">
        <v>863</v>
      </c>
      <c r="AC251" t="s">
        <v>1220</v>
      </c>
      <c r="AD251" t="s">
        <v>1376</v>
      </c>
    </row>
    <row r="252" spans="1:30">
      <c r="A252" t="s">
        <v>30</v>
      </c>
      <c r="B252" t="s">
        <v>2098</v>
      </c>
      <c r="C252" t="s">
        <v>799</v>
      </c>
      <c r="D252" t="s">
        <v>925</v>
      </c>
      <c r="E252" t="s">
        <v>954</v>
      </c>
      <c r="F252" t="s">
        <v>777</v>
      </c>
      <c r="G252" t="s">
        <v>823</v>
      </c>
      <c r="H252" t="s">
        <v>803</v>
      </c>
      <c r="I252" t="s">
        <v>778</v>
      </c>
      <c r="J252" t="s">
        <v>803</v>
      </c>
      <c r="K252" t="s">
        <v>779</v>
      </c>
      <c r="L252" t="s">
        <v>971</v>
      </c>
      <c r="M252" t="s">
        <v>823</v>
      </c>
      <c r="N252" t="s">
        <v>796</v>
      </c>
      <c r="O252" t="s">
        <v>822</v>
      </c>
      <c r="P252" t="s">
        <v>813</v>
      </c>
      <c r="Q252" t="s">
        <v>1582</v>
      </c>
      <c r="R252" t="s">
        <v>929</v>
      </c>
      <c r="S252" t="s">
        <v>2099</v>
      </c>
      <c r="T252" t="s">
        <v>931</v>
      </c>
      <c r="U252" t="s">
        <v>1144</v>
      </c>
      <c r="V252" t="s">
        <v>1273</v>
      </c>
      <c r="W252" t="s">
        <v>1839</v>
      </c>
      <c r="X252" t="s">
        <v>964</v>
      </c>
      <c r="Y252" t="s">
        <v>1693</v>
      </c>
      <c r="Z252" t="s">
        <v>1005</v>
      </c>
      <c r="AA252" t="s">
        <v>1406</v>
      </c>
      <c r="AB252" t="s">
        <v>778</v>
      </c>
      <c r="AC252" t="s">
        <v>1351</v>
      </c>
      <c r="AD252" t="s">
        <v>939</v>
      </c>
    </row>
    <row r="253" spans="1:30">
      <c r="A253" t="s">
        <v>30</v>
      </c>
      <c r="B253" t="s">
        <v>184</v>
      </c>
      <c r="C253" t="s">
        <v>1068</v>
      </c>
      <c r="D253" t="s">
        <v>925</v>
      </c>
      <c r="E253" t="s">
        <v>1126</v>
      </c>
      <c r="F253" t="s">
        <v>858</v>
      </c>
      <c r="G253" t="s">
        <v>802</v>
      </c>
      <c r="H253" t="s">
        <v>821</v>
      </c>
      <c r="I253" t="s">
        <v>803</v>
      </c>
      <c r="J253" t="s">
        <v>778</v>
      </c>
      <c r="K253" t="s">
        <v>779</v>
      </c>
      <c r="L253" t="s">
        <v>925</v>
      </c>
      <c r="M253" t="s">
        <v>822</v>
      </c>
      <c r="N253" t="s">
        <v>862</v>
      </c>
      <c r="O253" t="s">
        <v>778</v>
      </c>
      <c r="P253" t="s">
        <v>1093</v>
      </c>
      <c r="Q253" t="s">
        <v>1111</v>
      </c>
      <c r="R253" t="s">
        <v>2086</v>
      </c>
      <c r="S253" t="s">
        <v>2100</v>
      </c>
      <c r="T253" t="s">
        <v>946</v>
      </c>
      <c r="U253" t="s">
        <v>989</v>
      </c>
      <c r="V253" t="s">
        <v>1691</v>
      </c>
      <c r="W253" t="s">
        <v>1668</v>
      </c>
      <c r="X253" t="s">
        <v>1602</v>
      </c>
      <c r="Y253" t="s">
        <v>1484</v>
      </c>
      <c r="Z253" t="s">
        <v>1093</v>
      </c>
      <c r="AA253" t="s">
        <v>2056</v>
      </c>
      <c r="AB253" t="s">
        <v>858</v>
      </c>
      <c r="AC253" t="s">
        <v>1243</v>
      </c>
      <c r="AD253" t="s">
        <v>2101</v>
      </c>
    </row>
    <row r="254" spans="1:30">
      <c r="A254" t="s">
        <v>30</v>
      </c>
      <c r="B254" t="s">
        <v>2102</v>
      </c>
      <c r="C254" t="s">
        <v>841</v>
      </c>
      <c r="D254" t="s">
        <v>926</v>
      </c>
      <c r="E254" t="s">
        <v>968</v>
      </c>
      <c r="F254" t="s">
        <v>778</v>
      </c>
      <c r="G254" t="s">
        <v>775</v>
      </c>
      <c r="H254" t="s">
        <v>822</v>
      </c>
      <c r="I254" t="s">
        <v>803</v>
      </c>
      <c r="J254" t="s">
        <v>803</v>
      </c>
      <c r="K254" t="s">
        <v>779</v>
      </c>
      <c r="L254" t="s">
        <v>925</v>
      </c>
      <c r="M254" t="s">
        <v>821</v>
      </c>
      <c r="N254" t="s">
        <v>821</v>
      </c>
      <c r="O254" t="s">
        <v>845</v>
      </c>
      <c r="P254" t="s">
        <v>816</v>
      </c>
      <c r="Q254" t="s">
        <v>1782</v>
      </c>
      <c r="R254" t="s">
        <v>957</v>
      </c>
      <c r="S254" t="s">
        <v>2103</v>
      </c>
      <c r="T254" t="s">
        <v>831</v>
      </c>
      <c r="U254" t="s">
        <v>2104</v>
      </c>
      <c r="V254" t="s">
        <v>999</v>
      </c>
      <c r="W254" t="s">
        <v>1257</v>
      </c>
      <c r="X254" t="s">
        <v>1464</v>
      </c>
      <c r="Y254" t="s">
        <v>2105</v>
      </c>
      <c r="Z254" t="s">
        <v>1283</v>
      </c>
      <c r="AA254" t="s">
        <v>1027</v>
      </c>
      <c r="AB254" t="s">
        <v>822</v>
      </c>
      <c r="AC254" t="s">
        <v>1251</v>
      </c>
      <c r="AD254" t="s">
        <v>939</v>
      </c>
    </row>
    <row r="255" spans="1:30">
      <c r="A255" t="s">
        <v>30</v>
      </c>
      <c r="B255" t="s">
        <v>2106</v>
      </c>
      <c r="C255" t="s">
        <v>799</v>
      </c>
      <c r="D255" t="s">
        <v>971</v>
      </c>
      <c r="E255" t="s">
        <v>895</v>
      </c>
      <c r="F255" t="s">
        <v>778</v>
      </c>
      <c r="G255" t="s">
        <v>777</v>
      </c>
      <c r="H255" t="s">
        <v>803</v>
      </c>
      <c r="I255" t="s">
        <v>803</v>
      </c>
      <c r="J255" t="s">
        <v>803</v>
      </c>
      <c r="K255" t="s">
        <v>778</v>
      </c>
      <c r="L255" t="s">
        <v>777</v>
      </c>
      <c r="M255" t="s">
        <v>777</v>
      </c>
      <c r="N255" t="s">
        <v>779</v>
      </c>
      <c r="O255" t="s">
        <v>778</v>
      </c>
      <c r="P255" t="s">
        <v>905</v>
      </c>
      <c r="Q255" t="s">
        <v>986</v>
      </c>
      <c r="R255" t="s">
        <v>905</v>
      </c>
      <c r="S255" t="s">
        <v>1401</v>
      </c>
      <c r="T255" t="s">
        <v>885</v>
      </c>
      <c r="U255" t="s">
        <v>1559</v>
      </c>
      <c r="V255" t="s">
        <v>1255</v>
      </c>
      <c r="W255" t="s">
        <v>992</v>
      </c>
      <c r="X255" t="s">
        <v>1340</v>
      </c>
      <c r="Y255" t="s">
        <v>1008</v>
      </c>
      <c r="Z255" t="s">
        <v>1093</v>
      </c>
      <c r="AA255" t="s">
        <v>1769</v>
      </c>
      <c r="AB255" t="s">
        <v>803</v>
      </c>
      <c r="AC255" t="s">
        <v>773</v>
      </c>
      <c r="AD255" t="s">
        <v>939</v>
      </c>
    </row>
    <row r="256" spans="1:30">
      <c r="A256" t="s">
        <v>30</v>
      </c>
      <c r="B256" t="s">
        <v>2107</v>
      </c>
      <c r="C256" t="s">
        <v>799</v>
      </c>
      <c r="D256" t="s">
        <v>782</v>
      </c>
      <c r="E256" t="s">
        <v>925</v>
      </c>
      <c r="F256" t="s">
        <v>821</v>
      </c>
      <c r="G256" t="s">
        <v>821</v>
      </c>
      <c r="H256" t="s">
        <v>778</v>
      </c>
      <c r="I256" t="s">
        <v>803</v>
      </c>
      <c r="J256" t="s">
        <v>845</v>
      </c>
      <c r="K256" t="s">
        <v>777</v>
      </c>
      <c r="L256" t="s">
        <v>802</v>
      </c>
      <c r="M256" t="s">
        <v>845</v>
      </c>
      <c r="N256" t="s">
        <v>821</v>
      </c>
      <c r="O256" t="s">
        <v>845</v>
      </c>
      <c r="P256" t="s">
        <v>898</v>
      </c>
      <c r="Q256" t="s">
        <v>1473</v>
      </c>
      <c r="R256" t="s">
        <v>2108</v>
      </c>
      <c r="S256" t="s">
        <v>1646</v>
      </c>
      <c r="T256" t="s">
        <v>869</v>
      </c>
      <c r="U256" t="s">
        <v>1304</v>
      </c>
      <c r="V256" t="s">
        <v>2109</v>
      </c>
      <c r="W256" t="s">
        <v>1038</v>
      </c>
      <c r="X256" t="s">
        <v>1179</v>
      </c>
      <c r="Y256" t="s">
        <v>1609</v>
      </c>
      <c r="Z256" t="s">
        <v>1312</v>
      </c>
      <c r="AA256" t="s">
        <v>993</v>
      </c>
      <c r="AB256" t="s">
        <v>822</v>
      </c>
      <c r="AC256" t="s">
        <v>776</v>
      </c>
      <c r="AD256" t="s">
        <v>916</v>
      </c>
    </row>
    <row r="257" spans="1:30">
      <c r="A257" t="s">
        <v>30</v>
      </c>
      <c r="B257" t="s">
        <v>275</v>
      </c>
      <c r="C257" t="s">
        <v>799</v>
      </c>
      <c r="D257" t="s">
        <v>821</v>
      </c>
      <c r="E257" t="s">
        <v>925</v>
      </c>
      <c r="F257" t="s">
        <v>777</v>
      </c>
      <c r="G257" t="s">
        <v>821</v>
      </c>
      <c r="H257" t="s">
        <v>822</v>
      </c>
      <c r="I257" t="s">
        <v>803</v>
      </c>
      <c r="J257" t="s">
        <v>803</v>
      </c>
      <c r="K257" t="s">
        <v>803</v>
      </c>
      <c r="L257" t="s">
        <v>779</v>
      </c>
      <c r="M257" t="s">
        <v>822</v>
      </c>
      <c r="N257" t="s">
        <v>822</v>
      </c>
      <c r="O257" t="s">
        <v>803</v>
      </c>
      <c r="P257" t="s">
        <v>898</v>
      </c>
      <c r="Q257" t="s">
        <v>1885</v>
      </c>
      <c r="R257" t="s">
        <v>2110</v>
      </c>
      <c r="S257" t="s">
        <v>2111</v>
      </c>
      <c r="T257" t="s">
        <v>939</v>
      </c>
      <c r="U257" t="s">
        <v>947</v>
      </c>
      <c r="V257" t="s">
        <v>1287</v>
      </c>
      <c r="W257" t="s">
        <v>1333</v>
      </c>
      <c r="X257" t="s">
        <v>1464</v>
      </c>
      <c r="Y257" t="s">
        <v>1860</v>
      </c>
      <c r="Z257" t="s">
        <v>1320</v>
      </c>
      <c r="AA257" t="s">
        <v>1553</v>
      </c>
      <c r="AB257" t="s">
        <v>822</v>
      </c>
      <c r="AC257" t="s">
        <v>842</v>
      </c>
      <c r="AD257" t="s">
        <v>939</v>
      </c>
    </row>
    <row r="258" spans="1:30">
      <c r="A258" t="s">
        <v>30</v>
      </c>
      <c r="B258" t="s">
        <v>2112</v>
      </c>
      <c r="C258" t="s">
        <v>772</v>
      </c>
      <c r="D258" t="s">
        <v>863</v>
      </c>
      <c r="E258" t="s">
        <v>802</v>
      </c>
      <c r="F258" t="s">
        <v>778</v>
      </c>
      <c r="G258" t="s">
        <v>822</v>
      </c>
      <c r="H258" t="s">
        <v>803</v>
      </c>
      <c r="I258" t="s">
        <v>803</v>
      </c>
      <c r="J258" t="s">
        <v>803</v>
      </c>
      <c r="K258" t="s">
        <v>803</v>
      </c>
      <c r="L258" t="s">
        <v>822</v>
      </c>
      <c r="M258" t="s">
        <v>822</v>
      </c>
      <c r="N258" t="s">
        <v>845</v>
      </c>
      <c r="O258" t="s">
        <v>803</v>
      </c>
      <c r="P258" t="s">
        <v>1479</v>
      </c>
      <c r="Q258" t="s">
        <v>1369</v>
      </c>
      <c r="R258" t="s">
        <v>1479</v>
      </c>
      <c r="S258" t="s">
        <v>2113</v>
      </c>
      <c r="T258" t="s">
        <v>885</v>
      </c>
      <c r="U258" t="s">
        <v>1072</v>
      </c>
      <c r="V258" t="s">
        <v>1304</v>
      </c>
      <c r="W258" t="s">
        <v>1382</v>
      </c>
      <c r="X258" t="s">
        <v>1135</v>
      </c>
      <c r="Y258" t="s">
        <v>1008</v>
      </c>
      <c r="Z258" t="s">
        <v>1479</v>
      </c>
      <c r="AA258" t="s">
        <v>1334</v>
      </c>
      <c r="AB258" t="s">
        <v>803</v>
      </c>
      <c r="AC258" t="s">
        <v>862</v>
      </c>
      <c r="AD258" t="s">
        <v>939</v>
      </c>
    </row>
    <row r="259" spans="1:30">
      <c r="A259" t="s">
        <v>30</v>
      </c>
      <c r="B259" t="s">
        <v>2114</v>
      </c>
      <c r="C259" t="s">
        <v>1068</v>
      </c>
      <c r="D259" t="s">
        <v>822</v>
      </c>
      <c r="E259" t="s">
        <v>858</v>
      </c>
      <c r="F259" t="s">
        <v>803</v>
      </c>
      <c r="G259" t="s">
        <v>845</v>
      </c>
      <c r="H259" t="s">
        <v>778</v>
      </c>
      <c r="I259" t="s">
        <v>803</v>
      </c>
      <c r="J259" t="s">
        <v>803</v>
      </c>
      <c r="K259" t="s">
        <v>803</v>
      </c>
      <c r="L259" t="s">
        <v>822</v>
      </c>
      <c r="M259" t="s">
        <v>803</v>
      </c>
      <c r="N259" t="s">
        <v>822</v>
      </c>
      <c r="O259" t="s">
        <v>803</v>
      </c>
      <c r="P259" t="s">
        <v>986</v>
      </c>
      <c r="Q259" t="s">
        <v>986</v>
      </c>
      <c r="R259" t="s">
        <v>1013</v>
      </c>
      <c r="S259" t="s">
        <v>1748</v>
      </c>
      <c r="T259" t="s">
        <v>939</v>
      </c>
      <c r="U259" t="s">
        <v>850</v>
      </c>
      <c r="V259" t="s">
        <v>1381</v>
      </c>
      <c r="W259" t="s">
        <v>1008</v>
      </c>
      <c r="X259" t="s">
        <v>1009</v>
      </c>
      <c r="Y259" t="s">
        <v>992</v>
      </c>
      <c r="Z259" t="s">
        <v>992</v>
      </c>
      <c r="AA259" t="s">
        <v>2115</v>
      </c>
      <c r="AB259" t="s">
        <v>778</v>
      </c>
      <c r="AC259" t="s">
        <v>858</v>
      </c>
      <c r="AD259" t="s">
        <v>939</v>
      </c>
    </row>
    <row r="260" spans="1:30">
      <c r="A260" t="s">
        <v>30</v>
      </c>
      <c r="B260" t="s">
        <v>2116</v>
      </c>
      <c r="C260" t="s">
        <v>799</v>
      </c>
      <c r="D260" t="s">
        <v>845</v>
      </c>
      <c r="E260" t="s">
        <v>845</v>
      </c>
      <c r="F260" t="s">
        <v>803</v>
      </c>
      <c r="G260" t="s">
        <v>803</v>
      </c>
      <c r="H260" t="s">
        <v>803</v>
      </c>
      <c r="I260" t="s">
        <v>803</v>
      </c>
      <c r="J260" t="s">
        <v>803</v>
      </c>
      <c r="K260" t="s">
        <v>803</v>
      </c>
      <c r="L260" t="s">
        <v>803</v>
      </c>
      <c r="M260" t="s">
        <v>803</v>
      </c>
      <c r="N260" t="s">
        <v>803</v>
      </c>
      <c r="O260" t="s">
        <v>803</v>
      </c>
      <c r="P260" t="s">
        <v>1008</v>
      </c>
      <c r="Q260" t="s">
        <v>1008</v>
      </c>
      <c r="R260" t="s">
        <v>1008</v>
      </c>
      <c r="S260" t="s">
        <v>1008</v>
      </c>
      <c r="T260" t="s">
        <v>885</v>
      </c>
      <c r="U260" t="s">
        <v>946</v>
      </c>
      <c r="V260" t="s">
        <v>2117</v>
      </c>
      <c r="W260" t="s">
        <v>1008</v>
      </c>
      <c r="X260" t="s">
        <v>1009</v>
      </c>
      <c r="Y260" t="s">
        <v>1008</v>
      </c>
      <c r="Z260" t="s">
        <v>1008</v>
      </c>
      <c r="AA260" t="s">
        <v>1746</v>
      </c>
      <c r="AB260" t="s">
        <v>803</v>
      </c>
      <c r="AC260" t="s">
        <v>845</v>
      </c>
      <c r="AD260" t="s">
        <v>939</v>
      </c>
    </row>
    <row r="261" spans="1:30">
      <c r="A261" t="s">
        <v>71</v>
      </c>
      <c r="B261" t="s">
        <v>70</v>
      </c>
      <c r="C261" t="s">
        <v>772</v>
      </c>
      <c r="D261" t="s">
        <v>773</v>
      </c>
      <c r="E261" t="s">
        <v>1206</v>
      </c>
      <c r="F261" t="s">
        <v>971</v>
      </c>
      <c r="G261" t="s">
        <v>1015</v>
      </c>
      <c r="H261" t="s">
        <v>846</v>
      </c>
      <c r="I261" t="s">
        <v>803</v>
      </c>
      <c r="J261" t="s">
        <v>778</v>
      </c>
      <c r="K261" t="s">
        <v>971</v>
      </c>
      <c r="L261" t="s">
        <v>1081</v>
      </c>
      <c r="M261" t="s">
        <v>821</v>
      </c>
      <c r="N261" t="s">
        <v>1015</v>
      </c>
      <c r="O261" t="s">
        <v>778</v>
      </c>
      <c r="P261" t="s">
        <v>865</v>
      </c>
      <c r="Q261" t="s">
        <v>1145</v>
      </c>
      <c r="R261" t="s">
        <v>1210</v>
      </c>
      <c r="S261" t="s">
        <v>1174</v>
      </c>
      <c r="T261" t="s">
        <v>1119</v>
      </c>
      <c r="U261" t="s">
        <v>1853</v>
      </c>
      <c r="V261" t="s">
        <v>1255</v>
      </c>
      <c r="W261" t="s">
        <v>2118</v>
      </c>
      <c r="X261" t="s">
        <v>1347</v>
      </c>
      <c r="Y261" t="s">
        <v>1561</v>
      </c>
      <c r="Z261" t="s">
        <v>890</v>
      </c>
      <c r="AA261" t="s">
        <v>2119</v>
      </c>
      <c r="AB261" t="s">
        <v>821</v>
      </c>
      <c r="AC261" t="s">
        <v>839</v>
      </c>
      <c r="AD261" t="s">
        <v>2120</v>
      </c>
    </row>
    <row r="262" spans="1:30">
      <c r="A262" t="s">
        <v>71</v>
      </c>
      <c r="B262" t="s">
        <v>316</v>
      </c>
      <c r="C262" t="s">
        <v>841</v>
      </c>
      <c r="D262" t="s">
        <v>773</v>
      </c>
      <c r="E262" t="s">
        <v>1077</v>
      </c>
      <c r="F262" t="s">
        <v>821</v>
      </c>
      <c r="G262" t="s">
        <v>925</v>
      </c>
      <c r="H262" t="s">
        <v>846</v>
      </c>
      <c r="I262" t="s">
        <v>803</v>
      </c>
      <c r="J262" t="s">
        <v>778</v>
      </c>
      <c r="K262" t="s">
        <v>863</v>
      </c>
      <c r="L262" t="s">
        <v>1221</v>
      </c>
      <c r="M262" t="s">
        <v>858</v>
      </c>
      <c r="N262" t="s">
        <v>895</v>
      </c>
      <c r="O262" t="s">
        <v>822</v>
      </c>
      <c r="P262" t="s">
        <v>1901</v>
      </c>
      <c r="Q262" t="s">
        <v>1981</v>
      </c>
      <c r="R262" t="s">
        <v>995</v>
      </c>
      <c r="S262" t="s">
        <v>2121</v>
      </c>
      <c r="T262" t="s">
        <v>885</v>
      </c>
      <c r="U262" t="s">
        <v>1567</v>
      </c>
      <c r="V262" t="s">
        <v>1692</v>
      </c>
      <c r="W262" t="s">
        <v>1606</v>
      </c>
      <c r="X262" t="s">
        <v>950</v>
      </c>
      <c r="Y262" t="s">
        <v>1038</v>
      </c>
      <c r="Z262" t="s">
        <v>1756</v>
      </c>
      <c r="AA262" t="s">
        <v>2119</v>
      </c>
      <c r="AB262" t="s">
        <v>821</v>
      </c>
      <c r="AC262" t="s">
        <v>2055</v>
      </c>
      <c r="AD262" t="s">
        <v>2122</v>
      </c>
    </row>
    <row r="263" spans="1:30">
      <c r="A263" t="s">
        <v>71</v>
      </c>
      <c r="B263" t="s">
        <v>2123</v>
      </c>
      <c r="C263" t="s">
        <v>772</v>
      </c>
      <c r="D263" t="s">
        <v>844</v>
      </c>
      <c r="E263" t="s">
        <v>859</v>
      </c>
      <c r="F263" t="s">
        <v>796</v>
      </c>
      <c r="G263" t="s">
        <v>805</v>
      </c>
      <c r="H263" t="s">
        <v>845</v>
      </c>
      <c r="I263" t="s">
        <v>845</v>
      </c>
      <c r="J263" t="s">
        <v>845</v>
      </c>
      <c r="K263" t="s">
        <v>846</v>
      </c>
      <c r="L263" t="s">
        <v>864</v>
      </c>
      <c r="M263" t="s">
        <v>782</v>
      </c>
      <c r="N263" t="s">
        <v>775</v>
      </c>
      <c r="O263" t="s">
        <v>845</v>
      </c>
      <c r="P263" t="s">
        <v>1665</v>
      </c>
      <c r="Q263" t="s">
        <v>1185</v>
      </c>
      <c r="R263" t="s">
        <v>1377</v>
      </c>
      <c r="S263" t="s">
        <v>2124</v>
      </c>
      <c r="T263" t="s">
        <v>1096</v>
      </c>
      <c r="U263" t="s">
        <v>2125</v>
      </c>
      <c r="V263" t="s">
        <v>852</v>
      </c>
      <c r="W263" t="s">
        <v>1490</v>
      </c>
      <c r="X263" t="s">
        <v>2126</v>
      </c>
      <c r="Y263" t="s">
        <v>890</v>
      </c>
      <c r="Z263" t="s">
        <v>1258</v>
      </c>
      <c r="AA263" t="s">
        <v>2127</v>
      </c>
      <c r="AB263" t="s">
        <v>821</v>
      </c>
      <c r="AC263" t="s">
        <v>1574</v>
      </c>
      <c r="AD263" t="s">
        <v>2128</v>
      </c>
    </row>
    <row r="264" spans="1:30">
      <c r="A264" t="s">
        <v>71</v>
      </c>
      <c r="B264" t="s">
        <v>2129</v>
      </c>
      <c r="C264" t="s">
        <v>1079</v>
      </c>
      <c r="D264" t="s">
        <v>844</v>
      </c>
      <c r="E264" t="s">
        <v>1975</v>
      </c>
      <c r="F264" t="s">
        <v>823</v>
      </c>
      <c r="G264" t="s">
        <v>775</v>
      </c>
      <c r="H264" t="s">
        <v>822</v>
      </c>
      <c r="I264" t="s">
        <v>803</v>
      </c>
      <c r="J264" t="s">
        <v>845</v>
      </c>
      <c r="K264" t="s">
        <v>863</v>
      </c>
      <c r="L264" t="s">
        <v>773</v>
      </c>
      <c r="M264" t="s">
        <v>802</v>
      </c>
      <c r="N264" t="s">
        <v>862</v>
      </c>
      <c r="O264" t="s">
        <v>845</v>
      </c>
      <c r="P264" t="s">
        <v>1104</v>
      </c>
      <c r="Q264" t="s">
        <v>1392</v>
      </c>
      <c r="R264" t="s">
        <v>1846</v>
      </c>
      <c r="S264" t="s">
        <v>1956</v>
      </c>
      <c r="T264" t="s">
        <v>831</v>
      </c>
      <c r="U264" t="s">
        <v>1712</v>
      </c>
      <c r="V264" t="s">
        <v>978</v>
      </c>
      <c r="W264" t="s">
        <v>1592</v>
      </c>
      <c r="X264" t="s">
        <v>2130</v>
      </c>
      <c r="Y264" t="s">
        <v>1721</v>
      </c>
      <c r="Z264" t="s">
        <v>1290</v>
      </c>
      <c r="AA264" t="s">
        <v>967</v>
      </c>
      <c r="AB264" t="s">
        <v>846</v>
      </c>
      <c r="AC264" t="s">
        <v>1066</v>
      </c>
      <c r="AD264" t="s">
        <v>2131</v>
      </c>
    </row>
    <row r="265" spans="1:30">
      <c r="A265" t="s">
        <v>71</v>
      </c>
      <c r="B265" t="s">
        <v>80</v>
      </c>
      <c r="C265" t="s">
        <v>1068</v>
      </c>
      <c r="D265" t="s">
        <v>776</v>
      </c>
      <c r="E265" t="s">
        <v>1342</v>
      </c>
      <c r="F265" t="s">
        <v>823</v>
      </c>
      <c r="G265" t="s">
        <v>780</v>
      </c>
      <c r="H265" t="s">
        <v>777</v>
      </c>
      <c r="I265" t="s">
        <v>778</v>
      </c>
      <c r="J265" t="s">
        <v>778</v>
      </c>
      <c r="K265" t="s">
        <v>971</v>
      </c>
      <c r="L265" t="s">
        <v>1015</v>
      </c>
      <c r="M265" t="s">
        <v>777</v>
      </c>
      <c r="N265" t="s">
        <v>842</v>
      </c>
      <c r="O265" t="s">
        <v>845</v>
      </c>
      <c r="P265" t="s">
        <v>1901</v>
      </c>
      <c r="Q265" t="s">
        <v>1199</v>
      </c>
      <c r="R265" t="s">
        <v>1846</v>
      </c>
      <c r="S265" t="s">
        <v>1904</v>
      </c>
      <c r="T265" t="s">
        <v>939</v>
      </c>
      <c r="U265" t="s">
        <v>1720</v>
      </c>
      <c r="V265" t="s">
        <v>1692</v>
      </c>
      <c r="W265" t="s">
        <v>2037</v>
      </c>
      <c r="X265" t="s">
        <v>1888</v>
      </c>
      <c r="Y265" t="s">
        <v>1828</v>
      </c>
      <c r="Z265" t="s">
        <v>1040</v>
      </c>
      <c r="AA265" t="s">
        <v>1442</v>
      </c>
      <c r="AB265" t="s">
        <v>821</v>
      </c>
      <c r="AC265" t="s">
        <v>1529</v>
      </c>
      <c r="AD265" t="s">
        <v>2132</v>
      </c>
    </row>
    <row r="266" spans="1:30">
      <c r="A266" t="s">
        <v>71</v>
      </c>
      <c r="B266" t="s">
        <v>120</v>
      </c>
      <c r="C266" t="s">
        <v>910</v>
      </c>
      <c r="D266" t="s">
        <v>776</v>
      </c>
      <c r="E266" t="s">
        <v>893</v>
      </c>
      <c r="F266" t="s">
        <v>863</v>
      </c>
      <c r="G266" t="s">
        <v>796</v>
      </c>
      <c r="H266" t="s">
        <v>845</v>
      </c>
      <c r="I266" t="s">
        <v>803</v>
      </c>
      <c r="J266" t="s">
        <v>845</v>
      </c>
      <c r="K266" t="s">
        <v>777</v>
      </c>
      <c r="L266" t="s">
        <v>925</v>
      </c>
      <c r="M266" t="s">
        <v>858</v>
      </c>
      <c r="N266" t="s">
        <v>775</v>
      </c>
      <c r="O266" t="s">
        <v>821</v>
      </c>
      <c r="P266" t="s">
        <v>1283</v>
      </c>
      <c r="Q266" t="s">
        <v>2066</v>
      </c>
      <c r="R266" t="s">
        <v>1829</v>
      </c>
      <c r="S266" t="s">
        <v>2133</v>
      </c>
      <c r="T266" t="s">
        <v>885</v>
      </c>
      <c r="U266" t="s">
        <v>1440</v>
      </c>
      <c r="V266" t="s">
        <v>1691</v>
      </c>
      <c r="W266" t="s">
        <v>1842</v>
      </c>
      <c r="X266" t="s">
        <v>1729</v>
      </c>
      <c r="Y266" t="s">
        <v>1153</v>
      </c>
      <c r="Z266" t="s">
        <v>1779</v>
      </c>
      <c r="AA266" t="s">
        <v>1593</v>
      </c>
      <c r="AB266" t="s">
        <v>777</v>
      </c>
      <c r="AC266" t="s">
        <v>1975</v>
      </c>
      <c r="AD266" t="s">
        <v>1376</v>
      </c>
    </row>
    <row r="267" spans="1:30">
      <c r="A267" t="s">
        <v>71</v>
      </c>
      <c r="B267" t="s">
        <v>172</v>
      </c>
      <c r="C267" t="s">
        <v>536</v>
      </c>
      <c r="D267" t="s">
        <v>842</v>
      </c>
      <c r="E267" t="s">
        <v>1532</v>
      </c>
      <c r="F267" t="s">
        <v>863</v>
      </c>
      <c r="G267" t="s">
        <v>780</v>
      </c>
      <c r="H267" t="s">
        <v>845</v>
      </c>
      <c r="I267" t="s">
        <v>803</v>
      </c>
      <c r="J267" t="s">
        <v>777</v>
      </c>
      <c r="K267" t="s">
        <v>858</v>
      </c>
      <c r="L267" t="s">
        <v>826</v>
      </c>
      <c r="M267" t="s">
        <v>779</v>
      </c>
      <c r="N267" t="s">
        <v>780</v>
      </c>
      <c r="O267" t="s">
        <v>803</v>
      </c>
      <c r="P267" t="s">
        <v>1478</v>
      </c>
      <c r="Q267" t="s">
        <v>956</v>
      </c>
      <c r="R267" t="s">
        <v>2134</v>
      </c>
      <c r="S267" t="s">
        <v>2135</v>
      </c>
      <c r="T267" t="s">
        <v>939</v>
      </c>
      <c r="U267" t="s">
        <v>2136</v>
      </c>
      <c r="V267" t="s">
        <v>1144</v>
      </c>
      <c r="W267" t="s">
        <v>1074</v>
      </c>
      <c r="X267" t="s">
        <v>991</v>
      </c>
      <c r="Y267" t="s">
        <v>1706</v>
      </c>
      <c r="Z267" t="s">
        <v>2137</v>
      </c>
      <c r="AA267" t="s">
        <v>1603</v>
      </c>
      <c r="AB267" t="s">
        <v>821</v>
      </c>
      <c r="AC267" t="s">
        <v>843</v>
      </c>
      <c r="AD267" t="s">
        <v>1914</v>
      </c>
    </row>
    <row r="268" spans="1:30">
      <c r="A268" t="s">
        <v>71</v>
      </c>
      <c r="B268" t="s">
        <v>321</v>
      </c>
      <c r="C268" t="s">
        <v>1068</v>
      </c>
      <c r="D268" t="s">
        <v>925</v>
      </c>
      <c r="E268" t="s">
        <v>880</v>
      </c>
      <c r="F268" t="s">
        <v>821</v>
      </c>
      <c r="G268" t="s">
        <v>862</v>
      </c>
      <c r="H268" t="s">
        <v>845</v>
      </c>
      <c r="I268" t="s">
        <v>803</v>
      </c>
      <c r="J268" t="s">
        <v>845</v>
      </c>
      <c r="K268" t="s">
        <v>858</v>
      </c>
      <c r="L268" t="s">
        <v>776</v>
      </c>
      <c r="M268" t="s">
        <v>777</v>
      </c>
      <c r="N268" t="s">
        <v>862</v>
      </c>
      <c r="O268" t="s">
        <v>803</v>
      </c>
      <c r="P268" t="s">
        <v>881</v>
      </c>
      <c r="Q268" t="s">
        <v>785</v>
      </c>
      <c r="R268" t="s">
        <v>987</v>
      </c>
      <c r="S268" t="s">
        <v>830</v>
      </c>
      <c r="T268" t="s">
        <v>885</v>
      </c>
      <c r="U268" t="s">
        <v>1720</v>
      </c>
      <c r="V268" t="s">
        <v>947</v>
      </c>
      <c r="W268" t="s">
        <v>1489</v>
      </c>
      <c r="X268" t="s">
        <v>1627</v>
      </c>
      <c r="Y268" t="s">
        <v>1632</v>
      </c>
      <c r="Z268" t="s">
        <v>1026</v>
      </c>
      <c r="AA268" t="s">
        <v>1367</v>
      </c>
      <c r="AB268" t="s">
        <v>777</v>
      </c>
      <c r="AC268" t="s">
        <v>1532</v>
      </c>
      <c r="AD268" t="s">
        <v>894</v>
      </c>
    </row>
    <row r="269" spans="1:30">
      <c r="A269" t="s">
        <v>71</v>
      </c>
      <c r="B269" t="s">
        <v>2138</v>
      </c>
      <c r="C269" t="s">
        <v>841</v>
      </c>
      <c r="D269" t="s">
        <v>796</v>
      </c>
      <c r="E269" t="s">
        <v>968</v>
      </c>
      <c r="F269" t="s">
        <v>822</v>
      </c>
      <c r="G269" t="s">
        <v>823</v>
      </c>
      <c r="H269" t="s">
        <v>822</v>
      </c>
      <c r="I269" t="s">
        <v>803</v>
      </c>
      <c r="J269" t="s">
        <v>778</v>
      </c>
      <c r="K269" t="s">
        <v>845</v>
      </c>
      <c r="L269" t="s">
        <v>1232</v>
      </c>
      <c r="M269" t="s">
        <v>846</v>
      </c>
      <c r="N269" t="s">
        <v>782</v>
      </c>
      <c r="O269" t="s">
        <v>803</v>
      </c>
      <c r="P269" t="s">
        <v>1283</v>
      </c>
      <c r="Q269" t="s">
        <v>1116</v>
      </c>
      <c r="R269" t="s">
        <v>986</v>
      </c>
      <c r="S269" t="s">
        <v>2139</v>
      </c>
      <c r="T269" t="s">
        <v>901</v>
      </c>
      <c r="U269" t="s">
        <v>887</v>
      </c>
      <c r="V269" t="s">
        <v>1007</v>
      </c>
      <c r="W269" t="s">
        <v>1842</v>
      </c>
      <c r="X269" t="s">
        <v>1039</v>
      </c>
      <c r="Y269" t="s">
        <v>1294</v>
      </c>
      <c r="Z269" t="s">
        <v>827</v>
      </c>
      <c r="AA269" t="s">
        <v>1466</v>
      </c>
      <c r="AB269" t="s">
        <v>777</v>
      </c>
      <c r="AC269" t="s">
        <v>1368</v>
      </c>
      <c r="AD269" t="s">
        <v>1966</v>
      </c>
    </row>
    <row r="270" spans="1:30">
      <c r="A270" t="s">
        <v>71</v>
      </c>
      <c r="B270" t="s">
        <v>253</v>
      </c>
      <c r="C270" t="s">
        <v>879</v>
      </c>
      <c r="D270" t="s">
        <v>802</v>
      </c>
      <c r="E270" t="s">
        <v>1129</v>
      </c>
      <c r="F270" t="s">
        <v>822</v>
      </c>
      <c r="G270" t="s">
        <v>796</v>
      </c>
      <c r="H270" t="s">
        <v>845</v>
      </c>
      <c r="I270" t="s">
        <v>803</v>
      </c>
      <c r="J270" t="s">
        <v>778</v>
      </c>
      <c r="K270" t="s">
        <v>846</v>
      </c>
      <c r="L270" t="s">
        <v>775</v>
      </c>
      <c r="M270" t="s">
        <v>779</v>
      </c>
      <c r="N270" t="s">
        <v>863</v>
      </c>
      <c r="O270" t="s">
        <v>803</v>
      </c>
      <c r="P270" t="s">
        <v>906</v>
      </c>
      <c r="Q270" t="s">
        <v>1511</v>
      </c>
      <c r="R270" t="s">
        <v>1818</v>
      </c>
      <c r="S270" t="s">
        <v>2140</v>
      </c>
      <c r="T270" t="s">
        <v>1096</v>
      </c>
      <c r="U270" t="s">
        <v>1872</v>
      </c>
      <c r="V270" t="s">
        <v>1107</v>
      </c>
      <c r="W270" t="s">
        <v>2141</v>
      </c>
      <c r="X270" t="s">
        <v>2142</v>
      </c>
      <c r="Y270" t="s">
        <v>1247</v>
      </c>
      <c r="Z270" t="s">
        <v>1137</v>
      </c>
      <c r="AA270" t="s">
        <v>1249</v>
      </c>
      <c r="AB270" t="s">
        <v>822</v>
      </c>
      <c r="AC270" t="s">
        <v>941</v>
      </c>
      <c r="AD270" t="s">
        <v>1936</v>
      </c>
    </row>
    <row r="271" spans="1:30">
      <c r="A271" t="s">
        <v>71</v>
      </c>
      <c r="B271" t="s">
        <v>2143</v>
      </c>
      <c r="C271" t="s">
        <v>1079</v>
      </c>
      <c r="D271" t="s">
        <v>926</v>
      </c>
      <c r="E271" t="s">
        <v>983</v>
      </c>
      <c r="F271" t="s">
        <v>777</v>
      </c>
      <c r="G271" t="s">
        <v>779</v>
      </c>
      <c r="H271" t="s">
        <v>778</v>
      </c>
      <c r="I271" t="s">
        <v>803</v>
      </c>
      <c r="J271" t="s">
        <v>845</v>
      </c>
      <c r="K271" t="s">
        <v>858</v>
      </c>
      <c r="L271" t="s">
        <v>1232</v>
      </c>
      <c r="M271" t="s">
        <v>778</v>
      </c>
      <c r="N271" t="s">
        <v>863</v>
      </c>
      <c r="O271" t="s">
        <v>803</v>
      </c>
      <c r="P271" t="s">
        <v>1276</v>
      </c>
      <c r="Q271" t="s">
        <v>865</v>
      </c>
      <c r="R271" t="s">
        <v>1941</v>
      </c>
      <c r="S271" t="s">
        <v>2144</v>
      </c>
      <c r="T271" t="s">
        <v>885</v>
      </c>
      <c r="U271" t="s">
        <v>852</v>
      </c>
      <c r="V271" t="s">
        <v>1280</v>
      </c>
      <c r="W271" t="s">
        <v>853</v>
      </c>
      <c r="X271" t="s">
        <v>1678</v>
      </c>
      <c r="Y271" t="s">
        <v>1217</v>
      </c>
      <c r="Z271" t="s">
        <v>929</v>
      </c>
      <c r="AA271" t="s">
        <v>1076</v>
      </c>
      <c r="AB271" t="s">
        <v>822</v>
      </c>
      <c r="AC271" t="s">
        <v>1147</v>
      </c>
      <c r="AD271" t="s">
        <v>1760</v>
      </c>
    </row>
    <row r="272" spans="1:30">
      <c r="A272" t="s">
        <v>71</v>
      </c>
      <c r="B272" t="s">
        <v>2145</v>
      </c>
      <c r="C272" t="s">
        <v>536</v>
      </c>
      <c r="D272" t="s">
        <v>782</v>
      </c>
      <c r="E272" t="s">
        <v>1015</v>
      </c>
      <c r="F272" t="s">
        <v>845</v>
      </c>
      <c r="G272" t="s">
        <v>821</v>
      </c>
      <c r="H272" t="s">
        <v>845</v>
      </c>
      <c r="I272" t="s">
        <v>803</v>
      </c>
      <c r="J272" t="s">
        <v>803</v>
      </c>
      <c r="K272" t="s">
        <v>777</v>
      </c>
      <c r="L272" t="s">
        <v>863</v>
      </c>
      <c r="M272" t="s">
        <v>803</v>
      </c>
      <c r="N272" t="s">
        <v>846</v>
      </c>
      <c r="O272" t="s">
        <v>803</v>
      </c>
      <c r="P272" t="s">
        <v>1005</v>
      </c>
      <c r="Q272" t="s">
        <v>1005</v>
      </c>
      <c r="R272" t="s">
        <v>2044</v>
      </c>
      <c r="S272" t="s">
        <v>1754</v>
      </c>
      <c r="T272" t="s">
        <v>831</v>
      </c>
      <c r="U272" t="s">
        <v>1559</v>
      </c>
      <c r="V272" t="s">
        <v>998</v>
      </c>
      <c r="W272" t="s">
        <v>1008</v>
      </c>
      <c r="X272" t="s">
        <v>1009</v>
      </c>
      <c r="Y272" t="s">
        <v>1697</v>
      </c>
      <c r="Z272" t="s">
        <v>1697</v>
      </c>
      <c r="AA272" t="s">
        <v>1716</v>
      </c>
      <c r="AB272" t="s">
        <v>845</v>
      </c>
      <c r="AC272" t="s">
        <v>1015</v>
      </c>
      <c r="AD272" t="s">
        <v>939</v>
      </c>
    </row>
    <row r="273" spans="1:30">
      <c r="A273" t="s">
        <v>71</v>
      </c>
      <c r="B273" t="s">
        <v>2146</v>
      </c>
      <c r="C273" t="s">
        <v>799</v>
      </c>
      <c r="D273" t="s">
        <v>863</v>
      </c>
      <c r="E273" t="s">
        <v>925</v>
      </c>
      <c r="F273" t="s">
        <v>845</v>
      </c>
      <c r="G273" t="s">
        <v>821</v>
      </c>
      <c r="H273" t="s">
        <v>822</v>
      </c>
      <c r="I273" t="s">
        <v>803</v>
      </c>
      <c r="J273" t="s">
        <v>778</v>
      </c>
      <c r="K273" t="s">
        <v>845</v>
      </c>
      <c r="L273" t="s">
        <v>971</v>
      </c>
      <c r="M273" t="s">
        <v>845</v>
      </c>
      <c r="N273" t="s">
        <v>782</v>
      </c>
      <c r="O273" t="s">
        <v>803</v>
      </c>
      <c r="P273" t="s">
        <v>898</v>
      </c>
      <c r="Q273" t="s">
        <v>956</v>
      </c>
      <c r="R273" t="s">
        <v>1502</v>
      </c>
      <c r="S273" t="s">
        <v>2147</v>
      </c>
      <c r="T273" t="s">
        <v>1020</v>
      </c>
      <c r="U273" t="s">
        <v>1638</v>
      </c>
      <c r="V273" t="s">
        <v>1037</v>
      </c>
      <c r="W273" t="s">
        <v>791</v>
      </c>
      <c r="X273" t="s">
        <v>1602</v>
      </c>
      <c r="Y273" t="s">
        <v>898</v>
      </c>
      <c r="Z273" t="s">
        <v>1609</v>
      </c>
      <c r="AA273" t="s">
        <v>1453</v>
      </c>
      <c r="AB273" t="s">
        <v>777</v>
      </c>
      <c r="AC273" t="s">
        <v>844</v>
      </c>
      <c r="AD273" t="s">
        <v>1614</v>
      </c>
    </row>
    <row r="274" spans="1:30">
      <c r="A274" t="s">
        <v>71</v>
      </c>
      <c r="B274" t="s">
        <v>2148</v>
      </c>
      <c r="C274" t="s">
        <v>799</v>
      </c>
      <c r="D274" t="s">
        <v>782</v>
      </c>
      <c r="E274" t="s">
        <v>926</v>
      </c>
      <c r="F274" t="s">
        <v>845</v>
      </c>
      <c r="G274" t="s">
        <v>858</v>
      </c>
      <c r="H274" t="s">
        <v>845</v>
      </c>
      <c r="I274" t="s">
        <v>803</v>
      </c>
      <c r="J274" t="s">
        <v>803</v>
      </c>
      <c r="K274" t="s">
        <v>845</v>
      </c>
      <c r="L274" t="s">
        <v>779</v>
      </c>
      <c r="M274" t="s">
        <v>845</v>
      </c>
      <c r="N274" t="s">
        <v>822</v>
      </c>
      <c r="O274" t="s">
        <v>803</v>
      </c>
      <c r="P274" t="s">
        <v>1321</v>
      </c>
      <c r="Q274" t="s">
        <v>2149</v>
      </c>
      <c r="R274" t="s">
        <v>1222</v>
      </c>
      <c r="S274" t="s">
        <v>915</v>
      </c>
      <c r="T274" t="s">
        <v>869</v>
      </c>
      <c r="U274" t="s">
        <v>852</v>
      </c>
      <c r="V274" t="s">
        <v>1133</v>
      </c>
      <c r="W274" t="s">
        <v>1388</v>
      </c>
      <c r="X274" t="s">
        <v>1154</v>
      </c>
      <c r="Y274" t="s">
        <v>1002</v>
      </c>
      <c r="Z274" t="s">
        <v>942</v>
      </c>
      <c r="AA274" t="s">
        <v>1090</v>
      </c>
      <c r="AB274" t="s">
        <v>845</v>
      </c>
      <c r="AC274" t="s">
        <v>895</v>
      </c>
      <c r="AD274" t="s">
        <v>939</v>
      </c>
    </row>
    <row r="275" spans="1:30">
      <c r="A275" t="s">
        <v>71</v>
      </c>
      <c r="B275" t="s">
        <v>370</v>
      </c>
      <c r="C275" t="s">
        <v>1068</v>
      </c>
      <c r="D275" t="s">
        <v>846</v>
      </c>
      <c r="E275" t="s">
        <v>796</v>
      </c>
      <c r="F275" t="s">
        <v>778</v>
      </c>
      <c r="G275" t="s">
        <v>777</v>
      </c>
      <c r="H275" t="s">
        <v>803</v>
      </c>
      <c r="I275" t="s">
        <v>803</v>
      </c>
      <c r="J275" t="s">
        <v>803</v>
      </c>
      <c r="K275" t="s">
        <v>778</v>
      </c>
      <c r="L275" t="s">
        <v>777</v>
      </c>
      <c r="M275" t="s">
        <v>803</v>
      </c>
      <c r="N275" t="s">
        <v>846</v>
      </c>
      <c r="O275" t="s">
        <v>803</v>
      </c>
      <c r="P275" t="s">
        <v>986</v>
      </c>
      <c r="Q275" t="s">
        <v>986</v>
      </c>
      <c r="R275" t="s">
        <v>986</v>
      </c>
      <c r="S275" t="s">
        <v>2038</v>
      </c>
      <c r="T275" t="s">
        <v>885</v>
      </c>
      <c r="U275" t="s">
        <v>1188</v>
      </c>
      <c r="V275" t="s">
        <v>1280</v>
      </c>
      <c r="W275" t="s">
        <v>1008</v>
      </c>
      <c r="X275" t="s">
        <v>1009</v>
      </c>
      <c r="Y275" t="s">
        <v>1008</v>
      </c>
      <c r="Z275" t="s">
        <v>1008</v>
      </c>
      <c r="AA275" t="s">
        <v>1487</v>
      </c>
      <c r="AB275" t="s">
        <v>803</v>
      </c>
      <c r="AC275" t="s">
        <v>796</v>
      </c>
      <c r="AD275" t="s">
        <v>939</v>
      </c>
    </row>
    <row r="276" spans="1:30">
      <c r="A276" t="s">
        <v>71</v>
      </c>
      <c r="B276" t="s">
        <v>2150</v>
      </c>
      <c r="C276" t="s">
        <v>799</v>
      </c>
      <c r="D276" t="s">
        <v>779</v>
      </c>
      <c r="E276" t="s">
        <v>802</v>
      </c>
      <c r="F276" t="s">
        <v>778</v>
      </c>
      <c r="G276" t="s">
        <v>803</v>
      </c>
      <c r="H276" t="s">
        <v>803</v>
      </c>
      <c r="I276" t="s">
        <v>803</v>
      </c>
      <c r="J276" t="s">
        <v>803</v>
      </c>
      <c r="K276" t="s">
        <v>803</v>
      </c>
      <c r="L276" t="s">
        <v>803</v>
      </c>
      <c r="M276" t="s">
        <v>778</v>
      </c>
      <c r="N276" t="s">
        <v>858</v>
      </c>
      <c r="O276" t="s">
        <v>803</v>
      </c>
      <c r="P276" t="s">
        <v>1008</v>
      </c>
      <c r="Q276" t="s">
        <v>979</v>
      </c>
      <c r="R276" t="s">
        <v>1008</v>
      </c>
      <c r="S276" t="s">
        <v>979</v>
      </c>
      <c r="T276" t="s">
        <v>901</v>
      </c>
      <c r="U276" t="s">
        <v>2151</v>
      </c>
      <c r="V276" t="s">
        <v>2152</v>
      </c>
      <c r="W276" t="s">
        <v>979</v>
      </c>
      <c r="X276" t="s">
        <v>1447</v>
      </c>
      <c r="Y276" t="s">
        <v>1008</v>
      </c>
      <c r="Z276" t="s">
        <v>1448</v>
      </c>
      <c r="AA276" t="s">
        <v>1993</v>
      </c>
      <c r="AB276" t="s">
        <v>803</v>
      </c>
      <c r="AC276" t="s">
        <v>796</v>
      </c>
      <c r="AD276" t="s">
        <v>939</v>
      </c>
    </row>
    <row r="277" spans="1:30">
      <c r="A277" t="s">
        <v>14</v>
      </c>
      <c r="B277" t="s">
        <v>427</v>
      </c>
      <c r="C277" t="s">
        <v>772</v>
      </c>
      <c r="D277" t="s">
        <v>773</v>
      </c>
      <c r="E277" t="s">
        <v>1042</v>
      </c>
      <c r="F277" t="s">
        <v>1232</v>
      </c>
      <c r="G277" t="s">
        <v>842</v>
      </c>
      <c r="H277" t="s">
        <v>846</v>
      </c>
      <c r="I277" t="s">
        <v>803</v>
      </c>
      <c r="J277" t="s">
        <v>822</v>
      </c>
      <c r="K277" t="s">
        <v>779</v>
      </c>
      <c r="L277" t="s">
        <v>1184</v>
      </c>
      <c r="M277" t="s">
        <v>971</v>
      </c>
      <c r="N277" t="s">
        <v>895</v>
      </c>
      <c r="O277" t="s">
        <v>822</v>
      </c>
      <c r="P277" t="s">
        <v>1166</v>
      </c>
      <c r="Q277" t="s">
        <v>906</v>
      </c>
      <c r="R277" t="s">
        <v>1032</v>
      </c>
      <c r="S277" t="s">
        <v>2153</v>
      </c>
      <c r="T277" t="s">
        <v>1337</v>
      </c>
      <c r="U277" t="s">
        <v>1674</v>
      </c>
      <c r="V277" t="s">
        <v>887</v>
      </c>
      <c r="W277" t="s">
        <v>1100</v>
      </c>
      <c r="X277" t="s">
        <v>2154</v>
      </c>
      <c r="Y277" t="s">
        <v>1768</v>
      </c>
      <c r="Z277" t="s">
        <v>1161</v>
      </c>
      <c r="AA277" t="s">
        <v>1367</v>
      </c>
      <c r="AB277" t="s">
        <v>863</v>
      </c>
      <c r="AC277" t="s">
        <v>1705</v>
      </c>
      <c r="AD277" t="s">
        <v>2155</v>
      </c>
    </row>
    <row r="278" spans="1:30">
      <c r="A278" t="s">
        <v>14</v>
      </c>
      <c r="B278" t="s">
        <v>84</v>
      </c>
      <c r="C278" t="s">
        <v>819</v>
      </c>
      <c r="D278" t="s">
        <v>773</v>
      </c>
      <c r="E278" t="s">
        <v>1029</v>
      </c>
      <c r="F278" t="s">
        <v>825</v>
      </c>
      <c r="G278" t="s">
        <v>1015</v>
      </c>
      <c r="H278" t="s">
        <v>846</v>
      </c>
      <c r="I278" t="s">
        <v>778</v>
      </c>
      <c r="J278" t="s">
        <v>821</v>
      </c>
      <c r="K278" t="s">
        <v>780</v>
      </c>
      <c r="L278" t="s">
        <v>1309</v>
      </c>
      <c r="M278" t="s">
        <v>796</v>
      </c>
      <c r="N278" t="s">
        <v>805</v>
      </c>
      <c r="O278" t="s">
        <v>778</v>
      </c>
      <c r="P278" t="s">
        <v>1041</v>
      </c>
      <c r="Q278" t="s">
        <v>1504</v>
      </c>
      <c r="R278" t="s">
        <v>1312</v>
      </c>
      <c r="S278" t="s">
        <v>1292</v>
      </c>
      <c r="T278" t="s">
        <v>1337</v>
      </c>
      <c r="U278" t="s">
        <v>2156</v>
      </c>
      <c r="V278" t="s">
        <v>1440</v>
      </c>
      <c r="W278" t="s">
        <v>1471</v>
      </c>
      <c r="X278" t="s">
        <v>1154</v>
      </c>
      <c r="Y278" t="s">
        <v>1478</v>
      </c>
      <c r="Z278" t="s">
        <v>1788</v>
      </c>
      <c r="AA278" t="s">
        <v>1027</v>
      </c>
      <c r="AB278" t="s">
        <v>971</v>
      </c>
      <c r="AC278" t="s">
        <v>774</v>
      </c>
      <c r="AD278" t="s">
        <v>2014</v>
      </c>
    </row>
    <row r="279" spans="1:30">
      <c r="A279" t="s">
        <v>14</v>
      </c>
      <c r="B279" t="s">
        <v>270</v>
      </c>
      <c r="C279" t="s">
        <v>799</v>
      </c>
      <c r="D279" t="s">
        <v>773</v>
      </c>
      <c r="E279" t="s">
        <v>1196</v>
      </c>
      <c r="F279" t="s">
        <v>862</v>
      </c>
      <c r="G279" t="s">
        <v>926</v>
      </c>
      <c r="H279" t="s">
        <v>777</v>
      </c>
      <c r="I279" t="s">
        <v>778</v>
      </c>
      <c r="J279" t="s">
        <v>779</v>
      </c>
      <c r="K279" t="s">
        <v>862</v>
      </c>
      <c r="L279" t="s">
        <v>1358</v>
      </c>
      <c r="M279" t="s">
        <v>775</v>
      </c>
      <c r="N279" t="s">
        <v>1184</v>
      </c>
      <c r="O279" t="s">
        <v>803</v>
      </c>
      <c r="P279" t="s">
        <v>827</v>
      </c>
      <c r="Q279" t="s">
        <v>1248</v>
      </c>
      <c r="R279" t="s">
        <v>2157</v>
      </c>
      <c r="S279" t="s">
        <v>2158</v>
      </c>
      <c r="T279" t="s">
        <v>1096</v>
      </c>
      <c r="U279" t="s">
        <v>1652</v>
      </c>
      <c r="V279" t="s">
        <v>1052</v>
      </c>
      <c r="W279" t="s">
        <v>1155</v>
      </c>
      <c r="X279" t="s">
        <v>1905</v>
      </c>
      <c r="Y279" t="s">
        <v>1543</v>
      </c>
      <c r="Z279" t="s">
        <v>2159</v>
      </c>
      <c r="AA279" t="s">
        <v>953</v>
      </c>
      <c r="AB279" t="s">
        <v>796</v>
      </c>
      <c r="AC279" t="s">
        <v>1705</v>
      </c>
      <c r="AD279" t="s">
        <v>870</v>
      </c>
    </row>
    <row r="280" spans="1:30">
      <c r="A280" t="s">
        <v>14</v>
      </c>
      <c r="B280" t="s">
        <v>13</v>
      </c>
      <c r="C280" t="s">
        <v>879</v>
      </c>
      <c r="D280" t="s">
        <v>773</v>
      </c>
      <c r="E280" t="s">
        <v>1077</v>
      </c>
      <c r="F280" t="s">
        <v>858</v>
      </c>
      <c r="G280" t="s">
        <v>895</v>
      </c>
      <c r="H280" t="s">
        <v>777</v>
      </c>
      <c r="I280" t="s">
        <v>778</v>
      </c>
      <c r="J280" t="s">
        <v>822</v>
      </c>
      <c r="K280" t="s">
        <v>858</v>
      </c>
      <c r="L280" t="s">
        <v>1198</v>
      </c>
      <c r="M280" t="s">
        <v>779</v>
      </c>
      <c r="N280" t="s">
        <v>826</v>
      </c>
      <c r="O280" t="s">
        <v>778</v>
      </c>
      <c r="P280" t="s">
        <v>1166</v>
      </c>
      <c r="Q280" t="s">
        <v>906</v>
      </c>
      <c r="R280" t="s">
        <v>1856</v>
      </c>
      <c r="S280" t="s">
        <v>2160</v>
      </c>
      <c r="T280" t="s">
        <v>939</v>
      </c>
      <c r="U280" t="s">
        <v>1773</v>
      </c>
      <c r="V280" t="s">
        <v>1190</v>
      </c>
      <c r="W280" t="s">
        <v>1038</v>
      </c>
      <c r="X280" t="s">
        <v>1064</v>
      </c>
      <c r="Y280" t="s">
        <v>1484</v>
      </c>
      <c r="Z280" t="s">
        <v>1199</v>
      </c>
      <c r="AA280" t="s">
        <v>1687</v>
      </c>
      <c r="AB280" t="s">
        <v>863</v>
      </c>
      <c r="AC280" t="s">
        <v>1390</v>
      </c>
      <c r="AD280" t="s">
        <v>1713</v>
      </c>
    </row>
    <row r="281" spans="1:30">
      <c r="A281" t="s">
        <v>14</v>
      </c>
      <c r="B281" t="s">
        <v>38</v>
      </c>
      <c r="C281" t="s">
        <v>1068</v>
      </c>
      <c r="D281" t="s">
        <v>1015</v>
      </c>
      <c r="E281" t="s">
        <v>1066</v>
      </c>
      <c r="F281" t="s">
        <v>821</v>
      </c>
      <c r="G281" t="s">
        <v>796</v>
      </c>
      <c r="H281" t="s">
        <v>845</v>
      </c>
      <c r="I281" t="s">
        <v>803</v>
      </c>
      <c r="J281" t="s">
        <v>778</v>
      </c>
      <c r="K281" t="s">
        <v>782</v>
      </c>
      <c r="L281" t="s">
        <v>775</v>
      </c>
      <c r="M281" t="s">
        <v>863</v>
      </c>
      <c r="N281" t="s">
        <v>775</v>
      </c>
      <c r="O281" t="s">
        <v>803</v>
      </c>
      <c r="P281" t="s">
        <v>992</v>
      </c>
      <c r="Q281" t="s">
        <v>2095</v>
      </c>
      <c r="R281" t="s">
        <v>1270</v>
      </c>
      <c r="S281" t="s">
        <v>1369</v>
      </c>
      <c r="T281" t="s">
        <v>1491</v>
      </c>
      <c r="U281" t="s">
        <v>947</v>
      </c>
      <c r="V281" t="s">
        <v>1051</v>
      </c>
      <c r="W281" t="s">
        <v>1683</v>
      </c>
      <c r="X281" t="s">
        <v>1970</v>
      </c>
      <c r="Y281" t="s">
        <v>1356</v>
      </c>
      <c r="Z281" t="s">
        <v>1592</v>
      </c>
      <c r="AA281" t="s">
        <v>2161</v>
      </c>
      <c r="AB281" t="s">
        <v>822</v>
      </c>
      <c r="AC281" t="s">
        <v>2055</v>
      </c>
      <c r="AD281" t="s">
        <v>2162</v>
      </c>
    </row>
    <row r="282" spans="1:30">
      <c r="A282" t="s">
        <v>14</v>
      </c>
      <c r="B282" t="s">
        <v>53</v>
      </c>
      <c r="C282" t="s">
        <v>1079</v>
      </c>
      <c r="D282" t="s">
        <v>776</v>
      </c>
      <c r="E282" t="s">
        <v>1899</v>
      </c>
      <c r="F282" t="s">
        <v>782</v>
      </c>
      <c r="G282" t="s">
        <v>1015</v>
      </c>
      <c r="H282" t="s">
        <v>777</v>
      </c>
      <c r="I282" t="s">
        <v>803</v>
      </c>
      <c r="J282" t="s">
        <v>777</v>
      </c>
      <c r="K282" t="s">
        <v>1232</v>
      </c>
      <c r="L282" t="s">
        <v>1449</v>
      </c>
      <c r="M282" t="s">
        <v>777</v>
      </c>
      <c r="N282" t="s">
        <v>926</v>
      </c>
      <c r="O282" t="s">
        <v>845</v>
      </c>
      <c r="P282" t="s">
        <v>975</v>
      </c>
      <c r="Q282" t="s">
        <v>1271</v>
      </c>
      <c r="R282" t="s">
        <v>2163</v>
      </c>
      <c r="S282" t="s">
        <v>1805</v>
      </c>
      <c r="T282" t="s">
        <v>788</v>
      </c>
      <c r="U282" t="s">
        <v>1722</v>
      </c>
      <c r="V282" t="s">
        <v>871</v>
      </c>
      <c r="W282" t="s">
        <v>2164</v>
      </c>
      <c r="X282" t="s">
        <v>934</v>
      </c>
      <c r="Y282" t="s">
        <v>1382</v>
      </c>
      <c r="Z282" t="s">
        <v>1550</v>
      </c>
      <c r="AA282" t="s">
        <v>1406</v>
      </c>
      <c r="AB282" t="s">
        <v>863</v>
      </c>
      <c r="AC282" t="s">
        <v>1183</v>
      </c>
      <c r="AD282" t="s">
        <v>2016</v>
      </c>
    </row>
    <row r="283" spans="1:30">
      <c r="A283" t="s">
        <v>14</v>
      </c>
      <c r="B283" t="s">
        <v>2165</v>
      </c>
      <c r="C283" t="s">
        <v>1079</v>
      </c>
      <c r="D283" t="s">
        <v>844</v>
      </c>
      <c r="E283" t="s">
        <v>893</v>
      </c>
      <c r="F283" t="s">
        <v>858</v>
      </c>
      <c r="G283" t="s">
        <v>775</v>
      </c>
      <c r="H283" t="s">
        <v>846</v>
      </c>
      <c r="I283" t="s">
        <v>778</v>
      </c>
      <c r="J283" t="s">
        <v>803</v>
      </c>
      <c r="K283" t="s">
        <v>822</v>
      </c>
      <c r="L283" t="s">
        <v>842</v>
      </c>
      <c r="M283" t="s">
        <v>858</v>
      </c>
      <c r="N283" t="s">
        <v>862</v>
      </c>
      <c r="O283" t="s">
        <v>845</v>
      </c>
      <c r="P283" t="s">
        <v>1139</v>
      </c>
      <c r="Q283" t="s">
        <v>1353</v>
      </c>
      <c r="R283" t="s">
        <v>956</v>
      </c>
      <c r="S283" t="s">
        <v>2030</v>
      </c>
      <c r="T283" t="s">
        <v>1119</v>
      </c>
      <c r="U283" t="s">
        <v>1712</v>
      </c>
      <c r="V283" t="s">
        <v>1144</v>
      </c>
      <c r="W283" t="s">
        <v>1038</v>
      </c>
      <c r="X283" t="s">
        <v>889</v>
      </c>
      <c r="Y283" t="s">
        <v>888</v>
      </c>
      <c r="Z283" t="s">
        <v>1604</v>
      </c>
      <c r="AA283" t="s">
        <v>2166</v>
      </c>
      <c r="AB283" t="s">
        <v>821</v>
      </c>
      <c r="AC283" t="s">
        <v>1080</v>
      </c>
      <c r="AD283" t="s">
        <v>939</v>
      </c>
    </row>
    <row r="284" spans="1:30">
      <c r="A284" t="s">
        <v>14</v>
      </c>
      <c r="B284" t="s">
        <v>85</v>
      </c>
      <c r="C284" t="s">
        <v>841</v>
      </c>
      <c r="D284" t="s">
        <v>925</v>
      </c>
      <c r="E284" t="s">
        <v>908</v>
      </c>
      <c r="F284" t="s">
        <v>777</v>
      </c>
      <c r="G284" t="s">
        <v>862</v>
      </c>
      <c r="H284" t="s">
        <v>845</v>
      </c>
      <c r="I284" t="s">
        <v>778</v>
      </c>
      <c r="J284" t="s">
        <v>803</v>
      </c>
      <c r="K284" t="s">
        <v>777</v>
      </c>
      <c r="L284" t="s">
        <v>805</v>
      </c>
      <c r="M284" t="s">
        <v>777</v>
      </c>
      <c r="N284" t="s">
        <v>802</v>
      </c>
      <c r="O284" t="s">
        <v>846</v>
      </c>
      <c r="P284" t="s">
        <v>1707</v>
      </c>
      <c r="Q284" t="s">
        <v>1145</v>
      </c>
      <c r="R284" t="s">
        <v>898</v>
      </c>
      <c r="S284" t="s">
        <v>1605</v>
      </c>
      <c r="T284" t="s">
        <v>885</v>
      </c>
      <c r="U284" t="s">
        <v>1052</v>
      </c>
      <c r="V284" t="s">
        <v>1063</v>
      </c>
      <c r="W284" t="s">
        <v>2118</v>
      </c>
      <c r="X284" t="s">
        <v>1433</v>
      </c>
      <c r="Y284" t="s">
        <v>1305</v>
      </c>
      <c r="Z284" t="s">
        <v>1069</v>
      </c>
      <c r="AA284" t="s">
        <v>2167</v>
      </c>
      <c r="AB284" t="s">
        <v>822</v>
      </c>
      <c r="AC284" t="s">
        <v>1342</v>
      </c>
      <c r="AD284" t="s">
        <v>939</v>
      </c>
    </row>
    <row r="285" spans="1:30">
      <c r="A285" t="s">
        <v>14</v>
      </c>
      <c r="B285" t="s">
        <v>2168</v>
      </c>
      <c r="C285" t="s">
        <v>536</v>
      </c>
      <c r="D285" t="s">
        <v>862</v>
      </c>
      <c r="E285" t="s">
        <v>1437</v>
      </c>
      <c r="F285" t="s">
        <v>846</v>
      </c>
      <c r="G285" t="s">
        <v>796</v>
      </c>
      <c r="H285" t="s">
        <v>845</v>
      </c>
      <c r="I285" t="s">
        <v>803</v>
      </c>
      <c r="J285" t="s">
        <v>778</v>
      </c>
      <c r="K285" t="s">
        <v>777</v>
      </c>
      <c r="L285" t="s">
        <v>775</v>
      </c>
      <c r="M285" t="s">
        <v>846</v>
      </c>
      <c r="N285" t="s">
        <v>782</v>
      </c>
      <c r="O285" t="s">
        <v>803</v>
      </c>
      <c r="P285" t="s">
        <v>1290</v>
      </c>
      <c r="Q285" t="s">
        <v>1248</v>
      </c>
      <c r="R285" t="s">
        <v>1799</v>
      </c>
      <c r="S285" t="s">
        <v>2169</v>
      </c>
      <c r="T285" t="s">
        <v>1337</v>
      </c>
      <c r="U285" t="s">
        <v>917</v>
      </c>
      <c r="V285" t="s">
        <v>1381</v>
      </c>
      <c r="W285" t="s">
        <v>1842</v>
      </c>
      <c r="X285" t="s">
        <v>1039</v>
      </c>
      <c r="Y285" t="s">
        <v>1865</v>
      </c>
      <c r="Z285" t="s">
        <v>1239</v>
      </c>
      <c r="AA285" t="s">
        <v>1218</v>
      </c>
      <c r="AB285" t="s">
        <v>822</v>
      </c>
      <c r="AC285" t="s">
        <v>1368</v>
      </c>
      <c r="AD285" t="s">
        <v>1802</v>
      </c>
    </row>
    <row r="286" spans="1:30">
      <c r="A286" t="s">
        <v>14</v>
      </c>
      <c r="B286" t="s">
        <v>368</v>
      </c>
      <c r="C286" t="s">
        <v>536</v>
      </c>
      <c r="D286" t="s">
        <v>802</v>
      </c>
      <c r="E286" t="s">
        <v>783</v>
      </c>
      <c r="F286" t="s">
        <v>822</v>
      </c>
      <c r="G286" t="s">
        <v>777</v>
      </c>
      <c r="H286" t="s">
        <v>803</v>
      </c>
      <c r="I286" t="s">
        <v>803</v>
      </c>
      <c r="J286" t="s">
        <v>778</v>
      </c>
      <c r="K286" t="s">
        <v>845</v>
      </c>
      <c r="L286" t="s">
        <v>858</v>
      </c>
      <c r="M286" t="s">
        <v>803</v>
      </c>
      <c r="N286" t="s">
        <v>823</v>
      </c>
      <c r="O286" t="s">
        <v>803</v>
      </c>
      <c r="P286" t="s">
        <v>1339</v>
      </c>
      <c r="Q286" t="s">
        <v>836</v>
      </c>
      <c r="R286" t="s">
        <v>1026</v>
      </c>
      <c r="S286" t="s">
        <v>974</v>
      </c>
      <c r="T286" t="s">
        <v>946</v>
      </c>
      <c r="U286" t="s">
        <v>901</v>
      </c>
      <c r="V286" t="s">
        <v>946</v>
      </c>
      <c r="W286" t="s">
        <v>1008</v>
      </c>
      <c r="X286" t="s">
        <v>1009</v>
      </c>
      <c r="Y286" t="s">
        <v>1683</v>
      </c>
      <c r="Z286" t="s">
        <v>1683</v>
      </c>
      <c r="AA286" t="s">
        <v>1065</v>
      </c>
      <c r="AB286" t="s">
        <v>778</v>
      </c>
      <c r="AC286" t="s">
        <v>1449</v>
      </c>
      <c r="AD286" t="s">
        <v>1148</v>
      </c>
    </row>
    <row r="287" spans="1:30">
      <c r="A287" t="s">
        <v>14</v>
      </c>
      <c r="B287" t="s">
        <v>2170</v>
      </c>
      <c r="C287" t="s">
        <v>841</v>
      </c>
      <c r="D287" t="s">
        <v>825</v>
      </c>
      <c r="E287" t="s">
        <v>1198</v>
      </c>
      <c r="F287" t="s">
        <v>777</v>
      </c>
      <c r="G287" t="s">
        <v>823</v>
      </c>
      <c r="H287" t="s">
        <v>822</v>
      </c>
      <c r="I287" t="s">
        <v>803</v>
      </c>
      <c r="J287" t="s">
        <v>778</v>
      </c>
      <c r="K287" t="s">
        <v>858</v>
      </c>
      <c r="L287" t="s">
        <v>1232</v>
      </c>
      <c r="M287" t="s">
        <v>845</v>
      </c>
      <c r="N287" t="s">
        <v>863</v>
      </c>
      <c r="O287" t="s">
        <v>778</v>
      </c>
      <c r="P287" t="s">
        <v>1262</v>
      </c>
      <c r="Q287" t="s">
        <v>995</v>
      </c>
      <c r="R287" t="s">
        <v>1699</v>
      </c>
      <c r="S287" t="s">
        <v>1409</v>
      </c>
      <c r="T287" t="s">
        <v>939</v>
      </c>
      <c r="U287" t="s">
        <v>989</v>
      </c>
      <c r="V287" t="s">
        <v>1214</v>
      </c>
      <c r="W287" t="s">
        <v>1023</v>
      </c>
      <c r="X287" t="s">
        <v>1332</v>
      </c>
      <c r="Y287" t="s">
        <v>1325</v>
      </c>
      <c r="Z287" t="s">
        <v>1670</v>
      </c>
      <c r="AA287" t="s">
        <v>2119</v>
      </c>
      <c r="AB287" t="s">
        <v>777</v>
      </c>
      <c r="AC287" t="s">
        <v>1184</v>
      </c>
      <c r="AD287" t="s">
        <v>1467</v>
      </c>
    </row>
    <row r="288" spans="1:30">
      <c r="A288" t="s">
        <v>14</v>
      </c>
      <c r="B288" t="s">
        <v>2171</v>
      </c>
      <c r="C288" t="s">
        <v>910</v>
      </c>
      <c r="D288" t="s">
        <v>823</v>
      </c>
      <c r="E288" t="s">
        <v>926</v>
      </c>
      <c r="F288" t="s">
        <v>803</v>
      </c>
      <c r="G288" t="s">
        <v>845</v>
      </c>
      <c r="H288" t="s">
        <v>803</v>
      </c>
      <c r="I288" t="s">
        <v>803</v>
      </c>
      <c r="J288" t="s">
        <v>803</v>
      </c>
      <c r="K288" t="s">
        <v>803</v>
      </c>
      <c r="L288" t="s">
        <v>845</v>
      </c>
      <c r="M288" t="s">
        <v>778</v>
      </c>
      <c r="N288" t="s">
        <v>779</v>
      </c>
      <c r="O288" t="s">
        <v>803</v>
      </c>
      <c r="P288" t="s">
        <v>1002</v>
      </c>
      <c r="Q288" t="s">
        <v>1642</v>
      </c>
      <c r="R288" t="s">
        <v>1002</v>
      </c>
      <c r="S288" t="s">
        <v>1829</v>
      </c>
      <c r="T288" t="s">
        <v>931</v>
      </c>
      <c r="U288" t="s">
        <v>946</v>
      </c>
      <c r="V288" t="s">
        <v>901</v>
      </c>
      <c r="W288" t="s">
        <v>2037</v>
      </c>
      <c r="X288" t="s">
        <v>1282</v>
      </c>
      <c r="Y288" t="s">
        <v>1008</v>
      </c>
      <c r="Z288" t="s">
        <v>1023</v>
      </c>
      <c r="AA288" t="s">
        <v>1958</v>
      </c>
      <c r="AB288" t="s">
        <v>803</v>
      </c>
      <c r="AC288" t="s">
        <v>925</v>
      </c>
      <c r="AD288" t="s">
        <v>939</v>
      </c>
    </row>
    <row r="289" spans="1:30">
      <c r="A289" t="s">
        <v>14</v>
      </c>
      <c r="B289" t="s">
        <v>2172</v>
      </c>
      <c r="C289" t="s">
        <v>910</v>
      </c>
      <c r="D289" t="s">
        <v>846</v>
      </c>
      <c r="E289" t="s">
        <v>780</v>
      </c>
      <c r="F289" t="s">
        <v>845</v>
      </c>
      <c r="G289" t="s">
        <v>822</v>
      </c>
      <c r="H289" t="s">
        <v>803</v>
      </c>
      <c r="I289" t="s">
        <v>803</v>
      </c>
      <c r="J289" t="s">
        <v>778</v>
      </c>
      <c r="K289" t="s">
        <v>778</v>
      </c>
      <c r="L289" t="s">
        <v>821</v>
      </c>
      <c r="M289" t="s">
        <v>803</v>
      </c>
      <c r="N289" t="s">
        <v>822</v>
      </c>
      <c r="O289" t="s">
        <v>803</v>
      </c>
      <c r="P289" t="s">
        <v>1217</v>
      </c>
      <c r="Q289" t="s">
        <v>1217</v>
      </c>
      <c r="R289" t="s">
        <v>956</v>
      </c>
      <c r="S289" t="s">
        <v>1312</v>
      </c>
      <c r="T289" t="s">
        <v>885</v>
      </c>
      <c r="U289" t="s">
        <v>960</v>
      </c>
      <c r="V289" t="s">
        <v>1559</v>
      </c>
      <c r="W289" t="s">
        <v>1008</v>
      </c>
      <c r="X289" t="s">
        <v>1009</v>
      </c>
      <c r="Y289" t="s">
        <v>1217</v>
      </c>
      <c r="Z289" t="s">
        <v>1217</v>
      </c>
      <c r="AA289" t="s">
        <v>2173</v>
      </c>
      <c r="AB289" t="s">
        <v>778</v>
      </c>
      <c r="AC289" t="s">
        <v>780</v>
      </c>
      <c r="AD289" t="s">
        <v>1599</v>
      </c>
    </row>
    <row r="290" spans="1:30">
      <c r="A290" t="s">
        <v>14</v>
      </c>
      <c r="B290" t="s">
        <v>2174</v>
      </c>
      <c r="C290" t="s">
        <v>841</v>
      </c>
      <c r="D290" t="s">
        <v>782</v>
      </c>
      <c r="E290" t="s">
        <v>782</v>
      </c>
      <c r="F290" t="s">
        <v>822</v>
      </c>
      <c r="G290" t="s">
        <v>803</v>
      </c>
      <c r="H290" t="s">
        <v>803</v>
      </c>
      <c r="I290" t="s">
        <v>803</v>
      </c>
      <c r="J290" t="s">
        <v>803</v>
      </c>
      <c r="K290" t="s">
        <v>803</v>
      </c>
      <c r="L290" t="s">
        <v>803</v>
      </c>
      <c r="M290" t="s">
        <v>822</v>
      </c>
      <c r="N290" t="s">
        <v>846</v>
      </c>
      <c r="O290" t="s">
        <v>778</v>
      </c>
      <c r="P290" t="s">
        <v>1008</v>
      </c>
      <c r="Q290" t="s">
        <v>1276</v>
      </c>
      <c r="R290" t="s">
        <v>1008</v>
      </c>
      <c r="S290" t="s">
        <v>1276</v>
      </c>
      <c r="T290" t="s">
        <v>885</v>
      </c>
      <c r="U290" t="s">
        <v>939</v>
      </c>
      <c r="V290" t="s">
        <v>885</v>
      </c>
      <c r="W290" t="s">
        <v>1276</v>
      </c>
      <c r="X290" t="s">
        <v>1073</v>
      </c>
      <c r="Y290" t="s">
        <v>1008</v>
      </c>
      <c r="Z290" t="s">
        <v>1613</v>
      </c>
      <c r="AA290" t="s">
        <v>2175</v>
      </c>
      <c r="AB290" t="s">
        <v>803</v>
      </c>
      <c r="AC290" t="s">
        <v>796</v>
      </c>
      <c r="AD290" t="s">
        <v>939</v>
      </c>
    </row>
    <row r="291" spans="1:30">
      <c r="A291" t="s">
        <v>14</v>
      </c>
      <c r="B291" t="s">
        <v>2176</v>
      </c>
      <c r="C291" t="s">
        <v>536</v>
      </c>
      <c r="D291" t="s">
        <v>822</v>
      </c>
      <c r="E291" t="s">
        <v>821</v>
      </c>
      <c r="F291" t="s">
        <v>845</v>
      </c>
      <c r="G291" t="s">
        <v>845</v>
      </c>
      <c r="H291" t="s">
        <v>803</v>
      </c>
      <c r="I291" t="s">
        <v>803</v>
      </c>
      <c r="J291" t="s">
        <v>803</v>
      </c>
      <c r="K291" t="s">
        <v>778</v>
      </c>
      <c r="L291" t="s">
        <v>845</v>
      </c>
      <c r="M291" t="s">
        <v>803</v>
      </c>
      <c r="N291" t="s">
        <v>803</v>
      </c>
      <c r="O291" t="s">
        <v>803</v>
      </c>
      <c r="P291" t="s">
        <v>956</v>
      </c>
      <c r="Q291" t="s">
        <v>986</v>
      </c>
      <c r="R291" t="s">
        <v>956</v>
      </c>
      <c r="S291" t="s">
        <v>2177</v>
      </c>
      <c r="T291" t="s">
        <v>939</v>
      </c>
      <c r="U291" t="s">
        <v>932</v>
      </c>
      <c r="V291" t="s">
        <v>887</v>
      </c>
      <c r="W291" t="s">
        <v>1008</v>
      </c>
      <c r="X291" t="s">
        <v>1009</v>
      </c>
      <c r="Y291" t="s">
        <v>1008</v>
      </c>
      <c r="Z291" t="s">
        <v>1008</v>
      </c>
      <c r="AA291" t="s">
        <v>1920</v>
      </c>
      <c r="AB291" t="s">
        <v>803</v>
      </c>
      <c r="AC291" t="s">
        <v>858</v>
      </c>
      <c r="AD291" t="s">
        <v>939</v>
      </c>
    </row>
    <row r="292" spans="1:30">
      <c r="A292" t="s">
        <v>76</v>
      </c>
      <c r="B292" t="s">
        <v>155</v>
      </c>
      <c r="C292" t="s">
        <v>879</v>
      </c>
      <c r="D292" t="s">
        <v>773</v>
      </c>
      <c r="E292" t="s">
        <v>1056</v>
      </c>
      <c r="F292" t="s">
        <v>780</v>
      </c>
      <c r="G292" t="s">
        <v>826</v>
      </c>
      <c r="H292" t="s">
        <v>858</v>
      </c>
      <c r="I292" t="s">
        <v>803</v>
      </c>
      <c r="J292" t="s">
        <v>822</v>
      </c>
      <c r="K292" t="s">
        <v>796</v>
      </c>
      <c r="L292" t="s">
        <v>1517</v>
      </c>
      <c r="M292" t="s">
        <v>971</v>
      </c>
      <c r="N292" t="s">
        <v>775</v>
      </c>
      <c r="O292" t="s">
        <v>778</v>
      </c>
      <c r="P292" t="s">
        <v>1061</v>
      </c>
      <c r="Q292" t="s">
        <v>1235</v>
      </c>
      <c r="R292" t="s">
        <v>1186</v>
      </c>
      <c r="S292" t="s">
        <v>1772</v>
      </c>
      <c r="T292" t="s">
        <v>788</v>
      </c>
      <c r="U292" t="s">
        <v>2178</v>
      </c>
      <c r="V292" t="s">
        <v>790</v>
      </c>
      <c r="W292" t="s">
        <v>2179</v>
      </c>
      <c r="X292" t="s">
        <v>1099</v>
      </c>
      <c r="Y292" t="s">
        <v>1256</v>
      </c>
      <c r="Z292" t="s">
        <v>1665</v>
      </c>
      <c r="AA292" t="s">
        <v>1750</v>
      </c>
      <c r="AB292" t="s">
        <v>823</v>
      </c>
      <c r="AC292" t="s">
        <v>2180</v>
      </c>
      <c r="AD292" t="s">
        <v>2181</v>
      </c>
    </row>
    <row r="293" spans="1:30">
      <c r="A293" t="s">
        <v>76</v>
      </c>
      <c r="B293" t="s">
        <v>236</v>
      </c>
      <c r="C293" t="s">
        <v>799</v>
      </c>
      <c r="D293" t="s">
        <v>1208</v>
      </c>
      <c r="E293" t="s">
        <v>1016</v>
      </c>
      <c r="F293" t="s">
        <v>1015</v>
      </c>
      <c r="G293" t="s">
        <v>1015</v>
      </c>
      <c r="H293" t="s">
        <v>821</v>
      </c>
      <c r="I293" t="s">
        <v>803</v>
      </c>
      <c r="J293" t="s">
        <v>823</v>
      </c>
      <c r="K293" t="s">
        <v>805</v>
      </c>
      <c r="L293" t="s">
        <v>954</v>
      </c>
      <c r="M293" t="s">
        <v>773</v>
      </c>
      <c r="N293" t="s">
        <v>1046</v>
      </c>
      <c r="O293" t="s">
        <v>846</v>
      </c>
      <c r="P293" t="s">
        <v>881</v>
      </c>
      <c r="Q293" t="s">
        <v>2182</v>
      </c>
      <c r="R293" t="s">
        <v>2183</v>
      </c>
      <c r="S293" t="s">
        <v>2184</v>
      </c>
      <c r="T293" t="s">
        <v>1051</v>
      </c>
      <c r="U293" t="s">
        <v>1711</v>
      </c>
      <c r="V293" t="s">
        <v>1872</v>
      </c>
      <c r="W293" t="s">
        <v>2185</v>
      </c>
      <c r="X293" t="s">
        <v>2186</v>
      </c>
      <c r="Y293" t="s">
        <v>1543</v>
      </c>
      <c r="Z293" t="s">
        <v>1445</v>
      </c>
      <c r="AA293" t="s">
        <v>1687</v>
      </c>
      <c r="AB293" t="s">
        <v>1232</v>
      </c>
      <c r="AC293" t="s">
        <v>2187</v>
      </c>
      <c r="AD293" t="s">
        <v>1213</v>
      </c>
    </row>
    <row r="294" spans="1:30">
      <c r="A294" t="s">
        <v>76</v>
      </c>
      <c r="B294" t="s">
        <v>75</v>
      </c>
      <c r="C294" t="s">
        <v>1068</v>
      </c>
      <c r="D294" t="s">
        <v>1015</v>
      </c>
      <c r="E294" t="s">
        <v>1196</v>
      </c>
      <c r="F294" t="s">
        <v>802</v>
      </c>
      <c r="G294" t="s">
        <v>844</v>
      </c>
      <c r="H294" t="s">
        <v>777</v>
      </c>
      <c r="I294" t="s">
        <v>803</v>
      </c>
      <c r="J294" t="s">
        <v>822</v>
      </c>
      <c r="K294" t="s">
        <v>823</v>
      </c>
      <c r="L294" t="s">
        <v>972</v>
      </c>
      <c r="M294" t="s">
        <v>863</v>
      </c>
      <c r="N294" t="s">
        <v>1081</v>
      </c>
      <c r="O294" t="s">
        <v>778</v>
      </c>
      <c r="P294" t="s">
        <v>1018</v>
      </c>
      <c r="Q294" t="s">
        <v>1823</v>
      </c>
      <c r="R294" t="s">
        <v>1588</v>
      </c>
      <c r="S294" t="s">
        <v>2188</v>
      </c>
      <c r="T294" t="s">
        <v>1337</v>
      </c>
      <c r="U294" t="s">
        <v>1907</v>
      </c>
      <c r="V294" t="s">
        <v>1545</v>
      </c>
      <c r="W294" t="s">
        <v>1683</v>
      </c>
      <c r="X294" t="s">
        <v>1848</v>
      </c>
      <c r="Y294" t="s">
        <v>952</v>
      </c>
      <c r="Z294" t="s">
        <v>973</v>
      </c>
      <c r="AA294" t="s">
        <v>1195</v>
      </c>
      <c r="AB294" t="s">
        <v>858</v>
      </c>
      <c r="AC294" t="s">
        <v>2055</v>
      </c>
      <c r="AD294" t="s">
        <v>1472</v>
      </c>
    </row>
    <row r="295" spans="1:30">
      <c r="A295" t="s">
        <v>76</v>
      </c>
      <c r="B295" t="s">
        <v>115</v>
      </c>
      <c r="C295" t="s">
        <v>772</v>
      </c>
      <c r="D295" t="s">
        <v>773</v>
      </c>
      <c r="E295" t="s">
        <v>1091</v>
      </c>
      <c r="F295" t="s">
        <v>825</v>
      </c>
      <c r="G295" t="s">
        <v>842</v>
      </c>
      <c r="H295" t="s">
        <v>822</v>
      </c>
      <c r="I295" t="s">
        <v>803</v>
      </c>
      <c r="J295" t="s">
        <v>858</v>
      </c>
      <c r="K295" t="s">
        <v>805</v>
      </c>
      <c r="L295" t="s">
        <v>804</v>
      </c>
      <c r="M295" t="s">
        <v>802</v>
      </c>
      <c r="N295" t="s">
        <v>926</v>
      </c>
      <c r="O295" t="s">
        <v>846</v>
      </c>
      <c r="P295" t="s">
        <v>1145</v>
      </c>
      <c r="Q295" t="s">
        <v>1941</v>
      </c>
      <c r="R295" t="s">
        <v>1547</v>
      </c>
      <c r="S295" t="s">
        <v>2189</v>
      </c>
      <c r="T295" t="s">
        <v>960</v>
      </c>
      <c r="U295" t="s">
        <v>1435</v>
      </c>
      <c r="V295" t="s">
        <v>1107</v>
      </c>
      <c r="W295" t="s">
        <v>1828</v>
      </c>
      <c r="X295" t="s">
        <v>1617</v>
      </c>
      <c r="Y295" t="s">
        <v>2066</v>
      </c>
      <c r="Z295" t="s">
        <v>1369</v>
      </c>
      <c r="AA295" t="s">
        <v>2070</v>
      </c>
      <c r="AB295" t="s">
        <v>823</v>
      </c>
      <c r="AC295" t="s">
        <v>1830</v>
      </c>
      <c r="AD295" t="s">
        <v>1597</v>
      </c>
    </row>
    <row r="296" spans="1:30">
      <c r="A296" t="s">
        <v>76</v>
      </c>
      <c r="B296" t="s">
        <v>2190</v>
      </c>
      <c r="C296" t="s">
        <v>841</v>
      </c>
      <c r="D296" t="s">
        <v>773</v>
      </c>
      <c r="E296" t="s">
        <v>1899</v>
      </c>
      <c r="F296" t="s">
        <v>802</v>
      </c>
      <c r="G296" t="s">
        <v>895</v>
      </c>
      <c r="H296" t="s">
        <v>846</v>
      </c>
      <c r="I296" t="s">
        <v>778</v>
      </c>
      <c r="J296" t="s">
        <v>778</v>
      </c>
      <c r="K296" t="s">
        <v>1232</v>
      </c>
      <c r="L296" t="s">
        <v>864</v>
      </c>
      <c r="M296" t="s">
        <v>777</v>
      </c>
      <c r="N296" t="s">
        <v>796</v>
      </c>
      <c r="O296" t="s">
        <v>845</v>
      </c>
      <c r="P296" t="s">
        <v>1047</v>
      </c>
      <c r="Q296" t="s">
        <v>1194</v>
      </c>
      <c r="R296" t="s">
        <v>1588</v>
      </c>
      <c r="S296" t="s">
        <v>1643</v>
      </c>
      <c r="T296" t="s">
        <v>939</v>
      </c>
      <c r="U296" t="s">
        <v>851</v>
      </c>
      <c r="V296" t="s">
        <v>887</v>
      </c>
      <c r="W296" t="s">
        <v>2164</v>
      </c>
      <c r="X296" t="s">
        <v>1164</v>
      </c>
      <c r="Y296" t="s">
        <v>1828</v>
      </c>
      <c r="Z296" t="s">
        <v>1382</v>
      </c>
      <c r="AA296" t="s">
        <v>2191</v>
      </c>
      <c r="AB296" t="s">
        <v>858</v>
      </c>
      <c r="AC296" t="s">
        <v>1183</v>
      </c>
      <c r="AD296" t="s">
        <v>2192</v>
      </c>
    </row>
    <row r="297" spans="1:30">
      <c r="A297" t="s">
        <v>76</v>
      </c>
      <c r="B297" t="s">
        <v>231</v>
      </c>
      <c r="C297" t="s">
        <v>1079</v>
      </c>
      <c r="D297" t="s">
        <v>1015</v>
      </c>
      <c r="E297" t="s">
        <v>1058</v>
      </c>
      <c r="F297" t="s">
        <v>823</v>
      </c>
      <c r="G297" t="s">
        <v>925</v>
      </c>
      <c r="H297" t="s">
        <v>846</v>
      </c>
      <c r="I297" t="s">
        <v>803</v>
      </c>
      <c r="J297" t="s">
        <v>845</v>
      </c>
      <c r="K297" t="s">
        <v>971</v>
      </c>
      <c r="L297" t="s">
        <v>864</v>
      </c>
      <c r="M297" t="s">
        <v>777</v>
      </c>
      <c r="N297" t="s">
        <v>825</v>
      </c>
      <c r="O297" t="s">
        <v>778</v>
      </c>
      <c r="P297" t="s">
        <v>1139</v>
      </c>
      <c r="Q297" t="s">
        <v>1582</v>
      </c>
      <c r="R297" t="s">
        <v>2086</v>
      </c>
      <c r="S297" t="s">
        <v>1229</v>
      </c>
      <c r="T297" t="s">
        <v>939</v>
      </c>
      <c r="U297" t="s">
        <v>962</v>
      </c>
      <c r="V297" t="s">
        <v>1638</v>
      </c>
      <c r="W297" t="s">
        <v>2164</v>
      </c>
      <c r="X297" t="s">
        <v>792</v>
      </c>
      <c r="Y297" t="s">
        <v>834</v>
      </c>
      <c r="Z297" t="s">
        <v>1710</v>
      </c>
      <c r="AA297" t="s">
        <v>1406</v>
      </c>
      <c r="AB297" t="s">
        <v>858</v>
      </c>
      <c r="AC297" t="s">
        <v>1183</v>
      </c>
      <c r="AD297" t="s">
        <v>1918</v>
      </c>
    </row>
    <row r="298" spans="1:30">
      <c r="A298" t="s">
        <v>76</v>
      </c>
      <c r="B298" t="s">
        <v>340</v>
      </c>
      <c r="C298" t="s">
        <v>772</v>
      </c>
      <c r="D298" t="s">
        <v>842</v>
      </c>
      <c r="E298" t="s">
        <v>1975</v>
      </c>
      <c r="F298" t="s">
        <v>971</v>
      </c>
      <c r="G298" t="s">
        <v>862</v>
      </c>
      <c r="H298" t="s">
        <v>778</v>
      </c>
      <c r="I298" t="s">
        <v>803</v>
      </c>
      <c r="J298" t="s">
        <v>803</v>
      </c>
      <c r="K298" t="s">
        <v>823</v>
      </c>
      <c r="L298" t="s">
        <v>780</v>
      </c>
      <c r="M298" t="s">
        <v>782</v>
      </c>
      <c r="N298" t="s">
        <v>926</v>
      </c>
      <c r="O298" t="s">
        <v>802</v>
      </c>
      <c r="P298" t="s">
        <v>942</v>
      </c>
      <c r="Q298" t="s">
        <v>2193</v>
      </c>
      <c r="R298" t="s">
        <v>1160</v>
      </c>
      <c r="S298" t="s">
        <v>945</v>
      </c>
      <c r="T298" t="s">
        <v>1337</v>
      </c>
      <c r="U298" t="s">
        <v>886</v>
      </c>
      <c r="V298" t="s">
        <v>1121</v>
      </c>
      <c r="W298" t="s">
        <v>1010</v>
      </c>
      <c r="X298" t="s">
        <v>2194</v>
      </c>
      <c r="Y298" t="s">
        <v>2195</v>
      </c>
      <c r="Z298" t="s">
        <v>1117</v>
      </c>
      <c r="AA298" t="s">
        <v>2196</v>
      </c>
      <c r="AB298" t="s">
        <v>778</v>
      </c>
      <c r="AC298" t="s">
        <v>1496</v>
      </c>
      <c r="AD298" t="s">
        <v>939</v>
      </c>
    </row>
    <row r="299" spans="1:30">
      <c r="A299" t="s">
        <v>76</v>
      </c>
      <c r="B299" t="s">
        <v>2197</v>
      </c>
      <c r="C299" t="s">
        <v>819</v>
      </c>
      <c r="D299" t="s">
        <v>805</v>
      </c>
      <c r="E299" t="s">
        <v>1115</v>
      </c>
      <c r="F299" t="s">
        <v>863</v>
      </c>
      <c r="G299" t="s">
        <v>823</v>
      </c>
      <c r="H299" t="s">
        <v>822</v>
      </c>
      <c r="I299" t="s">
        <v>803</v>
      </c>
      <c r="J299" t="s">
        <v>822</v>
      </c>
      <c r="K299" t="s">
        <v>823</v>
      </c>
      <c r="L299" t="s">
        <v>925</v>
      </c>
      <c r="M299" t="s">
        <v>858</v>
      </c>
      <c r="N299" t="s">
        <v>782</v>
      </c>
      <c r="O299" t="s">
        <v>845</v>
      </c>
      <c r="P299" t="s">
        <v>1785</v>
      </c>
      <c r="Q299" t="s">
        <v>1420</v>
      </c>
      <c r="R299" t="s">
        <v>2198</v>
      </c>
      <c r="S299" t="s">
        <v>1106</v>
      </c>
      <c r="T299" t="s">
        <v>831</v>
      </c>
      <c r="U299" t="s">
        <v>1538</v>
      </c>
      <c r="V299" t="s">
        <v>852</v>
      </c>
      <c r="W299" t="s">
        <v>1247</v>
      </c>
      <c r="X299" t="s">
        <v>2186</v>
      </c>
      <c r="Y299" t="s">
        <v>1053</v>
      </c>
      <c r="Z299" t="s">
        <v>1150</v>
      </c>
      <c r="AA299" t="s">
        <v>1593</v>
      </c>
      <c r="AB299" t="s">
        <v>821</v>
      </c>
      <c r="AC299" t="s">
        <v>1243</v>
      </c>
      <c r="AD299" t="s">
        <v>1701</v>
      </c>
    </row>
    <row r="300" spans="1:30">
      <c r="A300" t="s">
        <v>76</v>
      </c>
      <c r="B300" t="s">
        <v>2199</v>
      </c>
      <c r="C300" t="s">
        <v>841</v>
      </c>
      <c r="D300" t="s">
        <v>895</v>
      </c>
      <c r="E300" t="s">
        <v>968</v>
      </c>
      <c r="F300" t="s">
        <v>782</v>
      </c>
      <c r="G300" t="s">
        <v>1232</v>
      </c>
      <c r="H300" t="s">
        <v>822</v>
      </c>
      <c r="I300" t="s">
        <v>803</v>
      </c>
      <c r="J300" t="s">
        <v>803</v>
      </c>
      <c r="K300" t="s">
        <v>822</v>
      </c>
      <c r="L300" t="s">
        <v>775</v>
      </c>
      <c r="M300" t="s">
        <v>821</v>
      </c>
      <c r="N300" t="s">
        <v>863</v>
      </c>
      <c r="O300" t="s">
        <v>803</v>
      </c>
      <c r="P300" t="s">
        <v>986</v>
      </c>
      <c r="Q300" t="s">
        <v>1621</v>
      </c>
      <c r="R300" t="s">
        <v>816</v>
      </c>
      <c r="S300" t="s">
        <v>2092</v>
      </c>
      <c r="T300" t="s">
        <v>1337</v>
      </c>
      <c r="U300" t="s">
        <v>812</v>
      </c>
      <c r="V300" t="s">
        <v>1381</v>
      </c>
      <c r="W300" t="s">
        <v>1388</v>
      </c>
      <c r="X300" t="s">
        <v>1012</v>
      </c>
      <c r="Y300" t="s">
        <v>2105</v>
      </c>
      <c r="Z300" t="s">
        <v>992</v>
      </c>
      <c r="AA300" t="s">
        <v>2200</v>
      </c>
      <c r="AB300" t="s">
        <v>822</v>
      </c>
      <c r="AC300" t="s">
        <v>896</v>
      </c>
      <c r="AD300" t="s">
        <v>939</v>
      </c>
    </row>
    <row r="301" spans="1:30">
      <c r="A301" t="s">
        <v>76</v>
      </c>
      <c r="B301" t="s">
        <v>271</v>
      </c>
      <c r="C301" t="s">
        <v>536</v>
      </c>
      <c r="D301" t="s">
        <v>780</v>
      </c>
      <c r="E301" t="s">
        <v>804</v>
      </c>
      <c r="F301" t="s">
        <v>777</v>
      </c>
      <c r="G301" t="s">
        <v>823</v>
      </c>
      <c r="H301" t="s">
        <v>777</v>
      </c>
      <c r="I301" t="s">
        <v>803</v>
      </c>
      <c r="J301" t="s">
        <v>778</v>
      </c>
      <c r="K301" t="s">
        <v>779</v>
      </c>
      <c r="L301" t="s">
        <v>862</v>
      </c>
      <c r="M301" t="s">
        <v>778</v>
      </c>
      <c r="N301" t="s">
        <v>858</v>
      </c>
      <c r="O301" t="s">
        <v>803</v>
      </c>
      <c r="P301" t="s">
        <v>942</v>
      </c>
      <c r="Q301" t="s">
        <v>1665</v>
      </c>
      <c r="R301" t="s">
        <v>1399</v>
      </c>
      <c r="S301" t="s">
        <v>1254</v>
      </c>
      <c r="T301" t="s">
        <v>885</v>
      </c>
      <c r="U301" t="s">
        <v>978</v>
      </c>
      <c r="V301" t="s">
        <v>1007</v>
      </c>
      <c r="W301" t="s">
        <v>1951</v>
      </c>
      <c r="X301" t="s">
        <v>1447</v>
      </c>
      <c r="Y301" t="s">
        <v>836</v>
      </c>
      <c r="Z301" t="s">
        <v>1233</v>
      </c>
      <c r="AA301" t="s">
        <v>1065</v>
      </c>
      <c r="AB301" t="s">
        <v>846</v>
      </c>
      <c r="AC301" t="s">
        <v>1358</v>
      </c>
      <c r="AD301" t="s">
        <v>1407</v>
      </c>
    </row>
    <row r="302" spans="1:30">
      <c r="A302" t="s">
        <v>76</v>
      </c>
      <c r="B302" t="s">
        <v>2201</v>
      </c>
      <c r="C302" t="s">
        <v>799</v>
      </c>
      <c r="D302" t="s">
        <v>925</v>
      </c>
      <c r="E302" t="s">
        <v>804</v>
      </c>
      <c r="F302" t="s">
        <v>782</v>
      </c>
      <c r="G302" t="s">
        <v>1232</v>
      </c>
      <c r="H302" t="s">
        <v>845</v>
      </c>
      <c r="I302" t="s">
        <v>778</v>
      </c>
      <c r="J302" t="s">
        <v>822</v>
      </c>
      <c r="K302" t="s">
        <v>858</v>
      </c>
      <c r="L302" t="s">
        <v>1208</v>
      </c>
      <c r="M302" t="s">
        <v>863</v>
      </c>
      <c r="N302" t="s">
        <v>805</v>
      </c>
      <c r="O302" t="s">
        <v>778</v>
      </c>
      <c r="P302" t="s">
        <v>1480</v>
      </c>
      <c r="Q302" t="s">
        <v>1474</v>
      </c>
      <c r="R302" t="s">
        <v>2202</v>
      </c>
      <c r="S302" t="s">
        <v>2203</v>
      </c>
      <c r="T302" t="s">
        <v>960</v>
      </c>
      <c r="U302" t="s">
        <v>1213</v>
      </c>
      <c r="V302" t="s">
        <v>1872</v>
      </c>
      <c r="W302" t="s">
        <v>1330</v>
      </c>
      <c r="X302" t="s">
        <v>904</v>
      </c>
      <c r="Y302" t="s">
        <v>1041</v>
      </c>
      <c r="Z302" t="s">
        <v>2010</v>
      </c>
      <c r="AA302" t="s">
        <v>921</v>
      </c>
      <c r="AB302" t="s">
        <v>821</v>
      </c>
      <c r="AC302" t="s">
        <v>781</v>
      </c>
      <c r="AD302" t="s">
        <v>2012</v>
      </c>
    </row>
    <row r="303" spans="1:30">
      <c r="A303" t="s">
        <v>76</v>
      </c>
      <c r="B303" t="s">
        <v>2204</v>
      </c>
      <c r="C303" t="s">
        <v>536</v>
      </c>
      <c r="D303" t="s">
        <v>805</v>
      </c>
      <c r="E303" t="s">
        <v>1743</v>
      </c>
      <c r="F303" t="s">
        <v>846</v>
      </c>
      <c r="G303" t="s">
        <v>858</v>
      </c>
      <c r="H303" t="s">
        <v>845</v>
      </c>
      <c r="I303" t="s">
        <v>803</v>
      </c>
      <c r="J303" t="s">
        <v>803</v>
      </c>
      <c r="K303" t="s">
        <v>822</v>
      </c>
      <c r="L303" t="s">
        <v>779</v>
      </c>
      <c r="M303" t="s">
        <v>777</v>
      </c>
      <c r="N303" t="s">
        <v>802</v>
      </c>
      <c r="O303" t="s">
        <v>803</v>
      </c>
      <c r="P303" t="s">
        <v>1424</v>
      </c>
      <c r="Q303" t="s">
        <v>973</v>
      </c>
      <c r="R303" t="s">
        <v>855</v>
      </c>
      <c r="S303" t="s">
        <v>1228</v>
      </c>
      <c r="T303" t="s">
        <v>1119</v>
      </c>
      <c r="U303" t="s">
        <v>1035</v>
      </c>
      <c r="V303" t="s">
        <v>960</v>
      </c>
      <c r="W303" t="s">
        <v>1622</v>
      </c>
      <c r="X303" t="s">
        <v>1433</v>
      </c>
      <c r="Y303" t="s">
        <v>1387</v>
      </c>
      <c r="Z303" t="s">
        <v>1704</v>
      </c>
      <c r="AA303" t="s">
        <v>1913</v>
      </c>
      <c r="AB303" t="s">
        <v>845</v>
      </c>
      <c r="AC303" t="s">
        <v>1358</v>
      </c>
      <c r="AD303" t="s">
        <v>939</v>
      </c>
    </row>
    <row r="304" spans="1:30">
      <c r="A304" t="s">
        <v>76</v>
      </c>
      <c r="B304" t="s">
        <v>246</v>
      </c>
      <c r="C304" t="s">
        <v>1068</v>
      </c>
      <c r="D304" t="s">
        <v>805</v>
      </c>
      <c r="E304" t="s">
        <v>1743</v>
      </c>
      <c r="F304" t="s">
        <v>863</v>
      </c>
      <c r="G304" t="s">
        <v>802</v>
      </c>
      <c r="H304" t="s">
        <v>778</v>
      </c>
      <c r="I304" t="s">
        <v>803</v>
      </c>
      <c r="J304" t="s">
        <v>778</v>
      </c>
      <c r="K304" t="s">
        <v>858</v>
      </c>
      <c r="L304" t="s">
        <v>862</v>
      </c>
      <c r="M304" t="s">
        <v>845</v>
      </c>
      <c r="N304" t="s">
        <v>825</v>
      </c>
      <c r="O304" t="s">
        <v>803</v>
      </c>
      <c r="P304" t="s">
        <v>793</v>
      </c>
      <c r="Q304" t="s">
        <v>1480</v>
      </c>
      <c r="R304" t="s">
        <v>899</v>
      </c>
      <c r="S304" t="s">
        <v>2205</v>
      </c>
      <c r="T304" t="s">
        <v>939</v>
      </c>
      <c r="U304" t="s">
        <v>2206</v>
      </c>
      <c r="V304" t="s">
        <v>1087</v>
      </c>
      <c r="W304" t="s">
        <v>1386</v>
      </c>
      <c r="X304" t="s">
        <v>1678</v>
      </c>
      <c r="Y304" t="s">
        <v>1669</v>
      </c>
      <c r="Z304" t="s">
        <v>1704</v>
      </c>
      <c r="AA304" t="s">
        <v>1797</v>
      </c>
      <c r="AB304" t="s">
        <v>845</v>
      </c>
      <c r="AC304" t="s">
        <v>804</v>
      </c>
      <c r="AD304" t="s">
        <v>2207</v>
      </c>
    </row>
    <row r="305" spans="1:30">
      <c r="A305" t="s">
        <v>76</v>
      </c>
      <c r="B305" t="s">
        <v>2208</v>
      </c>
      <c r="C305" t="s">
        <v>819</v>
      </c>
      <c r="D305" t="s">
        <v>777</v>
      </c>
      <c r="E305" t="s">
        <v>779</v>
      </c>
      <c r="F305" t="s">
        <v>778</v>
      </c>
      <c r="G305" t="s">
        <v>845</v>
      </c>
      <c r="H305" t="s">
        <v>778</v>
      </c>
      <c r="I305" t="s">
        <v>803</v>
      </c>
      <c r="J305" t="s">
        <v>803</v>
      </c>
      <c r="K305" t="s">
        <v>803</v>
      </c>
      <c r="L305" t="s">
        <v>822</v>
      </c>
      <c r="M305" t="s">
        <v>778</v>
      </c>
      <c r="N305" t="s">
        <v>845</v>
      </c>
      <c r="O305" t="s">
        <v>803</v>
      </c>
      <c r="P305" t="s">
        <v>1005</v>
      </c>
      <c r="Q305" t="s">
        <v>995</v>
      </c>
      <c r="R305" t="s">
        <v>956</v>
      </c>
      <c r="S305" t="s">
        <v>1177</v>
      </c>
      <c r="T305" t="s">
        <v>939</v>
      </c>
      <c r="U305" t="s">
        <v>1051</v>
      </c>
      <c r="V305" t="s">
        <v>977</v>
      </c>
      <c r="W305" t="s">
        <v>1002</v>
      </c>
      <c r="X305" t="s">
        <v>991</v>
      </c>
      <c r="Y305" t="s">
        <v>1010</v>
      </c>
      <c r="Z305" t="s">
        <v>1005</v>
      </c>
      <c r="AA305" t="s">
        <v>2209</v>
      </c>
      <c r="AB305" t="s">
        <v>778</v>
      </c>
      <c r="AC305" t="s">
        <v>823</v>
      </c>
      <c r="AD305" t="s">
        <v>939</v>
      </c>
    </row>
    <row r="306" spans="1:30">
      <c r="A306" t="s">
        <v>41</v>
      </c>
      <c r="B306" t="s">
        <v>40</v>
      </c>
      <c r="C306" t="s">
        <v>1068</v>
      </c>
      <c r="D306" t="s">
        <v>773</v>
      </c>
      <c r="E306" t="s">
        <v>1056</v>
      </c>
      <c r="F306" t="s">
        <v>863</v>
      </c>
      <c r="G306" t="s">
        <v>1208</v>
      </c>
      <c r="H306" t="s">
        <v>822</v>
      </c>
      <c r="I306" t="s">
        <v>778</v>
      </c>
      <c r="J306" t="s">
        <v>822</v>
      </c>
      <c r="K306" t="s">
        <v>823</v>
      </c>
      <c r="L306" t="s">
        <v>1449</v>
      </c>
      <c r="M306" t="s">
        <v>796</v>
      </c>
      <c r="N306" t="s">
        <v>926</v>
      </c>
      <c r="O306" t="s">
        <v>778</v>
      </c>
      <c r="P306" t="s">
        <v>2210</v>
      </c>
      <c r="Q306" t="s">
        <v>829</v>
      </c>
      <c r="R306" t="s">
        <v>1048</v>
      </c>
      <c r="S306" t="s">
        <v>1841</v>
      </c>
      <c r="T306" t="s">
        <v>1096</v>
      </c>
      <c r="U306" t="s">
        <v>1672</v>
      </c>
      <c r="V306" t="s">
        <v>1087</v>
      </c>
      <c r="W306" t="s">
        <v>1294</v>
      </c>
      <c r="X306" t="s">
        <v>2211</v>
      </c>
      <c r="Y306" t="s">
        <v>834</v>
      </c>
      <c r="Z306" t="s">
        <v>2210</v>
      </c>
      <c r="AA306" t="s">
        <v>1730</v>
      </c>
      <c r="AB306" t="s">
        <v>858</v>
      </c>
      <c r="AC306" t="s">
        <v>2049</v>
      </c>
      <c r="AD306" t="s">
        <v>2181</v>
      </c>
    </row>
    <row r="307" spans="1:30">
      <c r="A307" t="s">
        <v>41</v>
      </c>
      <c r="B307" t="s">
        <v>345</v>
      </c>
      <c r="C307" t="s">
        <v>841</v>
      </c>
      <c r="D307" t="s">
        <v>773</v>
      </c>
      <c r="E307" t="s">
        <v>1757</v>
      </c>
      <c r="F307" t="s">
        <v>1232</v>
      </c>
      <c r="G307" t="s">
        <v>1081</v>
      </c>
      <c r="H307" t="s">
        <v>858</v>
      </c>
      <c r="I307" t="s">
        <v>803</v>
      </c>
      <c r="J307" t="s">
        <v>777</v>
      </c>
      <c r="K307" t="s">
        <v>895</v>
      </c>
      <c r="L307" t="s">
        <v>1437</v>
      </c>
      <c r="M307" t="s">
        <v>971</v>
      </c>
      <c r="N307" t="s">
        <v>802</v>
      </c>
      <c r="O307" t="s">
        <v>858</v>
      </c>
      <c r="P307" t="s">
        <v>2137</v>
      </c>
      <c r="Q307" t="s">
        <v>1379</v>
      </c>
      <c r="R307" t="s">
        <v>2099</v>
      </c>
      <c r="S307" t="s">
        <v>2212</v>
      </c>
      <c r="T307" t="s">
        <v>998</v>
      </c>
      <c r="U307" t="s">
        <v>2213</v>
      </c>
      <c r="V307" t="s">
        <v>1527</v>
      </c>
      <c r="W307" t="s">
        <v>1316</v>
      </c>
      <c r="X307" t="s">
        <v>2214</v>
      </c>
      <c r="Y307" t="s">
        <v>1217</v>
      </c>
      <c r="Z307" t="s">
        <v>956</v>
      </c>
      <c r="AA307" t="s">
        <v>993</v>
      </c>
      <c r="AB307" t="s">
        <v>782</v>
      </c>
      <c r="AC307" t="s">
        <v>2049</v>
      </c>
      <c r="AD307" t="s">
        <v>1786</v>
      </c>
    </row>
    <row r="308" spans="1:30">
      <c r="A308" t="s">
        <v>41</v>
      </c>
      <c r="B308" t="s">
        <v>356</v>
      </c>
      <c r="C308" t="s">
        <v>1079</v>
      </c>
      <c r="D308" t="s">
        <v>773</v>
      </c>
      <c r="E308" t="s">
        <v>1574</v>
      </c>
      <c r="F308" t="s">
        <v>1232</v>
      </c>
      <c r="G308" t="s">
        <v>776</v>
      </c>
      <c r="H308" t="s">
        <v>822</v>
      </c>
      <c r="I308" t="s">
        <v>778</v>
      </c>
      <c r="J308" t="s">
        <v>778</v>
      </c>
      <c r="K308" t="s">
        <v>858</v>
      </c>
      <c r="L308" t="s">
        <v>864</v>
      </c>
      <c r="M308" t="s">
        <v>858</v>
      </c>
      <c r="N308" t="s">
        <v>801</v>
      </c>
      <c r="O308" t="s">
        <v>846</v>
      </c>
      <c r="P308" t="s">
        <v>928</v>
      </c>
      <c r="Q308" t="s">
        <v>1031</v>
      </c>
      <c r="R308" t="s">
        <v>1185</v>
      </c>
      <c r="S308" t="s">
        <v>1445</v>
      </c>
      <c r="T308" t="s">
        <v>1051</v>
      </c>
      <c r="U308" t="s">
        <v>2104</v>
      </c>
      <c r="V308" t="s">
        <v>1280</v>
      </c>
      <c r="W308" t="s">
        <v>1565</v>
      </c>
      <c r="X308" t="s">
        <v>1216</v>
      </c>
      <c r="Y308" t="s">
        <v>2215</v>
      </c>
      <c r="Z308" t="s">
        <v>981</v>
      </c>
      <c r="AA308" t="s">
        <v>2216</v>
      </c>
      <c r="AB308" t="s">
        <v>846</v>
      </c>
      <c r="AC308" t="s">
        <v>1056</v>
      </c>
      <c r="AD308" t="s">
        <v>2083</v>
      </c>
    </row>
    <row r="309" spans="1:30">
      <c r="A309" t="s">
        <v>41</v>
      </c>
      <c r="B309" t="s">
        <v>299</v>
      </c>
      <c r="C309" t="s">
        <v>819</v>
      </c>
      <c r="D309" t="s">
        <v>1015</v>
      </c>
      <c r="E309" t="s">
        <v>1594</v>
      </c>
      <c r="F309" t="s">
        <v>802</v>
      </c>
      <c r="G309" t="s">
        <v>925</v>
      </c>
      <c r="H309" t="s">
        <v>777</v>
      </c>
      <c r="I309" t="s">
        <v>803</v>
      </c>
      <c r="J309" t="s">
        <v>845</v>
      </c>
      <c r="K309" t="s">
        <v>782</v>
      </c>
      <c r="L309" t="s">
        <v>826</v>
      </c>
      <c r="M309" t="s">
        <v>971</v>
      </c>
      <c r="N309" t="s">
        <v>776</v>
      </c>
      <c r="O309" t="s">
        <v>803</v>
      </c>
      <c r="P309" t="s">
        <v>1276</v>
      </c>
      <c r="Q309" t="s">
        <v>2193</v>
      </c>
      <c r="R309" t="s">
        <v>1140</v>
      </c>
      <c r="S309" t="s">
        <v>2217</v>
      </c>
      <c r="T309" t="s">
        <v>831</v>
      </c>
      <c r="U309" t="s">
        <v>1907</v>
      </c>
      <c r="V309" t="s">
        <v>833</v>
      </c>
      <c r="W309" t="s">
        <v>1153</v>
      </c>
      <c r="X309" t="s">
        <v>1905</v>
      </c>
      <c r="Y309" t="s">
        <v>1257</v>
      </c>
      <c r="Z309" t="s">
        <v>1276</v>
      </c>
      <c r="AA309" t="s">
        <v>993</v>
      </c>
      <c r="AB309" t="s">
        <v>821</v>
      </c>
      <c r="AC309" t="s">
        <v>1586</v>
      </c>
      <c r="AD309" t="s">
        <v>2218</v>
      </c>
    </row>
    <row r="310" spans="1:30">
      <c r="A310" t="s">
        <v>41</v>
      </c>
      <c r="B310" t="s">
        <v>204</v>
      </c>
      <c r="C310" t="s">
        <v>799</v>
      </c>
      <c r="D310" t="s">
        <v>842</v>
      </c>
      <c r="E310" t="s">
        <v>1196</v>
      </c>
      <c r="F310" t="s">
        <v>780</v>
      </c>
      <c r="G310" t="s">
        <v>844</v>
      </c>
      <c r="H310" t="s">
        <v>777</v>
      </c>
      <c r="I310" t="s">
        <v>803</v>
      </c>
      <c r="J310" t="s">
        <v>858</v>
      </c>
      <c r="K310" t="s">
        <v>796</v>
      </c>
      <c r="L310" t="s">
        <v>1391</v>
      </c>
      <c r="M310" t="s">
        <v>862</v>
      </c>
      <c r="N310" t="s">
        <v>824</v>
      </c>
      <c r="O310" t="s">
        <v>778</v>
      </c>
      <c r="P310" t="s">
        <v>1018</v>
      </c>
      <c r="Q310" t="s">
        <v>1321</v>
      </c>
      <c r="R310" t="s">
        <v>2219</v>
      </c>
      <c r="S310" t="s">
        <v>2220</v>
      </c>
      <c r="T310" t="s">
        <v>1188</v>
      </c>
      <c r="U310" t="s">
        <v>789</v>
      </c>
      <c r="V310" t="s">
        <v>1037</v>
      </c>
      <c r="W310" t="s">
        <v>1653</v>
      </c>
      <c r="X310" t="s">
        <v>835</v>
      </c>
      <c r="Y310" t="s">
        <v>1359</v>
      </c>
      <c r="Z310" t="s">
        <v>1211</v>
      </c>
      <c r="AA310" t="s">
        <v>1556</v>
      </c>
      <c r="AB310" t="s">
        <v>782</v>
      </c>
      <c r="AC310" t="s">
        <v>1319</v>
      </c>
      <c r="AD310" t="s">
        <v>878</v>
      </c>
    </row>
    <row r="311" spans="1:30">
      <c r="A311" t="s">
        <v>41</v>
      </c>
      <c r="B311" t="s">
        <v>151</v>
      </c>
      <c r="C311" t="s">
        <v>772</v>
      </c>
      <c r="D311" t="s">
        <v>773</v>
      </c>
      <c r="E311" t="s">
        <v>1414</v>
      </c>
      <c r="F311" t="s">
        <v>925</v>
      </c>
      <c r="G311" t="s">
        <v>780</v>
      </c>
      <c r="H311" t="s">
        <v>778</v>
      </c>
      <c r="I311" t="s">
        <v>778</v>
      </c>
      <c r="J311" t="s">
        <v>821</v>
      </c>
      <c r="K311" t="s">
        <v>805</v>
      </c>
      <c r="L311" t="s">
        <v>1158</v>
      </c>
      <c r="M311" t="s">
        <v>775</v>
      </c>
      <c r="N311" t="s">
        <v>773</v>
      </c>
      <c r="O311" t="s">
        <v>778</v>
      </c>
      <c r="P311" t="s">
        <v>855</v>
      </c>
      <c r="Q311" t="s">
        <v>866</v>
      </c>
      <c r="R311" t="s">
        <v>1141</v>
      </c>
      <c r="S311" t="s">
        <v>2221</v>
      </c>
      <c r="T311" t="s">
        <v>932</v>
      </c>
      <c r="U311" t="s">
        <v>2050</v>
      </c>
      <c r="V311" t="s">
        <v>1120</v>
      </c>
      <c r="W311" t="s">
        <v>981</v>
      </c>
      <c r="X311" t="s">
        <v>1326</v>
      </c>
      <c r="Y311" t="s">
        <v>1895</v>
      </c>
      <c r="Z311" t="s">
        <v>1796</v>
      </c>
      <c r="AA311" t="s">
        <v>1993</v>
      </c>
      <c r="AB311" t="s">
        <v>863</v>
      </c>
      <c r="AC311" t="s">
        <v>1586</v>
      </c>
      <c r="AD311" t="s">
        <v>2178</v>
      </c>
    </row>
    <row r="312" spans="1:30">
      <c r="A312" t="s">
        <v>41</v>
      </c>
      <c r="B312" t="s">
        <v>121</v>
      </c>
      <c r="C312" t="s">
        <v>536</v>
      </c>
      <c r="D312" t="s">
        <v>925</v>
      </c>
      <c r="E312" t="s">
        <v>880</v>
      </c>
      <c r="F312" t="s">
        <v>782</v>
      </c>
      <c r="G312" t="s">
        <v>925</v>
      </c>
      <c r="H312" t="s">
        <v>777</v>
      </c>
      <c r="I312" t="s">
        <v>803</v>
      </c>
      <c r="J312" t="s">
        <v>845</v>
      </c>
      <c r="K312" t="s">
        <v>823</v>
      </c>
      <c r="L312" t="s">
        <v>826</v>
      </c>
      <c r="M312" t="s">
        <v>971</v>
      </c>
      <c r="N312" t="s">
        <v>796</v>
      </c>
      <c r="O312" t="s">
        <v>803</v>
      </c>
      <c r="P312" t="s">
        <v>1185</v>
      </c>
      <c r="Q312" t="s">
        <v>1211</v>
      </c>
      <c r="R312" t="s">
        <v>1575</v>
      </c>
      <c r="S312" t="s">
        <v>2147</v>
      </c>
      <c r="T312" t="s">
        <v>960</v>
      </c>
      <c r="U312" t="s">
        <v>2222</v>
      </c>
      <c r="V312" t="s">
        <v>1133</v>
      </c>
      <c r="W312" t="s">
        <v>1349</v>
      </c>
      <c r="X312" t="s">
        <v>1584</v>
      </c>
      <c r="Y312" t="s">
        <v>992</v>
      </c>
      <c r="Z312" t="s">
        <v>1185</v>
      </c>
      <c r="AA312" t="s">
        <v>937</v>
      </c>
      <c r="AB312" t="s">
        <v>821</v>
      </c>
      <c r="AC312" t="s">
        <v>877</v>
      </c>
      <c r="AD312" t="s">
        <v>894</v>
      </c>
    </row>
    <row r="313" spans="1:30">
      <c r="A313" t="s">
        <v>41</v>
      </c>
      <c r="B313" t="s">
        <v>2223</v>
      </c>
      <c r="C313" t="s">
        <v>1068</v>
      </c>
      <c r="D313" t="s">
        <v>776</v>
      </c>
      <c r="E313" t="s">
        <v>954</v>
      </c>
      <c r="F313" t="s">
        <v>858</v>
      </c>
      <c r="G313" t="s">
        <v>780</v>
      </c>
      <c r="H313" t="s">
        <v>846</v>
      </c>
      <c r="I313" t="s">
        <v>803</v>
      </c>
      <c r="J313" t="s">
        <v>845</v>
      </c>
      <c r="K313" t="s">
        <v>779</v>
      </c>
      <c r="L313" t="s">
        <v>1208</v>
      </c>
      <c r="M313" t="s">
        <v>846</v>
      </c>
      <c r="N313" t="s">
        <v>802</v>
      </c>
      <c r="O313" t="s">
        <v>845</v>
      </c>
      <c r="P313" t="s">
        <v>986</v>
      </c>
      <c r="Q313" t="s">
        <v>956</v>
      </c>
      <c r="R313" t="s">
        <v>1401</v>
      </c>
      <c r="S313" t="s">
        <v>2111</v>
      </c>
      <c r="T313" t="s">
        <v>932</v>
      </c>
      <c r="U313" t="s">
        <v>2136</v>
      </c>
      <c r="V313" t="s">
        <v>1203</v>
      </c>
      <c r="W313" t="s">
        <v>979</v>
      </c>
      <c r="X313" t="s">
        <v>904</v>
      </c>
      <c r="Y313" t="s">
        <v>1785</v>
      </c>
      <c r="Z313" t="s">
        <v>847</v>
      </c>
      <c r="AA313" t="s">
        <v>1341</v>
      </c>
      <c r="AB313" t="s">
        <v>858</v>
      </c>
      <c r="AC313" t="s">
        <v>880</v>
      </c>
      <c r="AD313" t="s">
        <v>2224</v>
      </c>
    </row>
    <row r="314" spans="1:30">
      <c r="A314" t="s">
        <v>41</v>
      </c>
      <c r="B314" t="s">
        <v>405</v>
      </c>
      <c r="C314" t="s">
        <v>879</v>
      </c>
      <c r="D314" t="s">
        <v>1232</v>
      </c>
      <c r="E314" t="s">
        <v>911</v>
      </c>
      <c r="F314" t="s">
        <v>782</v>
      </c>
      <c r="G314" t="s">
        <v>780</v>
      </c>
      <c r="H314" t="s">
        <v>778</v>
      </c>
      <c r="I314" t="s">
        <v>803</v>
      </c>
      <c r="J314" t="s">
        <v>777</v>
      </c>
      <c r="K314" t="s">
        <v>863</v>
      </c>
      <c r="L314" t="s">
        <v>1030</v>
      </c>
      <c r="M314" t="s">
        <v>779</v>
      </c>
      <c r="N314" t="s">
        <v>862</v>
      </c>
      <c r="O314" t="s">
        <v>803</v>
      </c>
      <c r="P314" t="s">
        <v>2225</v>
      </c>
      <c r="Q314" t="s">
        <v>1474</v>
      </c>
      <c r="R314" t="s">
        <v>1985</v>
      </c>
      <c r="S314" t="s">
        <v>2226</v>
      </c>
      <c r="T314" t="s">
        <v>932</v>
      </c>
      <c r="U314" t="s">
        <v>1227</v>
      </c>
      <c r="V314" t="s">
        <v>812</v>
      </c>
      <c r="W314" t="s">
        <v>890</v>
      </c>
      <c r="X314" t="s">
        <v>873</v>
      </c>
      <c r="Y314" t="s">
        <v>1901</v>
      </c>
      <c r="Z314" t="s">
        <v>1824</v>
      </c>
      <c r="AA314" t="s">
        <v>1939</v>
      </c>
      <c r="AB314" t="s">
        <v>846</v>
      </c>
      <c r="AC314" t="s">
        <v>880</v>
      </c>
      <c r="AD314" t="s">
        <v>2227</v>
      </c>
    </row>
    <row r="315" spans="1:30">
      <c r="A315" t="s">
        <v>41</v>
      </c>
      <c r="B315" t="s">
        <v>297</v>
      </c>
      <c r="C315" t="s">
        <v>536</v>
      </c>
      <c r="D315" t="s">
        <v>844</v>
      </c>
      <c r="E315" t="s">
        <v>781</v>
      </c>
      <c r="F315" t="s">
        <v>782</v>
      </c>
      <c r="G315" t="s">
        <v>895</v>
      </c>
      <c r="H315" t="s">
        <v>846</v>
      </c>
      <c r="I315" t="s">
        <v>803</v>
      </c>
      <c r="J315" t="s">
        <v>777</v>
      </c>
      <c r="K315" t="s">
        <v>971</v>
      </c>
      <c r="L315" t="s">
        <v>1184</v>
      </c>
      <c r="M315" t="s">
        <v>821</v>
      </c>
      <c r="N315" t="s">
        <v>971</v>
      </c>
      <c r="O315" t="s">
        <v>803</v>
      </c>
      <c r="P315" t="s">
        <v>2228</v>
      </c>
      <c r="Q315" t="s">
        <v>2229</v>
      </c>
      <c r="R315" t="s">
        <v>988</v>
      </c>
      <c r="S315" t="s">
        <v>2230</v>
      </c>
      <c r="T315" t="s">
        <v>1051</v>
      </c>
      <c r="U315" t="s">
        <v>1512</v>
      </c>
      <c r="V315" t="s">
        <v>1227</v>
      </c>
      <c r="W315" t="s">
        <v>1316</v>
      </c>
      <c r="X315" t="s">
        <v>991</v>
      </c>
      <c r="Y315" t="s">
        <v>1105</v>
      </c>
      <c r="Z315" t="s">
        <v>2228</v>
      </c>
      <c r="AA315" t="s">
        <v>982</v>
      </c>
      <c r="AB315" t="s">
        <v>779</v>
      </c>
      <c r="AC315" t="s">
        <v>938</v>
      </c>
      <c r="AD315" t="s">
        <v>2231</v>
      </c>
    </row>
    <row r="316" spans="1:30">
      <c r="A316" t="s">
        <v>41</v>
      </c>
      <c r="B316" t="s">
        <v>2232</v>
      </c>
      <c r="C316" t="s">
        <v>536</v>
      </c>
      <c r="D316" t="s">
        <v>780</v>
      </c>
      <c r="E316" t="s">
        <v>1743</v>
      </c>
      <c r="F316" t="s">
        <v>823</v>
      </c>
      <c r="G316" t="s">
        <v>782</v>
      </c>
      <c r="H316" t="s">
        <v>778</v>
      </c>
      <c r="I316" t="s">
        <v>803</v>
      </c>
      <c r="J316" t="s">
        <v>845</v>
      </c>
      <c r="K316" t="s">
        <v>846</v>
      </c>
      <c r="L316" t="s">
        <v>780</v>
      </c>
      <c r="M316" t="s">
        <v>821</v>
      </c>
      <c r="N316" t="s">
        <v>802</v>
      </c>
      <c r="O316" t="s">
        <v>803</v>
      </c>
      <c r="P316" t="s">
        <v>1761</v>
      </c>
      <c r="Q316" t="s">
        <v>1504</v>
      </c>
      <c r="R316" t="s">
        <v>1762</v>
      </c>
      <c r="S316" t="s">
        <v>2233</v>
      </c>
      <c r="T316" t="s">
        <v>932</v>
      </c>
      <c r="U316" t="s">
        <v>1720</v>
      </c>
      <c r="V316" t="s">
        <v>989</v>
      </c>
      <c r="W316" t="s">
        <v>1247</v>
      </c>
      <c r="X316" t="s">
        <v>1109</v>
      </c>
      <c r="Y316" t="s">
        <v>1424</v>
      </c>
      <c r="Z316" t="s">
        <v>793</v>
      </c>
      <c r="AA316" t="s">
        <v>953</v>
      </c>
      <c r="AB316" t="s">
        <v>822</v>
      </c>
      <c r="AC316" t="s">
        <v>941</v>
      </c>
      <c r="AD316" t="s">
        <v>2234</v>
      </c>
    </row>
    <row r="317" spans="1:30">
      <c r="A317" t="s">
        <v>41</v>
      </c>
      <c r="B317" t="s">
        <v>2235</v>
      </c>
      <c r="C317" t="s">
        <v>799</v>
      </c>
      <c r="D317" t="s">
        <v>825</v>
      </c>
      <c r="E317" t="s">
        <v>844</v>
      </c>
      <c r="F317" t="s">
        <v>822</v>
      </c>
      <c r="G317" t="s">
        <v>863</v>
      </c>
      <c r="H317" t="s">
        <v>822</v>
      </c>
      <c r="I317" t="s">
        <v>803</v>
      </c>
      <c r="J317" t="s">
        <v>803</v>
      </c>
      <c r="K317" t="s">
        <v>846</v>
      </c>
      <c r="L317" t="s">
        <v>782</v>
      </c>
      <c r="M317" t="s">
        <v>858</v>
      </c>
      <c r="N317" t="s">
        <v>823</v>
      </c>
      <c r="O317" t="s">
        <v>803</v>
      </c>
      <c r="P317" t="s">
        <v>956</v>
      </c>
      <c r="Q317" t="s">
        <v>1162</v>
      </c>
      <c r="R317" t="s">
        <v>2236</v>
      </c>
      <c r="S317" t="s">
        <v>2237</v>
      </c>
      <c r="T317" t="s">
        <v>831</v>
      </c>
      <c r="U317" t="s">
        <v>1373</v>
      </c>
      <c r="V317" t="s">
        <v>962</v>
      </c>
      <c r="W317" t="s">
        <v>874</v>
      </c>
      <c r="X317" t="s">
        <v>2211</v>
      </c>
      <c r="Y317" t="s">
        <v>1546</v>
      </c>
      <c r="Z317" t="s">
        <v>1186</v>
      </c>
      <c r="AA317" t="s">
        <v>1218</v>
      </c>
      <c r="AB317" t="s">
        <v>822</v>
      </c>
      <c r="AC317" t="s">
        <v>826</v>
      </c>
      <c r="AD317" t="s">
        <v>939</v>
      </c>
    </row>
    <row r="318" spans="1:30">
      <c r="A318" t="s">
        <v>41</v>
      </c>
      <c r="B318" t="s">
        <v>2238</v>
      </c>
      <c r="C318" t="s">
        <v>841</v>
      </c>
      <c r="D318" t="s">
        <v>863</v>
      </c>
      <c r="E318" t="s">
        <v>777</v>
      </c>
      <c r="F318" t="s">
        <v>845</v>
      </c>
      <c r="G318" t="s">
        <v>778</v>
      </c>
      <c r="H318" t="s">
        <v>803</v>
      </c>
      <c r="I318" t="s">
        <v>803</v>
      </c>
      <c r="J318" t="s">
        <v>803</v>
      </c>
      <c r="K318" t="s">
        <v>803</v>
      </c>
      <c r="L318" t="s">
        <v>778</v>
      </c>
      <c r="M318" t="s">
        <v>803</v>
      </c>
      <c r="N318" t="s">
        <v>803</v>
      </c>
      <c r="O318" t="s">
        <v>778</v>
      </c>
      <c r="P318" t="s">
        <v>1199</v>
      </c>
      <c r="Q318" t="s">
        <v>1199</v>
      </c>
      <c r="R318" t="s">
        <v>1199</v>
      </c>
      <c r="S318" t="s">
        <v>1312</v>
      </c>
      <c r="T318" t="s">
        <v>946</v>
      </c>
      <c r="U318" t="s">
        <v>869</v>
      </c>
      <c r="V318" t="s">
        <v>977</v>
      </c>
      <c r="W318" t="s">
        <v>1008</v>
      </c>
      <c r="X318" t="s">
        <v>1009</v>
      </c>
      <c r="Y318" t="s">
        <v>1008</v>
      </c>
      <c r="Z318" t="s">
        <v>1199</v>
      </c>
      <c r="AA318" t="s">
        <v>1921</v>
      </c>
      <c r="AB318" t="s">
        <v>803</v>
      </c>
      <c r="AC318" t="s">
        <v>777</v>
      </c>
      <c r="AD318" t="s">
        <v>939</v>
      </c>
    </row>
    <row r="319" spans="1:30">
      <c r="A319" t="s">
        <v>41</v>
      </c>
      <c r="B319" t="s">
        <v>2239</v>
      </c>
      <c r="C319" t="s">
        <v>799</v>
      </c>
      <c r="D319" t="s">
        <v>822</v>
      </c>
      <c r="E319" t="s">
        <v>777</v>
      </c>
      <c r="F319" t="s">
        <v>778</v>
      </c>
      <c r="G319" t="s">
        <v>803</v>
      </c>
      <c r="H319" t="s">
        <v>803</v>
      </c>
      <c r="I319" t="s">
        <v>803</v>
      </c>
      <c r="J319" t="s">
        <v>803</v>
      </c>
      <c r="K319" t="s">
        <v>803</v>
      </c>
      <c r="L319" t="s">
        <v>803</v>
      </c>
      <c r="M319" t="s">
        <v>803</v>
      </c>
      <c r="N319" t="s">
        <v>845</v>
      </c>
      <c r="O319" t="s">
        <v>803</v>
      </c>
      <c r="P319" t="s">
        <v>1008</v>
      </c>
      <c r="Q319" t="s">
        <v>1008</v>
      </c>
      <c r="R319" t="s">
        <v>1008</v>
      </c>
      <c r="S319" t="s">
        <v>1008</v>
      </c>
      <c r="T319" t="s">
        <v>946</v>
      </c>
      <c r="U319" t="s">
        <v>1119</v>
      </c>
      <c r="V319" t="s">
        <v>2240</v>
      </c>
      <c r="W319" t="s">
        <v>1008</v>
      </c>
      <c r="X319" t="s">
        <v>1009</v>
      </c>
      <c r="Y319" t="s">
        <v>1008</v>
      </c>
      <c r="Z319" t="s">
        <v>1008</v>
      </c>
      <c r="AA319" t="s">
        <v>1014</v>
      </c>
      <c r="AB319" t="s">
        <v>803</v>
      </c>
      <c r="AC319" t="s">
        <v>777</v>
      </c>
      <c r="AD319" t="s">
        <v>939</v>
      </c>
    </row>
    <row r="320" spans="1:30">
      <c r="A320" t="s">
        <v>41</v>
      </c>
      <c r="B320" t="s">
        <v>2241</v>
      </c>
      <c r="C320" t="s">
        <v>1068</v>
      </c>
      <c r="D320" t="s">
        <v>778</v>
      </c>
      <c r="E320" t="s">
        <v>845</v>
      </c>
      <c r="F320" t="s">
        <v>803</v>
      </c>
      <c r="G320" t="s">
        <v>803</v>
      </c>
      <c r="H320" t="s">
        <v>803</v>
      </c>
      <c r="I320" t="s">
        <v>803</v>
      </c>
      <c r="J320" t="s">
        <v>803</v>
      </c>
      <c r="K320" t="s">
        <v>803</v>
      </c>
      <c r="L320" t="s">
        <v>803</v>
      </c>
      <c r="M320" t="s">
        <v>803</v>
      </c>
      <c r="N320" t="s">
        <v>845</v>
      </c>
      <c r="O320" t="s">
        <v>803</v>
      </c>
      <c r="P320" t="s">
        <v>1008</v>
      </c>
      <c r="Q320" t="s">
        <v>1008</v>
      </c>
      <c r="R320" t="s">
        <v>1008</v>
      </c>
      <c r="S320" t="s">
        <v>1008</v>
      </c>
      <c r="T320" t="s">
        <v>939</v>
      </c>
      <c r="U320" t="s">
        <v>946</v>
      </c>
      <c r="V320" t="s">
        <v>2003</v>
      </c>
      <c r="W320" t="s">
        <v>1008</v>
      </c>
      <c r="X320" t="s">
        <v>1009</v>
      </c>
      <c r="Y320" t="s">
        <v>1008</v>
      </c>
      <c r="Z320" t="s">
        <v>1008</v>
      </c>
      <c r="AA320" t="s">
        <v>2242</v>
      </c>
      <c r="AB320" t="s">
        <v>803</v>
      </c>
      <c r="AC320" t="s">
        <v>845</v>
      </c>
      <c r="AD320" t="s">
        <v>939</v>
      </c>
    </row>
    <row r="321" spans="1:30">
      <c r="A321" t="s">
        <v>159</v>
      </c>
      <c r="B321" t="s">
        <v>2243</v>
      </c>
      <c r="C321" t="s">
        <v>772</v>
      </c>
      <c r="D321" t="s">
        <v>773</v>
      </c>
      <c r="E321" t="s">
        <v>1042</v>
      </c>
      <c r="F321" t="s">
        <v>844</v>
      </c>
      <c r="G321" t="s">
        <v>1030</v>
      </c>
      <c r="H321" t="s">
        <v>846</v>
      </c>
      <c r="I321" t="s">
        <v>803</v>
      </c>
      <c r="J321" t="s">
        <v>779</v>
      </c>
      <c r="K321" t="s">
        <v>926</v>
      </c>
      <c r="L321" t="s">
        <v>954</v>
      </c>
      <c r="M321" t="s">
        <v>802</v>
      </c>
      <c r="N321" t="s">
        <v>824</v>
      </c>
      <c r="O321" t="s">
        <v>821</v>
      </c>
      <c r="P321" t="s">
        <v>943</v>
      </c>
      <c r="Q321" t="s">
        <v>1452</v>
      </c>
      <c r="R321" t="s">
        <v>1450</v>
      </c>
      <c r="S321" t="s">
        <v>2244</v>
      </c>
      <c r="T321" t="s">
        <v>1035</v>
      </c>
      <c r="U321" t="s">
        <v>1614</v>
      </c>
      <c r="V321" t="s">
        <v>902</v>
      </c>
      <c r="W321" t="s">
        <v>1153</v>
      </c>
      <c r="X321" t="s">
        <v>1266</v>
      </c>
      <c r="Y321" t="s">
        <v>1137</v>
      </c>
      <c r="Z321" t="s">
        <v>2061</v>
      </c>
      <c r="AA321" t="s">
        <v>1492</v>
      </c>
      <c r="AB321" t="s">
        <v>796</v>
      </c>
      <c r="AC321" t="s">
        <v>1580</v>
      </c>
      <c r="AD321" t="s">
        <v>2245</v>
      </c>
    </row>
    <row r="322" spans="1:30">
      <c r="A322" t="s">
        <v>159</v>
      </c>
      <c r="B322" t="s">
        <v>403</v>
      </c>
      <c r="C322" t="s">
        <v>1068</v>
      </c>
      <c r="D322" t="s">
        <v>773</v>
      </c>
      <c r="E322" t="s">
        <v>1594</v>
      </c>
      <c r="F322" t="s">
        <v>780</v>
      </c>
      <c r="G322" t="s">
        <v>1221</v>
      </c>
      <c r="H322" t="s">
        <v>846</v>
      </c>
      <c r="I322" t="s">
        <v>803</v>
      </c>
      <c r="J322" t="s">
        <v>779</v>
      </c>
      <c r="K322" t="s">
        <v>1208</v>
      </c>
      <c r="L322" t="s">
        <v>1251</v>
      </c>
      <c r="M322" t="s">
        <v>862</v>
      </c>
      <c r="N322" t="s">
        <v>925</v>
      </c>
      <c r="O322" t="s">
        <v>858</v>
      </c>
      <c r="P322" t="s">
        <v>1823</v>
      </c>
      <c r="Q322" t="s">
        <v>1885</v>
      </c>
      <c r="R322" t="s">
        <v>2246</v>
      </c>
      <c r="S322" t="s">
        <v>2247</v>
      </c>
      <c r="T322" t="s">
        <v>810</v>
      </c>
      <c r="U322" t="s">
        <v>2047</v>
      </c>
      <c r="V322" t="s">
        <v>1616</v>
      </c>
      <c r="W322" t="s">
        <v>1256</v>
      </c>
      <c r="X322" t="s">
        <v>2248</v>
      </c>
      <c r="Y322" t="s">
        <v>1140</v>
      </c>
      <c r="Z322" t="s">
        <v>2249</v>
      </c>
      <c r="AA322" t="s">
        <v>1341</v>
      </c>
      <c r="AB322" t="s">
        <v>796</v>
      </c>
      <c r="AC322" t="s">
        <v>1298</v>
      </c>
      <c r="AD322" t="s">
        <v>1097</v>
      </c>
    </row>
    <row r="323" spans="1:30">
      <c r="A323" t="s">
        <v>159</v>
      </c>
      <c r="B323" t="s">
        <v>324</v>
      </c>
      <c r="C323" t="s">
        <v>841</v>
      </c>
      <c r="D323" t="s">
        <v>773</v>
      </c>
      <c r="E323" t="s">
        <v>1101</v>
      </c>
      <c r="F323" t="s">
        <v>802</v>
      </c>
      <c r="G323" t="s">
        <v>805</v>
      </c>
      <c r="H323" t="s">
        <v>821</v>
      </c>
      <c r="I323" t="s">
        <v>803</v>
      </c>
      <c r="J323" t="s">
        <v>845</v>
      </c>
      <c r="K323" t="s">
        <v>779</v>
      </c>
      <c r="L323" t="s">
        <v>864</v>
      </c>
      <c r="M323" t="s">
        <v>780</v>
      </c>
      <c r="N323" t="s">
        <v>1208</v>
      </c>
      <c r="O323" t="s">
        <v>777</v>
      </c>
      <c r="P323" t="s">
        <v>1363</v>
      </c>
      <c r="Q323" t="s">
        <v>816</v>
      </c>
      <c r="R323" t="s">
        <v>1392</v>
      </c>
      <c r="S323" t="s">
        <v>2250</v>
      </c>
      <c r="T323" t="s">
        <v>1119</v>
      </c>
      <c r="U323" t="s">
        <v>2251</v>
      </c>
      <c r="V323" t="s">
        <v>852</v>
      </c>
      <c r="W323" t="s">
        <v>1424</v>
      </c>
      <c r="X323" t="s">
        <v>1172</v>
      </c>
      <c r="Y323" t="s">
        <v>1764</v>
      </c>
      <c r="Z323" t="s">
        <v>1234</v>
      </c>
      <c r="AA323" t="s">
        <v>1125</v>
      </c>
      <c r="AB323" t="s">
        <v>863</v>
      </c>
      <c r="AC323" t="s">
        <v>1515</v>
      </c>
      <c r="AD323" t="s">
        <v>2252</v>
      </c>
    </row>
    <row r="324" spans="1:30">
      <c r="A324" t="s">
        <v>159</v>
      </c>
      <c r="B324" t="s">
        <v>423</v>
      </c>
      <c r="C324" t="s">
        <v>1079</v>
      </c>
      <c r="D324" t="s">
        <v>842</v>
      </c>
      <c r="E324" t="s">
        <v>1183</v>
      </c>
      <c r="F324" t="s">
        <v>823</v>
      </c>
      <c r="G324" t="s">
        <v>780</v>
      </c>
      <c r="H324" t="s">
        <v>777</v>
      </c>
      <c r="I324" t="s">
        <v>803</v>
      </c>
      <c r="J324" t="s">
        <v>778</v>
      </c>
      <c r="K324" t="s">
        <v>846</v>
      </c>
      <c r="L324" t="s">
        <v>776</v>
      </c>
      <c r="M324" t="s">
        <v>823</v>
      </c>
      <c r="N324" t="s">
        <v>844</v>
      </c>
      <c r="O324" t="s">
        <v>777</v>
      </c>
      <c r="P324" t="s">
        <v>897</v>
      </c>
      <c r="Q324" t="s">
        <v>1061</v>
      </c>
      <c r="R324" t="s">
        <v>1041</v>
      </c>
      <c r="S324" t="s">
        <v>1973</v>
      </c>
      <c r="T324" t="s">
        <v>946</v>
      </c>
      <c r="U324" t="s">
        <v>1404</v>
      </c>
      <c r="V324" t="s">
        <v>1692</v>
      </c>
      <c r="W324" t="s">
        <v>888</v>
      </c>
      <c r="X324" t="s">
        <v>1970</v>
      </c>
      <c r="Y324" t="s">
        <v>1683</v>
      </c>
      <c r="Z324" t="s">
        <v>874</v>
      </c>
      <c r="AA324" t="s">
        <v>1955</v>
      </c>
      <c r="AB324" t="s">
        <v>846</v>
      </c>
      <c r="AC324" t="s">
        <v>1016</v>
      </c>
      <c r="AD324" t="s">
        <v>2253</v>
      </c>
    </row>
    <row r="325" spans="1:30">
      <c r="A325" t="s">
        <v>159</v>
      </c>
      <c r="B325" t="s">
        <v>2254</v>
      </c>
      <c r="C325" t="s">
        <v>1068</v>
      </c>
      <c r="D325" t="s">
        <v>776</v>
      </c>
      <c r="E325" t="s">
        <v>1899</v>
      </c>
      <c r="F325" t="s">
        <v>823</v>
      </c>
      <c r="G325" t="s">
        <v>805</v>
      </c>
      <c r="H325" t="s">
        <v>822</v>
      </c>
      <c r="I325" t="s">
        <v>803</v>
      </c>
      <c r="J325" t="s">
        <v>822</v>
      </c>
      <c r="K325" t="s">
        <v>782</v>
      </c>
      <c r="L325" t="s">
        <v>864</v>
      </c>
      <c r="M325" t="s">
        <v>779</v>
      </c>
      <c r="N325" t="s">
        <v>1221</v>
      </c>
      <c r="O325" t="s">
        <v>803</v>
      </c>
      <c r="P325" t="s">
        <v>1479</v>
      </c>
      <c r="Q325" t="s">
        <v>995</v>
      </c>
      <c r="R325" t="s">
        <v>1588</v>
      </c>
      <c r="S325" t="s">
        <v>1236</v>
      </c>
      <c r="T325" t="s">
        <v>885</v>
      </c>
      <c r="U325" t="s">
        <v>851</v>
      </c>
      <c r="V325" t="s">
        <v>852</v>
      </c>
      <c r="W325" t="s">
        <v>888</v>
      </c>
      <c r="X325" t="s">
        <v>950</v>
      </c>
      <c r="Y325" t="s">
        <v>1465</v>
      </c>
      <c r="Z325" t="s">
        <v>1479</v>
      </c>
      <c r="AA325" t="s">
        <v>907</v>
      </c>
      <c r="AB325" t="s">
        <v>821</v>
      </c>
      <c r="AC325" t="s">
        <v>1077</v>
      </c>
      <c r="AD325" t="s">
        <v>2255</v>
      </c>
    </row>
    <row r="326" spans="1:30">
      <c r="A326" t="s">
        <v>159</v>
      </c>
      <c r="B326" t="s">
        <v>399</v>
      </c>
      <c r="C326" t="s">
        <v>819</v>
      </c>
      <c r="D326" t="s">
        <v>842</v>
      </c>
      <c r="E326" t="s">
        <v>1529</v>
      </c>
      <c r="F326" t="s">
        <v>782</v>
      </c>
      <c r="G326" t="s">
        <v>775</v>
      </c>
      <c r="H326" t="s">
        <v>846</v>
      </c>
      <c r="I326" t="s">
        <v>803</v>
      </c>
      <c r="J326" t="s">
        <v>777</v>
      </c>
      <c r="K326" t="s">
        <v>821</v>
      </c>
      <c r="L326" t="s">
        <v>824</v>
      </c>
      <c r="M326" t="s">
        <v>858</v>
      </c>
      <c r="N326" t="s">
        <v>1015</v>
      </c>
      <c r="O326" t="s">
        <v>778</v>
      </c>
      <c r="P326" t="s">
        <v>973</v>
      </c>
      <c r="Q326" t="s">
        <v>1105</v>
      </c>
      <c r="R326" t="s">
        <v>2110</v>
      </c>
      <c r="S326" t="s">
        <v>2256</v>
      </c>
      <c r="T326" t="s">
        <v>901</v>
      </c>
      <c r="U326" t="s">
        <v>1947</v>
      </c>
      <c r="V326" t="s">
        <v>1087</v>
      </c>
      <c r="W326" t="s">
        <v>979</v>
      </c>
      <c r="X326" t="s">
        <v>2257</v>
      </c>
      <c r="Y326" t="s">
        <v>2258</v>
      </c>
      <c r="Z326" t="s">
        <v>1582</v>
      </c>
      <c r="AA326" t="s">
        <v>982</v>
      </c>
      <c r="AB326" t="s">
        <v>779</v>
      </c>
      <c r="AC326" t="s">
        <v>1496</v>
      </c>
      <c r="AD326" t="s">
        <v>1614</v>
      </c>
    </row>
    <row r="327" spans="1:30">
      <c r="A327" t="s">
        <v>159</v>
      </c>
      <c r="B327" t="s">
        <v>260</v>
      </c>
      <c r="C327" t="s">
        <v>1068</v>
      </c>
      <c r="D327" t="s">
        <v>776</v>
      </c>
      <c r="E327" t="s">
        <v>880</v>
      </c>
      <c r="F327" t="s">
        <v>821</v>
      </c>
      <c r="G327" t="s">
        <v>863</v>
      </c>
      <c r="H327" t="s">
        <v>778</v>
      </c>
      <c r="I327" t="s">
        <v>778</v>
      </c>
      <c r="J327" t="s">
        <v>778</v>
      </c>
      <c r="K327" t="s">
        <v>778</v>
      </c>
      <c r="L327" t="s">
        <v>796</v>
      </c>
      <c r="M327" t="s">
        <v>821</v>
      </c>
      <c r="N327" t="s">
        <v>823</v>
      </c>
      <c r="O327" t="s">
        <v>803</v>
      </c>
      <c r="P327" t="s">
        <v>1632</v>
      </c>
      <c r="Q327" t="s">
        <v>2007</v>
      </c>
      <c r="R327" t="s">
        <v>942</v>
      </c>
      <c r="S327" t="s">
        <v>1714</v>
      </c>
      <c r="T327" t="s">
        <v>939</v>
      </c>
      <c r="U327" t="s">
        <v>1035</v>
      </c>
      <c r="V327" t="s">
        <v>788</v>
      </c>
      <c r="W327" t="s">
        <v>1108</v>
      </c>
      <c r="X327" t="s">
        <v>1073</v>
      </c>
      <c r="Y327" t="s">
        <v>1631</v>
      </c>
      <c r="Z327" t="s">
        <v>1026</v>
      </c>
      <c r="AA327" t="s">
        <v>2259</v>
      </c>
      <c r="AB327" t="s">
        <v>822</v>
      </c>
      <c r="AC327" t="s">
        <v>1113</v>
      </c>
      <c r="AD327" t="s">
        <v>1979</v>
      </c>
    </row>
    <row r="328" spans="1:30">
      <c r="A328" t="s">
        <v>159</v>
      </c>
      <c r="B328" t="s">
        <v>420</v>
      </c>
      <c r="C328" t="s">
        <v>536</v>
      </c>
      <c r="D328" t="s">
        <v>925</v>
      </c>
      <c r="E328" t="s">
        <v>1243</v>
      </c>
      <c r="F328" t="s">
        <v>822</v>
      </c>
      <c r="G328" t="s">
        <v>823</v>
      </c>
      <c r="H328" t="s">
        <v>778</v>
      </c>
      <c r="I328" t="s">
        <v>803</v>
      </c>
      <c r="J328" t="s">
        <v>845</v>
      </c>
      <c r="K328" t="s">
        <v>821</v>
      </c>
      <c r="L328" t="s">
        <v>862</v>
      </c>
      <c r="M328" t="s">
        <v>971</v>
      </c>
      <c r="N328" t="s">
        <v>844</v>
      </c>
      <c r="O328" t="s">
        <v>803</v>
      </c>
      <c r="P328" t="s">
        <v>2260</v>
      </c>
      <c r="Q328" t="s">
        <v>986</v>
      </c>
      <c r="R328" t="s">
        <v>1420</v>
      </c>
      <c r="S328" t="s">
        <v>1481</v>
      </c>
      <c r="T328" t="s">
        <v>831</v>
      </c>
      <c r="U328" t="s">
        <v>2206</v>
      </c>
      <c r="V328" t="s">
        <v>1691</v>
      </c>
      <c r="W328" t="s">
        <v>2260</v>
      </c>
      <c r="X328" t="s">
        <v>991</v>
      </c>
      <c r="Y328" t="s">
        <v>1247</v>
      </c>
      <c r="Z328" t="s">
        <v>975</v>
      </c>
      <c r="AA328" t="s">
        <v>2056</v>
      </c>
      <c r="AB328" t="s">
        <v>822</v>
      </c>
      <c r="AC328" t="s">
        <v>908</v>
      </c>
      <c r="AD328" t="s">
        <v>1197</v>
      </c>
    </row>
    <row r="329" spans="1:30">
      <c r="A329" t="s">
        <v>159</v>
      </c>
      <c r="B329" t="s">
        <v>337</v>
      </c>
      <c r="C329" t="s">
        <v>819</v>
      </c>
      <c r="D329" t="s">
        <v>862</v>
      </c>
      <c r="E329" t="s">
        <v>1449</v>
      </c>
      <c r="F329" t="s">
        <v>821</v>
      </c>
      <c r="G329" t="s">
        <v>782</v>
      </c>
      <c r="H329" t="s">
        <v>822</v>
      </c>
      <c r="I329" t="s">
        <v>803</v>
      </c>
      <c r="J329" t="s">
        <v>777</v>
      </c>
      <c r="K329" t="s">
        <v>823</v>
      </c>
      <c r="L329" t="s">
        <v>842</v>
      </c>
      <c r="M329" t="s">
        <v>846</v>
      </c>
      <c r="N329" t="s">
        <v>863</v>
      </c>
      <c r="O329" t="s">
        <v>803</v>
      </c>
      <c r="P329" t="s">
        <v>1209</v>
      </c>
      <c r="Q329" t="s">
        <v>956</v>
      </c>
      <c r="R329" t="s">
        <v>1118</v>
      </c>
      <c r="S329" t="s">
        <v>2261</v>
      </c>
      <c r="T329" t="s">
        <v>1337</v>
      </c>
      <c r="U329" t="s">
        <v>1794</v>
      </c>
      <c r="V329" t="s">
        <v>2040</v>
      </c>
      <c r="W329" t="s">
        <v>903</v>
      </c>
      <c r="X329" t="s">
        <v>1099</v>
      </c>
      <c r="Y329" t="s">
        <v>1452</v>
      </c>
      <c r="Z329" t="s">
        <v>1811</v>
      </c>
      <c r="AA329" t="s">
        <v>1453</v>
      </c>
      <c r="AB329" t="s">
        <v>858</v>
      </c>
      <c r="AC329" t="s">
        <v>1517</v>
      </c>
      <c r="AD329" t="s">
        <v>2262</v>
      </c>
    </row>
    <row r="330" spans="1:30">
      <c r="A330" t="s">
        <v>159</v>
      </c>
      <c r="B330" t="s">
        <v>2263</v>
      </c>
      <c r="C330" t="s">
        <v>1079</v>
      </c>
      <c r="D330" t="s">
        <v>776</v>
      </c>
      <c r="E330" t="s">
        <v>1198</v>
      </c>
      <c r="F330" t="s">
        <v>779</v>
      </c>
      <c r="G330" t="s">
        <v>823</v>
      </c>
      <c r="H330" t="s">
        <v>803</v>
      </c>
      <c r="I330" t="s">
        <v>803</v>
      </c>
      <c r="J330" t="s">
        <v>778</v>
      </c>
      <c r="K330" t="s">
        <v>822</v>
      </c>
      <c r="L330" t="s">
        <v>802</v>
      </c>
      <c r="M330" t="s">
        <v>863</v>
      </c>
      <c r="N330" t="s">
        <v>779</v>
      </c>
      <c r="O330" t="s">
        <v>778</v>
      </c>
      <c r="P330" t="s">
        <v>1262</v>
      </c>
      <c r="Q330" t="s">
        <v>2182</v>
      </c>
      <c r="R330" t="s">
        <v>2264</v>
      </c>
      <c r="S330" t="s">
        <v>2265</v>
      </c>
      <c r="T330" t="s">
        <v>1020</v>
      </c>
      <c r="U330" t="s">
        <v>1134</v>
      </c>
      <c r="V330" t="s">
        <v>2206</v>
      </c>
      <c r="W330" t="s">
        <v>1756</v>
      </c>
      <c r="X330" t="s">
        <v>2266</v>
      </c>
      <c r="Y330" t="s">
        <v>1108</v>
      </c>
      <c r="Z330" t="s">
        <v>1460</v>
      </c>
      <c r="AA330" t="s">
        <v>1660</v>
      </c>
      <c r="AB330" t="s">
        <v>778</v>
      </c>
      <c r="AC330" t="s">
        <v>1743</v>
      </c>
      <c r="AD330" t="s">
        <v>1467</v>
      </c>
    </row>
    <row r="331" spans="1:30">
      <c r="A331" t="s">
        <v>159</v>
      </c>
      <c r="B331" t="s">
        <v>2267</v>
      </c>
      <c r="C331" t="s">
        <v>799</v>
      </c>
      <c r="D331" t="s">
        <v>925</v>
      </c>
      <c r="E331" t="s">
        <v>972</v>
      </c>
      <c r="F331" t="s">
        <v>822</v>
      </c>
      <c r="G331" t="s">
        <v>821</v>
      </c>
      <c r="H331" t="s">
        <v>778</v>
      </c>
      <c r="I331" t="s">
        <v>778</v>
      </c>
      <c r="J331" t="s">
        <v>803</v>
      </c>
      <c r="K331" t="s">
        <v>778</v>
      </c>
      <c r="L331" t="s">
        <v>779</v>
      </c>
      <c r="M331" t="s">
        <v>863</v>
      </c>
      <c r="N331" t="s">
        <v>971</v>
      </c>
      <c r="O331" t="s">
        <v>778</v>
      </c>
      <c r="P331" t="s">
        <v>981</v>
      </c>
      <c r="Q331" t="s">
        <v>1140</v>
      </c>
      <c r="R331" t="s">
        <v>881</v>
      </c>
      <c r="S331" t="s">
        <v>2268</v>
      </c>
      <c r="T331" t="s">
        <v>1119</v>
      </c>
      <c r="U331" t="s">
        <v>1564</v>
      </c>
      <c r="V331" t="s">
        <v>1063</v>
      </c>
      <c r="W331" t="s">
        <v>1710</v>
      </c>
      <c r="X331" t="s">
        <v>1154</v>
      </c>
      <c r="Y331" t="s">
        <v>980</v>
      </c>
      <c r="Z331" t="s">
        <v>975</v>
      </c>
      <c r="AA331" t="s">
        <v>907</v>
      </c>
      <c r="AB331" t="s">
        <v>845</v>
      </c>
      <c r="AC331" t="s">
        <v>1147</v>
      </c>
      <c r="AD331" t="s">
        <v>939</v>
      </c>
    </row>
    <row r="332" spans="1:30">
      <c r="A332" t="s">
        <v>159</v>
      </c>
      <c r="B332" t="s">
        <v>2269</v>
      </c>
      <c r="C332" t="s">
        <v>910</v>
      </c>
      <c r="D332" t="s">
        <v>782</v>
      </c>
      <c r="E332" t="s">
        <v>1208</v>
      </c>
      <c r="F332" t="s">
        <v>845</v>
      </c>
      <c r="G332" t="s">
        <v>777</v>
      </c>
      <c r="H332" t="s">
        <v>803</v>
      </c>
      <c r="I332" t="s">
        <v>803</v>
      </c>
      <c r="J332" t="s">
        <v>803</v>
      </c>
      <c r="K332" t="s">
        <v>803</v>
      </c>
      <c r="L332" t="s">
        <v>777</v>
      </c>
      <c r="M332" t="s">
        <v>845</v>
      </c>
      <c r="N332" t="s">
        <v>823</v>
      </c>
      <c r="O332" t="s">
        <v>778</v>
      </c>
      <c r="P332" t="s">
        <v>1330</v>
      </c>
      <c r="Q332" t="s">
        <v>1270</v>
      </c>
      <c r="R332" t="s">
        <v>1330</v>
      </c>
      <c r="S332" t="s">
        <v>2270</v>
      </c>
      <c r="T332" t="s">
        <v>946</v>
      </c>
      <c r="U332" t="s">
        <v>885</v>
      </c>
      <c r="V332" t="s">
        <v>885</v>
      </c>
      <c r="W332" t="s">
        <v>1136</v>
      </c>
      <c r="X332" t="s">
        <v>934</v>
      </c>
      <c r="Y332" t="s">
        <v>1008</v>
      </c>
      <c r="Z332" t="s">
        <v>1561</v>
      </c>
      <c r="AA332" t="s">
        <v>1906</v>
      </c>
      <c r="AB332" t="s">
        <v>803</v>
      </c>
      <c r="AC332" t="s">
        <v>1030</v>
      </c>
      <c r="AD332" t="s">
        <v>939</v>
      </c>
    </row>
    <row r="333" spans="1:30">
      <c r="A333" t="s">
        <v>159</v>
      </c>
      <c r="B333" t="s">
        <v>375</v>
      </c>
      <c r="C333" t="s">
        <v>879</v>
      </c>
      <c r="D333" t="s">
        <v>863</v>
      </c>
      <c r="E333" t="s">
        <v>773</v>
      </c>
      <c r="F333" t="s">
        <v>845</v>
      </c>
      <c r="G333" t="s">
        <v>777</v>
      </c>
      <c r="H333" t="s">
        <v>822</v>
      </c>
      <c r="I333" t="s">
        <v>803</v>
      </c>
      <c r="J333" t="s">
        <v>803</v>
      </c>
      <c r="K333" t="s">
        <v>846</v>
      </c>
      <c r="L333" t="s">
        <v>858</v>
      </c>
      <c r="M333" t="s">
        <v>778</v>
      </c>
      <c r="N333" t="s">
        <v>796</v>
      </c>
      <c r="O333" t="s">
        <v>803</v>
      </c>
      <c r="P333" t="s">
        <v>992</v>
      </c>
      <c r="Q333" t="s">
        <v>1270</v>
      </c>
      <c r="R333" t="s">
        <v>1199</v>
      </c>
      <c r="S333" t="s">
        <v>1916</v>
      </c>
      <c r="T333" t="s">
        <v>946</v>
      </c>
      <c r="U333" t="s">
        <v>1188</v>
      </c>
      <c r="V333" t="s">
        <v>1170</v>
      </c>
      <c r="W333" t="s">
        <v>1693</v>
      </c>
      <c r="X333" t="s">
        <v>1470</v>
      </c>
      <c r="Y333" t="s">
        <v>1294</v>
      </c>
      <c r="Z333" t="s">
        <v>992</v>
      </c>
      <c r="AA333" t="s">
        <v>1906</v>
      </c>
      <c r="AB333" t="s">
        <v>822</v>
      </c>
      <c r="AC333" t="s">
        <v>1030</v>
      </c>
      <c r="AD333" t="s">
        <v>939</v>
      </c>
    </row>
    <row r="334" spans="1:30">
      <c r="A334" t="s">
        <v>159</v>
      </c>
      <c r="B334" t="s">
        <v>2271</v>
      </c>
      <c r="C334" t="s">
        <v>536</v>
      </c>
      <c r="D334" t="s">
        <v>777</v>
      </c>
      <c r="E334" t="s">
        <v>802</v>
      </c>
      <c r="F334" t="s">
        <v>803</v>
      </c>
      <c r="G334" t="s">
        <v>778</v>
      </c>
      <c r="H334" t="s">
        <v>803</v>
      </c>
      <c r="I334" t="s">
        <v>803</v>
      </c>
      <c r="J334" t="s">
        <v>803</v>
      </c>
      <c r="K334" t="s">
        <v>803</v>
      </c>
      <c r="L334" t="s">
        <v>778</v>
      </c>
      <c r="M334" t="s">
        <v>778</v>
      </c>
      <c r="N334" t="s">
        <v>777</v>
      </c>
      <c r="O334" t="s">
        <v>803</v>
      </c>
      <c r="P334" t="s">
        <v>1448</v>
      </c>
      <c r="Q334" t="s">
        <v>992</v>
      </c>
      <c r="R334" t="s">
        <v>1448</v>
      </c>
      <c r="S334" t="s">
        <v>1901</v>
      </c>
      <c r="T334" t="s">
        <v>901</v>
      </c>
      <c r="U334" t="s">
        <v>1119</v>
      </c>
      <c r="V334" t="s">
        <v>2272</v>
      </c>
      <c r="W334" t="s">
        <v>979</v>
      </c>
      <c r="X334" t="s">
        <v>1332</v>
      </c>
      <c r="Y334" t="s">
        <v>1008</v>
      </c>
      <c r="Z334" t="s">
        <v>1448</v>
      </c>
      <c r="AA334" t="s">
        <v>1495</v>
      </c>
      <c r="AB334" t="s">
        <v>803</v>
      </c>
      <c r="AC334" t="s">
        <v>796</v>
      </c>
      <c r="AD334" t="s">
        <v>939</v>
      </c>
    </row>
    <row r="335" spans="1:30">
      <c r="A335" t="s">
        <v>159</v>
      </c>
      <c r="B335" t="s">
        <v>2273</v>
      </c>
      <c r="C335" t="s">
        <v>536</v>
      </c>
      <c r="D335" t="s">
        <v>846</v>
      </c>
      <c r="E335" t="s">
        <v>823</v>
      </c>
      <c r="F335" t="s">
        <v>803</v>
      </c>
      <c r="G335" t="s">
        <v>845</v>
      </c>
      <c r="H335" t="s">
        <v>803</v>
      </c>
      <c r="I335" t="s">
        <v>803</v>
      </c>
      <c r="J335" t="s">
        <v>803</v>
      </c>
      <c r="K335" t="s">
        <v>778</v>
      </c>
      <c r="L335" t="s">
        <v>845</v>
      </c>
      <c r="M335" t="s">
        <v>778</v>
      </c>
      <c r="N335" t="s">
        <v>777</v>
      </c>
      <c r="O335" t="s">
        <v>803</v>
      </c>
      <c r="P335" t="s">
        <v>942</v>
      </c>
      <c r="Q335" t="s">
        <v>1199</v>
      </c>
      <c r="R335" t="s">
        <v>942</v>
      </c>
      <c r="S335" t="s">
        <v>1222</v>
      </c>
      <c r="T335" t="s">
        <v>939</v>
      </c>
      <c r="U335" t="s">
        <v>788</v>
      </c>
      <c r="V335" t="s">
        <v>1022</v>
      </c>
      <c r="W335" t="s">
        <v>791</v>
      </c>
      <c r="X335" t="s">
        <v>1332</v>
      </c>
      <c r="Y335" t="s">
        <v>1008</v>
      </c>
      <c r="Z335" t="s">
        <v>1002</v>
      </c>
      <c r="AA335" t="s">
        <v>1556</v>
      </c>
      <c r="AB335" t="s">
        <v>803</v>
      </c>
      <c r="AC335" t="s">
        <v>971</v>
      </c>
      <c r="AD335" t="s">
        <v>939</v>
      </c>
    </row>
    <row r="336" spans="1:30">
      <c r="A336" t="s">
        <v>159</v>
      </c>
      <c r="B336" t="s">
        <v>2274</v>
      </c>
      <c r="C336" t="s">
        <v>1079</v>
      </c>
      <c r="D336" t="s">
        <v>778</v>
      </c>
      <c r="E336" t="s">
        <v>778</v>
      </c>
      <c r="F336" t="s">
        <v>778</v>
      </c>
      <c r="G336" t="s">
        <v>778</v>
      </c>
      <c r="H336" t="s">
        <v>803</v>
      </c>
      <c r="I336" t="s">
        <v>803</v>
      </c>
      <c r="J336" t="s">
        <v>778</v>
      </c>
      <c r="K336" t="s">
        <v>778</v>
      </c>
      <c r="L336" t="s">
        <v>777</v>
      </c>
      <c r="M336" t="s">
        <v>778</v>
      </c>
      <c r="N336" t="s">
        <v>803</v>
      </c>
      <c r="O336" t="s">
        <v>803</v>
      </c>
      <c r="P336" t="s">
        <v>1494</v>
      </c>
      <c r="Q336" t="s">
        <v>1494</v>
      </c>
      <c r="R336" t="s">
        <v>2275</v>
      </c>
      <c r="S336" t="s">
        <v>2276</v>
      </c>
      <c r="T336" t="s">
        <v>831</v>
      </c>
      <c r="U336" t="s">
        <v>1273</v>
      </c>
      <c r="V336" t="s">
        <v>939</v>
      </c>
      <c r="W336" t="s">
        <v>1312</v>
      </c>
      <c r="X336" t="s">
        <v>1009</v>
      </c>
      <c r="Y336" t="s">
        <v>2277</v>
      </c>
      <c r="Z336" t="s">
        <v>2275</v>
      </c>
      <c r="AA336" t="s">
        <v>2278</v>
      </c>
      <c r="AB336" t="s">
        <v>778</v>
      </c>
      <c r="AC336" t="s">
        <v>845</v>
      </c>
      <c r="AD336" t="s">
        <v>1051</v>
      </c>
    </row>
    <row r="337" spans="1:30">
      <c r="A337" t="s">
        <v>51</v>
      </c>
      <c r="B337" t="s">
        <v>2279</v>
      </c>
      <c r="C337" t="s">
        <v>536</v>
      </c>
      <c r="D337" t="s">
        <v>776</v>
      </c>
      <c r="E337" t="s">
        <v>1496</v>
      </c>
      <c r="F337" t="s">
        <v>802</v>
      </c>
      <c r="G337" t="s">
        <v>842</v>
      </c>
      <c r="H337" t="s">
        <v>821</v>
      </c>
      <c r="I337" t="s">
        <v>803</v>
      </c>
      <c r="J337" t="s">
        <v>845</v>
      </c>
      <c r="K337" t="s">
        <v>796</v>
      </c>
      <c r="L337" t="s">
        <v>1198</v>
      </c>
      <c r="M337" t="s">
        <v>782</v>
      </c>
      <c r="N337" t="s">
        <v>802</v>
      </c>
      <c r="O337" t="s">
        <v>803</v>
      </c>
      <c r="P337" t="s">
        <v>1262</v>
      </c>
      <c r="Q337" t="s">
        <v>829</v>
      </c>
      <c r="R337" t="s">
        <v>1714</v>
      </c>
      <c r="S337" t="s">
        <v>2280</v>
      </c>
      <c r="T337" t="s">
        <v>1096</v>
      </c>
      <c r="U337" t="s">
        <v>2281</v>
      </c>
      <c r="V337" t="s">
        <v>1287</v>
      </c>
      <c r="W337" t="s">
        <v>1002</v>
      </c>
      <c r="X337" t="s">
        <v>2282</v>
      </c>
      <c r="Y337" t="s">
        <v>936</v>
      </c>
      <c r="Z337" t="s">
        <v>1497</v>
      </c>
      <c r="AA337" t="s">
        <v>982</v>
      </c>
      <c r="AB337" t="s">
        <v>863</v>
      </c>
      <c r="AC337" t="s">
        <v>2055</v>
      </c>
      <c r="AD337" t="s">
        <v>1717</v>
      </c>
    </row>
    <row r="338" spans="1:30">
      <c r="A338" t="s">
        <v>51</v>
      </c>
      <c r="B338" t="s">
        <v>81</v>
      </c>
      <c r="C338" t="s">
        <v>841</v>
      </c>
      <c r="D338" t="s">
        <v>776</v>
      </c>
      <c r="E338" t="s">
        <v>859</v>
      </c>
      <c r="F338" t="s">
        <v>926</v>
      </c>
      <c r="G338" t="s">
        <v>844</v>
      </c>
      <c r="H338" t="s">
        <v>846</v>
      </c>
      <c r="I338" t="s">
        <v>778</v>
      </c>
      <c r="J338" t="s">
        <v>777</v>
      </c>
      <c r="K338" t="s">
        <v>780</v>
      </c>
      <c r="L338" t="s">
        <v>1449</v>
      </c>
      <c r="M338" t="s">
        <v>805</v>
      </c>
      <c r="N338" t="s">
        <v>773</v>
      </c>
      <c r="O338" t="s">
        <v>858</v>
      </c>
      <c r="P338" t="s">
        <v>1258</v>
      </c>
      <c r="Q338" t="s">
        <v>2149</v>
      </c>
      <c r="R338" t="s">
        <v>996</v>
      </c>
      <c r="S338" t="s">
        <v>2283</v>
      </c>
      <c r="T338" t="s">
        <v>1170</v>
      </c>
      <c r="U338" t="s">
        <v>2284</v>
      </c>
      <c r="V338" t="s">
        <v>1021</v>
      </c>
      <c r="W338" t="s">
        <v>1419</v>
      </c>
      <c r="X338" t="s">
        <v>1012</v>
      </c>
      <c r="Y338" t="s">
        <v>1509</v>
      </c>
      <c r="Z338" t="s">
        <v>2285</v>
      </c>
      <c r="AA338" t="s">
        <v>1687</v>
      </c>
      <c r="AB338" t="s">
        <v>823</v>
      </c>
      <c r="AC338" t="s">
        <v>1206</v>
      </c>
      <c r="AD338" t="s">
        <v>2286</v>
      </c>
    </row>
    <row r="339" spans="1:30">
      <c r="A339" t="s">
        <v>51</v>
      </c>
      <c r="B339" t="s">
        <v>232</v>
      </c>
      <c r="C339" t="s">
        <v>819</v>
      </c>
      <c r="D339" t="s">
        <v>776</v>
      </c>
      <c r="E339" t="s">
        <v>1529</v>
      </c>
      <c r="F339" t="s">
        <v>1232</v>
      </c>
      <c r="G339" t="s">
        <v>895</v>
      </c>
      <c r="H339" t="s">
        <v>777</v>
      </c>
      <c r="I339" t="s">
        <v>803</v>
      </c>
      <c r="J339" t="s">
        <v>846</v>
      </c>
      <c r="K339" t="s">
        <v>825</v>
      </c>
      <c r="L339" t="s">
        <v>983</v>
      </c>
      <c r="M339" t="s">
        <v>858</v>
      </c>
      <c r="N339" t="s">
        <v>926</v>
      </c>
      <c r="O339" t="s">
        <v>822</v>
      </c>
      <c r="P339" t="s">
        <v>1130</v>
      </c>
      <c r="Q339" t="s">
        <v>1460</v>
      </c>
      <c r="R339" t="s">
        <v>2287</v>
      </c>
      <c r="S339" t="s">
        <v>1151</v>
      </c>
      <c r="T339" t="s">
        <v>939</v>
      </c>
      <c r="U339" t="s">
        <v>2288</v>
      </c>
      <c r="V339" t="s">
        <v>1152</v>
      </c>
      <c r="W339" t="s">
        <v>1697</v>
      </c>
      <c r="X339" t="s">
        <v>1755</v>
      </c>
      <c r="Y339" t="s">
        <v>973</v>
      </c>
      <c r="Z339" t="s">
        <v>1609</v>
      </c>
      <c r="AA339" t="s">
        <v>1466</v>
      </c>
      <c r="AB339" t="s">
        <v>779</v>
      </c>
      <c r="AC339" t="s">
        <v>1045</v>
      </c>
      <c r="AD339" t="s">
        <v>2289</v>
      </c>
    </row>
    <row r="340" spans="1:30">
      <c r="A340" t="s">
        <v>51</v>
      </c>
      <c r="B340" t="s">
        <v>402</v>
      </c>
      <c r="C340" t="s">
        <v>879</v>
      </c>
      <c r="D340" t="s">
        <v>842</v>
      </c>
      <c r="E340" t="s">
        <v>1231</v>
      </c>
      <c r="F340" t="s">
        <v>782</v>
      </c>
      <c r="G340" t="s">
        <v>1232</v>
      </c>
      <c r="H340" t="s">
        <v>845</v>
      </c>
      <c r="I340" t="s">
        <v>803</v>
      </c>
      <c r="J340" t="s">
        <v>778</v>
      </c>
      <c r="K340" t="s">
        <v>858</v>
      </c>
      <c r="L340" t="s">
        <v>805</v>
      </c>
      <c r="M340" t="s">
        <v>971</v>
      </c>
      <c r="N340" t="s">
        <v>802</v>
      </c>
      <c r="O340" t="s">
        <v>778</v>
      </c>
      <c r="P340" t="s">
        <v>1017</v>
      </c>
      <c r="Q340" t="s">
        <v>1210</v>
      </c>
      <c r="R340" t="s">
        <v>1290</v>
      </c>
      <c r="S340" t="s">
        <v>1610</v>
      </c>
      <c r="T340" t="s">
        <v>1119</v>
      </c>
      <c r="U340" t="s">
        <v>1372</v>
      </c>
      <c r="V340" t="s">
        <v>1626</v>
      </c>
      <c r="W340" t="s">
        <v>834</v>
      </c>
      <c r="X340" t="s">
        <v>2214</v>
      </c>
      <c r="Y340" t="s">
        <v>933</v>
      </c>
      <c r="Z340" t="s">
        <v>784</v>
      </c>
      <c r="AA340" t="s">
        <v>1716</v>
      </c>
      <c r="AB340" t="s">
        <v>822</v>
      </c>
      <c r="AC340" t="s">
        <v>1066</v>
      </c>
      <c r="AD340" t="s">
        <v>2290</v>
      </c>
    </row>
    <row r="341" spans="1:30">
      <c r="A341" t="s">
        <v>51</v>
      </c>
      <c r="B341" t="s">
        <v>291</v>
      </c>
      <c r="C341" t="s">
        <v>1068</v>
      </c>
      <c r="D341" t="s">
        <v>895</v>
      </c>
      <c r="E341" t="s">
        <v>1532</v>
      </c>
      <c r="F341" t="s">
        <v>779</v>
      </c>
      <c r="G341" t="s">
        <v>802</v>
      </c>
      <c r="H341" t="s">
        <v>821</v>
      </c>
      <c r="I341" t="s">
        <v>803</v>
      </c>
      <c r="J341" t="s">
        <v>803</v>
      </c>
      <c r="K341" t="s">
        <v>821</v>
      </c>
      <c r="L341" t="s">
        <v>775</v>
      </c>
      <c r="M341" t="s">
        <v>858</v>
      </c>
      <c r="N341" t="s">
        <v>782</v>
      </c>
      <c r="O341" t="s">
        <v>778</v>
      </c>
      <c r="P341" t="s">
        <v>2291</v>
      </c>
      <c r="Q341" t="s">
        <v>1199</v>
      </c>
      <c r="R341" t="s">
        <v>1047</v>
      </c>
      <c r="S341" t="s">
        <v>2292</v>
      </c>
      <c r="T341" t="s">
        <v>1119</v>
      </c>
      <c r="U341" t="s">
        <v>989</v>
      </c>
      <c r="V341" t="s">
        <v>998</v>
      </c>
      <c r="W341" t="s">
        <v>1842</v>
      </c>
      <c r="X341" t="s">
        <v>2186</v>
      </c>
      <c r="Y341" t="s">
        <v>1038</v>
      </c>
      <c r="Z341" t="s">
        <v>1706</v>
      </c>
      <c r="AA341" t="s">
        <v>1523</v>
      </c>
      <c r="AB341" t="s">
        <v>821</v>
      </c>
      <c r="AC341" t="s">
        <v>1975</v>
      </c>
      <c r="AD341" t="s">
        <v>939</v>
      </c>
    </row>
    <row r="342" spans="1:30">
      <c r="A342" t="s">
        <v>51</v>
      </c>
      <c r="B342" t="s">
        <v>182</v>
      </c>
      <c r="C342" t="s">
        <v>1079</v>
      </c>
      <c r="D342" t="s">
        <v>776</v>
      </c>
      <c r="E342" t="s">
        <v>1980</v>
      </c>
      <c r="F342" t="s">
        <v>823</v>
      </c>
      <c r="G342" t="s">
        <v>1232</v>
      </c>
      <c r="H342" t="s">
        <v>846</v>
      </c>
      <c r="I342" t="s">
        <v>778</v>
      </c>
      <c r="J342" t="s">
        <v>778</v>
      </c>
      <c r="K342" t="s">
        <v>775</v>
      </c>
      <c r="L342" t="s">
        <v>842</v>
      </c>
      <c r="M342" t="s">
        <v>862</v>
      </c>
      <c r="N342" t="s">
        <v>864</v>
      </c>
      <c r="O342" t="s">
        <v>846</v>
      </c>
      <c r="P342" t="s">
        <v>1018</v>
      </c>
      <c r="Q342" t="s">
        <v>794</v>
      </c>
      <c r="R342" t="s">
        <v>1379</v>
      </c>
      <c r="S342" t="s">
        <v>2293</v>
      </c>
      <c r="T342" t="s">
        <v>1337</v>
      </c>
      <c r="U342" t="s">
        <v>1189</v>
      </c>
      <c r="V342" t="s">
        <v>1373</v>
      </c>
      <c r="W342" t="s">
        <v>1774</v>
      </c>
      <c r="X342" t="s">
        <v>2154</v>
      </c>
      <c r="Y342" t="s">
        <v>815</v>
      </c>
      <c r="Z342" t="s">
        <v>914</v>
      </c>
      <c r="AA342" t="s">
        <v>1619</v>
      </c>
      <c r="AB342" t="s">
        <v>858</v>
      </c>
      <c r="AC342" t="s">
        <v>1080</v>
      </c>
      <c r="AD342" t="s">
        <v>2294</v>
      </c>
    </row>
    <row r="343" spans="1:30">
      <c r="A343" t="s">
        <v>51</v>
      </c>
      <c r="B343" t="s">
        <v>50</v>
      </c>
      <c r="C343" t="s">
        <v>799</v>
      </c>
      <c r="D343" t="s">
        <v>925</v>
      </c>
      <c r="E343" t="s">
        <v>1103</v>
      </c>
      <c r="F343" t="s">
        <v>846</v>
      </c>
      <c r="G343" t="s">
        <v>780</v>
      </c>
      <c r="H343" t="s">
        <v>822</v>
      </c>
      <c r="I343" t="s">
        <v>803</v>
      </c>
      <c r="J343" t="s">
        <v>803</v>
      </c>
      <c r="K343" t="s">
        <v>863</v>
      </c>
      <c r="L343" t="s">
        <v>805</v>
      </c>
      <c r="M343" t="s">
        <v>863</v>
      </c>
      <c r="N343" t="s">
        <v>805</v>
      </c>
      <c r="O343" t="s">
        <v>846</v>
      </c>
      <c r="P343" t="s">
        <v>1779</v>
      </c>
      <c r="Q343" t="s">
        <v>1510</v>
      </c>
      <c r="R343" t="s">
        <v>1094</v>
      </c>
      <c r="S343" t="s">
        <v>2295</v>
      </c>
      <c r="T343" t="s">
        <v>1337</v>
      </c>
      <c r="U343" t="s">
        <v>1503</v>
      </c>
      <c r="V343" t="s">
        <v>1120</v>
      </c>
      <c r="W343" t="s">
        <v>1490</v>
      </c>
      <c r="X343" t="s">
        <v>904</v>
      </c>
      <c r="Y343" t="s">
        <v>2037</v>
      </c>
      <c r="Z343" t="s">
        <v>1934</v>
      </c>
      <c r="AA343" t="s">
        <v>2296</v>
      </c>
      <c r="AB343" t="s">
        <v>822</v>
      </c>
      <c r="AC343" t="s">
        <v>1113</v>
      </c>
      <c r="AD343" t="s">
        <v>939</v>
      </c>
    </row>
    <row r="344" spans="1:30">
      <c r="A344" t="s">
        <v>51</v>
      </c>
      <c r="B344" t="s">
        <v>139</v>
      </c>
      <c r="C344" t="s">
        <v>841</v>
      </c>
      <c r="D344" t="s">
        <v>925</v>
      </c>
      <c r="E344" t="s">
        <v>1243</v>
      </c>
      <c r="F344" t="s">
        <v>971</v>
      </c>
      <c r="G344" t="s">
        <v>825</v>
      </c>
      <c r="H344" t="s">
        <v>778</v>
      </c>
      <c r="I344" t="s">
        <v>803</v>
      </c>
      <c r="J344" t="s">
        <v>803</v>
      </c>
      <c r="K344" t="s">
        <v>846</v>
      </c>
      <c r="L344" t="s">
        <v>1232</v>
      </c>
      <c r="M344" t="s">
        <v>782</v>
      </c>
      <c r="N344" t="s">
        <v>796</v>
      </c>
      <c r="O344" t="s">
        <v>846</v>
      </c>
      <c r="P344" t="s">
        <v>1761</v>
      </c>
      <c r="Q344" t="s">
        <v>1377</v>
      </c>
      <c r="R344" t="s">
        <v>1199</v>
      </c>
      <c r="S344" t="s">
        <v>1118</v>
      </c>
      <c r="T344" t="s">
        <v>1337</v>
      </c>
      <c r="U344" t="s">
        <v>1062</v>
      </c>
      <c r="V344" t="s">
        <v>978</v>
      </c>
      <c r="W344" t="s">
        <v>1330</v>
      </c>
      <c r="X344" t="s">
        <v>919</v>
      </c>
      <c r="Y344" t="s">
        <v>1534</v>
      </c>
      <c r="Z344" t="s">
        <v>1761</v>
      </c>
      <c r="AA344" t="s">
        <v>1603</v>
      </c>
      <c r="AB344" t="s">
        <v>778</v>
      </c>
      <c r="AC344" t="s">
        <v>1250</v>
      </c>
      <c r="AD344" t="s">
        <v>939</v>
      </c>
    </row>
    <row r="345" spans="1:30">
      <c r="A345" t="s">
        <v>51</v>
      </c>
      <c r="B345" t="s">
        <v>2297</v>
      </c>
      <c r="C345" t="s">
        <v>772</v>
      </c>
      <c r="D345" t="s">
        <v>895</v>
      </c>
      <c r="E345" t="s">
        <v>1368</v>
      </c>
      <c r="F345" t="s">
        <v>823</v>
      </c>
      <c r="G345" t="s">
        <v>782</v>
      </c>
      <c r="H345" t="s">
        <v>803</v>
      </c>
      <c r="I345" t="s">
        <v>803</v>
      </c>
      <c r="J345" t="s">
        <v>803</v>
      </c>
      <c r="K345" t="s">
        <v>777</v>
      </c>
      <c r="L345" t="s">
        <v>782</v>
      </c>
      <c r="M345" t="s">
        <v>858</v>
      </c>
      <c r="N345" t="s">
        <v>825</v>
      </c>
      <c r="O345" t="s">
        <v>777</v>
      </c>
      <c r="P345" t="s">
        <v>1500</v>
      </c>
      <c r="Q345" t="s">
        <v>1521</v>
      </c>
      <c r="R345" t="s">
        <v>1500</v>
      </c>
      <c r="S345" t="s">
        <v>1558</v>
      </c>
      <c r="T345" t="s">
        <v>939</v>
      </c>
      <c r="U345" t="s">
        <v>1545</v>
      </c>
      <c r="V345" t="s">
        <v>948</v>
      </c>
      <c r="W345" t="s">
        <v>1002</v>
      </c>
      <c r="X345" t="s">
        <v>835</v>
      </c>
      <c r="Y345" t="s">
        <v>1008</v>
      </c>
      <c r="Z345" t="s">
        <v>2141</v>
      </c>
      <c r="AA345" t="s">
        <v>1716</v>
      </c>
      <c r="AB345" t="s">
        <v>803</v>
      </c>
      <c r="AC345" t="s">
        <v>880</v>
      </c>
      <c r="AD345" t="s">
        <v>939</v>
      </c>
    </row>
    <row r="346" spans="1:30">
      <c r="A346" t="s">
        <v>51</v>
      </c>
      <c r="B346" t="s">
        <v>193</v>
      </c>
      <c r="C346" t="s">
        <v>536</v>
      </c>
      <c r="D346" t="s">
        <v>775</v>
      </c>
      <c r="E346" t="s">
        <v>911</v>
      </c>
      <c r="F346" t="s">
        <v>823</v>
      </c>
      <c r="G346" t="s">
        <v>796</v>
      </c>
      <c r="H346" t="s">
        <v>845</v>
      </c>
      <c r="I346" t="s">
        <v>778</v>
      </c>
      <c r="J346" t="s">
        <v>846</v>
      </c>
      <c r="K346" t="s">
        <v>796</v>
      </c>
      <c r="L346" t="s">
        <v>864</v>
      </c>
      <c r="M346" t="s">
        <v>802</v>
      </c>
      <c r="N346" t="s">
        <v>1232</v>
      </c>
      <c r="O346" t="s">
        <v>803</v>
      </c>
      <c r="P346" t="s">
        <v>1670</v>
      </c>
      <c r="Q346" t="s">
        <v>1714</v>
      </c>
      <c r="R346" t="s">
        <v>2064</v>
      </c>
      <c r="S346" t="s">
        <v>2298</v>
      </c>
      <c r="T346" t="s">
        <v>1337</v>
      </c>
      <c r="U346" t="s">
        <v>1833</v>
      </c>
      <c r="V346" t="s">
        <v>1372</v>
      </c>
      <c r="W346" t="s">
        <v>1710</v>
      </c>
      <c r="X346" t="s">
        <v>2024</v>
      </c>
      <c r="Y346" t="s">
        <v>1353</v>
      </c>
      <c r="Z346" t="s">
        <v>1938</v>
      </c>
      <c r="AA346" t="s">
        <v>1654</v>
      </c>
      <c r="AB346" t="s">
        <v>863</v>
      </c>
      <c r="AC346" t="s">
        <v>861</v>
      </c>
      <c r="AD346" t="s">
        <v>1410</v>
      </c>
    </row>
    <row r="347" spans="1:30">
      <c r="A347" t="s">
        <v>51</v>
      </c>
      <c r="B347" t="s">
        <v>2299</v>
      </c>
      <c r="C347" t="s">
        <v>799</v>
      </c>
      <c r="D347" t="s">
        <v>825</v>
      </c>
      <c r="E347" t="s">
        <v>955</v>
      </c>
      <c r="F347" t="s">
        <v>823</v>
      </c>
      <c r="G347" t="s">
        <v>1232</v>
      </c>
      <c r="H347" t="s">
        <v>845</v>
      </c>
      <c r="I347" t="s">
        <v>778</v>
      </c>
      <c r="J347" t="s">
        <v>778</v>
      </c>
      <c r="K347" t="s">
        <v>823</v>
      </c>
      <c r="L347" t="s">
        <v>895</v>
      </c>
      <c r="M347" t="s">
        <v>846</v>
      </c>
      <c r="N347" t="s">
        <v>796</v>
      </c>
      <c r="O347" t="s">
        <v>822</v>
      </c>
      <c r="P347" t="s">
        <v>1185</v>
      </c>
      <c r="Q347" t="s">
        <v>1788</v>
      </c>
      <c r="R347" t="s">
        <v>1533</v>
      </c>
      <c r="S347" t="s">
        <v>2300</v>
      </c>
      <c r="T347" t="s">
        <v>869</v>
      </c>
      <c r="U347" t="s">
        <v>2104</v>
      </c>
      <c r="V347" t="s">
        <v>1062</v>
      </c>
      <c r="W347" t="s">
        <v>963</v>
      </c>
      <c r="X347" t="s">
        <v>1266</v>
      </c>
      <c r="Y347" t="s">
        <v>2301</v>
      </c>
      <c r="Z347" t="s">
        <v>965</v>
      </c>
      <c r="AA347" t="s">
        <v>2048</v>
      </c>
      <c r="AB347" t="s">
        <v>777</v>
      </c>
      <c r="AC347" t="s">
        <v>968</v>
      </c>
      <c r="AD347" t="s">
        <v>2302</v>
      </c>
    </row>
    <row r="348" spans="1:30">
      <c r="A348" t="s">
        <v>51</v>
      </c>
      <c r="B348" t="s">
        <v>2303</v>
      </c>
      <c r="C348" t="s">
        <v>1079</v>
      </c>
      <c r="D348" t="s">
        <v>825</v>
      </c>
      <c r="E348" t="s">
        <v>1198</v>
      </c>
      <c r="F348" t="s">
        <v>777</v>
      </c>
      <c r="G348" t="s">
        <v>846</v>
      </c>
      <c r="H348" t="s">
        <v>822</v>
      </c>
      <c r="I348" t="s">
        <v>803</v>
      </c>
      <c r="J348" t="s">
        <v>803</v>
      </c>
      <c r="K348" t="s">
        <v>846</v>
      </c>
      <c r="L348" t="s">
        <v>863</v>
      </c>
      <c r="M348" t="s">
        <v>846</v>
      </c>
      <c r="N348" t="s">
        <v>971</v>
      </c>
      <c r="O348" t="s">
        <v>778</v>
      </c>
      <c r="P348" t="s">
        <v>1465</v>
      </c>
      <c r="Q348" t="s">
        <v>1199</v>
      </c>
      <c r="R348" t="s">
        <v>1053</v>
      </c>
      <c r="S348" t="s">
        <v>848</v>
      </c>
      <c r="T348" t="s">
        <v>1020</v>
      </c>
      <c r="U348" t="s">
        <v>1072</v>
      </c>
      <c r="V348" t="s">
        <v>1035</v>
      </c>
      <c r="W348" t="s">
        <v>1010</v>
      </c>
      <c r="X348" t="s">
        <v>1970</v>
      </c>
      <c r="Y348" t="s">
        <v>1108</v>
      </c>
      <c r="Z348" t="s">
        <v>1670</v>
      </c>
      <c r="AA348" t="s">
        <v>795</v>
      </c>
      <c r="AB348" t="s">
        <v>822</v>
      </c>
      <c r="AC348" t="s">
        <v>1147</v>
      </c>
      <c r="AD348" t="s">
        <v>939</v>
      </c>
    </row>
    <row r="349" spans="1:30">
      <c r="A349" t="s">
        <v>51</v>
      </c>
      <c r="B349" t="s">
        <v>2304</v>
      </c>
      <c r="C349" t="s">
        <v>879</v>
      </c>
      <c r="D349" t="s">
        <v>779</v>
      </c>
      <c r="E349" t="s">
        <v>926</v>
      </c>
      <c r="F349" t="s">
        <v>778</v>
      </c>
      <c r="G349" t="s">
        <v>777</v>
      </c>
      <c r="H349" t="s">
        <v>803</v>
      </c>
      <c r="I349" t="s">
        <v>803</v>
      </c>
      <c r="J349" t="s">
        <v>803</v>
      </c>
      <c r="K349" t="s">
        <v>803</v>
      </c>
      <c r="L349" t="s">
        <v>777</v>
      </c>
      <c r="M349" t="s">
        <v>778</v>
      </c>
      <c r="N349" t="s">
        <v>858</v>
      </c>
      <c r="O349" t="s">
        <v>803</v>
      </c>
      <c r="P349" t="s">
        <v>942</v>
      </c>
      <c r="Q349" t="s">
        <v>928</v>
      </c>
      <c r="R349" t="s">
        <v>942</v>
      </c>
      <c r="S349" t="s">
        <v>1393</v>
      </c>
      <c r="T349" t="s">
        <v>885</v>
      </c>
      <c r="U349" t="s">
        <v>869</v>
      </c>
      <c r="V349" t="s">
        <v>788</v>
      </c>
      <c r="W349" t="s">
        <v>2021</v>
      </c>
      <c r="X349" t="s">
        <v>1447</v>
      </c>
      <c r="Y349" t="s">
        <v>1008</v>
      </c>
      <c r="Z349" t="s">
        <v>1023</v>
      </c>
      <c r="AA349" t="s">
        <v>2053</v>
      </c>
      <c r="AB349" t="s">
        <v>803</v>
      </c>
      <c r="AC349" t="s">
        <v>805</v>
      </c>
      <c r="AD349" t="s">
        <v>939</v>
      </c>
    </row>
    <row r="350" spans="1:30">
      <c r="A350" t="s">
        <v>51</v>
      </c>
      <c r="B350" t="s">
        <v>2305</v>
      </c>
      <c r="C350" t="s">
        <v>879</v>
      </c>
      <c r="D350" t="s">
        <v>858</v>
      </c>
      <c r="E350" t="s">
        <v>825</v>
      </c>
      <c r="F350" t="s">
        <v>803</v>
      </c>
      <c r="G350" t="s">
        <v>845</v>
      </c>
      <c r="H350" t="s">
        <v>803</v>
      </c>
      <c r="I350" t="s">
        <v>803</v>
      </c>
      <c r="J350" t="s">
        <v>803</v>
      </c>
      <c r="K350" t="s">
        <v>778</v>
      </c>
      <c r="L350" t="s">
        <v>845</v>
      </c>
      <c r="M350" t="s">
        <v>803</v>
      </c>
      <c r="N350" t="s">
        <v>846</v>
      </c>
      <c r="O350" t="s">
        <v>778</v>
      </c>
      <c r="P350" t="s">
        <v>1592</v>
      </c>
      <c r="Q350" t="s">
        <v>1592</v>
      </c>
      <c r="R350" t="s">
        <v>1592</v>
      </c>
      <c r="S350" t="s">
        <v>1536</v>
      </c>
      <c r="T350" t="s">
        <v>1119</v>
      </c>
      <c r="U350" t="s">
        <v>1119</v>
      </c>
      <c r="V350" t="s">
        <v>1767</v>
      </c>
      <c r="W350" t="s">
        <v>1008</v>
      </c>
      <c r="X350" t="s">
        <v>1009</v>
      </c>
      <c r="Y350" t="s">
        <v>1008</v>
      </c>
      <c r="Z350" t="s">
        <v>1008</v>
      </c>
      <c r="AA350" t="s">
        <v>1569</v>
      </c>
      <c r="AB350" t="s">
        <v>803</v>
      </c>
      <c r="AC350" t="s">
        <v>1232</v>
      </c>
      <c r="AD350" t="s">
        <v>939</v>
      </c>
    </row>
    <row r="351" spans="1:30">
      <c r="A351" t="s">
        <v>51</v>
      </c>
      <c r="B351" t="s">
        <v>2306</v>
      </c>
      <c r="C351" t="s">
        <v>1068</v>
      </c>
      <c r="D351" t="s">
        <v>845</v>
      </c>
      <c r="E351" t="s">
        <v>863</v>
      </c>
      <c r="F351" t="s">
        <v>778</v>
      </c>
      <c r="G351" t="s">
        <v>845</v>
      </c>
      <c r="H351" t="s">
        <v>778</v>
      </c>
      <c r="I351" t="s">
        <v>803</v>
      </c>
      <c r="J351" t="s">
        <v>803</v>
      </c>
      <c r="K351" t="s">
        <v>803</v>
      </c>
      <c r="L351" t="s">
        <v>822</v>
      </c>
      <c r="M351" t="s">
        <v>803</v>
      </c>
      <c r="N351" t="s">
        <v>822</v>
      </c>
      <c r="O351" t="s">
        <v>803</v>
      </c>
      <c r="P351" t="s">
        <v>1199</v>
      </c>
      <c r="Q351" t="s">
        <v>1199</v>
      </c>
      <c r="R351" t="s">
        <v>1788</v>
      </c>
      <c r="S351" t="s">
        <v>2307</v>
      </c>
      <c r="T351" t="s">
        <v>939</v>
      </c>
      <c r="U351" t="s">
        <v>932</v>
      </c>
      <c r="V351" t="s">
        <v>833</v>
      </c>
      <c r="W351" t="s">
        <v>1008</v>
      </c>
      <c r="X351" t="s">
        <v>1009</v>
      </c>
      <c r="Y351" t="s">
        <v>1546</v>
      </c>
      <c r="Z351" t="s">
        <v>1546</v>
      </c>
      <c r="AA351" t="s">
        <v>1125</v>
      </c>
      <c r="AB351" t="s">
        <v>778</v>
      </c>
      <c r="AC351" t="s">
        <v>863</v>
      </c>
      <c r="AD351" t="s">
        <v>939</v>
      </c>
    </row>
    <row r="352" spans="1:30">
      <c r="A352" t="s">
        <v>51</v>
      </c>
      <c r="B352" t="s">
        <v>2308</v>
      </c>
      <c r="C352" t="s">
        <v>819</v>
      </c>
      <c r="D352" t="s">
        <v>778</v>
      </c>
      <c r="E352" t="s">
        <v>777</v>
      </c>
      <c r="F352" t="s">
        <v>803</v>
      </c>
      <c r="G352" t="s">
        <v>778</v>
      </c>
      <c r="H352" t="s">
        <v>803</v>
      </c>
      <c r="I352" t="s">
        <v>803</v>
      </c>
      <c r="J352" t="s">
        <v>803</v>
      </c>
      <c r="K352" t="s">
        <v>778</v>
      </c>
      <c r="L352" t="s">
        <v>778</v>
      </c>
      <c r="M352" t="s">
        <v>803</v>
      </c>
      <c r="N352" t="s">
        <v>803</v>
      </c>
      <c r="O352" t="s">
        <v>803</v>
      </c>
      <c r="P352" t="s">
        <v>1199</v>
      </c>
      <c r="Q352" t="s">
        <v>1199</v>
      </c>
      <c r="R352" t="s">
        <v>1199</v>
      </c>
      <c r="S352" t="s">
        <v>1312</v>
      </c>
      <c r="T352" t="s">
        <v>939</v>
      </c>
      <c r="U352" t="s">
        <v>831</v>
      </c>
      <c r="V352" t="s">
        <v>1273</v>
      </c>
      <c r="W352" t="s">
        <v>1008</v>
      </c>
      <c r="X352" t="s">
        <v>1009</v>
      </c>
      <c r="Y352" t="s">
        <v>1008</v>
      </c>
      <c r="Z352" t="s">
        <v>1008</v>
      </c>
      <c r="AA352" t="s">
        <v>1750</v>
      </c>
      <c r="AB352" t="s">
        <v>803</v>
      </c>
      <c r="AC352" t="s">
        <v>777</v>
      </c>
      <c r="AD352" t="s">
        <v>939</v>
      </c>
    </row>
    <row r="353" spans="1:30">
      <c r="A353" t="s">
        <v>51</v>
      </c>
      <c r="B353" t="s">
        <v>2309</v>
      </c>
      <c r="C353" t="s">
        <v>536</v>
      </c>
      <c r="D353" t="s">
        <v>778</v>
      </c>
      <c r="E353" t="s">
        <v>778</v>
      </c>
      <c r="F353" t="s">
        <v>803</v>
      </c>
      <c r="G353" t="s">
        <v>803</v>
      </c>
      <c r="H353" t="s">
        <v>803</v>
      </c>
      <c r="I353" t="s">
        <v>803</v>
      </c>
      <c r="J353" t="s">
        <v>803</v>
      </c>
      <c r="K353" t="s">
        <v>803</v>
      </c>
      <c r="L353" t="s">
        <v>803</v>
      </c>
      <c r="M353" t="s">
        <v>778</v>
      </c>
      <c r="N353" t="s">
        <v>803</v>
      </c>
      <c r="O353" t="s">
        <v>803</v>
      </c>
      <c r="P353" t="s">
        <v>1008</v>
      </c>
      <c r="Q353" t="s">
        <v>1312</v>
      </c>
      <c r="R353" t="s">
        <v>1008</v>
      </c>
      <c r="S353" t="s">
        <v>1312</v>
      </c>
      <c r="T353" t="s">
        <v>939</v>
      </c>
      <c r="U353" t="s">
        <v>831</v>
      </c>
      <c r="V353" t="s">
        <v>1476</v>
      </c>
      <c r="W353" t="s">
        <v>1312</v>
      </c>
      <c r="X353" t="s">
        <v>1009</v>
      </c>
      <c r="Y353" t="s">
        <v>1008</v>
      </c>
      <c r="Z353" t="s">
        <v>1494</v>
      </c>
      <c r="AA353" t="s">
        <v>1218</v>
      </c>
      <c r="AB353" t="s">
        <v>803</v>
      </c>
      <c r="AC353" t="s">
        <v>845</v>
      </c>
      <c r="AD353" t="s">
        <v>939</v>
      </c>
    </row>
    <row r="354" spans="1:30">
      <c r="A354" t="s">
        <v>61</v>
      </c>
      <c r="B354" t="s">
        <v>349</v>
      </c>
      <c r="C354" t="s">
        <v>1079</v>
      </c>
      <c r="D354" t="s">
        <v>1015</v>
      </c>
      <c r="E354" t="s">
        <v>1390</v>
      </c>
      <c r="F354" t="s">
        <v>775</v>
      </c>
      <c r="G354" t="s">
        <v>1208</v>
      </c>
      <c r="H354" t="s">
        <v>846</v>
      </c>
      <c r="I354" t="s">
        <v>803</v>
      </c>
      <c r="J354" t="s">
        <v>863</v>
      </c>
      <c r="K354" t="s">
        <v>844</v>
      </c>
      <c r="L354" t="s">
        <v>781</v>
      </c>
      <c r="M354" t="s">
        <v>779</v>
      </c>
      <c r="N354" t="s">
        <v>1449</v>
      </c>
      <c r="O354" t="s">
        <v>823</v>
      </c>
      <c r="P354" t="s">
        <v>1290</v>
      </c>
      <c r="Q354" t="s">
        <v>1480</v>
      </c>
      <c r="R354" t="s">
        <v>1988</v>
      </c>
      <c r="S354" t="s">
        <v>1539</v>
      </c>
      <c r="T354" t="s">
        <v>1096</v>
      </c>
      <c r="U354" t="s">
        <v>2310</v>
      </c>
      <c r="V354" t="s">
        <v>1440</v>
      </c>
      <c r="W354" t="s">
        <v>1697</v>
      </c>
      <c r="X354" t="s">
        <v>1216</v>
      </c>
      <c r="Y354" t="s">
        <v>1290</v>
      </c>
      <c r="Z354" t="s">
        <v>1589</v>
      </c>
      <c r="AA354" t="s">
        <v>1528</v>
      </c>
      <c r="AB354" t="s">
        <v>802</v>
      </c>
      <c r="AC354" t="s">
        <v>1298</v>
      </c>
      <c r="AD354" t="s">
        <v>1524</v>
      </c>
    </row>
    <row r="355" spans="1:30">
      <c r="A355" t="s">
        <v>61</v>
      </c>
      <c r="B355" t="s">
        <v>60</v>
      </c>
      <c r="C355" t="s">
        <v>879</v>
      </c>
      <c r="D355" t="s">
        <v>773</v>
      </c>
      <c r="E355" t="s">
        <v>1496</v>
      </c>
      <c r="F355" t="s">
        <v>780</v>
      </c>
      <c r="G355" t="s">
        <v>844</v>
      </c>
      <c r="H355" t="s">
        <v>845</v>
      </c>
      <c r="I355" t="s">
        <v>778</v>
      </c>
      <c r="J355" t="s">
        <v>822</v>
      </c>
      <c r="K355" t="s">
        <v>862</v>
      </c>
      <c r="L355" t="s">
        <v>972</v>
      </c>
      <c r="M355" t="s">
        <v>925</v>
      </c>
      <c r="N355" t="s">
        <v>801</v>
      </c>
      <c r="O355" t="s">
        <v>778</v>
      </c>
      <c r="P355" t="s">
        <v>1550</v>
      </c>
      <c r="Q355" t="s">
        <v>2311</v>
      </c>
      <c r="R355" t="s">
        <v>1048</v>
      </c>
      <c r="S355" t="s">
        <v>2312</v>
      </c>
      <c r="T355" t="s">
        <v>788</v>
      </c>
      <c r="U355" t="s">
        <v>2012</v>
      </c>
      <c r="V355" t="s">
        <v>1134</v>
      </c>
      <c r="W355" t="s">
        <v>1252</v>
      </c>
      <c r="X355" t="s">
        <v>1617</v>
      </c>
      <c r="Y355" t="s">
        <v>2313</v>
      </c>
      <c r="Z355" t="s">
        <v>1613</v>
      </c>
      <c r="AA355" t="s">
        <v>1284</v>
      </c>
      <c r="AB355" t="s">
        <v>821</v>
      </c>
      <c r="AC355" t="s">
        <v>2054</v>
      </c>
      <c r="AD355" t="s">
        <v>2314</v>
      </c>
    </row>
    <row r="356" spans="1:30">
      <c r="A356" t="s">
        <v>61</v>
      </c>
      <c r="B356" t="s">
        <v>77</v>
      </c>
      <c r="C356" t="s">
        <v>841</v>
      </c>
      <c r="D356" t="s">
        <v>895</v>
      </c>
      <c r="E356" t="s">
        <v>859</v>
      </c>
      <c r="F356" t="s">
        <v>796</v>
      </c>
      <c r="G356" t="s">
        <v>895</v>
      </c>
      <c r="H356" t="s">
        <v>846</v>
      </c>
      <c r="I356" t="s">
        <v>803</v>
      </c>
      <c r="J356" t="s">
        <v>858</v>
      </c>
      <c r="K356" t="s">
        <v>775</v>
      </c>
      <c r="L356" t="s">
        <v>1391</v>
      </c>
      <c r="M356" t="s">
        <v>971</v>
      </c>
      <c r="N356" t="s">
        <v>842</v>
      </c>
      <c r="O356" t="s">
        <v>803</v>
      </c>
      <c r="P356" t="s">
        <v>2066</v>
      </c>
      <c r="Q356" t="s">
        <v>1399</v>
      </c>
      <c r="R356" t="s">
        <v>2315</v>
      </c>
      <c r="S356" t="s">
        <v>2316</v>
      </c>
      <c r="T356" t="s">
        <v>1051</v>
      </c>
      <c r="U356" t="s">
        <v>789</v>
      </c>
      <c r="V356" t="s">
        <v>1538</v>
      </c>
      <c r="W356" t="s">
        <v>1180</v>
      </c>
      <c r="X356" t="s">
        <v>1109</v>
      </c>
      <c r="Y356" t="s">
        <v>785</v>
      </c>
      <c r="Z356" t="s">
        <v>2110</v>
      </c>
      <c r="AA356" t="s">
        <v>1769</v>
      </c>
      <c r="AB356" t="s">
        <v>971</v>
      </c>
      <c r="AC356" t="s">
        <v>1300</v>
      </c>
      <c r="AD356" t="s">
        <v>2288</v>
      </c>
    </row>
    <row r="357" spans="1:30">
      <c r="A357" t="s">
        <v>61</v>
      </c>
      <c r="B357" t="s">
        <v>382</v>
      </c>
      <c r="C357" t="s">
        <v>819</v>
      </c>
      <c r="D357" t="s">
        <v>842</v>
      </c>
      <c r="E357" t="s">
        <v>1908</v>
      </c>
      <c r="F357" t="s">
        <v>796</v>
      </c>
      <c r="G357" t="s">
        <v>1208</v>
      </c>
      <c r="H357" t="s">
        <v>777</v>
      </c>
      <c r="I357" t="s">
        <v>803</v>
      </c>
      <c r="J357" t="s">
        <v>777</v>
      </c>
      <c r="K357" t="s">
        <v>1232</v>
      </c>
      <c r="L357" t="s">
        <v>1147</v>
      </c>
      <c r="M357" t="s">
        <v>802</v>
      </c>
      <c r="N357" t="s">
        <v>775</v>
      </c>
      <c r="O357" t="s">
        <v>778</v>
      </c>
      <c r="P357" t="s">
        <v>1408</v>
      </c>
      <c r="Q357" t="s">
        <v>2182</v>
      </c>
      <c r="R357" t="s">
        <v>1804</v>
      </c>
      <c r="S357" t="s">
        <v>2317</v>
      </c>
      <c r="T357" t="s">
        <v>1096</v>
      </c>
      <c r="U357" t="s">
        <v>969</v>
      </c>
      <c r="V357" t="s">
        <v>1720</v>
      </c>
      <c r="W357" t="s">
        <v>1764</v>
      </c>
      <c r="X357" t="s">
        <v>1326</v>
      </c>
      <c r="Y357" t="s">
        <v>905</v>
      </c>
      <c r="Z357" t="s">
        <v>1131</v>
      </c>
      <c r="AA357" t="s">
        <v>892</v>
      </c>
      <c r="AB357" t="s">
        <v>863</v>
      </c>
      <c r="AC357" t="s">
        <v>800</v>
      </c>
      <c r="AD357" t="s">
        <v>909</v>
      </c>
    </row>
    <row r="358" spans="1:30">
      <c r="A358" t="s">
        <v>61</v>
      </c>
      <c r="B358" t="s">
        <v>2318</v>
      </c>
      <c r="C358" t="s">
        <v>841</v>
      </c>
      <c r="D358" t="s">
        <v>776</v>
      </c>
      <c r="E358" t="s">
        <v>843</v>
      </c>
      <c r="F358" t="s">
        <v>782</v>
      </c>
      <c r="G358" t="s">
        <v>1015</v>
      </c>
      <c r="H358" t="s">
        <v>777</v>
      </c>
      <c r="I358" t="s">
        <v>803</v>
      </c>
      <c r="J358" t="s">
        <v>803</v>
      </c>
      <c r="K358" t="s">
        <v>802</v>
      </c>
      <c r="L358" t="s">
        <v>1030</v>
      </c>
      <c r="M358" t="s">
        <v>846</v>
      </c>
      <c r="N358" t="s">
        <v>780</v>
      </c>
      <c r="O358" t="s">
        <v>845</v>
      </c>
      <c r="P358" t="s">
        <v>1156</v>
      </c>
      <c r="Q358" t="s">
        <v>1510</v>
      </c>
      <c r="R358" t="s">
        <v>1618</v>
      </c>
      <c r="S358" t="s">
        <v>2169</v>
      </c>
      <c r="T358" t="s">
        <v>932</v>
      </c>
      <c r="U358" t="s">
        <v>2087</v>
      </c>
      <c r="V358" t="s">
        <v>1345</v>
      </c>
      <c r="W358" t="s">
        <v>1489</v>
      </c>
      <c r="X358" t="s">
        <v>1064</v>
      </c>
      <c r="Y358" t="s">
        <v>2037</v>
      </c>
      <c r="Z358" t="s">
        <v>1768</v>
      </c>
      <c r="AA358" t="s">
        <v>1205</v>
      </c>
      <c r="AB358" t="s">
        <v>777</v>
      </c>
      <c r="AC358" t="s">
        <v>1045</v>
      </c>
      <c r="AD358" t="s">
        <v>939</v>
      </c>
    </row>
    <row r="359" spans="1:30">
      <c r="A359" t="s">
        <v>61</v>
      </c>
      <c r="B359" t="s">
        <v>314</v>
      </c>
      <c r="C359" t="s">
        <v>1207</v>
      </c>
      <c r="D359" t="s">
        <v>895</v>
      </c>
      <c r="E359" t="s">
        <v>843</v>
      </c>
      <c r="F359" t="s">
        <v>821</v>
      </c>
      <c r="G359" t="s">
        <v>825</v>
      </c>
      <c r="H359" t="s">
        <v>845</v>
      </c>
      <c r="I359" t="s">
        <v>803</v>
      </c>
      <c r="J359" t="s">
        <v>845</v>
      </c>
      <c r="K359" t="s">
        <v>863</v>
      </c>
      <c r="L359" t="s">
        <v>895</v>
      </c>
      <c r="M359" t="s">
        <v>858</v>
      </c>
      <c r="N359" t="s">
        <v>842</v>
      </c>
      <c r="O359" t="s">
        <v>803</v>
      </c>
      <c r="P359" t="s">
        <v>1069</v>
      </c>
      <c r="Q359" t="s">
        <v>1670</v>
      </c>
      <c r="R359" t="s">
        <v>1258</v>
      </c>
      <c r="S359" t="s">
        <v>2319</v>
      </c>
      <c r="T359" t="s">
        <v>1877</v>
      </c>
      <c r="U359" t="s">
        <v>1214</v>
      </c>
      <c r="V359" t="s">
        <v>1559</v>
      </c>
      <c r="W359" t="s">
        <v>2027</v>
      </c>
      <c r="X359" t="s">
        <v>792</v>
      </c>
      <c r="Y359" t="s">
        <v>888</v>
      </c>
      <c r="Z359" t="s">
        <v>1069</v>
      </c>
      <c r="AA359" t="s">
        <v>2032</v>
      </c>
      <c r="AB359" t="s">
        <v>777</v>
      </c>
      <c r="AC359" t="s">
        <v>1091</v>
      </c>
      <c r="AD359" t="s">
        <v>2320</v>
      </c>
    </row>
    <row r="360" spans="1:30">
      <c r="A360" t="s">
        <v>61</v>
      </c>
      <c r="B360" t="s">
        <v>258</v>
      </c>
      <c r="C360" t="s">
        <v>772</v>
      </c>
      <c r="D360" t="s">
        <v>925</v>
      </c>
      <c r="E360" t="s">
        <v>1113</v>
      </c>
      <c r="F360" t="s">
        <v>863</v>
      </c>
      <c r="G360" t="s">
        <v>862</v>
      </c>
      <c r="H360" t="s">
        <v>845</v>
      </c>
      <c r="I360" t="s">
        <v>778</v>
      </c>
      <c r="J360" t="s">
        <v>778</v>
      </c>
      <c r="K360" t="s">
        <v>971</v>
      </c>
      <c r="L360" t="s">
        <v>844</v>
      </c>
      <c r="M360" t="s">
        <v>846</v>
      </c>
      <c r="N360" t="s">
        <v>842</v>
      </c>
      <c r="O360" t="s">
        <v>821</v>
      </c>
      <c r="P360" t="s">
        <v>1104</v>
      </c>
      <c r="Q360" t="s">
        <v>986</v>
      </c>
      <c r="R360" t="s">
        <v>1460</v>
      </c>
      <c r="S360" t="s">
        <v>2246</v>
      </c>
      <c r="T360" t="s">
        <v>1337</v>
      </c>
      <c r="U360" t="s">
        <v>886</v>
      </c>
      <c r="V360" t="s">
        <v>978</v>
      </c>
      <c r="W360" t="s">
        <v>2321</v>
      </c>
      <c r="X360" t="s">
        <v>2322</v>
      </c>
      <c r="Y360" t="s">
        <v>1316</v>
      </c>
      <c r="Z360" t="s">
        <v>1670</v>
      </c>
      <c r="AA360" t="s">
        <v>1367</v>
      </c>
      <c r="AB360" t="s">
        <v>777</v>
      </c>
      <c r="AC360" t="s">
        <v>1661</v>
      </c>
      <c r="AD360" t="s">
        <v>2323</v>
      </c>
    </row>
    <row r="361" spans="1:30">
      <c r="A361" t="s">
        <v>61</v>
      </c>
      <c r="B361" t="s">
        <v>389</v>
      </c>
      <c r="C361" t="s">
        <v>819</v>
      </c>
      <c r="D361" t="s">
        <v>776</v>
      </c>
      <c r="E361" t="s">
        <v>880</v>
      </c>
      <c r="F361" t="s">
        <v>823</v>
      </c>
      <c r="G361" t="s">
        <v>780</v>
      </c>
      <c r="H361" t="s">
        <v>845</v>
      </c>
      <c r="I361" t="s">
        <v>803</v>
      </c>
      <c r="J361" t="s">
        <v>845</v>
      </c>
      <c r="K361" t="s">
        <v>863</v>
      </c>
      <c r="L361" t="s">
        <v>842</v>
      </c>
      <c r="M361" t="s">
        <v>802</v>
      </c>
      <c r="N361" t="s">
        <v>796</v>
      </c>
      <c r="O361" t="s">
        <v>803</v>
      </c>
      <c r="P361" t="s">
        <v>1161</v>
      </c>
      <c r="Q361" t="s">
        <v>2096</v>
      </c>
      <c r="R361" t="s">
        <v>883</v>
      </c>
      <c r="S361" t="s">
        <v>1344</v>
      </c>
      <c r="T361" t="s">
        <v>1096</v>
      </c>
      <c r="U361" t="s">
        <v>1086</v>
      </c>
      <c r="V361" t="s">
        <v>1120</v>
      </c>
      <c r="W361" t="s">
        <v>1307</v>
      </c>
      <c r="X361" t="s">
        <v>1781</v>
      </c>
      <c r="Y361" t="s">
        <v>1632</v>
      </c>
      <c r="Z361" t="s">
        <v>995</v>
      </c>
      <c r="AA361" t="s">
        <v>1716</v>
      </c>
      <c r="AB361" t="s">
        <v>777</v>
      </c>
      <c r="AC361" t="s">
        <v>1220</v>
      </c>
      <c r="AD361" t="s">
        <v>894</v>
      </c>
    </row>
    <row r="362" spans="1:30">
      <c r="A362" t="s">
        <v>61</v>
      </c>
      <c r="B362" t="s">
        <v>344</v>
      </c>
      <c r="C362" t="s">
        <v>841</v>
      </c>
      <c r="D362" t="s">
        <v>926</v>
      </c>
      <c r="E362" t="s">
        <v>1243</v>
      </c>
      <c r="F362" t="s">
        <v>821</v>
      </c>
      <c r="G362" t="s">
        <v>796</v>
      </c>
      <c r="H362" t="s">
        <v>822</v>
      </c>
      <c r="I362" t="s">
        <v>803</v>
      </c>
      <c r="J362" t="s">
        <v>778</v>
      </c>
      <c r="K362" t="s">
        <v>777</v>
      </c>
      <c r="L362" t="s">
        <v>926</v>
      </c>
      <c r="M362" t="s">
        <v>858</v>
      </c>
      <c r="N362" t="s">
        <v>796</v>
      </c>
      <c r="O362" t="s">
        <v>803</v>
      </c>
      <c r="P362" t="s">
        <v>874</v>
      </c>
      <c r="Q362" t="s">
        <v>1140</v>
      </c>
      <c r="R362" t="s">
        <v>1094</v>
      </c>
      <c r="S362" t="s">
        <v>1738</v>
      </c>
      <c r="T362" t="s">
        <v>885</v>
      </c>
      <c r="U362" t="s">
        <v>1476</v>
      </c>
      <c r="V362" t="s">
        <v>1121</v>
      </c>
      <c r="W362" t="s">
        <v>949</v>
      </c>
      <c r="X362" t="s">
        <v>991</v>
      </c>
      <c r="Y362" t="s">
        <v>2179</v>
      </c>
      <c r="Z362" t="s">
        <v>2324</v>
      </c>
      <c r="AA362" t="s">
        <v>967</v>
      </c>
      <c r="AB362" t="s">
        <v>777</v>
      </c>
      <c r="AC362" t="s">
        <v>1351</v>
      </c>
      <c r="AD362" t="s">
        <v>2325</v>
      </c>
    </row>
    <row r="363" spans="1:30">
      <c r="A363" t="s">
        <v>61</v>
      </c>
      <c r="B363" t="s">
        <v>2326</v>
      </c>
      <c r="C363" t="s">
        <v>799</v>
      </c>
      <c r="D363" t="s">
        <v>925</v>
      </c>
      <c r="E363" t="s">
        <v>911</v>
      </c>
      <c r="F363" t="s">
        <v>782</v>
      </c>
      <c r="G363" t="s">
        <v>825</v>
      </c>
      <c r="H363" t="s">
        <v>845</v>
      </c>
      <c r="I363" t="s">
        <v>803</v>
      </c>
      <c r="J363" t="s">
        <v>803</v>
      </c>
      <c r="K363" t="s">
        <v>845</v>
      </c>
      <c r="L363" t="s">
        <v>862</v>
      </c>
      <c r="M363" t="s">
        <v>846</v>
      </c>
      <c r="N363" t="s">
        <v>796</v>
      </c>
      <c r="O363" t="s">
        <v>822</v>
      </c>
      <c r="P363" t="s">
        <v>1111</v>
      </c>
      <c r="Q363" t="s">
        <v>1094</v>
      </c>
      <c r="R363" t="s">
        <v>912</v>
      </c>
      <c r="S363" t="s">
        <v>2327</v>
      </c>
      <c r="T363" t="s">
        <v>869</v>
      </c>
      <c r="U363" t="s">
        <v>871</v>
      </c>
      <c r="V363" t="s">
        <v>1564</v>
      </c>
      <c r="W363" t="s">
        <v>1448</v>
      </c>
      <c r="X363" t="s">
        <v>1266</v>
      </c>
      <c r="Y363" t="s">
        <v>1281</v>
      </c>
      <c r="Z363" t="s">
        <v>1069</v>
      </c>
      <c r="AA363" t="s">
        <v>2166</v>
      </c>
      <c r="AB363" t="s">
        <v>845</v>
      </c>
      <c r="AC363" t="s">
        <v>938</v>
      </c>
      <c r="AD363" t="s">
        <v>939</v>
      </c>
    </row>
    <row r="364" spans="1:30">
      <c r="A364" t="s">
        <v>61</v>
      </c>
      <c r="B364" t="s">
        <v>2328</v>
      </c>
      <c r="C364" t="s">
        <v>536</v>
      </c>
      <c r="D364" t="s">
        <v>805</v>
      </c>
      <c r="E364" t="s">
        <v>968</v>
      </c>
      <c r="F364" t="s">
        <v>858</v>
      </c>
      <c r="G364" t="s">
        <v>779</v>
      </c>
      <c r="H364" t="s">
        <v>822</v>
      </c>
      <c r="I364" t="s">
        <v>803</v>
      </c>
      <c r="J364" t="s">
        <v>803</v>
      </c>
      <c r="K364" t="s">
        <v>822</v>
      </c>
      <c r="L364" t="s">
        <v>971</v>
      </c>
      <c r="M364" t="s">
        <v>821</v>
      </c>
      <c r="N364" t="s">
        <v>782</v>
      </c>
      <c r="O364" t="s">
        <v>778</v>
      </c>
      <c r="P364" t="s">
        <v>1089</v>
      </c>
      <c r="Q364" t="s">
        <v>1420</v>
      </c>
      <c r="R364" t="s">
        <v>1276</v>
      </c>
      <c r="S364" t="s">
        <v>2219</v>
      </c>
      <c r="T364" t="s">
        <v>885</v>
      </c>
      <c r="U364" t="s">
        <v>1564</v>
      </c>
      <c r="V364" t="s">
        <v>1022</v>
      </c>
      <c r="W364" t="s">
        <v>1316</v>
      </c>
      <c r="X364" t="s">
        <v>2194</v>
      </c>
      <c r="Y364" t="s">
        <v>2105</v>
      </c>
      <c r="Z364" t="s">
        <v>1283</v>
      </c>
      <c r="AA364" t="s">
        <v>2329</v>
      </c>
      <c r="AB364" t="s">
        <v>822</v>
      </c>
      <c r="AC364" t="s">
        <v>938</v>
      </c>
      <c r="AD364" t="s">
        <v>939</v>
      </c>
    </row>
    <row r="365" spans="1:30">
      <c r="A365" t="s">
        <v>61</v>
      </c>
      <c r="B365" t="s">
        <v>241</v>
      </c>
      <c r="C365" t="s">
        <v>536</v>
      </c>
      <c r="D365" t="s">
        <v>825</v>
      </c>
      <c r="E365" t="s">
        <v>1198</v>
      </c>
      <c r="F365" t="s">
        <v>777</v>
      </c>
      <c r="G365" t="s">
        <v>821</v>
      </c>
      <c r="H365" t="s">
        <v>778</v>
      </c>
      <c r="I365" t="s">
        <v>803</v>
      </c>
      <c r="J365" t="s">
        <v>778</v>
      </c>
      <c r="K365" t="s">
        <v>822</v>
      </c>
      <c r="L365" t="s">
        <v>823</v>
      </c>
      <c r="M365" t="s">
        <v>845</v>
      </c>
      <c r="N365" t="s">
        <v>862</v>
      </c>
      <c r="O365" t="s">
        <v>803</v>
      </c>
      <c r="P365" t="s">
        <v>1325</v>
      </c>
      <c r="Q365" t="s">
        <v>1276</v>
      </c>
      <c r="R365" t="s">
        <v>1262</v>
      </c>
      <c r="S365" t="s">
        <v>2287</v>
      </c>
      <c r="T365" t="s">
        <v>946</v>
      </c>
      <c r="U365" t="s">
        <v>1072</v>
      </c>
      <c r="V365" t="s">
        <v>1559</v>
      </c>
      <c r="W365" t="s">
        <v>2021</v>
      </c>
      <c r="X365" t="s">
        <v>1123</v>
      </c>
      <c r="Y365" t="s">
        <v>1490</v>
      </c>
      <c r="Z365" t="s">
        <v>1325</v>
      </c>
      <c r="AA365" t="s">
        <v>2097</v>
      </c>
      <c r="AB365" t="s">
        <v>845</v>
      </c>
      <c r="AC365" t="s">
        <v>983</v>
      </c>
      <c r="AD365" t="s">
        <v>1467</v>
      </c>
    </row>
    <row r="366" spans="1:30">
      <c r="A366" t="s">
        <v>61</v>
      </c>
      <c r="B366" t="s">
        <v>2330</v>
      </c>
      <c r="C366" t="s">
        <v>772</v>
      </c>
      <c r="D366" t="s">
        <v>821</v>
      </c>
      <c r="E366" t="s">
        <v>895</v>
      </c>
      <c r="F366" t="s">
        <v>845</v>
      </c>
      <c r="G366" t="s">
        <v>846</v>
      </c>
      <c r="H366" t="s">
        <v>778</v>
      </c>
      <c r="I366" t="s">
        <v>803</v>
      </c>
      <c r="J366" t="s">
        <v>803</v>
      </c>
      <c r="K366" t="s">
        <v>778</v>
      </c>
      <c r="L366" t="s">
        <v>821</v>
      </c>
      <c r="M366" t="s">
        <v>845</v>
      </c>
      <c r="N366" t="s">
        <v>846</v>
      </c>
      <c r="O366" t="s">
        <v>803</v>
      </c>
      <c r="P366" t="s">
        <v>1093</v>
      </c>
      <c r="Q366" t="s">
        <v>882</v>
      </c>
      <c r="R366" t="s">
        <v>1130</v>
      </c>
      <c r="S366" t="s">
        <v>2331</v>
      </c>
      <c r="T366" t="s">
        <v>901</v>
      </c>
      <c r="U366" t="s">
        <v>810</v>
      </c>
      <c r="V366" t="s">
        <v>1022</v>
      </c>
      <c r="W366" t="s">
        <v>1448</v>
      </c>
      <c r="X366" t="s">
        <v>1001</v>
      </c>
      <c r="Y366" t="s">
        <v>1387</v>
      </c>
      <c r="Z366" t="s">
        <v>1384</v>
      </c>
      <c r="AA366" t="s">
        <v>907</v>
      </c>
      <c r="AB366" t="s">
        <v>778</v>
      </c>
      <c r="AC366" t="s">
        <v>842</v>
      </c>
      <c r="AD366" t="s">
        <v>939</v>
      </c>
    </row>
    <row r="367" spans="1:30">
      <c r="A367" t="s">
        <v>61</v>
      </c>
      <c r="B367" t="s">
        <v>2332</v>
      </c>
      <c r="C367" t="s">
        <v>910</v>
      </c>
      <c r="D367" t="s">
        <v>862</v>
      </c>
      <c r="E367" t="s">
        <v>782</v>
      </c>
      <c r="F367" t="s">
        <v>846</v>
      </c>
      <c r="G367" t="s">
        <v>822</v>
      </c>
      <c r="H367" t="s">
        <v>803</v>
      </c>
      <c r="I367" t="s">
        <v>803</v>
      </c>
      <c r="J367" t="s">
        <v>803</v>
      </c>
      <c r="K367" t="s">
        <v>803</v>
      </c>
      <c r="L367" t="s">
        <v>822</v>
      </c>
      <c r="M367" t="s">
        <v>803</v>
      </c>
      <c r="N367" t="s">
        <v>777</v>
      </c>
      <c r="O367" t="s">
        <v>845</v>
      </c>
      <c r="P367" t="s">
        <v>898</v>
      </c>
      <c r="Q367" t="s">
        <v>898</v>
      </c>
      <c r="R367" t="s">
        <v>898</v>
      </c>
      <c r="S367" t="s">
        <v>1502</v>
      </c>
      <c r="T367" t="s">
        <v>1020</v>
      </c>
      <c r="U367" t="s">
        <v>850</v>
      </c>
      <c r="V367" t="s">
        <v>1007</v>
      </c>
      <c r="W367" t="s">
        <v>1008</v>
      </c>
      <c r="X367" t="s">
        <v>1009</v>
      </c>
      <c r="Y367" t="s">
        <v>1008</v>
      </c>
      <c r="Z367" t="s">
        <v>1486</v>
      </c>
      <c r="AA367" t="s">
        <v>1487</v>
      </c>
      <c r="AB367" t="s">
        <v>803</v>
      </c>
      <c r="AC367" t="s">
        <v>782</v>
      </c>
      <c r="AD367" t="s">
        <v>939</v>
      </c>
    </row>
    <row r="368" spans="1:30">
      <c r="A368" t="s">
        <v>6</v>
      </c>
      <c r="B368" t="s">
        <v>5</v>
      </c>
      <c r="C368" t="s">
        <v>819</v>
      </c>
      <c r="D368" t="s">
        <v>842</v>
      </c>
      <c r="E368" t="s">
        <v>1196</v>
      </c>
      <c r="F368" t="s">
        <v>823</v>
      </c>
      <c r="G368" t="s">
        <v>776</v>
      </c>
      <c r="H368" t="s">
        <v>821</v>
      </c>
      <c r="I368" t="s">
        <v>803</v>
      </c>
      <c r="J368" t="s">
        <v>822</v>
      </c>
      <c r="K368" t="s">
        <v>862</v>
      </c>
      <c r="L368" t="s">
        <v>1184</v>
      </c>
      <c r="M368" t="s">
        <v>802</v>
      </c>
      <c r="N368" t="s">
        <v>825</v>
      </c>
      <c r="O368" t="s">
        <v>778</v>
      </c>
      <c r="P368" t="s">
        <v>1359</v>
      </c>
      <c r="Q368" t="s">
        <v>1986</v>
      </c>
      <c r="R368" t="s">
        <v>966</v>
      </c>
      <c r="S368" t="s">
        <v>2280</v>
      </c>
      <c r="T368" t="s">
        <v>1337</v>
      </c>
      <c r="U368" t="s">
        <v>2281</v>
      </c>
      <c r="V368" t="s">
        <v>1190</v>
      </c>
      <c r="W368" t="s">
        <v>1506</v>
      </c>
      <c r="X368" t="s">
        <v>2333</v>
      </c>
      <c r="Y368" t="s">
        <v>815</v>
      </c>
      <c r="Z368" t="s">
        <v>1582</v>
      </c>
      <c r="AA368" t="s">
        <v>2200</v>
      </c>
      <c r="AB368" t="s">
        <v>779</v>
      </c>
      <c r="AC368" t="s">
        <v>1206</v>
      </c>
      <c r="AD368" t="s">
        <v>1472</v>
      </c>
    </row>
    <row r="369" spans="1:30">
      <c r="A369" t="s">
        <v>6</v>
      </c>
      <c r="B369" t="s">
        <v>229</v>
      </c>
      <c r="C369" t="s">
        <v>772</v>
      </c>
      <c r="D369" t="s">
        <v>1015</v>
      </c>
      <c r="E369" t="s">
        <v>1101</v>
      </c>
      <c r="F369" t="s">
        <v>805</v>
      </c>
      <c r="G369" t="s">
        <v>844</v>
      </c>
      <c r="H369" t="s">
        <v>845</v>
      </c>
      <c r="I369" t="s">
        <v>803</v>
      </c>
      <c r="J369" t="s">
        <v>846</v>
      </c>
      <c r="K369" t="s">
        <v>802</v>
      </c>
      <c r="L369" t="s">
        <v>783</v>
      </c>
      <c r="M369" t="s">
        <v>825</v>
      </c>
      <c r="N369" t="s">
        <v>895</v>
      </c>
      <c r="O369" t="s">
        <v>777</v>
      </c>
      <c r="P369" t="s">
        <v>928</v>
      </c>
      <c r="Q369" t="s">
        <v>1588</v>
      </c>
      <c r="R369" t="s">
        <v>1343</v>
      </c>
      <c r="S369" t="s">
        <v>1724</v>
      </c>
      <c r="T369" t="s">
        <v>850</v>
      </c>
      <c r="U369" t="s">
        <v>860</v>
      </c>
      <c r="V369" t="s">
        <v>1440</v>
      </c>
      <c r="W369" t="s">
        <v>936</v>
      </c>
      <c r="X369" t="s">
        <v>1617</v>
      </c>
      <c r="Y369" t="s">
        <v>1098</v>
      </c>
      <c r="Z369" t="s">
        <v>875</v>
      </c>
      <c r="AA369" t="s">
        <v>1528</v>
      </c>
      <c r="AB369" t="s">
        <v>858</v>
      </c>
      <c r="AC369" t="s">
        <v>2054</v>
      </c>
      <c r="AD369" t="s">
        <v>2334</v>
      </c>
    </row>
    <row r="370" spans="1:30">
      <c r="A370" t="s">
        <v>6</v>
      </c>
      <c r="B370" t="s">
        <v>227</v>
      </c>
      <c r="C370" t="s">
        <v>879</v>
      </c>
      <c r="D370" t="s">
        <v>842</v>
      </c>
      <c r="E370" t="s">
        <v>1496</v>
      </c>
      <c r="F370" t="s">
        <v>805</v>
      </c>
      <c r="G370" t="s">
        <v>773</v>
      </c>
      <c r="H370" t="s">
        <v>777</v>
      </c>
      <c r="I370" t="s">
        <v>803</v>
      </c>
      <c r="J370" t="s">
        <v>863</v>
      </c>
      <c r="K370" t="s">
        <v>1232</v>
      </c>
      <c r="L370" t="s">
        <v>968</v>
      </c>
      <c r="M370" t="s">
        <v>782</v>
      </c>
      <c r="N370" t="s">
        <v>1081</v>
      </c>
      <c r="O370" t="s">
        <v>777</v>
      </c>
      <c r="P370" t="s">
        <v>1137</v>
      </c>
      <c r="Q370" t="s">
        <v>1473</v>
      </c>
      <c r="R370" t="s">
        <v>1254</v>
      </c>
      <c r="S370" t="s">
        <v>2335</v>
      </c>
      <c r="T370" t="s">
        <v>948</v>
      </c>
      <c r="U370" t="s">
        <v>1516</v>
      </c>
      <c r="V370" t="s">
        <v>1062</v>
      </c>
      <c r="W370" t="s">
        <v>1025</v>
      </c>
      <c r="X370" t="s">
        <v>1433</v>
      </c>
      <c r="Y370" t="s">
        <v>1137</v>
      </c>
      <c r="Z370" t="s">
        <v>807</v>
      </c>
      <c r="AA370" t="s">
        <v>1913</v>
      </c>
      <c r="AB370" t="s">
        <v>971</v>
      </c>
      <c r="AC370" t="s">
        <v>1016</v>
      </c>
      <c r="AD370" t="s">
        <v>1833</v>
      </c>
    </row>
    <row r="371" spans="1:30">
      <c r="A371" t="s">
        <v>6</v>
      </c>
      <c r="B371" t="s">
        <v>205</v>
      </c>
      <c r="C371" t="s">
        <v>536</v>
      </c>
      <c r="D371" t="s">
        <v>1015</v>
      </c>
      <c r="E371" t="s">
        <v>1183</v>
      </c>
      <c r="F371" t="s">
        <v>782</v>
      </c>
      <c r="G371" t="s">
        <v>895</v>
      </c>
      <c r="H371" t="s">
        <v>846</v>
      </c>
      <c r="I371" t="s">
        <v>803</v>
      </c>
      <c r="J371" t="s">
        <v>777</v>
      </c>
      <c r="K371" t="s">
        <v>802</v>
      </c>
      <c r="L371" t="s">
        <v>1184</v>
      </c>
      <c r="M371" t="s">
        <v>775</v>
      </c>
      <c r="N371" t="s">
        <v>780</v>
      </c>
      <c r="O371" t="s">
        <v>803</v>
      </c>
      <c r="P371" t="s">
        <v>1478</v>
      </c>
      <c r="Q371" t="s">
        <v>1782</v>
      </c>
      <c r="R371" t="s">
        <v>1186</v>
      </c>
      <c r="S371" t="s">
        <v>2336</v>
      </c>
      <c r="T371" t="s">
        <v>932</v>
      </c>
      <c r="U371" t="s">
        <v>1902</v>
      </c>
      <c r="V371" t="s">
        <v>1720</v>
      </c>
      <c r="W371" t="s">
        <v>920</v>
      </c>
      <c r="X371" t="s">
        <v>2337</v>
      </c>
      <c r="Y371" t="s">
        <v>1252</v>
      </c>
      <c r="Z371" t="s">
        <v>1788</v>
      </c>
      <c r="AA371" t="s">
        <v>1556</v>
      </c>
      <c r="AB371" t="s">
        <v>779</v>
      </c>
      <c r="AC371" t="s">
        <v>2054</v>
      </c>
      <c r="AD371" t="s">
        <v>1739</v>
      </c>
    </row>
    <row r="372" spans="1:30">
      <c r="A372" t="s">
        <v>6</v>
      </c>
      <c r="B372" t="s">
        <v>346</v>
      </c>
      <c r="C372" t="s">
        <v>841</v>
      </c>
      <c r="D372" t="s">
        <v>842</v>
      </c>
      <c r="E372" t="s">
        <v>843</v>
      </c>
      <c r="F372" t="s">
        <v>823</v>
      </c>
      <c r="G372" t="s">
        <v>926</v>
      </c>
      <c r="H372" t="s">
        <v>845</v>
      </c>
      <c r="I372" t="s">
        <v>803</v>
      </c>
      <c r="J372" t="s">
        <v>822</v>
      </c>
      <c r="K372" t="s">
        <v>825</v>
      </c>
      <c r="L372" t="s">
        <v>1030</v>
      </c>
      <c r="M372" t="s">
        <v>823</v>
      </c>
      <c r="N372" t="s">
        <v>1208</v>
      </c>
      <c r="O372" t="s">
        <v>803</v>
      </c>
      <c r="P372" t="s">
        <v>1075</v>
      </c>
      <c r="Q372" t="s">
        <v>975</v>
      </c>
      <c r="R372" t="s">
        <v>1618</v>
      </c>
      <c r="S372" t="s">
        <v>2338</v>
      </c>
      <c r="T372" t="s">
        <v>831</v>
      </c>
      <c r="U372" t="s">
        <v>851</v>
      </c>
      <c r="V372" t="s">
        <v>852</v>
      </c>
      <c r="W372" t="s">
        <v>1025</v>
      </c>
      <c r="X372" t="s">
        <v>1411</v>
      </c>
      <c r="Y372" t="s">
        <v>1768</v>
      </c>
      <c r="Z372" t="s">
        <v>944</v>
      </c>
      <c r="AA372" t="s">
        <v>1687</v>
      </c>
      <c r="AB372" t="s">
        <v>846</v>
      </c>
      <c r="AC372" t="s">
        <v>1101</v>
      </c>
      <c r="AD372" t="s">
        <v>1770</v>
      </c>
    </row>
    <row r="373" spans="1:30">
      <c r="A373" t="s">
        <v>6</v>
      </c>
      <c r="B373" t="s">
        <v>322</v>
      </c>
      <c r="C373" t="s">
        <v>772</v>
      </c>
      <c r="D373" t="s">
        <v>925</v>
      </c>
      <c r="E373" t="s">
        <v>877</v>
      </c>
      <c r="F373" t="s">
        <v>802</v>
      </c>
      <c r="G373" t="s">
        <v>925</v>
      </c>
      <c r="H373" t="s">
        <v>846</v>
      </c>
      <c r="I373" t="s">
        <v>778</v>
      </c>
      <c r="J373" t="s">
        <v>778</v>
      </c>
      <c r="K373" t="s">
        <v>971</v>
      </c>
      <c r="L373" t="s">
        <v>826</v>
      </c>
      <c r="M373" t="s">
        <v>779</v>
      </c>
      <c r="N373" t="s">
        <v>805</v>
      </c>
      <c r="O373" t="s">
        <v>822</v>
      </c>
      <c r="P373" t="s">
        <v>1521</v>
      </c>
      <c r="Q373" t="s">
        <v>1510</v>
      </c>
      <c r="R373" t="s">
        <v>2198</v>
      </c>
      <c r="S373" t="s">
        <v>1223</v>
      </c>
      <c r="T373" t="s">
        <v>1051</v>
      </c>
      <c r="U373" t="s">
        <v>1674</v>
      </c>
      <c r="V373" t="s">
        <v>871</v>
      </c>
      <c r="W373" t="s">
        <v>949</v>
      </c>
      <c r="X373" t="s">
        <v>1362</v>
      </c>
      <c r="Y373" t="s">
        <v>872</v>
      </c>
      <c r="Z373" t="s">
        <v>1521</v>
      </c>
      <c r="AA373" t="s">
        <v>1579</v>
      </c>
      <c r="AB373" t="s">
        <v>858</v>
      </c>
      <c r="AC373" t="s">
        <v>1045</v>
      </c>
      <c r="AD373" t="s">
        <v>1102</v>
      </c>
    </row>
    <row r="374" spans="1:30">
      <c r="A374" t="s">
        <v>6</v>
      </c>
      <c r="B374" t="s">
        <v>2339</v>
      </c>
      <c r="C374" t="s">
        <v>1079</v>
      </c>
      <c r="D374" t="s">
        <v>842</v>
      </c>
      <c r="E374" t="s">
        <v>1980</v>
      </c>
      <c r="F374" t="s">
        <v>821</v>
      </c>
      <c r="G374" t="s">
        <v>802</v>
      </c>
      <c r="H374" t="s">
        <v>778</v>
      </c>
      <c r="I374" t="s">
        <v>803</v>
      </c>
      <c r="J374" t="s">
        <v>803</v>
      </c>
      <c r="K374" t="s">
        <v>777</v>
      </c>
      <c r="L374" t="s">
        <v>796</v>
      </c>
      <c r="M374" t="s">
        <v>846</v>
      </c>
      <c r="N374" t="s">
        <v>926</v>
      </c>
      <c r="O374" t="s">
        <v>822</v>
      </c>
      <c r="P374" t="s">
        <v>855</v>
      </c>
      <c r="Q374" t="s">
        <v>881</v>
      </c>
      <c r="R374" t="s">
        <v>1982</v>
      </c>
      <c r="S374" t="s">
        <v>1456</v>
      </c>
      <c r="T374" t="s">
        <v>931</v>
      </c>
    </row>
    <row r="375" spans="1:30">
      <c r="A375" t="s">
        <v>6</v>
      </c>
      <c r="B375" t="s">
        <v>335</v>
      </c>
      <c r="C375" t="s">
        <v>799</v>
      </c>
      <c r="D375" t="s">
        <v>844</v>
      </c>
      <c r="E375" t="s">
        <v>1103</v>
      </c>
      <c r="F375" t="s">
        <v>971</v>
      </c>
      <c r="G375" t="s">
        <v>780</v>
      </c>
      <c r="H375" t="s">
        <v>778</v>
      </c>
      <c r="I375" t="s">
        <v>803</v>
      </c>
      <c r="J375" t="s">
        <v>846</v>
      </c>
      <c r="K375" t="s">
        <v>802</v>
      </c>
      <c r="L375" t="s">
        <v>801</v>
      </c>
      <c r="M375" t="s">
        <v>777</v>
      </c>
      <c r="N375" t="s">
        <v>862</v>
      </c>
      <c r="O375" t="s">
        <v>822</v>
      </c>
      <c r="P375" t="s">
        <v>1779</v>
      </c>
      <c r="Q375" t="s">
        <v>1140</v>
      </c>
      <c r="R375" t="s">
        <v>1952</v>
      </c>
      <c r="S375" t="s">
        <v>2340</v>
      </c>
      <c r="T375" t="s">
        <v>1051</v>
      </c>
      <c r="U375" t="s">
        <v>870</v>
      </c>
      <c r="V375" t="s">
        <v>1134</v>
      </c>
      <c r="W375" t="s">
        <v>2105</v>
      </c>
      <c r="X375" t="s">
        <v>1627</v>
      </c>
      <c r="Y375" t="s">
        <v>1934</v>
      </c>
      <c r="Z375" t="s">
        <v>1505</v>
      </c>
      <c r="AA375" t="s">
        <v>2341</v>
      </c>
      <c r="AB375" t="s">
        <v>821</v>
      </c>
      <c r="AC375" t="s">
        <v>1351</v>
      </c>
      <c r="AD375" t="s">
        <v>1887</v>
      </c>
    </row>
    <row r="376" spans="1:30">
      <c r="A376" t="s">
        <v>6</v>
      </c>
      <c r="B376" t="s">
        <v>357</v>
      </c>
      <c r="C376" t="s">
        <v>536</v>
      </c>
      <c r="D376" t="s">
        <v>862</v>
      </c>
      <c r="E376" t="s">
        <v>1309</v>
      </c>
      <c r="F376" t="s">
        <v>821</v>
      </c>
      <c r="G376" t="s">
        <v>802</v>
      </c>
      <c r="H376" t="s">
        <v>845</v>
      </c>
      <c r="I376" t="s">
        <v>803</v>
      </c>
      <c r="J376" t="s">
        <v>845</v>
      </c>
      <c r="K376" t="s">
        <v>858</v>
      </c>
      <c r="L376" t="s">
        <v>805</v>
      </c>
      <c r="M376" t="s">
        <v>822</v>
      </c>
      <c r="N376" t="s">
        <v>971</v>
      </c>
      <c r="O376" t="s">
        <v>845</v>
      </c>
      <c r="P376" t="s">
        <v>1199</v>
      </c>
      <c r="Q376" t="s">
        <v>974</v>
      </c>
      <c r="R376" t="s">
        <v>2182</v>
      </c>
      <c r="S376" t="s">
        <v>1748</v>
      </c>
      <c r="T376" t="s">
        <v>831</v>
      </c>
      <c r="U376" t="s">
        <v>1912</v>
      </c>
      <c r="V376" t="s">
        <v>852</v>
      </c>
      <c r="W376" t="s">
        <v>1356</v>
      </c>
      <c r="X376" t="s">
        <v>1332</v>
      </c>
      <c r="Y376" t="s">
        <v>1000</v>
      </c>
      <c r="Z376" t="s">
        <v>1199</v>
      </c>
      <c r="AA376" t="s">
        <v>1076</v>
      </c>
      <c r="AB376" t="s">
        <v>777</v>
      </c>
      <c r="AC376" t="s">
        <v>911</v>
      </c>
      <c r="AD376" t="s">
        <v>1043</v>
      </c>
    </row>
    <row r="377" spans="1:30">
      <c r="A377" t="s">
        <v>6</v>
      </c>
      <c r="B377" t="s">
        <v>2342</v>
      </c>
      <c r="C377" t="s">
        <v>841</v>
      </c>
      <c r="D377" t="s">
        <v>862</v>
      </c>
      <c r="E377" t="s">
        <v>804</v>
      </c>
      <c r="F377" t="s">
        <v>846</v>
      </c>
      <c r="G377" t="s">
        <v>779</v>
      </c>
      <c r="H377" t="s">
        <v>845</v>
      </c>
      <c r="I377" t="s">
        <v>803</v>
      </c>
      <c r="J377" t="s">
        <v>803</v>
      </c>
      <c r="K377" t="s">
        <v>845</v>
      </c>
      <c r="L377" t="s">
        <v>782</v>
      </c>
      <c r="M377" t="s">
        <v>777</v>
      </c>
      <c r="N377" t="s">
        <v>862</v>
      </c>
      <c r="O377" t="s">
        <v>803</v>
      </c>
      <c r="P377" t="s">
        <v>1500</v>
      </c>
      <c r="Q377" t="s">
        <v>1277</v>
      </c>
      <c r="R377" t="s">
        <v>1901</v>
      </c>
      <c r="S377" t="s">
        <v>848</v>
      </c>
      <c r="T377" t="s">
        <v>946</v>
      </c>
      <c r="U377" t="s">
        <v>1170</v>
      </c>
      <c r="V377" t="s">
        <v>850</v>
      </c>
      <c r="W377" t="s">
        <v>1697</v>
      </c>
      <c r="X377" t="s">
        <v>1627</v>
      </c>
      <c r="Y377" t="s">
        <v>1386</v>
      </c>
      <c r="Z377" t="s">
        <v>1002</v>
      </c>
      <c r="AA377" t="s">
        <v>1730</v>
      </c>
      <c r="AB377" t="s">
        <v>845</v>
      </c>
      <c r="AC377" t="s">
        <v>1437</v>
      </c>
      <c r="AD377" t="s">
        <v>939</v>
      </c>
    </row>
    <row r="378" spans="1:30">
      <c r="A378" t="s">
        <v>6</v>
      </c>
      <c r="B378" t="s">
        <v>2343</v>
      </c>
      <c r="C378" t="s">
        <v>1068</v>
      </c>
      <c r="D378" t="s">
        <v>805</v>
      </c>
      <c r="E378" t="s">
        <v>804</v>
      </c>
      <c r="F378" t="s">
        <v>863</v>
      </c>
      <c r="G378" t="s">
        <v>779</v>
      </c>
      <c r="H378" t="s">
        <v>822</v>
      </c>
      <c r="I378" t="s">
        <v>803</v>
      </c>
      <c r="J378" t="s">
        <v>845</v>
      </c>
      <c r="K378" t="s">
        <v>846</v>
      </c>
      <c r="L378" t="s">
        <v>780</v>
      </c>
      <c r="M378" t="s">
        <v>846</v>
      </c>
      <c r="N378" t="s">
        <v>782</v>
      </c>
      <c r="O378" t="s">
        <v>803</v>
      </c>
      <c r="P378" t="s">
        <v>1500</v>
      </c>
      <c r="Q378" t="s">
        <v>912</v>
      </c>
      <c r="R378" t="s">
        <v>1473</v>
      </c>
      <c r="S378" t="s">
        <v>2344</v>
      </c>
      <c r="T378" t="s">
        <v>1337</v>
      </c>
      <c r="U378" t="s">
        <v>1304</v>
      </c>
      <c r="V378" t="s">
        <v>947</v>
      </c>
      <c r="W378" t="s">
        <v>1669</v>
      </c>
      <c r="X378" t="s">
        <v>1039</v>
      </c>
      <c r="Y378" t="s">
        <v>1500</v>
      </c>
      <c r="Z378" t="s">
        <v>1041</v>
      </c>
      <c r="AA378" t="s">
        <v>2345</v>
      </c>
      <c r="AB378" t="s">
        <v>846</v>
      </c>
      <c r="AC378" t="s">
        <v>911</v>
      </c>
      <c r="AD378" t="s">
        <v>1909</v>
      </c>
    </row>
    <row r="379" spans="1:30">
      <c r="A379" t="s">
        <v>6</v>
      </c>
      <c r="B379" t="s">
        <v>2346</v>
      </c>
      <c r="C379" t="s">
        <v>841</v>
      </c>
      <c r="D379" t="s">
        <v>971</v>
      </c>
      <c r="E379" t="s">
        <v>1015</v>
      </c>
      <c r="F379" t="s">
        <v>845</v>
      </c>
      <c r="G379" t="s">
        <v>821</v>
      </c>
      <c r="H379" t="s">
        <v>778</v>
      </c>
      <c r="I379" t="s">
        <v>803</v>
      </c>
      <c r="J379" t="s">
        <v>778</v>
      </c>
      <c r="K379" t="s">
        <v>845</v>
      </c>
      <c r="L379" t="s">
        <v>823</v>
      </c>
      <c r="M379" t="s">
        <v>822</v>
      </c>
      <c r="N379" t="s">
        <v>858</v>
      </c>
      <c r="O379" t="s">
        <v>803</v>
      </c>
      <c r="P379" t="s">
        <v>1005</v>
      </c>
      <c r="Q379" t="s">
        <v>837</v>
      </c>
      <c r="R379" t="s">
        <v>1438</v>
      </c>
      <c r="S379" t="s">
        <v>1439</v>
      </c>
      <c r="T379" t="s">
        <v>946</v>
      </c>
      <c r="U379" t="s">
        <v>1691</v>
      </c>
      <c r="V379" t="s">
        <v>1626</v>
      </c>
      <c r="W379" t="s">
        <v>2179</v>
      </c>
      <c r="X379" t="s">
        <v>1362</v>
      </c>
      <c r="Y379" t="s">
        <v>1696</v>
      </c>
      <c r="Z379" t="s">
        <v>1290</v>
      </c>
      <c r="AA379" t="s">
        <v>1843</v>
      </c>
      <c r="AB379" t="s">
        <v>845</v>
      </c>
      <c r="AC379" t="s">
        <v>826</v>
      </c>
      <c r="AD379" t="s">
        <v>1443</v>
      </c>
    </row>
    <row r="380" spans="1:30">
      <c r="A380" t="s">
        <v>6</v>
      </c>
      <c r="B380" t="s">
        <v>2347</v>
      </c>
      <c r="C380" t="s">
        <v>536</v>
      </c>
      <c r="D380" t="s">
        <v>779</v>
      </c>
      <c r="E380" t="s">
        <v>862</v>
      </c>
      <c r="F380" t="s">
        <v>803</v>
      </c>
      <c r="G380" t="s">
        <v>845</v>
      </c>
      <c r="H380" t="s">
        <v>778</v>
      </c>
      <c r="I380" t="s">
        <v>803</v>
      </c>
      <c r="J380" t="s">
        <v>803</v>
      </c>
      <c r="K380" t="s">
        <v>822</v>
      </c>
      <c r="L380" t="s">
        <v>822</v>
      </c>
      <c r="M380" t="s">
        <v>803</v>
      </c>
      <c r="N380" t="s">
        <v>803</v>
      </c>
      <c r="O380" t="s">
        <v>803</v>
      </c>
      <c r="P380" t="s">
        <v>1471</v>
      </c>
      <c r="Q380" t="s">
        <v>1471</v>
      </c>
      <c r="R380" t="s">
        <v>1382</v>
      </c>
      <c r="S380" t="s">
        <v>965</v>
      </c>
      <c r="T380" t="s">
        <v>946</v>
      </c>
      <c r="U380" t="s">
        <v>2348</v>
      </c>
      <c r="V380" t="s">
        <v>2349</v>
      </c>
      <c r="W380" t="s">
        <v>1008</v>
      </c>
      <c r="X380" t="s">
        <v>1009</v>
      </c>
      <c r="Y380" t="s">
        <v>1560</v>
      </c>
      <c r="Z380" t="s">
        <v>1560</v>
      </c>
      <c r="AA380" t="s">
        <v>2341</v>
      </c>
      <c r="AB380" t="s">
        <v>778</v>
      </c>
      <c r="AC380" t="s">
        <v>862</v>
      </c>
      <c r="AD380" t="s">
        <v>939</v>
      </c>
    </row>
    <row r="381" spans="1:30">
      <c r="A381" t="s">
        <v>8</v>
      </c>
      <c r="B381" t="s">
        <v>272</v>
      </c>
      <c r="C381" t="s">
        <v>841</v>
      </c>
      <c r="D381" t="s">
        <v>842</v>
      </c>
      <c r="E381" t="s">
        <v>1574</v>
      </c>
      <c r="F381" t="s">
        <v>1232</v>
      </c>
      <c r="G381" t="s">
        <v>776</v>
      </c>
      <c r="H381" t="s">
        <v>822</v>
      </c>
      <c r="I381" t="s">
        <v>803</v>
      </c>
      <c r="J381" t="s">
        <v>777</v>
      </c>
      <c r="K381" t="s">
        <v>823</v>
      </c>
      <c r="L381" t="s">
        <v>1184</v>
      </c>
      <c r="M381" t="s">
        <v>779</v>
      </c>
      <c r="N381" t="s">
        <v>926</v>
      </c>
      <c r="O381" t="s">
        <v>803</v>
      </c>
      <c r="P381" t="s">
        <v>928</v>
      </c>
      <c r="Q381" t="s">
        <v>1031</v>
      </c>
      <c r="R381" t="s">
        <v>1941</v>
      </c>
      <c r="S381" t="s">
        <v>884</v>
      </c>
      <c r="T381" t="s">
        <v>1337</v>
      </c>
      <c r="U381" t="s">
        <v>870</v>
      </c>
      <c r="V381" t="s">
        <v>977</v>
      </c>
      <c r="W381" t="s">
        <v>1108</v>
      </c>
      <c r="X381" t="s">
        <v>1039</v>
      </c>
      <c r="Y381" t="s">
        <v>992</v>
      </c>
      <c r="Z381" t="s">
        <v>891</v>
      </c>
      <c r="AA381" t="s">
        <v>1205</v>
      </c>
      <c r="AB381" t="s">
        <v>858</v>
      </c>
      <c r="AC381" t="s">
        <v>1757</v>
      </c>
      <c r="AD381" t="s">
        <v>2350</v>
      </c>
    </row>
    <row r="382" spans="1:30">
      <c r="A382" t="s">
        <v>8</v>
      </c>
      <c r="B382" t="s">
        <v>331</v>
      </c>
      <c r="C382" t="s">
        <v>1068</v>
      </c>
      <c r="D382" t="s">
        <v>776</v>
      </c>
      <c r="E382" t="s">
        <v>1899</v>
      </c>
      <c r="F382" t="s">
        <v>796</v>
      </c>
      <c r="G382" t="s">
        <v>842</v>
      </c>
      <c r="H382" t="s">
        <v>845</v>
      </c>
      <c r="I382" t="s">
        <v>803</v>
      </c>
      <c r="J382" t="s">
        <v>777</v>
      </c>
      <c r="K382" t="s">
        <v>796</v>
      </c>
      <c r="L382" t="s">
        <v>1184</v>
      </c>
      <c r="M382" t="s">
        <v>777</v>
      </c>
      <c r="N382" t="s">
        <v>775</v>
      </c>
      <c r="O382" t="s">
        <v>803</v>
      </c>
      <c r="P382" t="s">
        <v>986</v>
      </c>
      <c r="Q382" t="s">
        <v>1094</v>
      </c>
      <c r="R382" t="s">
        <v>2010</v>
      </c>
      <c r="S382" t="s">
        <v>2351</v>
      </c>
      <c r="T382" t="s">
        <v>1096</v>
      </c>
      <c r="U382" t="s">
        <v>1925</v>
      </c>
      <c r="V382" t="s">
        <v>1381</v>
      </c>
      <c r="W382" t="s">
        <v>2164</v>
      </c>
      <c r="X382" t="s">
        <v>1216</v>
      </c>
      <c r="Y382" t="s">
        <v>1000</v>
      </c>
      <c r="Z382" t="s">
        <v>1017</v>
      </c>
      <c r="AA382" t="s">
        <v>1249</v>
      </c>
      <c r="AB382" t="s">
        <v>821</v>
      </c>
      <c r="AC382" t="s">
        <v>1183</v>
      </c>
      <c r="AD382" t="s">
        <v>2016</v>
      </c>
    </row>
    <row r="383" spans="1:30">
      <c r="A383" t="s">
        <v>8</v>
      </c>
      <c r="B383" t="s">
        <v>90</v>
      </c>
      <c r="C383" t="s">
        <v>879</v>
      </c>
      <c r="D383" t="s">
        <v>776</v>
      </c>
      <c r="E383" t="s">
        <v>1080</v>
      </c>
      <c r="F383" t="s">
        <v>780</v>
      </c>
      <c r="G383" t="s">
        <v>776</v>
      </c>
      <c r="H383" t="s">
        <v>821</v>
      </c>
      <c r="I383" t="s">
        <v>777</v>
      </c>
      <c r="J383" t="s">
        <v>822</v>
      </c>
      <c r="K383" t="s">
        <v>862</v>
      </c>
      <c r="L383" t="s">
        <v>1517</v>
      </c>
      <c r="M383" t="s">
        <v>1232</v>
      </c>
      <c r="N383" t="s">
        <v>1015</v>
      </c>
      <c r="O383" t="s">
        <v>777</v>
      </c>
      <c r="P383" t="s">
        <v>1415</v>
      </c>
      <c r="Q383" t="s">
        <v>913</v>
      </c>
      <c r="R383" t="s">
        <v>1994</v>
      </c>
      <c r="S383" t="s">
        <v>2352</v>
      </c>
      <c r="T383" t="s">
        <v>810</v>
      </c>
      <c r="U383" t="s">
        <v>2353</v>
      </c>
      <c r="V383" t="s">
        <v>2109</v>
      </c>
      <c r="W383" t="s">
        <v>1155</v>
      </c>
      <c r="X383" t="s">
        <v>1451</v>
      </c>
      <c r="Y383" t="s">
        <v>1425</v>
      </c>
      <c r="Z383" t="s">
        <v>2354</v>
      </c>
      <c r="AA383" t="s">
        <v>1891</v>
      </c>
      <c r="AB383" t="s">
        <v>802</v>
      </c>
      <c r="AC383" t="s">
        <v>1574</v>
      </c>
      <c r="AD383" t="s">
        <v>1427</v>
      </c>
    </row>
    <row r="384" spans="1:30">
      <c r="A384" t="s">
        <v>8</v>
      </c>
      <c r="B384" t="s">
        <v>186</v>
      </c>
      <c r="C384" t="s">
        <v>772</v>
      </c>
      <c r="D384" t="s">
        <v>776</v>
      </c>
      <c r="E384" t="s">
        <v>1661</v>
      </c>
      <c r="F384" t="s">
        <v>782</v>
      </c>
      <c r="G384" t="s">
        <v>805</v>
      </c>
      <c r="H384" t="s">
        <v>822</v>
      </c>
      <c r="I384" t="s">
        <v>822</v>
      </c>
      <c r="J384" t="s">
        <v>778</v>
      </c>
      <c r="K384" t="s">
        <v>821</v>
      </c>
      <c r="L384" t="s">
        <v>864</v>
      </c>
      <c r="M384" t="s">
        <v>796</v>
      </c>
      <c r="N384" t="s">
        <v>802</v>
      </c>
      <c r="O384" t="s">
        <v>821</v>
      </c>
      <c r="P384" t="s">
        <v>1199</v>
      </c>
      <c r="Q384" t="s">
        <v>1321</v>
      </c>
      <c r="R384" t="s">
        <v>957</v>
      </c>
      <c r="S384" t="s">
        <v>2355</v>
      </c>
      <c r="T384" t="s">
        <v>869</v>
      </c>
      <c r="U384" t="s">
        <v>870</v>
      </c>
      <c r="V384" t="s">
        <v>1144</v>
      </c>
      <c r="W384" t="s">
        <v>2301</v>
      </c>
      <c r="X384" t="s">
        <v>1405</v>
      </c>
      <c r="Y384" t="s">
        <v>992</v>
      </c>
      <c r="Z384" t="s">
        <v>1504</v>
      </c>
      <c r="AA384" t="s">
        <v>1687</v>
      </c>
      <c r="AB384" t="s">
        <v>858</v>
      </c>
      <c r="AC384" t="s">
        <v>1196</v>
      </c>
      <c r="AD384" t="s">
        <v>1943</v>
      </c>
    </row>
    <row r="385" spans="1:30">
      <c r="A385" t="s">
        <v>8</v>
      </c>
      <c r="B385" t="s">
        <v>203</v>
      </c>
      <c r="C385" t="s">
        <v>841</v>
      </c>
      <c r="D385" t="s">
        <v>926</v>
      </c>
      <c r="E385" t="s">
        <v>1429</v>
      </c>
      <c r="F385" t="s">
        <v>780</v>
      </c>
      <c r="G385" t="s">
        <v>1208</v>
      </c>
      <c r="H385" t="s">
        <v>821</v>
      </c>
      <c r="I385" t="s">
        <v>845</v>
      </c>
      <c r="J385" t="s">
        <v>821</v>
      </c>
      <c r="K385" t="s">
        <v>926</v>
      </c>
      <c r="L385" t="s">
        <v>1115</v>
      </c>
      <c r="M385" t="s">
        <v>845</v>
      </c>
      <c r="N385" t="s">
        <v>823</v>
      </c>
      <c r="O385" t="s">
        <v>803</v>
      </c>
      <c r="P385" t="s">
        <v>2086</v>
      </c>
      <c r="Q385" t="s">
        <v>1762</v>
      </c>
      <c r="R385" t="s">
        <v>2356</v>
      </c>
      <c r="S385" t="s">
        <v>2357</v>
      </c>
      <c r="T385" t="s">
        <v>810</v>
      </c>
      <c r="U385" t="s">
        <v>2358</v>
      </c>
      <c r="V385" t="s">
        <v>2262</v>
      </c>
      <c r="W385" t="s">
        <v>2359</v>
      </c>
      <c r="X385" t="s">
        <v>934</v>
      </c>
      <c r="Y385" t="s">
        <v>1032</v>
      </c>
      <c r="Z385" t="s">
        <v>1856</v>
      </c>
      <c r="AA385" t="s">
        <v>1308</v>
      </c>
      <c r="AB385" t="s">
        <v>796</v>
      </c>
      <c r="AC385" t="s">
        <v>1342</v>
      </c>
      <c r="AD385" t="s">
        <v>798</v>
      </c>
    </row>
    <row r="386" spans="1:30">
      <c r="A386" t="s">
        <v>8</v>
      </c>
      <c r="B386" t="s">
        <v>219</v>
      </c>
      <c r="C386" t="s">
        <v>772</v>
      </c>
      <c r="D386" t="s">
        <v>925</v>
      </c>
      <c r="E386" t="s">
        <v>1113</v>
      </c>
      <c r="F386" t="s">
        <v>862</v>
      </c>
      <c r="G386" t="s">
        <v>842</v>
      </c>
      <c r="H386" t="s">
        <v>822</v>
      </c>
      <c r="I386" t="s">
        <v>803</v>
      </c>
      <c r="J386" t="s">
        <v>822</v>
      </c>
      <c r="K386" t="s">
        <v>971</v>
      </c>
      <c r="L386" t="s">
        <v>1198</v>
      </c>
      <c r="M386" t="s">
        <v>845</v>
      </c>
      <c r="N386" t="s">
        <v>780</v>
      </c>
      <c r="O386" t="s">
        <v>778</v>
      </c>
      <c r="P386" t="s">
        <v>2264</v>
      </c>
      <c r="Q386" t="s">
        <v>1370</v>
      </c>
      <c r="R386" t="s">
        <v>1312</v>
      </c>
      <c r="S386" t="s">
        <v>2360</v>
      </c>
      <c r="T386" t="s">
        <v>960</v>
      </c>
      <c r="U386" t="s">
        <v>1965</v>
      </c>
      <c r="V386" t="s">
        <v>1107</v>
      </c>
      <c r="W386" t="s">
        <v>1459</v>
      </c>
      <c r="X386" t="s">
        <v>1282</v>
      </c>
      <c r="Y386" t="s">
        <v>1325</v>
      </c>
      <c r="Z386" t="s">
        <v>2361</v>
      </c>
      <c r="AA386" t="s">
        <v>1249</v>
      </c>
      <c r="AB386" t="s">
        <v>821</v>
      </c>
      <c r="AC386" t="s">
        <v>893</v>
      </c>
      <c r="AD386" t="s">
        <v>2362</v>
      </c>
    </row>
    <row r="387" spans="1:30">
      <c r="A387" t="s">
        <v>8</v>
      </c>
      <c r="B387" t="s">
        <v>39</v>
      </c>
      <c r="C387" t="s">
        <v>1079</v>
      </c>
      <c r="D387" t="s">
        <v>805</v>
      </c>
      <c r="E387" t="s">
        <v>1532</v>
      </c>
      <c r="F387" t="s">
        <v>823</v>
      </c>
      <c r="G387" t="s">
        <v>1232</v>
      </c>
      <c r="H387" t="s">
        <v>863</v>
      </c>
      <c r="I387" t="s">
        <v>803</v>
      </c>
      <c r="J387" t="s">
        <v>845</v>
      </c>
      <c r="K387" t="s">
        <v>823</v>
      </c>
      <c r="L387" t="s">
        <v>1221</v>
      </c>
      <c r="M387" t="s">
        <v>822</v>
      </c>
      <c r="N387" t="s">
        <v>1232</v>
      </c>
      <c r="O387" t="s">
        <v>777</v>
      </c>
      <c r="P387" t="s">
        <v>856</v>
      </c>
      <c r="Q387" t="s">
        <v>1047</v>
      </c>
      <c r="R387" t="s">
        <v>913</v>
      </c>
      <c r="S387" t="s">
        <v>1864</v>
      </c>
      <c r="T387" t="s">
        <v>850</v>
      </c>
      <c r="U387" t="s">
        <v>1676</v>
      </c>
      <c r="V387" t="s">
        <v>1638</v>
      </c>
      <c r="W387" t="s">
        <v>1306</v>
      </c>
      <c r="X387" t="s">
        <v>2322</v>
      </c>
      <c r="Y387" t="s">
        <v>1706</v>
      </c>
      <c r="Z387" t="s">
        <v>785</v>
      </c>
      <c r="AA387" t="s">
        <v>1357</v>
      </c>
      <c r="AB387" t="s">
        <v>823</v>
      </c>
      <c r="AC387" t="s">
        <v>1250</v>
      </c>
      <c r="AD387" t="s">
        <v>2363</v>
      </c>
    </row>
    <row r="388" spans="1:30">
      <c r="A388" t="s">
        <v>8</v>
      </c>
      <c r="B388" t="s">
        <v>2364</v>
      </c>
      <c r="C388" t="s">
        <v>799</v>
      </c>
      <c r="D388" t="s">
        <v>926</v>
      </c>
      <c r="E388" t="s">
        <v>781</v>
      </c>
      <c r="F388" t="s">
        <v>858</v>
      </c>
      <c r="G388" t="s">
        <v>971</v>
      </c>
      <c r="H388" t="s">
        <v>858</v>
      </c>
      <c r="I388" t="s">
        <v>778</v>
      </c>
      <c r="J388" t="s">
        <v>778</v>
      </c>
      <c r="K388" t="s">
        <v>821</v>
      </c>
      <c r="L388" t="s">
        <v>844</v>
      </c>
      <c r="M388" t="s">
        <v>822</v>
      </c>
      <c r="N388" t="s">
        <v>805</v>
      </c>
      <c r="O388" t="s">
        <v>803</v>
      </c>
      <c r="P388" t="s">
        <v>1525</v>
      </c>
      <c r="Q388" t="s">
        <v>1258</v>
      </c>
      <c r="R388" t="s">
        <v>1474</v>
      </c>
      <c r="S388" t="s">
        <v>2365</v>
      </c>
      <c r="T388" t="s">
        <v>1020</v>
      </c>
      <c r="U388" t="s">
        <v>1440</v>
      </c>
      <c r="V388" t="s">
        <v>833</v>
      </c>
      <c r="W388" t="s">
        <v>1668</v>
      </c>
      <c r="X388" t="s">
        <v>1447</v>
      </c>
      <c r="Y388" t="s">
        <v>1525</v>
      </c>
      <c r="Z388" t="s">
        <v>1290</v>
      </c>
      <c r="AA388" t="s">
        <v>2366</v>
      </c>
      <c r="AB388" t="s">
        <v>779</v>
      </c>
      <c r="AC388" t="s">
        <v>1243</v>
      </c>
      <c r="AD388" t="s">
        <v>2367</v>
      </c>
    </row>
    <row r="389" spans="1:30">
      <c r="A389" t="s">
        <v>8</v>
      </c>
      <c r="B389" t="s">
        <v>2368</v>
      </c>
      <c r="C389" t="s">
        <v>536</v>
      </c>
      <c r="D389" t="s">
        <v>802</v>
      </c>
      <c r="E389" t="s">
        <v>1743</v>
      </c>
      <c r="F389" t="s">
        <v>777</v>
      </c>
      <c r="G389" t="s">
        <v>782</v>
      </c>
      <c r="H389" t="s">
        <v>822</v>
      </c>
      <c r="I389" t="s">
        <v>803</v>
      </c>
      <c r="J389" t="s">
        <v>778</v>
      </c>
      <c r="K389" t="s">
        <v>823</v>
      </c>
      <c r="L389" t="s">
        <v>862</v>
      </c>
      <c r="M389" t="s">
        <v>778</v>
      </c>
      <c r="N389" t="s">
        <v>802</v>
      </c>
      <c r="O389" t="s">
        <v>803</v>
      </c>
      <c r="P389" t="s">
        <v>1761</v>
      </c>
      <c r="Q389" t="s">
        <v>1199</v>
      </c>
      <c r="R389" t="s">
        <v>899</v>
      </c>
      <c r="S389" t="s">
        <v>2369</v>
      </c>
      <c r="T389" t="s">
        <v>939</v>
      </c>
      <c r="U389" t="s">
        <v>1545</v>
      </c>
      <c r="V389" t="s">
        <v>1279</v>
      </c>
      <c r="W389" t="s">
        <v>2370</v>
      </c>
      <c r="X389" t="s">
        <v>1552</v>
      </c>
      <c r="Y389" t="s">
        <v>1704</v>
      </c>
      <c r="Z389" t="s">
        <v>1424</v>
      </c>
      <c r="AA389" t="s">
        <v>2097</v>
      </c>
      <c r="AB389" t="s">
        <v>777</v>
      </c>
      <c r="AC389" t="s">
        <v>1517</v>
      </c>
      <c r="AD389" t="s">
        <v>2207</v>
      </c>
    </row>
    <row r="390" spans="1:30">
      <c r="A390" t="s">
        <v>8</v>
      </c>
      <c r="B390" t="s">
        <v>2371</v>
      </c>
      <c r="C390" t="s">
        <v>841</v>
      </c>
      <c r="D390" t="s">
        <v>1232</v>
      </c>
      <c r="E390" t="s">
        <v>783</v>
      </c>
      <c r="F390" t="s">
        <v>845</v>
      </c>
      <c r="G390" t="s">
        <v>821</v>
      </c>
      <c r="H390" t="s">
        <v>845</v>
      </c>
      <c r="I390" t="s">
        <v>803</v>
      </c>
      <c r="J390" t="s">
        <v>778</v>
      </c>
      <c r="K390" t="s">
        <v>821</v>
      </c>
      <c r="L390" t="s">
        <v>782</v>
      </c>
      <c r="M390" t="s">
        <v>846</v>
      </c>
      <c r="N390" t="s">
        <v>779</v>
      </c>
      <c r="O390" t="s">
        <v>803</v>
      </c>
      <c r="P390" t="s">
        <v>1193</v>
      </c>
      <c r="Q390" t="s">
        <v>1761</v>
      </c>
      <c r="R390" t="s">
        <v>1145</v>
      </c>
      <c r="S390" t="s">
        <v>2372</v>
      </c>
      <c r="T390" t="s">
        <v>1119</v>
      </c>
      <c r="U390" t="s">
        <v>998</v>
      </c>
      <c r="V390" t="s">
        <v>1035</v>
      </c>
      <c r="W390" t="s">
        <v>903</v>
      </c>
      <c r="X390" t="s">
        <v>1894</v>
      </c>
      <c r="Y390" t="s">
        <v>834</v>
      </c>
      <c r="Z390" t="s">
        <v>1901</v>
      </c>
      <c r="AA390" t="s">
        <v>1993</v>
      </c>
      <c r="AB390" t="s">
        <v>822</v>
      </c>
      <c r="AC390" t="s">
        <v>1517</v>
      </c>
      <c r="AD390" t="s">
        <v>1148</v>
      </c>
    </row>
    <row r="391" spans="1:30">
      <c r="A391" t="s">
        <v>8</v>
      </c>
      <c r="B391" t="s">
        <v>2373</v>
      </c>
      <c r="C391" t="s">
        <v>536</v>
      </c>
      <c r="D391" t="s">
        <v>796</v>
      </c>
      <c r="E391" t="s">
        <v>783</v>
      </c>
      <c r="F391" t="s">
        <v>822</v>
      </c>
      <c r="G391" t="s">
        <v>863</v>
      </c>
      <c r="H391" t="s">
        <v>822</v>
      </c>
      <c r="I391" t="s">
        <v>803</v>
      </c>
      <c r="J391" t="s">
        <v>803</v>
      </c>
      <c r="K391" t="s">
        <v>777</v>
      </c>
      <c r="L391" t="s">
        <v>782</v>
      </c>
      <c r="M391" t="s">
        <v>778</v>
      </c>
      <c r="N391" t="s">
        <v>802</v>
      </c>
      <c r="O391" t="s">
        <v>803</v>
      </c>
      <c r="P391" t="s">
        <v>1774</v>
      </c>
      <c r="Q391" t="s">
        <v>1276</v>
      </c>
      <c r="R391" t="s">
        <v>1145</v>
      </c>
      <c r="S391" t="s">
        <v>2374</v>
      </c>
      <c r="T391" t="s">
        <v>1119</v>
      </c>
      <c r="U391" t="s">
        <v>960</v>
      </c>
      <c r="V391" t="s">
        <v>932</v>
      </c>
      <c r="W391" t="s">
        <v>1457</v>
      </c>
      <c r="X391" t="s">
        <v>1552</v>
      </c>
      <c r="Y391" t="s">
        <v>1683</v>
      </c>
      <c r="Z391" t="s">
        <v>1339</v>
      </c>
      <c r="AA391" t="s">
        <v>838</v>
      </c>
      <c r="AB391" t="s">
        <v>822</v>
      </c>
      <c r="AC391" t="s">
        <v>1449</v>
      </c>
      <c r="AD391" t="s">
        <v>939</v>
      </c>
    </row>
    <row r="392" spans="1:30">
      <c r="A392" t="s">
        <v>8</v>
      </c>
      <c r="B392" t="s">
        <v>2375</v>
      </c>
      <c r="C392" t="s">
        <v>536</v>
      </c>
      <c r="D392" t="s">
        <v>802</v>
      </c>
      <c r="E392" t="s">
        <v>1184</v>
      </c>
      <c r="F392" t="s">
        <v>821</v>
      </c>
      <c r="G392" t="s">
        <v>782</v>
      </c>
      <c r="H392" t="s">
        <v>846</v>
      </c>
      <c r="I392" t="s">
        <v>803</v>
      </c>
      <c r="J392" t="s">
        <v>803</v>
      </c>
      <c r="K392" t="s">
        <v>846</v>
      </c>
      <c r="L392" t="s">
        <v>1232</v>
      </c>
      <c r="M392" t="s">
        <v>822</v>
      </c>
      <c r="N392" t="s">
        <v>863</v>
      </c>
      <c r="O392" t="s">
        <v>803</v>
      </c>
      <c r="P392" t="s">
        <v>1981</v>
      </c>
      <c r="Q392" t="s">
        <v>956</v>
      </c>
      <c r="R392" t="s">
        <v>913</v>
      </c>
      <c r="S392" t="s">
        <v>1223</v>
      </c>
      <c r="T392" t="s">
        <v>1096</v>
      </c>
      <c r="U392" t="s">
        <v>1134</v>
      </c>
      <c r="V392" t="s">
        <v>2206</v>
      </c>
      <c r="W392" t="s">
        <v>990</v>
      </c>
      <c r="X392" t="s">
        <v>904</v>
      </c>
      <c r="Y392" t="s">
        <v>1546</v>
      </c>
      <c r="Z392" t="s">
        <v>942</v>
      </c>
      <c r="AA392" t="s">
        <v>1146</v>
      </c>
      <c r="AB392" t="s">
        <v>846</v>
      </c>
      <c r="AC392" t="s">
        <v>1147</v>
      </c>
      <c r="AD392" t="s">
        <v>939</v>
      </c>
    </row>
    <row r="393" spans="1:30">
      <c r="A393" t="s">
        <v>8</v>
      </c>
      <c r="B393" t="s">
        <v>2376</v>
      </c>
      <c r="C393" t="s">
        <v>819</v>
      </c>
      <c r="D393" t="s">
        <v>863</v>
      </c>
      <c r="E393" t="s">
        <v>844</v>
      </c>
      <c r="F393" t="s">
        <v>778</v>
      </c>
      <c r="G393" t="s">
        <v>845</v>
      </c>
      <c r="H393" t="s">
        <v>778</v>
      </c>
      <c r="I393" t="s">
        <v>803</v>
      </c>
      <c r="J393" t="s">
        <v>803</v>
      </c>
      <c r="K393" t="s">
        <v>803</v>
      </c>
      <c r="L393" t="s">
        <v>822</v>
      </c>
      <c r="M393" t="s">
        <v>845</v>
      </c>
      <c r="N393" t="s">
        <v>863</v>
      </c>
      <c r="O393" t="s">
        <v>803</v>
      </c>
      <c r="P393" t="s">
        <v>791</v>
      </c>
      <c r="Q393" t="s">
        <v>1000</v>
      </c>
      <c r="R393" t="s">
        <v>1546</v>
      </c>
      <c r="S393" t="s">
        <v>1318</v>
      </c>
      <c r="T393" t="s">
        <v>931</v>
      </c>
      <c r="U393" t="s">
        <v>901</v>
      </c>
      <c r="V393" t="s">
        <v>1119</v>
      </c>
      <c r="W393" t="s">
        <v>1448</v>
      </c>
      <c r="X393" t="s">
        <v>1332</v>
      </c>
      <c r="Y393" t="s">
        <v>2164</v>
      </c>
      <c r="Z393" t="s">
        <v>1546</v>
      </c>
      <c r="AA393" t="s">
        <v>1603</v>
      </c>
      <c r="AB393" t="s">
        <v>778</v>
      </c>
      <c r="AC393" t="s">
        <v>842</v>
      </c>
      <c r="AD393" t="s">
        <v>939</v>
      </c>
    </row>
    <row r="394" spans="1:30">
      <c r="A394" t="s">
        <v>8</v>
      </c>
      <c r="B394" t="s">
        <v>2377</v>
      </c>
      <c r="C394" t="s">
        <v>799</v>
      </c>
      <c r="D394" t="s">
        <v>821</v>
      </c>
      <c r="E394" t="s">
        <v>844</v>
      </c>
      <c r="F394" t="s">
        <v>778</v>
      </c>
      <c r="G394" t="s">
        <v>822</v>
      </c>
      <c r="H394" t="s">
        <v>778</v>
      </c>
      <c r="I394" t="s">
        <v>803</v>
      </c>
      <c r="J394" t="s">
        <v>803</v>
      </c>
      <c r="K394" t="s">
        <v>822</v>
      </c>
      <c r="L394" t="s">
        <v>777</v>
      </c>
      <c r="M394" t="s">
        <v>845</v>
      </c>
      <c r="N394" t="s">
        <v>845</v>
      </c>
      <c r="O394" t="s">
        <v>803</v>
      </c>
      <c r="P394" t="s">
        <v>1546</v>
      </c>
      <c r="Q394" t="s">
        <v>1604</v>
      </c>
      <c r="R394" t="s">
        <v>1217</v>
      </c>
      <c r="S394" t="s">
        <v>1370</v>
      </c>
      <c r="T394" t="s">
        <v>1119</v>
      </c>
      <c r="U394" t="s">
        <v>869</v>
      </c>
      <c r="V394" t="s">
        <v>1096</v>
      </c>
      <c r="W394" t="s">
        <v>1448</v>
      </c>
      <c r="X394" t="s">
        <v>1464</v>
      </c>
      <c r="Y394" t="s">
        <v>2164</v>
      </c>
      <c r="Z394" t="s">
        <v>1546</v>
      </c>
      <c r="AA394" t="s">
        <v>1065</v>
      </c>
      <c r="AB394" t="s">
        <v>778</v>
      </c>
      <c r="AC394" t="s">
        <v>842</v>
      </c>
      <c r="AD394" t="s">
        <v>939</v>
      </c>
    </row>
    <row r="395" spans="1:30">
      <c r="A395" t="s">
        <v>8</v>
      </c>
      <c r="B395" t="s">
        <v>2378</v>
      </c>
      <c r="C395" t="s">
        <v>772</v>
      </c>
      <c r="D395" t="s">
        <v>821</v>
      </c>
      <c r="E395" t="s">
        <v>780</v>
      </c>
      <c r="F395" t="s">
        <v>822</v>
      </c>
      <c r="G395" t="s">
        <v>821</v>
      </c>
      <c r="H395" t="s">
        <v>778</v>
      </c>
      <c r="I395" t="s">
        <v>803</v>
      </c>
      <c r="J395" t="s">
        <v>778</v>
      </c>
      <c r="K395" t="s">
        <v>845</v>
      </c>
      <c r="L395" t="s">
        <v>823</v>
      </c>
      <c r="M395" t="s">
        <v>778</v>
      </c>
      <c r="N395" t="s">
        <v>821</v>
      </c>
      <c r="O395" t="s">
        <v>778</v>
      </c>
      <c r="P395" t="s">
        <v>956</v>
      </c>
      <c r="Q395" t="s">
        <v>913</v>
      </c>
      <c r="R395" t="s">
        <v>1006</v>
      </c>
      <c r="S395" t="s">
        <v>2379</v>
      </c>
      <c r="T395" t="s">
        <v>831</v>
      </c>
      <c r="U395" t="s">
        <v>1144</v>
      </c>
      <c r="V395" t="s">
        <v>1265</v>
      </c>
      <c r="W395" t="s">
        <v>1023</v>
      </c>
      <c r="X395" t="s">
        <v>1192</v>
      </c>
      <c r="Y395" t="s">
        <v>1005</v>
      </c>
      <c r="Z395" t="s">
        <v>956</v>
      </c>
      <c r="AA395" t="s">
        <v>2380</v>
      </c>
      <c r="AB395" t="s">
        <v>845</v>
      </c>
      <c r="AC395" t="s">
        <v>926</v>
      </c>
      <c r="AD395" t="s">
        <v>1599</v>
      </c>
    </row>
    <row r="396" spans="1:30">
      <c r="A396" t="s">
        <v>8</v>
      </c>
      <c r="B396" t="s">
        <v>2381</v>
      </c>
      <c r="C396" t="s">
        <v>819</v>
      </c>
      <c r="D396" t="s">
        <v>845</v>
      </c>
      <c r="E396" t="s">
        <v>821</v>
      </c>
      <c r="F396" t="s">
        <v>778</v>
      </c>
      <c r="G396" t="s">
        <v>778</v>
      </c>
      <c r="H396" t="s">
        <v>803</v>
      </c>
      <c r="I396" t="s">
        <v>803</v>
      </c>
      <c r="J396" t="s">
        <v>803</v>
      </c>
      <c r="K396" t="s">
        <v>778</v>
      </c>
      <c r="L396" t="s">
        <v>778</v>
      </c>
      <c r="M396" t="s">
        <v>845</v>
      </c>
      <c r="N396" t="s">
        <v>845</v>
      </c>
      <c r="O396" t="s">
        <v>803</v>
      </c>
      <c r="P396" t="s">
        <v>1217</v>
      </c>
      <c r="Q396" t="s">
        <v>1788</v>
      </c>
      <c r="R396" t="s">
        <v>1217</v>
      </c>
      <c r="S396" t="s">
        <v>1938</v>
      </c>
      <c r="T396" t="s">
        <v>885</v>
      </c>
      <c r="U396" t="s">
        <v>932</v>
      </c>
      <c r="V396" t="s">
        <v>978</v>
      </c>
      <c r="W396" t="s">
        <v>1199</v>
      </c>
      <c r="X396" t="s">
        <v>1464</v>
      </c>
      <c r="Y396" t="s">
        <v>1008</v>
      </c>
      <c r="Z396" t="s">
        <v>956</v>
      </c>
      <c r="AA396" t="s">
        <v>2382</v>
      </c>
      <c r="AB396" t="s">
        <v>803</v>
      </c>
      <c r="AC396" t="s">
        <v>863</v>
      </c>
      <c r="AD396" t="s">
        <v>939</v>
      </c>
    </row>
    <row r="397" spans="1:30">
      <c r="A397" t="s">
        <v>8</v>
      </c>
      <c r="B397" t="s">
        <v>2383</v>
      </c>
      <c r="C397" t="s">
        <v>819</v>
      </c>
      <c r="D397" t="s">
        <v>822</v>
      </c>
      <c r="E397" t="s">
        <v>846</v>
      </c>
      <c r="F397" t="s">
        <v>803</v>
      </c>
      <c r="G397" t="s">
        <v>778</v>
      </c>
      <c r="H397" t="s">
        <v>803</v>
      </c>
      <c r="I397" t="s">
        <v>803</v>
      </c>
      <c r="J397" t="s">
        <v>803</v>
      </c>
      <c r="K397" t="s">
        <v>803</v>
      </c>
      <c r="L397" t="s">
        <v>778</v>
      </c>
      <c r="M397" t="s">
        <v>803</v>
      </c>
      <c r="N397" t="s">
        <v>822</v>
      </c>
      <c r="O397" t="s">
        <v>803</v>
      </c>
      <c r="P397" t="s">
        <v>942</v>
      </c>
      <c r="Q397" t="s">
        <v>942</v>
      </c>
      <c r="R397" t="s">
        <v>942</v>
      </c>
      <c r="S397" t="s">
        <v>913</v>
      </c>
      <c r="T397" t="s">
        <v>885</v>
      </c>
      <c r="U397" t="s">
        <v>1020</v>
      </c>
      <c r="V397" t="s">
        <v>788</v>
      </c>
      <c r="W397" t="s">
        <v>1008</v>
      </c>
      <c r="X397" t="s">
        <v>1009</v>
      </c>
      <c r="Y397" t="s">
        <v>1008</v>
      </c>
      <c r="Z397" t="s">
        <v>1008</v>
      </c>
      <c r="AA397" t="s">
        <v>2384</v>
      </c>
      <c r="AB397" t="s">
        <v>803</v>
      </c>
      <c r="AC397" t="s">
        <v>846</v>
      </c>
      <c r="AD397" t="s">
        <v>939</v>
      </c>
    </row>
    <row r="398" spans="1:30">
      <c r="A398" t="s">
        <v>8</v>
      </c>
      <c r="B398" t="s">
        <v>2385</v>
      </c>
      <c r="C398" t="s">
        <v>536</v>
      </c>
      <c r="D398" t="s">
        <v>845</v>
      </c>
      <c r="E398" t="s">
        <v>845</v>
      </c>
      <c r="F398" t="s">
        <v>803</v>
      </c>
      <c r="G398" t="s">
        <v>778</v>
      </c>
      <c r="H398" t="s">
        <v>803</v>
      </c>
      <c r="I398" t="s">
        <v>803</v>
      </c>
      <c r="J398" t="s">
        <v>803</v>
      </c>
      <c r="K398" t="s">
        <v>803</v>
      </c>
      <c r="L398" t="s">
        <v>778</v>
      </c>
      <c r="M398" t="s">
        <v>803</v>
      </c>
      <c r="N398" t="s">
        <v>778</v>
      </c>
      <c r="O398" t="s">
        <v>803</v>
      </c>
      <c r="P398" t="s">
        <v>1312</v>
      </c>
      <c r="Q398" t="s">
        <v>1312</v>
      </c>
      <c r="R398" t="s">
        <v>1312</v>
      </c>
      <c r="S398" t="s">
        <v>1494</v>
      </c>
      <c r="T398" t="s">
        <v>939</v>
      </c>
      <c r="U398" t="s">
        <v>869</v>
      </c>
      <c r="V398" t="s">
        <v>961</v>
      </c>
      <c r="W398" t="s">
        <v>1008</v>
      </c>
      <c r="X398" t="s">
        <v>1009</v>
      </c>
      <c r="Y398" t="s">
        <v>1008</v>
      </c>
      <c r="Z398" t="s">
        <v>1008</v>
      </c>
      <c r="AA398" t="s">
        <v>1218</v>
      </c>
      <c r="AB398" t="s">
        <v>803</v>
      </c>
      <c r="AC398" t="s">
        <v>845</v>
      </c>
      <c r="AD398" t="s">
        <v>939</v>
      </c>
    </row>
    <row r="399" spans="1:30">
      <c r="A399" t="s">
        <v>48</v>
      </c>
      <c r="B399" t="s">
        <v>167</v>
      </c>
      <c r="C399" t="s">
        <v>772</v>
      </c>
      <c r="D399" t="s">
        <v>1208</v>
      </c>
      <c r="E399" t="s">
        <v>1574</v>
      </c>
      <c r="F399" t="s">
        <v>863</v>
      </c>
      <c r="G399" t="s">
        <v>805</v>
      </c>
      <c r="H399" t="s">
        <v>863</v>
      </c>
      <c r="I399" t="s">
        <v>803</v>
      </c>
      <c r="J399" t="s">
        <v>778</v>
      </c>
      <c r="K399" t="s">
        <v>821</v>
      </c>
      <c r="L399" t="s">
        <v>826</v>
      </c>
      <c r="M399" t="s">
        <v>822</v>
      </c>
      <c r="N399" t="s">
        <v>864</v>
      </c>
      <c r="O399" t="s">
        <v>845</v>
      </c>
      <c r="P399" t="s">
        <v>942</v>
      </c>
      <c r="Q399" t="s">
        <v>944</v>
      </c>
      <c r="R399" t="s">
        <v>2225</v>
      </c>
      <c r="S399" t="s">
        <v>1605</v>
      </c>
      <c r="T399" t="s">
        <v>931</v>
      </c>
      <c r="U399" t="s">
        <v>1372</v>
      </c>
      <c r="V399" t="s">
        <v>1007</v>
      </c>
      <c r="W399" t="s">
        <v>1346</v>
      </c>
      <c r="X399" t="s">
        <v>1458</v>
      </c>
      <c r="Y399" t="s">
        <v>1490</v>
      </c>
      <c r="Z399" t="s">
        <v>1155</v>
      </c>
      <c r="AA399" t="s">
        <v>1955</v>
      </c>
      <c r="AB399" t="s">
        <v>779</v>
      </c>
      <c r="AC399" t="s">
        <v>2055</v>
      </c>
      <c r="AD399" t="s">
        <v>2083</v>
      </c>
    </row>
    <row r="400" spans="1:30">
      <c r="A400" t="s">
        <v>48</v>
      </c>
      <c r="B400" t="s">
        <v>424</v>
      </c>
      <c r="C400" t="s">
        <v>819</v>
      </c>
      <c r="D400" t="s">
        <v>1208</v>
      </c>
      <c r="E400" t="s">
        <v>1077</v>
      </c>
      <c r="F400" t="s">
        <v>779</v>
      </c>
      <c r="G400" t="s">
        <v>776</v>
      </c>
      <c r="H400" t="s">
        <v>777</v>
      </c>
      <c r="I400" t="s">
        <v>778</v>
      </c>
      <c r="J400" t="s">
        <v>822</v>
      </c>
      <c r="K400" t="s">
        <v>1232</v>
      </c>
      <c r="L400" t="s">
        <v>1184</v>
      </c>
      <c r="M400" t="s">
        <v>782</v>
      </c>
      <c r="N400" t="s">
        <v>780</v>
      </c>
      <c r="O400" t="s">
        <v>803</v>
      </c>
      <c r="P400" t="s">
        <v>1199</v>
      </c>
      <c r="Q400" t="s">
        <v>1392</v>
      </c>
      <c r="R400" t="s">
        <v>913</v>
      </c>
      <c r="S400" t="s">
        <v>2092</v>
      </c>
      <c r="T400" t="s">
        <v>1020</v>
      </c>
      <c r="U400" t="s">
        <v>1722</v>
      </c>
      <c r="V400" t="s">
        <v>790</v>
      </c>
      <c r="W400" t="s">
        <v>1257</v>
      </c>
      <c r="X400" t="s">
        <v>1930</v>
      </c>
      <c r="Y400" t="s">
        <v>1484</v>
      </c>
      <c r="Z400" t="s">
        <v>1041</v>
      </c>
      <c r="AA400" t="s">
        <v>1913</v>
      </c>
      <c r="AB400" t="s">
        <v>863</v>
      </c>
      <c r="AC400" t="s">
        <v>1042</v>
      </c>
      <c r="AD400" t="s">
        <v>1713</v>
      </c>
    </row>
    <row r="401" spans="1:30">
      <c r="A401" t="s">
        <v>48</v>
      </c>
      <c r="B401" t="s">
        <v>196</v>
      </c>
      <c r="C401" t="s">
        <v>536</v>
      </c>
      <c r="D401" t="s">
        <v>842</v>
      </c>
      <c r="E401" t="s">
        <v>1045</v>
      </c>
      <c r="F401" t="s">
        <v>775</v>
      </c>
      <c r="G401" t="s">
        <v>776</v>
      </c>
      <c r="H401" t="s">
        <v>821</v>
      </c>
      <c r="I401" t="s">
        <v>803</v>
      </c>
      <c r="J401" t="s">
        <v>858</v>
      </c>
      <c r="K401" t="s">
        <v>782</v>
      </c>
      <c r="L401" t="s">
        <v>1309</v>
      </c>
      <c r="M401" t="s">
        <v>863</v>
      </c>
      <c r="N401" t="s">
        <v>1184</v>
      </c>
      <c r="O401" t="s">
        <v>778</v>
      </c>
      <c r="P401" t="s">
        <v>1262</v>
      </c>
      <c r="Q401" t="s">
        <v>1399</v>
      </c>
      <c r="R401" t="s">
        <v>2386</v>
      </c>
      <c r="S401" t="s">
        <v>2387</v>
      </c>
      <c r="T401" t="s">
        <v>1188</v>
      </c>
      <c r="U401" t="s">
        <v>1581</v>
      </c>
      <c r="V401" t="s">
        <v>999</v>
      </c>
      <c r="W401" t="s">
        <v>1622</v>
      </c>
      <c r="X401" t="s">
        <v>934</v>
      </c>
      <c r="Y401" t="s">
        <v>1582</v>
      </c>
      <c r="Z401" t="s">
        <v>1150</v>
      </c>
      <c r="AA401" t="s">
        <v>1666</v>
      </c>
      <c r="AB401" t="s">
        <v>802</v>
      </c>
      <c r="AC401" t="s">
        <v>1300</v>
      </c>
      <c r="AD401" t="s">
        <v>2222</v>
      </c>
    </row>
    <row r="402" spans="1:30">
      <c r="A402" t="s">
        <v>48</v>
      </c>
      <c r="B402" t="s">
        <v>414</v>
      </c>
      <c r="C402" t="s">
        <v>910</v>
      </c>
      <c r="D402" t="s">
        <v>842</v>
      </c>
      <c r="E402" t="s">
        <v>843</v>
      </c>
      <c r="F402" t="s">
        <v>863</v>
      </c>
      <c r="G402" t="s">
        <v>773</v>
      </c>
      <c r="H402" t="s">
        <v>821</v>
      </c>
      <c r="I402" t="s">
        <v>803</v>
      </c>
      <c r="J402" t="s">
        <v>845</v>
      </c>
      <c r="K402" t="s">
        <v>1232</v>
      </c>
      <c r="L402" t="s">
        <v>1184</v>
      </c>
      <c r="M402" t="s">
        <v>858</v>
      </c>
      <c r="N402" t="s">
        <v>926</v>
      </c>
      <c r="O402" t="s">
        <v>778</v>
      </c>
      <c r="P402" t="s">
        <v>1408</v>
      </c>
      <c r="Q402" t="s">
        <v>883</v>
      </c>
      <c r="R402" t="s">
        <v>1456</v>
      </c>
      <c r="S402" t="s">
        <v>2388</v>
      </c>
      <c r="T402" t="s">
        <v>939</v>
      </c>
      <c r="U402" t="s">
        <v>878</v>
      </c>
      <c r="V402" t="s">
        <v>1440</v>
      </c>
      <c r="W402" t="s">
        <v>979</v>
      </c>
      <c r="X402" t="s">
        <v>1755</v>
      </c>
      <c r="Y402" t="s">
        <v>1839</v>
      </c>
      <c r="Z402" t="s">
        <v>856</v>
      </c>
      <c r="AA402" t="s">
        <v>2053</v>
      </c>
      <c r="AB402" t="s">
        <v>863</v>
      </c>
      <c r="AC402" t="s">
        <v>1066</v>
      </c>
      <c r="AD402" t="s">
        <v>2320</v>
      </c>
    </row>
    <row r="403" spans="1:30">
      <c r="A403" t="s">
        <v>48</v>
      </c>
      <c r="B403" t="s">
        <v>274</v>
      </c>
      <c r="C403" t="s">
        <v>1068</v>
      </c>
      <c r="D403" t="s">
        <v>1208</v>
      </c>
      <c r="E403" t="s">
        <v>1250</v>
      </c>
      <c r="F403" t="s">
        <v>971</v>
      </c>
      <c r="G403" t="s">
        <v>825</v>
      </c>
      <c r="H403" t="s">
        <v>822</v>
      </c>
      <c r="I403" t="s">
        <v>803</v>
      </c>
      <c r="J403" t="s">
        <v>778</v>
      </c>
      <c r="K403" t="s">
        <v>822</v>
      </c>
      <c r="L403" t="s">
        <v>805</v>
      </c>
      <c r="M403" t="s">
        <v>780</v>
      </c>
      <c r="N403" t="s">
        <v>775</v>
      </c>
      <c r="O403" t="s">
        <v>845</v>
      </c>
      <c r="P403" t="s">
        <v>897</v>
      </c>
      <c r="Q403" t="s">
        <v>956</v>
      </c>
      <c r="R403" t="s">
        <v>1262</v>
      </c>
      <c r="S403" t="s">
        <v>1777</v>
      </c>
      <c r="T403" t="s">
        <v>946</v>
      </c>
      <c r="U403" t="s">
        <v>1616</v>
      </c>
      <c r="V403" t="s">
        <v>1638</v>
      </c>
      <c r="W403" t="s">
        <v>1642</v>
      </c>
      <c r="X403" t="s">
        <v>1238</v>
      </c>
      <c r="Y403" t="s">
        <v>1622</v>
      </c>
      <c r="Z403" t="s">
        <v>866</v>
      </c>
      <c r="AA403" t="s">
        <v>2389</v>
      </c>
      <c r="AB403" t="s">
        <v>777</v>
      </c>
      <c r="AC403" t="s">
        <v>1496</v>
      </c>
      <c r="AD403" t="s">
        <v>2022</v>
      </c>
    </row>
    <row r="404" spans="1:30">
      <c r="A404" t="s">
        <v>48</v>
      </c>
      <c r="B404" t="s">
        <v>310</v>
      </c>
      <c r="C404" t="s">
        <v>879</v>
      </c>
      <c r="D404" t="s">
        <v>925</v>
      </c>
      <c r="E404" t="s">
        <v>1429</v>
      </c>
      <c r="F404" t="s">
        <v>796</v>
      </c>
      <c r="G404" t="s">
        <v>776</v>
      </c>
      <c r="H404" t="s">
        <v>846</v>
      </c>
      <c r="I404" t="s">
        <v>803</v>
      </c>
      <c r="J404" t="s">
        <v>863</v>
      </c>
      <c r="K404" t="s">
        <v>825</v>
      </c>
      <c r="L404" t="s">
        <v>1437</v>
      </c>
      <c r="M404" t="s">
        <v>846</v>
      </c>
      <c r="N404" t="s">
        <v>926</v>
      </c>
      <c r="O404" t="s">
        <v>778</v>
      </c>
      <c r="P404" t="s">
        <v>1460</v>
      </c>
      <c r="Q404" t="s">
        <v>1634</v>
      </c>
      <c r="R404" t="s">
        <v>2160</v>
      </c>
      <c r="S404" t="s">
        <v>2390</v>
      </c>
      <c r="T404" t="s">
        <v>960</v>
      </c>
      <c r="U404" t="s">
        <v>860</v>
      </c>
      <c r="V404" t="s">
        <v>1872</v>
      </c>
      <c r="W404" t="s">
        <v>1560</v>
      </c>
      <c r="X404" t="s">
        <v>1332</v>
      </c>
      <c r="Y404" t="s">
        <v>2086</v>
      </c>
      <c r="Z404" t="s">
        <v>1890</v>
      </c>
      <c r="AA404" t="s">
        <v>1205</v>
      </c>
      <c r="AB404" t="s">
        <v>802</v>
      </c>
      <c r="AC404" t="s">
        <v>1975</v>
      </c>
      <c r="AD404" t="s">
        <v>1237</v>
      </c>
    </row>
    <row r="405" spans="1:30">
      <c r="A405" t="s">
        <v>48</v>
      </c>
      <c r="B405" t="s">
        <v>47</v>
      </c>
      <c r="C405" t="s">
        <v>1079</v>
      </c>
      <c r="D405" t="s">
        <v>773</v>
      </c>
      <c r="E405" t="s">
        <v>908</v>
      </c>
      <c r="F405" t="s">
        <v>782</v>
      </c>
      <c r="G405" t="s">
        <v>1232</v>
      </c>
      <c r="H405" t="s">
        <v>845</v>
      </c>
      <c r="I405" t="s">
        <v>803</v>
      </c>
      <c r="J405" t="s">
        <v>778</v>
      </c>
      <c r="K405" t="s">
        <v>845</v>
      </c>
      <c r="L405" t="s">
        <v>805</v>
      </c>
      <c r="M405" t="s">
        <v>858</v>
      </c>
      <c r="N405" t="s">
        <v>1221</v>
      </c>
      <c r="O405" t="s">
        <v>821</v>
      </c>
      <c r="P405" t="s">
        <v>1363</v>
      </c>
      <c r="Q405" t="s">
        <v>943</v>
      </c>
      <c r="R405" t="s">
        <v>898</v>
      </c>
      <c r="S405" t="s">
        <v>2386</v>
      </c>
      <c r="T405" t="s">
        <v>946</v>
      </c>
      <c r="U405" t="s">
        <v>1052</v>
      </c>
      <c r="V405" t="s">
        <v>1063</v>
      </c>
      <c r="W405" t="s">
        <v>791</v>
      </c>
      <c r="X405" t="s">
        <v>1848</v>
      </c>
      <c r="Y405" t="s">
        <v>1136</v>
      </c>
      <c r="Z405" t="s">
        <v>1363</v>
      </c>
      <c r="AA405" t="s">
        <v>1027</v>
      </c>
      <c r="AB405" t="s">
        <v>822</v>
      </c>
      <c r="AC405" t="s">
        <v>1661</v>
      </c>
      <c r="AD405" t="s">
        <v>2391</v>
      </c>
    </row>
    <row r="406" spans="1:30">
      <c r="A406" t="s">
        <v>48</v>
      </c>
      <c r="B406" t="s">
        <v>163</v>
      </c>
      <c r="C406" t="s">
        <v>841</v>
      </c>
      <c r="D406" t="s">
        <v>776</v>
      </c>
      <c r="E406" t="s">
        <v>1351</v>
      </c>
      <c r="F406" t="s">
        <v>971</v>
      </c>
      <c r="G406" t="s">
        <v>805</v>
      </c>
      <c r="H406" t="s">
        <v>822</v>
      </c>
      <c r="I406" t="s">
        <v>778</v>
      </c>
      <c r="J406" t="s">
        <v>778</v>
      </c>
      <c r="K406" t="s">
        <v>823</v>
      </c>
      <c r="L406" t="s">
        <v>1208</v>
      </c>
      <c r="M406" t="s">
        <v>823</v>
      </c>
      <c r="N406" t="s">
        <v>805</v>
      </c>
      <c r="O406" t="s">
        <v>845</v>
      </c>
      <c r="P406" t="s">
        <v>1582</v>
      </c>
      <c r="Q406" t="s">
        <v>1167</v>
      </c>
      <c r="R406" t="s">
        <v>966</v>
      </c>
      <c r="S406" t="s">
        <v>2312</v>
      </c>
      <c r="T406" t="s">
        <v>901</v>
      </c>
      <c r="U406" t="s">
        <v>1230</v>
      </c>
      <c r="V406" t="s">
        <v>1214</v>
      </c>
      <c r="W406" t="s">
        <v>1764</v>
      </c>
      <c r="X406" t="s">
        <v>1905</v>
      </c>
      <c r="Y406" t="s">
        <v>2034</v>
      </c>
      <c r="Z406" t="s">
        <v>881</v>
      </c>
      <c r="AA406" t="s">
        <v>1891</v>
      </c>
      <c r="AB406" t="s">
        <v>846</v>
      </c>
      <c r="AC406" t="s">
        <v>1661</v>
      </c>
      <c r="AD406" t="s">
        <v>2392</v>
      </c>
    </row>
    <row r="407" spans="1:30">
      <c r="A407" t="s">
        <v>48</v>
      </c>
      <c r="B407" t="s">
        <v>440</v>
      </c>
      <c r="C407" t="s">
        <v>799</v>
      </c>
      <c r="D407" t="s">
        <v>805</v>
      </c>
      <c r="E407" t="s">
        <v>896</v>
      </c>
      <c r="F407" t="s">
        <v>823</v>
      </c>
      <c r="G407" t="s">
        <v>862</v>
      </c>
      <c r="H407" t="s">
        <v>777</v>
      </c>
      <c r="I407" t="s">
        <v>803</v>
      </c>
      <c r="J407" t="s">
        <v>778</v>
      </c>
      <c r="K407" t="s">
        <v>779</v>
      </c>
      <c r="L407" t="s">
        <v>844</v>
      </c>
      <c r="M407" t="s">
        <v>821</v>
      </c>
      <c r="N407" t="s">
        <v>1015</v>
      </c>
      <c r="O407" t="s">
        <v>845</v>
      </c>
      <c r="P407" t="s">
        <v>1116</v>
      </c>
      <c r="Q407" t="s">
        <v>1460</v>
      </c>
      <c r="R407" t="s">
        <v>1618</v>
      </c>
      <c r="S407" t="s">
        <v>1964</v>
      </c>
      <c r="T407" t="s">
        <v>1337</v>
      </c>
      <c r="U407" t="s">
        <v>1062</v>
      </c>
      <c r="V407" t="s">
        <v>978</v>
      </c>
      <c r="W407" t="s">
        <v>1108</v>
      </c>
      <c r="X407" t="s">
        <v>1347</v>
      </c>
      <c r="Y407" t="s">
        <v>1074</v>
      </c>
      <c r="Z407" t="s">
        <v>897</v>
      </c>
      <c r="AA407" t="s">
        <v>1573</v>
      </c>
      <c r="AB407" t="s">
        <v>846</v>
      </c>
      <c r="AC407" t="s">
        <v>1113</v>
      </c>
      <c r="AD407" t="s">
        <v>1352</v>
      </c>
    </row>
    <row r="408" spans="1:30">
      <c r="A408" t="s">
        <v>48</v>
      </c>
      <c r="B408" t="s">
        <v>2393</v>
      </c>
      <c r="C408" t="s">
        <v>1079</v>
      </c>
      <c r="D408" t="s">
        <v>925</v>
      </c>
      <c r="E408" t="s">
        <v>1358</v>
      </c>
      <c r="F408" t="s">
        <v>777</v>
      </c>
      <c r="G408" t="s">
        <v>796</v>
      </c>
      <c r="H408" t="s">
        <v>846</v>
      </c>
      <c r="I408" t="s">
        <v>778</v>
      </c>
      <c r="J408" t="s">
        <v>803</v>
      </c>
      <c r="K408" t="s">
        <v>821</v>
      </c>
      <c r="L408" t="s">
        <v>805</v>
      </c>
      <c r="M408" t="s">
        <v>777</v>
      </c>
      <c r="N408" t="s">
        <v>782</v>
      </c>
      <c r="O408" t="s">
        <v>846</v>
      </c>
      <c r="P408" t="s">
        <v>1425</v>
      </c>
      <c r="Q408" t="s">
        <v>1986</v>
      </c>
      <c r="R408" t="s">
        <v>1200</v>
      </c>
      <c r="S408" t="s">
        <v>1212</v>
      </c>
      <c r="T408" t="s">
        <v>831</v>
      </c>
      <c r="U408" t="s">
        <v>1527</v>
      </c>
      <c r="V408" t="s">
        <v>1287</v>
      </c>
      <c r="W408" t="s">
        <v>1366</v>
      </c>
      <c r="X408" t="s">
        <v>1266</v>
      </c>
      <c r="Y408" t="s">
        <v>1465</v>
      </c>
      <c r="Z408" t="s">
        <v>1425</v>
      </c>
      <c r="AA408" t="s">
        <v>1487</v>
      </c>
      <c r="AB408" t="s">
        <v>821</v>
      </c>
      <c r="AC408" t="s">
        <v>1368</v>
      </c>
      <c r="AD408" t="s">
        <v>939</v>
      </c>
    </row>
    <row r="409" spans="1:30">
      <c r="A409" t="s">
        <v>48</v>
      </c>
      <c r="B409" t="s">
        <v>2394</v>
      </c>
      <c r="C409" t="s">
        <v>799</v>
      </c>
      <c r="D409" t="s">
        <v>775</v>
      </c>
      <c r="E409" t="s">
        <v>1309</v>
      </c>
      <c r="F409" t="s">
        <v>777</v>
      </c>
      <c r="G409" t="s">
        <v>863</v>
      </c>
      <c r="H409" t="s">
        <v>845</v>
      </c>
      <c r="I409" t="s">
        <v>803</v>
      </c>
      <c r="J409" t="s">
        <v>778</v>
      </c>
      <c r="K409" t="s">
        <v>858</v>
      </c>
      <c r="L409" t="s">
        <v>802</v>
      </c>
      <c r="M409" t="s">
        <v>777</v>
      </c>
      <c r="N409" t="s">
        <v>971</v>
      </c>
      <c r="O409" t="s">
        <v>845</v>
      </c>
      <c r="P409" t="s">
        <v>1000</v>
      </c>
      <c r="Q409" t="s">
        <v>1053</v>
      </c>
      <c r="R409" t="s">
        <v>1199</v>
      </c>
      <c r="S409" t="s">
        <v>848</v>
      </c>
      <c r="T409" t="s">
        <v>885</v>
      </c>
      <c r="U409" t="s">
        <v>948</v>
      </c>
      <c r="V409" t="s">
        <v>1051</v>
      </c>
      <c r="W409" t="s">
        <v>2015</v>
      </c>
      <c r="X409" t="s">
        <v>1179</v>
      </c>
      <c r="Y409" t="s">
        <v>1100</v>
      </c>
      <c r="Z409" t="s">
        <v>1604</v>
      </c>
      <c r="AA409" t="s">
        <v>967</v>
      </c>
      <c r="AB409" t="s">
        <v>822</v>
      </c>
      <c r="AC409" t="s">
        <v>1115</v>
      </c>
      <c r="AD409" t="s">
        <v>2395</v>
      </c>
    </row>
    <row r="410" spans="1:30">
      <c r="A410" t="s">
        <v>48</v>
      </c>
      <c r="B410" t="s">
        <v>2396</v>
      </c>
      <c r="C410" t="s">
        <v>879</v>
      </c>
      <c r="D410" t="s">
        <v>1232</v>
      </c>
      <c r="E410" t="s">
        <v>1517</v>
      </c>
      <c r="F410" t="s">
        <v>822</v>
      </c>
      <c r="G410" t="s">
        <v>802</v>
      </c>
      <c r="H410" t="s">
        <v>778</v>
      </c>
      <c r="I410" t="s">
        <v>803</v>
      </c>
      <c r="J410" t="s">
        <v>803</v>
      </c>
      <c r="K410" t="s">
        <v>858</v>
      </c>
      <c r="L410" t="s">
        <v>796</v>
      </c>
      <c r="M410" t="s">
        <v>845</v>
      </c>
      <c r="N410" t="s">
        <v>858</v>
      </c>
      <c r="O410" t="s">
        <v>845</v>
      </c>
      <c r="P410" t="s">
        <v>1117</v>
      </c>
      <c r="Q410" t="s">
        <v>1799</v>
      </c>
      <c r="R410" t="s">
        <v>1253</v>
      </c>
      <c r="S410" t="s">
        <v>1643</v>
      </c>
      <c r="T410" t="s">
        <v>901</v>
      </c>
      <c r="U410" t="s">
        <v>989</v>
      </c>
      <c r="V410" t="s">
        <v>1121</v>
      </c>
      <c r="W410" t="s">
        <v>1709</v>
      </c>
      <c r="X410" t="s">
        <v>1164</v>
      </c>
      <c r="Y410" t="s">
        <v>2370</v>
      </c>
      <c r="Z410" t="s">
        <v>791</v>
      </c>
      <c r="AA410" t="s">
        <v>2166</v>
      </c>
      <c r="AB410" t="s">
        <v>778</v>
      </c>
      <c r="AC410" t="s">
        <v>1115</v>
      </c>
      <c r="AD410" t="s">
        <v>939</v>
      </c>
    </row>
    <row r="411" spans="1:30">
      <c r="A411" t="s">
        <v>48</v>
      </c>
      <c r="B411" t="s">
        <v>2397</v>
      </c>
      <c r="C411" t="s">
        <v>536</v>
      </c>
      <c r="D411" t="s">
        <v>1232</v>
      </c>
      <c r="E411" t="s">
        <v>783</v>
      </c>
      <c r="F411" t="s">
        <v>778</v>
      </c>
      <c r="G411" t="s">
        <v>823</v>
      </c>
      <c r="H411" t="s">
        <v>777</v>
      </c>
      <c r="I411" t="s">
        <v>803</v>
      </c>
      <c r="J411" t="s">
        <v>803</v>
      </c>
      <c r="K411" t="s">
        <v>777</v>
      </c>
      <c r="L411" t="s">
        <v>796</v>
      </c>
      <c r="M411" t="s">
        <v>778</v>
      </c>
      <c r="N411" t="s">
        <v>779</v>
      </c>
      <c r="O411" t="s">
        <v>803</v>
      </c>
      <c r="P411" t="s">
        <v>1139</v>
      </c>
      <c r="Q411" t="s">
        <v>2031</v>
      </c>
      <c r="R411" t="s">
        <v>1385</v>
      </c>
      <c r="S411" t="s">
        <v>1563</v>
      </c>
      <c r="T411" t="s">
        <v>901</v>
      </c>
      <c r="U411" t="s">
        <v>1564</v>
      </c>
      <c r="V411" t="s">
        <v>1063</v>
      </c>
      <c r="W411" t="s">
        <v>2359</v>
      </c>
      <c r="X411" t="s">
        <v>1282</v>
      </c>
      <c r="Y411" t="s">
        <v>1339</v>
      </c>
      <c r="Z411" t="s">
        <v>834</v>
      </c>
      <c r="AA411" t="s">
        <v>1027</v>
      </c>
      <c r="AB411" t="s">
        <v>777</v>
      </c>
      <c r="AC411" t="s">
        <v>983</v>
      </c>
      <c r="AD411" t="s">
        <v>939</v>
      </c>
    </row>
    <row r="412" spans="1:30">
      <c r="A412" t="s">
        <v>48</v>
      </c>
      <c r="B412" t="s">
        <v>2398</v>
      </c>
      <c r="C412" t="s">
        <v>772</v>
      </c>
      <c r="D412" t="s">
        <v>821</v>
      </c>
      <c r="E412" t="s">
        <v>858</v>
      </c>
      <c r="F412" t="s">
        <v>778</v>
      </c>
      <c r="G412" t="s">
        <v>778</v>
      </c>
      <c r="H412" t="s">
        <v>803</v>
      </c>
      <c r="I412" t="s">
        <v>803</v>
      </c>
      <c r="J412" t="s">
        <v>803</v>
      </c>
      <c r="K412" t="s">
        <v>803</v>
      </c>
      <c r="L412" t="s">
        <v>778</v>
      </c>
      <c r="M412" t="s">
        <v>803</v>
      </c>
      <c r="N412" t="s">
        <v>822</v>
      </c>
      <c r="O412" t="s">
        <v>803</v>
      </c>
      <c r="P412" t="s">
        <v>992</v>
      </c>
      <c r="Q412" t="s">
        <v>992</v>
      </c>
      <c r="R412" t="s">
        <v>992</v>
      </c>
      <c r="S412" t="s">
        <v>986</v>
      </c>
      <c r="T412" t="s">
        <v>885</v>
      </c>
      <c r="U412" t="s">
        <v>885</v>
      </c>
      <c r="V412" t="s">
        <v>931</v>
      </c>
      <c r="W412" t="s">
        <v>1008</v>
      </c>
      <c r="X412" t="s">
        <v>1009</v>
      </c>
      <c r="Y412" t="s">
        <v>1008</v>
      </c>
      <c r="Z412" t="s">
        <v>1008</v>
      </c>
      <c r="AA412" t="s">
        <v>1406</v>
      </c>
      <c r="AB412" t="s">
        <v>803</v>
      </c>
      <c r="AC412" t="s">
        <v>858</v>
      </c>
      <c r="AD412" t="s">
        <v>939</v>
      </c>
    </row>
    <row r="413" spans="1:30">
      <c r="A413" t="s">
        <v>48</v>
      </c>
      <c r="B413" t="s">
        <v>2399</v>
      </c>
      <c r="C413" t="s">
        <v>536</v>
      </c>
      <c r="D413" t="s">
        <v>822</v>
      </c>
      <c r="E413" t="s">
        <v>846</v>
      </c>
      <c r="F413" t="s">
        <v>845</v>
      </c>
      <c r="G413" t="s">
        <v>845</v>
      </c>
      <c r="H413" t="s">
        <v>803</v>
      </c>
      <c r="I413" t="s">
        <v>803</v>
      </c>
      <c r="J413" t="s">
        <v>778</v>
      </c>
      <c r="K413" t="s">
        <v>845</v>
      </c>
      <c r="L413" t="s">
        <v>846</v>
      </c>
      <c r="M413" t="s">
        <v>803</v>
      </c>
      <c r="N413" t="s">
        <v>845</v>
      </c>
      <c r="O413" t="s">
        <v>803</v>
      </c>
      <c r="P413" t="s">
        <v>913</v>
      </c>
      <c r="Q413" t="s">
        <v>913</v>
      </c>
      <c r="R413" t="s">
        <v>1494</v>
      </c>
      <c r="S413" t="s">
        <v>2400</v>
      </c>
      <c r="T413" t="s">
        <v>1020</v>
      </c>
      <c r="U413" t="s">
        <v>948</v>
      </c>
      <c r="V413" t="s">
        <v>1820</v>
      </c>
      <c r="W413" t="s">
        <v>1008</v>
      </c>
      <c r="X413" t="s">
        <v>1009</v>
      </c>
      <c r="Y413" t="s">
        <v>1884</v>
      </c>
      <c r="Z413" t="s">
        <v>1884</v>
      </c>
      <c r="AA413" t="s">
        <v>937</v>
      </c>
      <c r="AB413" t="s">
        <v>778</v>
      </c>
      <c r="AC413" t="s">
        <v>846</v>
      </c>
      <c r="AD413" t="s">
        <v>1143</v>
      </c>
    </row>
    <row r="414" spans="1:30">
      <c r="A414" t="s">
        <v>11</v>
      </c>
      <c r="B414" t="s">
        <v>276</v>
      </c>
      <c r="C414" t="s">
        <v>879</v>
      </c>
      <c r="D414" t="s">
        <v>1015</v>
      </c>
      <c r="E414" t="s">
        <v>1574</v>
      </c>
      <c r="F414" t="s">
        <v>926</v>
      </c>
      <c r="G414" t="s">
        <v>776</v>
      </c>
      <c r="H414" t="s">
        <v>846</v>
      </c>
      <c r="I414" t="s">
        <v>803</v>
      </c>
      <c r="J414" t="s">
        <v>822</v>
      </c>
      <c r="K414" t="s">
        <v>802</v>
      </c>
      <c r="L414" t="s">
        <v>1158</v>
      </c>
      <c r="M414" t="s">
        <v>796</v>
      </c>
      <c r="N414" t="s">
        <v>842</v>
      </c>
      <c r="O414" t="s">
        <v>822</v>
      </c>
      <c r="P414" t="s">
        <v>928</v>
      </c>
      <c r="Q414" t="s">
        <v>866</v>
      </c>
      <c r="R414" t="s">
        <v>883</v>
      </c>
      <c r="S414" t="s">
        <v>2169</v>
      </c>
      <c r="T414" t="s">
        <v>939</v>
      </c>
      <c r="U414" t="s">
        <v>2050</v>
      </c>
      <c r="V414" t="s">
        <v>790</v>
      </c>
      <c r="W414" t="s">
        <v>2401</v>
      </c>
      <c r="X414" t="s">
        <v>1501</v>
      </c>
      <c r="Y414" t="s">
        <v>1592</v>
      </c>
      <c r="Z414" t="s">
        <v>2029</v>
      </c>
      <c r="AA414" t="s">
        <v>1090</v>
      </c>
      <c r="AB414" t="s">
        <v>863</v>
      </c>
      <c r="AC414" t="s">
        <v>1319</v>
      </c>
      <c r="AD414" t="s">
        <v>894</v>
      </c>
    </row>
    <row r="415" spans="1:30">
      <c r="A415" t="s">
        <v>11</v>
      </c>
      <c r="B415" t="s">
        <v>177</v>
      </c>
      <c r="C415" t="s">
        <v>819</v>
      </c>
      <c r="D415" t="s">
        <v>842</v>
      </c>
      <c r="E415" t="s">
        <v>1029</v>
      </c>
      <c r="F415" t="s">
        <v>823</v>
      </c>
      <c r="G415" t="s">
        <v>773</v>
      </c>
      <c r="H415" t="s">
        <v>858</v>
      </c>
      <c r="I415" t="s">
        <v>778</v>
      </c>
      <c r="J415" t="s">
        <v>822</v>
      </c>
      <c r="K415" t="s">
        <v>825</v>
      </c>
      <c r="L415" t="s">
        <v>1129</v>
      </c>
      <c r="M415" t="s">
        <v>779</v>
      </c>
      <c r="N415" t="s">
        <v>796</v>
      </c>
      <c r="O415" t="s">
        <v>803</v>
      </c>
      <c r="P415" t="s">
        <v>1779</v>
      </c>
      <c r="Q415" t="s">
        <v>956</v>
      </c>
      <c r="R415" t="s">
        <v>2402</v>
      </c>
      <c r="S415" t="s">
        <v>2403</v>
      </c>
      <c r="T415" t="s">
        <v>932</v>
      </c>
      <c r="U415" t="s">
        <v>2227</v>
      </c>
      <c r="V415" t="s">
        <v>1143</v>
      </c>
      <c r="W415" t="s">
        <v>1108</v>
      </c>
      <c r="X415" t="s">
        <v>2186</v>
      </c>
      <c r="Y415" t="s">
        <v>2291</v>
      </c>
      <c r="Z415" t="s">
        <v>1041</v>
      </c>
      <c r="AA415" t="s">
        <v>2167</v>
      </c>
      <c r="AB415" t="s">
        <v>782</v>
      </c>
      <c r="AC415" t="s">
        <v>1757</v>
      </c>
      <c r="AD415" t="s">
        <v>1822</v>
      </c>
    </row>
    <row r="416" spans="1:30">
      <c r="A416" t="s">
        <v>11</v>
      </c>
      <c r="B416" t="s">
        <v>395</v>
      </c>
      <c r="C416" t="s">
        <v>1207</v>
      </c>
      <c r="D416" t="s">
        <v>1015</v>
      </c>
      <c r="E416" t="s">
        <v>1594</v>
      </c>
      <c r="F416" t="s">
        <v>775</v>
      </c>
      <c r="G416" t="s">
        <v>1015</v>
      </c>
      <c r="H416" t="s">
        <v>846</v>
      </c>
      <c r="I416" t="s">
        <v>803</v>
      </c>
      <c r="J416" t="s">
        <v>821</v>
      </c>
      <c r="K416" t="s">
        <v>971</v>
      </c>
      <c r="L416" t="s">
        <v>804</v>
      </c>
      <c r="M416" t="s">
        <v>926</v>
      </c>
      <c r="N416" t="s">
        <v>1030</v>
      </c>
      <c r="O416" t="s">
        <v>822</v>
      </c>
      <c r="P416" t="s">
        <v>2031</v>
      </c>
      <c r="Q416" t="s">
        <v>2149</v>
      </c>
      <c r="R416" t="s">
        <v>2404</v>
      </c>
      <c r="S416" t="s">
        <v>2405</v>
      </c>
      <c r="T416" t="s">
        <v>850</v>
      </c>
      <c r="U416" t="s">
        <v>2406</v>
      </c>
      <c r="V416" t="s">
        <v>1107</v>
      </c>
      <c r="W416" t="s">
        <v>918</v>
      </c>
      <c r="X416" t="s">
        <v>1617</v>
      </c>
      <c r="Y416" t="s">
        <v>1895</v>
      </c>
      <c r="Z416" t="s">
        <v>1462</v>
      </c>
      <c r="AA416" t="s">
        <v>1090</v>
      </c>
      <c r="AB416" t="s">
        <v>782</v>
      </c>
      <c r="AC416" t="s">
        <v>1817</v>
      </c>
      <c r="AD416" t="s">
        <v>2091</v>
      </c>
    </row>
    <row r="417" spans="1:30">
      <c r="A417" t="s">
        <v>11</v>
      </c>
      <c r="B417" t="s">
        <v>42</v>
      </c>
      <c r="C417" t="s">
        <v>1079</v>
      </c>
      <c r="D417" t="s">
        <v>773</v>
      </c>
      <c r="E417" t="s">
        <v>1101</v>
      </c>
      <c r="F417" t="s">
        <v>825</v>
      </c>
      <c r="G417" t="s">
        <v>801</v>
      </c>
      <c r="H417" t="s">
        <v>858</v>
      </c>
      <c r="I417" t="s">
        <v>803</v>
      </c>
      <c r="J417" t="s">
        <v>846</v>
      </c>
      <c r="K417" t="s">
        <v>776</v>
      </c>
      <c r="L417" t="s">
        <v>968</v>
      </c>
      <c r="M417" t="s">
        <v>858</v>
      </c>
      <c r="N417" t="s">
        <v>776</v>
      </c>
      <c r="O417" t="s">
        <v>777</v>
      </c>
      <c r="P417" t="s">
        <v>1310</v>
      </c>
      <c r="Q417" t="s">
        <v>1522</v>
      </c>
      <c r="R417" t="s">
        <v>2268</v>
      </c>
      <c r="S417" t="s">
        <v>2407</v>
      </c>
      <c r="T417" t="s">
        <v>1022</v>
      </c>
      <c r="U417" t="s">
        <v>2408</v>
      </c>
      <c r="V417" t="s">
        <v>1676</v>
      </c>
      <c r="W417" t="s">
        <v>1215</v>
      </c>
      <c r="X417" t="s">
        <v>1064</v>
      </c>
      <c r="Y417" t="s">
        <v>2095</v>
      </c>
      <c r="Z417" t="s">
        <v>1234</v>
      </c>
      <c r="AA417" t="s">
        <v>892</v>
      </c>
      <c r="AB417" t="s">
        <v>971</v>
      </c>
      <c r="AC417" t="s">
        <v>1016</v>
      </c>
      <c r="AD417" t="s">
        <v>2334</v>
      </c>
    </row>
    <row r="418" spans="1:30">
      <c r="A418" t="s">
        <v>11</v>
      </c>
      <c r="B418" t="s">
        <v>412</v>
      </c>
      <c r="C418" t="s">
        <v>879</v>
      </c>
      <c r="D418" t="s">
        <v>776</v>
      </c>
      <c r="E418" t="s">
        <v>1908</v>
      </c>
      <c r="F418" t="s">
        <v>1232</v>
      </c>
      <c r="G418" t="s">
        <v>925</v>
      </c>
      <c r="H418" t="s">
        <v>777</v>
      </c>
      <c r="I418" t="s">
        <v>803</v>
      </c>
      <c r="J418" t="s">
        <v>777</v>
      </c>
      <c r="K418" t="s">
        <v>825</v>
      </c>
      <c r="L418" t="s">
        <v>1198</v>
      </c>
      <c r="M418" t="s">
        <v>863</v>
      </c>
      <c r="N418" t="s">
        <v>1221</v>
      </c>
      <c r="O418" t="s">
        <v>778</v>
      </c>
      <c r="P418" t="s">
        <v>1934</v>
      </c>
      <c r="Q418" t="s">
        <v>975</v>
      </c>
      <c r="R418" t="s">
        <v>1818</v>
      </c>
      <c r="S418" t="s">
        <v>1841</v>
      </c>
      <c r="T418" t="s">
        <v>1337</v>
      </c>
      <c r="U418" t="s">
        <v>2125</v>
      </c>
      <c r="V418" t="s">
        <v>852</v>
      </c>
      <c r="W418" t="s">
        <v>1108</v>
      </c>
      <c r="X418" t="s">
        <v>792</v>
      </c>
      <c r="Y418" t="s">
        <v>905</v>
      </c>
      <c r="Z418" t="s">
        <v>2409</v>
      </c>
      <c r="AA418" t="s">
        <v>1789</v>
      </c>
      <c r="AB418" t="s">
        <v>863</v>
      </c>
      <c r="AC418" t="s">
        <v>1101</v>
      </c>
      <c r="AD418" t="s">
        <v>909</v>
      </c>
    </row>
    <row r="419" spans="1:30">
      <c r="A419" t="s">
        <v>11</v>
      </c>
      <c r="B419" t="s">
        <v>327</v>
      </c>
      <c r="C419" t="s">
        <v>1068</v>
      </c>
      <c r="D419" t="s">
        <v>842</v>
      </c>
      <c r="E419" t="s">
        <v>1058</v>
      </c>
      <c r="F419" t="s">
        <v>925</v>
      </c>
      <c r="G419" t="s">
        <v>1015</v>
      </c>
      <c r="H419" t="s">
        <v>822</v>
      </c>
      <c r="I419" t="s">
        <v>803</v>
      </c>
      <c r="J419" t="s">
        <v>779</v>
      </c>
      <c r="K419" t="s">
        <v>782</v>
      </c>
      <c r="L419" t="s">
        <v>1115</v>
      </c>
      <c r="M419" t="s">
        <v>796</v>
      </c>
      <c r="N419" t="s">
        <v>1015</v>
      </c>
      <c r="O419" t="s">
        <v>803</v>
      </c>
      <c r="P419" t="s">
        <v>995</v>
      </c>
      <c r="Q419" t="s">
        <v>2410</v>
      </c>
      <c r="R419" t="s">
        <v>1177</v>
      </c>
      <c r="S419" t="s">
        <v>2411</v>
      </c>
      <c r="T419" t="s">
        <v>1559</v>
      </c>
      <c r="U419" t="s">
        <v>2412</v>
      </c>
      <c r="V419" t="s">
        <v>1503</v>
      </c>
      <c r="W419" t="s">
        <v>1839</v>
      </c>
      <c r="X419" t="s">
        <v>2154</v>
      </c>
      <c r="Y419" t="s">
        <v>956</v>
      </c>
      <c r="Z419" t="s">
        <v>1804</v>
      </c>
      <c r="AA419" t="s">
        <v>1284</v>
      </c>
      <c r="AB419" t="s">
        <v>971</v>
      </c>
      <c r="AC419" t="s">
        <v>1029</v>
      </c>
      <c r="AD419" t="s">
        <v>851</v>
      </c>
    </row>
    <row r="420" spans="1:30">
      <c r="A420" t="s">
        <v>11</v>
      </c>
      <c r="B420" t="s">
        <v>439</v>
      </c>
      <c r="C420" t="s">
        <v>536</v>
      </c>
      <c r="D420" t="s">
        <v>844</v>
      </c>
      <c r="E420" t="s">
        <v>1429</v>
      </c>
      <c r="F420" t="s">
        <v>782</v>
      </c>
      <c r="G420" t="s">
        <v>805</v>
      </c>
      <c r="H420" t="s">
        <v>778</v>
      </c>
      <c r="I420" t="s">
        <v>803</v>
      </c>
      <c r="J420" t="s">
        <v>822</v>
      </c>
      <c r="K420" t="s">
        <v>796</v>
      </c>
      <c r="L420" t="s">
        <v>1030</v>
      </c>
      <c r="M420" t="s">
        <v>779</v>
      </c>
      <c r="N420" t="s">
        <v>825</v>
      </c>
      <c r="O420" t="s">
        <v>803</v>
      </c>
      <c r="P420" t="s">
        <v>1420</v>
      </c>
      <c r="Q420" t="s">
        <v>1310</v>
      </c>
      <c r="R420" t="s">
        <v>966</v>
      </c>
      <c r="S420" t="s">
        <v>2413</v>
      </c>
      <c r="T420" t="s">
        <v>1337</v>
      </c>
      <c r="U420" t="s">
        <v>832</v>
      </c>
      <c r="V420" t="s">
        <v>1120</v>
      </c>
      <c r="W420" t="s">
        <v>1074</v>
      </c>
      <c r="X420" t="s">
        <v>1073</v>
      </c>
      <c r="Y420" t="s">
        <v>952</v>
      </c>
      <c r="Z420" t="s">
        <v>1277</v>
      </c>
      <c r="AA420" t="s">
        <v>2389</v>
      </c>
      <c r="AB420" t="s">
        <v>777</v>
      </c>
      <c r="AC420" t="s">
        <v>843</v>
      </c>
      <c r="AD420" t="s">
        <v>2350</v>
      </c>
    </row>
    <row r="421" spans="1:30">
      <c r="A421" t="s">
        <v>11</v>
      </c>
      <c r="B421" t="s">
        <v>10</v>
      </c>
      <c r="C421" t="s">
        <v>841</v>
      </c>
      <c r="D421" t="s">
        <v>895</v>
      </c>
      <c r="E421" t="s">
        <v>1980</v>
      </c>
      <c r="F421" t="s">
        <v>863</v>
      </c>
      <c r="G421" t="s">
        <v>1232</v>
      </c>
      <c r="H421" t="s">
        <v>777</v>
      </c>
      <c r="I421" t="s">
        <v>803</v>
      </c>
      <c r="J421" t="s">
        <v>778</v>
      </c>
      <c r="K421" t="s">
        <v>821</v>
      </c>
      <c r="L421" t="s">
        <v>895</v>
      </c>
      <c r="M421" t="s">
        <v>858</v>
      </c>
      <c r="N421" t="s">
        <v>776</v>
      </c>
      <c r="O421" t="s">
        <v>803</v>
      </c>
      <c r="P421" t="s">
        <v>1018</v>
      </c>
      <c r="Q421" t="s">
        <v>1156</v>
      </c>
      <c r="R421" t="s">
        <v>1244</v>
      </c>
      <c r="S421" t="s">
        <v>1686</v>
      </c>
      <c r="T421" t="s">
        <v>831</v>
      </c>
      <c r="U421" t="s">
        <v>1372</v>
      </c>
      <c r="V421" t="s">
        <v>978</v>
      </c>
      <c r="W421" t="s">
        <v>1486</v>
      </c>
      <c r="X421" t="s">
        <v>1064</v>
      </c>
      <c r="Y421" t="s">
        <v>1153</v>
      </c>
      <c r="Z421" t="s">
        <v>1982</v>
      </c>
      <c r="AA421" t="s">
        <v>892</v>
      </c>
      <c r="AB421" t="s">
        <v>846</v>
      </c>
      <c r="AC421" t="s">
        <v>908</v>
      </c>
      <c r="AD421" t="s">
        <v>2294</v>
      </c>
    </row>
    <row r="422" spans="1:30">
      <c r="A422" t="s">
        <v>11</v>
      </c>
      <c r="B422" t="s">
        <v>198</v>
      </c>
      <c r="C422" t="s">
        <v>841</v>
      </c>
      <c r="D422" t="s">
        <v>780</v>
      </c>
      <c r="E422" t="s">
        <v>1147</v>
      </c>
      <c r="F422" t="s">
        <v>858</v>
      </c>
      <c r="G422" t="s">
        <v>825</v>
      </c>
      <c r="H422" t="s">
        <v>845</v>
      </c>
      <c r="I422" t="s">
        <v>803</v>
      </c>
      <c r="J422" t="s">
        <v>778</v>
      </c>
      <c r="K422" t="s">
        <v>858</v>
      </c>
      <c r="L422" t="s">
        <v>926</v>
      </c>
      <c r="M422" t="s">
        <v>821</v>
      </c>
      <c r="N422" t="s">
        <v>802</v>
      </c>
      <c r="O422" t="s">
        <v>846</v>
      </c>
      <c r="P422" t="s">
        <v>956</v>
      </c>
      <c r="Q422" t="s">
        <v>2182</v>
      </c>
      <c r="R422" t="s">
        <v>1916</v>
      </c>
      <c r="S422" t="s">
        <v>2414</v>
      </c>
      <c r="T422" t="s">
        <v>1096</v>
      </c>
      <c r="U422" t="s">
        <v>1794</v>
      </c>
      <c r="V422" t="s">
        <v>1062</v>
      </c>
      <c r="W422" t="s">
        <v>1333</v>
      </c>
      <c r="X422" t="s">
        <v>1109</v>
      </c>
      <c r="Y422" t="s">
        <v>1010</v>
      </c>
      <c r="Z422" t="s">
        <v>956</v>
      </c>
      <c r="AA422" t="s">
        <v>1241</v>
      </c>
      <c r="AB422" t="s">
        <v>822</v>
      </c>
      <c r="AC422" t="s">
        <v>1309</v>
      </c>
      <c r="AD422" t="s">
        <v>1918</v>
      </c>
    </row>
    <row r="423" spans="1:30">
      <c r="A423" t="s">
        <v>11</v>
      </c>
      <c r="B423" t="s">
        <v>2415</v>
      </c>
      <c r="C423" t="s">
        <v>841</v>
      </c>
      <c r="D423" t="s">
        <v>1232</v>
      </c>
      <c r="E423" t="s">
        <v>783</v>
      </c>
      <c r="F423" t="s">
        <v>777</v>
      </c>
      <c r="G423" t="s">
        <v>825</v>
      </c>
      <c r="H423" t="s">
        <v>822</v>
      </c>
      <c r="I423" t="s">
        <v>803</v>
      </c>
      <c r="J423" t="s">
        <v>778</v>
      </c>
      <c r="K423" t="s">
        <v>846</v>
      </c>
      <c r="L423" t="s">
        <v>805</v>
      </c>
      <c r="M423" t="s">
        <v>822</v>
      </c>
      <c r="N423" t="s">
        <v>821</v>
      </c>
      <c r="O423" t="s">
        <v>803</v>
      </c>
      <c r="P423" t="s">
        <v>1461</v>
      </c>
      <c r="Q423" t="s">
        <v>913</v>
      </c>
      <c r="R423" t="s">
        <v>1718</v>
      </c>
      <c r="S423" t="s">
        <v>2416</v>
      </c>
      <c r="T423" t="s">
        <v>850</v>
      </c>
      <c r="U423" t="s">
        <v>812</v>
      </c>
      <c r="V423" t="s">
        <v>1107</v>
      </c>
      <c r="W423" t="s">
        <v>1136</v>
      </c>
      <c r="X423" t="s">
        <v>991</v>
      </c>
      <c r="Y423" t="s">
        <v>1193</v>
      </c>
      <c r="Z423" t="s">
        <v>1774</v>
      </c>
      <c r="AA423" t="s">
        <v>2209</v>
      </c>
      <c r="AB423" t="s">
        <v>777</v>
      </c>
      <c r="AC423" t="s">
        <v>1129</v>
      </c>
      <c r="AD423" t="s">
        <v>1148</v>
      </c>
    </row>
    <row r="424" spans="1:30">
      <c r="A424" t="s">
        <v>11</v>
      </c>
      <c r="B424" t="s">
        <v>2417</v>
      </c>
      <c r="C424" t="s">
        <v>536</v>
      </c>
      <c r="D424" t="s">
        <v>971</v>
      </c>
      <c r="E424" t="s">
        <v>1158</v>
      </c>
      <c r="F424" t="s">
        <v>782</v>
      </c>
      <c r="G424" t="s">
        <v>825</v>
      </c>
      <c r="H424" t="s">
        <v>845</v>
      </c>
      <c r="I424" t="s">
        <v>803</v>
      </c>
      <c r="J424" t="s">
        <v>858</v>
      </c>
      <c r="K424" t="s">
        <v>1232</v>
      </c>
      <c r="L424" t="s">
        <v>1198</v>
      </c>
      <c r="M424" t="s">
        <v>822</v>
      </c>
      <c r="N424" t="s">
        <v>782</v>
      </c>
      <c r="O424" t="s">
        <v>803</v>
      </c>
      <c r="P424" t="s">
        <v>1885</v>
      </c>
      <c r="Q424" t="s">
        <v>1792</v>
      </c>
      <c r="R424" t="s">
        <v>2418</v>
      </c>
      <c r="S424" t="s">
        <v>2419</v>
      </c>
      <c r="T424" t="s">
        <v>1170</v>
      </c>
      <c r="U424" t="s">
        <v>878</v>
      </c>
      <c r="V424" t="s">
        <v>1991</v>
      </c>
      <c r="W424" t="s">
        <v>2420</v>
      </c>
      <c r="X424" t="s">
        <v>792</v>
      </c>
      <c r="Y424" t="s">
        <v>2421</v>
      </c>
      <c r="Z424" t="s">
        <v>1572</v>
      </c>
      <c r="AA424" t="s">
        <v>1495</v>
      </c>
      <c r="AB424" t="s">
        <v>779</v>
      </c>
      <c r="AC424" t="s">
        <v>1046</v>
      </c>
      <c r="AD424" t="s">
        <v>1071</v>
      </c>
    </row>
    <row r="425" spans="1:30">
      <c r="A425" t="s">
        <v>11</v>
      </c>
      <c r="B425" t="s">
        <v>2422</v>
      </c>
      <c r="C425" t="s">
        <v>772</v>
      </c>
      <c r="D425" t="s">
        <v>863</v>
      </c>
      <c r="E425" t="s">
        <v>773</v>
      </c>
      <c r="F425" t="s">
        <v>858</v>
      </c>
      <c r="G425" t="s">
        <v>846</v>
      </c>
      <c r="H425" t="s">
        <v>778</v>
      </c>
      <c r="I425" t="s">
        <v>803</v>
      </c>
      <c r="J425" t="s">
        <v>845</v>
      </c>
      <c r="K425" t="s">
        <v>858</v>
      </c>
      <c r="L425" t="s">
        <v>971</v>
      </c>
      <c r="M425" t="s">
        <v>822</v>
      </c>
      <c r="N425" t="s">
        <v>777</v>
      </c>
      <c r="O425" t="s">
        <v>803</v>
      </c>
      <c r="P425" t="s">
        <v>1283</v>
      </c>
      <c r="Q425" t="s">
        <v>1194</v>
      </c>
      <c r="R425" t="s">
        <v>1013</v>
      </c>
      <c r="S425" t="s">
        <v>1841</v>
      </c>
      <c r="T425" t="s">
        <v>831</v>
      </c>
      <c r="U425" t="s">
        <v>1280</v>
      </c>
      <c r="V425" t="s">
        <v>947</v>
      </c>
      <c r="W425" t="s">
        <v>2179</v>
      </c>
      <c r="X425" t="s">
        <v>1012</v>
      </c>
      <c r="Y425" t="s">
        <v>1199</v>
      </c>
      <c r="Z425" t="s">
        <v>987</v>
      </c>
      <c r="AA425" t="s">
        <v>1569</v>
      </c>
      <c r="AB425" t="s">
        <v>822</v>
      </c>
      <c r="AC425" t="s">
        <v>826</v>
      </c>
      <c r="AD425" t="s">
        <v>1524</v>
      </c>
    </row>
    <row r="426" spans="1:30">
      <c r="A426" t="s">
        <v>11</v>
      </c>
      <c r="B426" t="s">
        <v>2423</v>
      </c>
      <c r="C426" t="s">
        <v>879</v>
      </c>
      <c r="D426" t="s">
        <v>823</v>
      </c>
      <c r="E426" t="s">
        <v>776</v>
      </c>
      <c r="F426" t="s">
        <v>821</v>
      </c>
      <c r="G426" t="s">
        <v>858</v>
      </c>
      <c r="H426" t="s">
        <v>845</v>
      </c>
      <c r="I426" t="s">
        <v>803</v>
      </c>
      <c r="J426" t="s">
        <v>803</v>
      </c>
      <c r="K426" t="s">
        <v>845</v>
      </c>
      <c r="L426" t="s">
        <v>779</v>
      </c>
      <c r="M426" t="s">
        <v>821</v>
      </c>
      <c r="N426" t="s">
        <v>822</v>
      </c>
      <c r="O426" t="s">
        <v>803</v>
      </c>
      <c r="P426" t="s">
        <v>785</v>
      </c>
      <c r="Q426" t="s">
        <v>1393</v>
      </c>
      <c r="R426" t="s">
        <v>1473</v>
      </c>
      <c r="S426" t="s">
        <v>2424</v>
      </c>
      <c r="T426" t="s">
        <v>1096</v>
      </c>
      <c r="U426" t="s">
        <v>1144</v>
      </c>
      <c r="V426" t="s">
        <v>871</v>
      </c>
      <c r="W426" t="s">
        <v>897</v>
      </c>
      <c r="X426" t="s">
        <v>1571</v>
      </c>
      <c r="Y426" t="s">
        <v>1038</v>
      </c>
      <c r="Z426" t="s">
        <v>785</v>
      </c>
      <c r="AA426" t="s">
        <v>2425</v>
      </c>
      <c r="AB426" t="s">
        <v>845</v>
      </c>
      <c r="AC426" t="s">
        <v>826</v>
      </c>
      <c r="AD426" t="s">
        <v>939</v>
      </c>
    </row>
    <row r="427" spans="1:30">
      <c r="A427" t="s">
        <v>11</v>
      </c>
      <c r="B427" t="s">
        <v>2426</v>
      </c>
      <c r="C427" t="s">
        <v>1068</v>
      </c>
      <c r="D427" t="s">
        <v>971</v>
      </c>
      <c r="E427" t="s">
        <v>895</v>
      </c>
      <c r="F427" t="s">
        <v>822</v>
      </c>
      <c r="G427" t="s">
        <v>846</v>
      </c>
      <c r="H427" t="s">
        <v>845</v>
      </c>
      <c r="I427" t="s">
        <v>803</v>
      </c>
      <c r="J427" t="s">
        <v>803</v>
      </c>
      <c r="K427" t="s">
        <v>845</v>
      </c>
      <c r="L427" t="s">
        <v>858</v>
      </c>
      <c r="M427" t="s">
        <v>803</v>
      </c>
      <c r="N427" t="s">
        <v>845</v>
      </c>
      <c r="O427" t="s">
        <v>803</v>
      </c>
      <c r="P427" t="s">
        <v>1093</v>
      </c>
      <c r="Q427" t="s">
        <v>1093</v>
      </c>
      <c r="R427" t="s">
        <v>906</v>
      </c>
      <c r="S427" t="s">
        <v>2427</v>
      </c>
      <c r="T427" t="s">
        <v>901</v>
      </c>
      <c r="U427" t="s">
        <v>869</v>
      </c>
      <c r="V427" t="s">
        <v>869</v>
      </c>
      <c r="W427" t="s">
        <v>1008</v>
      </c>
      <c r="X427" t="s">
        <v>1009</v>
      </c>
      <c r="Y427" t="s">
        <v>1388</v>
      </c>
      <c r="Z427" t="s">
        <v>1388</v>
      </c>
      <c r="AA427" t="s">
        <v>2056</v>
      </c>
      <c r="AB427" t="s">
        <v>845</v>
      </c>
      <c r="AC427" t="s">
        <v>776</v>
      </c>
      <c r="AD427" t="s">
        <v>939</v>
      </c>
    </row>
    <row r="428" spans="1:30">
      <c r="A428" t="s">
        <v>11</v>
      </c>
      <c r="B428" t="s">
        <v>2428</v>
      </c>
      <c r="C428" t="s">
        <v>799</v>
      </c>
      <c r="D428" t="s">
        <v>845</v>
      </c>
      <c r="E428" t="s">
        <v>821</v>
      </c>
      <c r="F428" t="s">
        <v>803</v>
      </c>
      <c r="G428" t="s">
        <v>845</v>
      </c>
      <c r="H428" t="s">
        <v>803</v>
      </c>
      <c r="I428" t="s">
        <v>803</v>
      </c>
      <c r="J428" t="s">
        <v>803</v>
      </c>
      <c r="K428" t="s">
        <v>778</v>
      </c>
      <c r="L428" t="s">
        <v>845</v>
      </c>
      <c r="M428" t="s">
        <v>803</v>
      </c>
      <c r="N428" t="s">
        <v>778</v>
      </c>
      <c r="O428" t="s">
        <v>803</v>
      </c>
      <c r="P428" t="s">
        <v>956</v>
      </c>
      <c r="Q428" t="s">
        <v>956</v>
      </c>
      <c r="R428" t="s">
        <v>956</v>
      </c>
      <c r="S428" t="s">
        <v>1572</v>
      </c>
      <c r="T428" t="s">
        <v>939</v>
      </c>
      <c r="U428" t="s">
        <v>932</v>
      </c>
      <c r="V428" t="s">
        <v>1381</v>
      </c>
      <c r="W428" t="s">
        <v>1008</v>
      </c>
      <c r="X428" t="s">
        <v>1009</v>
      </c>
      <c r="Y428" t="s">
        <v>1008</v>
      </c>
      <c r="Z428" t="s">
        <v>1008</v>
      </c>
      <c r="AA428" t="s">
        <v>1920</v>
      </c>
      <c r="AB428" t="s">
        <v>803</v>
      </c>
      <c r="AC428" t="s">
        <v>821</v>
      </c>
      <c r="AD428" t="s">
        <v>939</v>
      </c>
    </row>
    <row r="429" spans="1:30">
      <c r="A429" t="s">
        <v>175</v>
      </c>
      <c r="B429" t="s">
        <v>223</v>
      </c>
      <c r="C429" t="s">
        <v>1079</v>
      </c>
      <c r="D429" t="s">
        <v>1015</v>
      </c>
      <c r="E429" t="s">
        <v>1594</v>
      </c>
      <c r="F429" t="s">
        <v>780</v>
      </c>
      <c r="G429" t="s">
        <v>925</v>
      </c>
      <c r="H429" t="s">
        <v>821</v>
      </c>
      <c r="I429" t="s">
        <v>803</v>
      </c>
      <c r="J429" t="s">
        <v>822</v>
      </c>
      <c r="K429" t="s">
        <v>796</v>
      </c>
      <c r="L429" t="s">
        <v>972</v>
      </c>
      <c r="M429" t="s">
        <v>779</v>
      </c>
      <c r="N429" t="s">
        <v>1015</v>
      </c>
      <c r="O429" t="s">
        <v>846</v>
      </c>
      <c r="P429" t="s">
        <v>1276</v>
      </c>
      <c r="Q429" t="s">
        <v>1137</v>
      </c>
      <c r="R429" t="s">
        <v>1370</v>
      </c>
      <c r="S429" t="s">
        <v>2429</v>
      </c>
      <c r="T429" t="s">
        <v>869</v>
      </c>
      <c r="U429" t="s">
        <v>2125</v>
      </c>
      <c r="V429" t="s">
        <v>833</v>
      </c>
      <c r="W429" t="s">
        <v>1628</v>
      </c>
      <c r="X429" t="s">
        <v>1179</v>
      </c>
      <c r="Y429" t="s">
        <v>1193</v>
      </c>
      <c r="Z429" t="s">
        <v>1829</v>
      </c>
      <c r="AA429" t="s">
        <v>1939</v>
      </c>
      <c r="AB429" t="s">
        <v>779</v>
      </c>
      <c r="AC429" t="s">
        <v>1056</v>
      </c>
      <c r="AD429" t="s">
        <v>1655</v>
      </c>
    </row>
    <row r="430" spans="1:30">
      <c r="A430" t="s">
        <v>175</v>
      </c>
      <c r="B430" t="s">
        <v>2430</v>
      </c>
      <c r="C430" t="s">
        <v>879</v>
      </c>
      <c r="D430" t="s">
        <v>1015</v>
      </c>
      <c r="E430" t="s">
        <v>1077</v>
      </c>
      <c r="F430" t="s">
        <v>782</v>
      </c>
      <c r="G430" t="s">
        <v>776</v>
      </c>
      <c r="H430" t="s">
        <v>777</v>
      </c>
      <c r="I430" t="s">
        <v>803</v>
      </c>
      <c r="J430" t="s">
        <v>803</v>
      </c>
      <c r="K430" t="s">
        <v>971</v>
      </c>
      <c r="L430" t="s">
        <v>1208</v>
      </c>
      <c r="M430" t="s">
        <v>802</v>
      </c>
      <c r="N430" t="s">
        <v>1208</v>
      </c>
      <c r="O430" t="s">
        <v>821</v>
      </c>
      <c r="P430" t="s">
        <v>1199</v>
      </c>
      <c r="Q430" t="s">
        <v>956</v>
      </c>
      <c r="R430" t="s">
        <v>837</v>
      </c>
      <c r="S430" t="s">
        <v>1738</v>
      </c>
      <c r="T430" t="s">
        <v>939</v>
      </c>
      <c r="U430" t="s">
        <v>2093</v>
      </c>
      <c r="V430" t="s">
        <v>1638</v>
      </c>
      <c r="W430" t="s">
        <v>1828</v>
      </c>
      <c r="X430" t="s">
        <v>1039</v>
      </c>
      <c r="Y430" t="s">
        <v>1386</v>
      </c>
      <c r="Z430" t="s">
        <v>784</v>
      </c>
      <c r="AA430" t="s">
        <v>1955</v>
      </c>
      <c r="AB430" t="s">
        <v>777</v>
      </c>
      <c r="AC430" t="s">
        <v>1830</v>
      </c>
      <c r="AD430" t="s">
        <v>939</v>
      </c>
    </row>
    <row r="431" spans="1:30">
      <c r="A431" t="s">
        <v>175</v>
      </c>
      <c r="B431" t="s">
        <v>366</v>
      </c>
      <c r="C431" t="s">
        <v>879</v>
      </c>
      <c r="D431" t="s">
        <v>776</v>
      </c>
      <c r="E431" t="s">
        <v>1066</v>
      </c>
      <c r="F431" t="s">
        <v>802</v>
      </c>
      <c r="G431" t="s">
        <v>776</v>
      </c>
      <c r="H431" t="s">
        <v>777</v>
      </c>
      <c r="I431" t="s">
        <v>845</v>
      </c>
      <c r="J431" t="s">
        <v>777</v>
      </c>
      <c r="K431" t="s">
        <v>780</v>
      </c>
      <c r="L431" t="s">
        <v>1147</v>
      </c>
      <c r="M431" t="s">
        <v>779</v>
      </c>
      <c r="N431" t="s">
        <v>1030</v>
      </c>
      <c r="O431" t="s">
        <v>822</v>
      </c>
      <c r="P431" t="s">
        <v>1060</v>
      </c>
      <c r="Q431" t="s">
        <v>1609</v>
      </c>
      <c r="R431" t="s">
        <v>808</v>
      </c>
      <c r="S431" t="s">
        <v>868</v>
      </c>
      <c r="T431" t="s">
        <v>1096</v>
      </c>
      <c r="U431" t="s">
        <v>1820</v>
      </c>
      <c r="V431" t="s">
        <v>1152</v>
      </c>
      <c r="W431" t="s">
        <v>1842</v>
      </c>
      <c r="X431" t="s">
        <v>1164</v>
      </c>
      <c r="Y431" t="s">
        <v>1509</v>
      </c>
      <c r="Z431" t="s">
        <v>1392</v>
      </c>
      <c r="AA431" t="s">
        <v>1442</v>
      </c>
      <c r="AB431" t="s">
        <v>823</v>
      </c>
      <c r="AC431" t="s">
        <v>2055</v>
      </c>
      <c r="AD431" t="s">
        <v>2431</v>
      </c>
    </row>
    <row r="432" spans="1:30">
      <c r="A432" t="s">
        <v>175</v>
      </c>
      <c r="B432" t="s">
        <v>444</v>
      </c>
      <c r="C432" t="s">
        <v>772</v>
      </c>
      <c r="D432" t="s">
        <v>842</v>
      </c>
      <c r="E432" t="s">
        <v>1091</v>
      </c>
      <c r="F432" t="s">
        <v>782</v>
      </c>
      <c r="G432" t="s">
        <v>1015</v>
      </c>
      <c r="H432" t="s">
        <v>845</v>
      </c>
      <c r="I432" t="s">
        <v>803</v>
      </c>
      <c r="J432" t="s">
        <v>777</v>
      </c>
      <c r="K432" t="s">
        <v>1232</v>
      </c>
      <c r="L432" t="s">
        <v>783</v>
      </c>
      <c r="M432" t="s">
        <v>971</v>
      </c>
      <c r="N432" t="s">
        <v>796</v>
      </c>
      <c r="O432" t="s">
        <v>845</v>
      </c>
      <c r="P432" t="s">
        <v>1061</v>
      </c>
      <c r="Q432" t="s">
        <v>1054</v>
      </c>
      <c r="R432" t="s">
        <v>1327</v>
      </c>
      <c r="S432" t="s">
        <v>2432</v>
      </c>
      <c r="T432" t="s">
        <v>1096</v>
      </c>
      <c r="U432" t="s">
        <v>2433</v>
      </c>
      <c r="V432" t="s">
        <v>1476</v>
      </c>
      <c r="W432" t="s">
        <v>1828</v>
      </c>
      <c r="X432" t="s">
        <v>1584</v>
      </c>
      <c r="Y432" t="s">
        <v>1834</v>
      </c>
      <c r="Z432" t="s">
        <v>1600</v>
      </c>
      <c r="AA432" t="s">
        <v>1076</v>
      </c>
      <c r="AB432" t="s">
        <v>821</v>
      </c>
      <c r="AC432" t="s">
        <v>800</v>
      </c>
      <c r="AD432" t="s">
        <v>2434</v>
      </c>
    </row>
    <row r="433" spans="1:30">
      <c r="A433" t="s">
        <v>175</v>
      </c>
      <c r="B433" t="s">
        <v>306</v>
      </c>
      <c r="C433" t="s">
        <v>1068</v>
      </c>
      <c r="D433" t="s">
        <v>842</v>
      </c>
      <c r="E433" t="s">
        <v>1899</v>
      </c>
      <c r="F433" t="s">
        <v>825</v>
      </c>
      <c r="G433" t="s">
        <v>775</v>
      </c>
      <c r="H433" t="s">
        <v>845</v>
      </c>
      <c r="I433" t="s">
        <v>803</v>
      </c>
      <c r="J433" t="s">
        <v>777</v>
      </c>
      <c r="K433" t="s">
        <v>1232</v>
      </c>
      <c r="L433" t="s">
        <v>864</v>
      </c>
      <c r="M433" t="s">
        <v>862</v>
      </c>
      <c r="N433" t="s">
        <v>925</v>
      </c>
      <c r="O433" t="s">
        <v>778</v>
      </c>
      <c r="P433" t="s">
        <v>1682</v>
      </c>
      <c r="Q433" t="s">
        <v>1392</v>
      </c>
      <c r="R433" t="s">
        <v>1588</v>
      </c>
      <c r="S433" t="s">
        <v>988</v>
      </c>
      <c r="T433" t="s">
        <v>1337</v>
      </c>
      <c r="U433" t="s">
        <v>1725</v>
      </c>
      <c r="V433" t="s">
        <v>1087</v>
      </c>
      <c r="W433" t="s">
        <v>918</v>
      </c>
      <c r="X433" t="s">
        <v>2248</v>
      </c>
      <c r="Y433" t="s">
        <v>1000</v>
      </c>
      <c r="Z433" t="s">
        <v>1385</v>
      </c>
      <c r="AA433" t="s">
        <v>1492</v>
      </c>
      <c r="AB433" t="s">
        <v>821</v>
      </c>
      <c r="AC433" t="s">
        <v>2055</v>
      </c>
      <c r="AD433" t="s">
        <v>2016</v>
      </c>
    </row>
    <row r="434" spans="1:30">
      <c r="A434" t="s">
        <v>175</v>
      </c>
      <c r="B434" t="s">
        <v>215</v>
      </c>
      <c r="C434" t="s">
        <v>841</v>
      </c>
      <c r="D434" t="s">
        <v>842</v>
      </c>
      <c r="E434" t="s">
        <v>1661</v>
      </c>
      <c r="F434" t="s">
        <v>971</v>
      </c>
      <c r="G434" t="s">
        <v>802</v>
      </c>
      <c r="H434" t="s">
        <v>845</v>
      </c>
      <c r="I434" t="s">
        <v>803</v>
      </c>
      <c r="J434" t="s">
        <v>778</v>
      </c>
      <c r="K434" t="s">
        <v>777</v>
      </c>
      <c r="L434" t="s">
        <v>780</v>
      </c>
      <c r="M434" t="s">
        <v>802</v>
      </c>
      <c r="N434" t="s">
        <v>926</v>
      </c>
      <c r="O434" t="s">
        <v>778</v>
      </c>
      <c r="P434" t="s">
        <v>918</v>
      </c>
      <c r="Q434" t="s">
        <v>1137</v>
      </c>
      <c r="R434" t="s">
        <v>1276</v>
      </c>
      <c r="S434" t="s">
        <v>1861</v>
      </c>
      <c r="T434" t="s">
        <v>885</v>
      </c>
      <c r="U434" t="s">
        <v>1071</v>
      </c>
      <c r="V434" t="s">
        <v>1273</v>
      </c>
      <c r="W434" t="s">
        <v>2313</v>
      </c>
      <c r="X434" t="s">
        <v>1617</v>
      </c>
      <c r="Y434" t="s">
        <v>2321</v>
      </c>
      <c r="Z434" t="s">
        <v>1665</v>
      </c>
      <c r="AA434" t="s">
        <v>1573</v>
      </c>
      <c r="AB434" t="s">
        <v>822</v>
      </c>
      <c r="AC434" t="s">
        <v>1496</v>
      </c>
      <c r="AD434" t="s">
        <v>1943</v>
      </c>
    </row>
    <row r="435" spans="1:30">
      <c r="A435" t="s">
        <v>175</v>
      </c>
      <c r="B435" t="s">
        <v>194</v>
      </c>
      <c r="C435" t="s">
        <v>799</v>
      </c>
      <c r="D435" t="s">
        <v>776</v>
      </c>
      <c r="E435" t="s">
        <v>877</v>
      </c>
      <c r="F435" t="s">
        <v>823</v>
      </c>
      <c r="G435" t="s">
        <v>775</v>
      </c>
      <c r="H435" t="s">
        <v>779</v>
      </c>
      <c r="I435" t="s">
        <v>803</v>
      </c>
      <c r="J435" t="s">
        <v>822</v>
      </c>
      <c r="K435" t="s">
        <v>782</v>
      </c>
      <c r="L435" t="s">
        <v>972</v>
      </c>
      <c r="M435" t="s">
        <v>777</v>
      </c>
      <c r="N435" t="s">
        <v>926</v>
      </c>
      <c r="O435" t="s">
        <v>778</v>
      </c>
      <c r="P435" t="s">
        <v>891</v>
      </c>
      <c r="Q435" t="s">
        <v>1425</v>
      </c>
      <c r="R435" t="s">
        <v>2229</v>
      </c>
      <c r="S435" t="s">
        <v>1841</v>
      </c>
      <c r="T435" t="s">
        <v>931</v>
      </c>
      <c r="U435" t="s">
        <v>1712</v>
      </c>
      <c r="V435" t="s">
        <v>977</v>
      </c>
      <c r="W435" t="s">
        <v>2435</v>
      </c>
      <c r="X435" t="s">
        <v>934</v>
      </c>
      <c r="Y435" t="s">
        <v>1093</v>
      </c>
      <c r="Z435" t="s">
        <v>793</v>
      </c>
      <c r="AA435" t="s">
        <v>1769</v>
      </c>
      <c r="AB435" t="s">
        <v>971</v>
      </c>
      <c r="AC435" t="s">
        <v>1080</v>
      </c>
      <c r="AD435" t="s">
        <v>2094</v>
      </c>
    </row>
    <row r="436" spans="1:30">
      <c r="A436" t="s">
        <v>175</v>
      </c>
      <c r="B436" t="s">
        <v>295</v>
      </c>
      <c r="C436" t="s">
        <v>799</v>
      </c>
      <c r="D436" t="s">
        <v>780</v>
      </c>
      <c r="E436" t="s">
        <v>1368</v>
      </c>
      <c r="F436" t="s">
        <v>846</v>
      </c>
      <c r="G436" t="s">
        <v>775</v>
      </c>
      <c r="H436" t="s">
        <v>821</v>
      </c>
      <c r="I436" t="s">
        <v>778</v>
      </c>
      <c r="J436" t="s">
        <v>803</v>
      </c>
      <c r="K436" t="s">
        <v>846</v>
      </c>
      <c r="L436" t="s">
        <v>1015</v>
      </c>
      <c r="M436" t="s">
        <v>845</v>
      </c>
      <c r="N436" t="s">
        <v>802</v>
      </c>
      <c r="O436" t="s">
        <v>778</v>
      </c>
      <c r="P436" t="s">
        <v>1140</v>
      </c>
      <c r="Q436" t="s">
        <v>1248</v>
      </c>
      <c r="R436" t="s">
        <v>1890</v>
      </c>
      <c r="S436" t="s">
        <v>1810</v>
      </c>
      <c r="T436" t="s">
        <v>1020</v>
      </c>
      <c r="U436" t="s">
        <v>1712</v>
      </c>
      <c r="V436" t="s">
        <v>1037</v>
      </c>
      <c r="W436" t="s">
        <v>2436</v>
      </c>
      <c r="X436" t="s">
        <v>1888</v>
      </c>
      <c r="Y436" t="s">
        <v>2313</v>
      </c>
      <c r="Z436" t="s">
        <v>2141</v>
      </c>
      <c r="AA436" t="s">
        <v>1249</v>
      </c>
      <c r="AB436" t="s">
        <v>858</v>
      </c>
      <c r="AC436" t="s">
        <v>1243</v>
      </c>
      <c r="AD436" t="s">
        <v>939</v>
      </c>
    </row>
    <row r="437" spans="1:30">
      <c r="A437" t="s">
        <v>175</v>
      </c>
      <c r="B437" t="s">
        <v>333</v>
      </c>
      <c r="C437" t="s">
        <v>879</v>
      </c>
      <c r="D437" t="s">
        <v>1232</v>
      </c>
      <c r="E437" t="s">
        <v>1517</v>
      </c>
      <c r="F437" t="s">
        <v>778</v>
      </c>
      <c r="G437" t="s">
        <v>858</v>
      </c>
      <c r="H437" t="s">
        <v>822</v>
      </c>
      <c r="I437" t="s">
        <v>803</v>
      </c>
      <c r="J437" t="s">
        <v>803</v>
      </c>
      <c r="K437" t="s">
        <v>846</v>
      </c>
      <c r="L437" t="s">
        <v>823</v>
      </c>
      <c r="M437" t="s">
        <v>822</v>
      </c>
      <c r="N437" t="s">
        <v>796</v>
      </c>
      <c r="O437" t="s">
        <v>803</v>
      </c>
      <c r="P437" t="s">
        <v>1193</v>
      </c>
      <c r="Q437" t="s">
        <v>827</v>
      </c>
      <c r="R437" t="s">
        <v>1363</v>
      </c>
      <c r="S437" t="s">
        <v>2182</v>
      </c>
      <c r="T437" t="s">
        <v>2272</v>
      </c>
      <c r="U437" t="s">
        <v>960</v>
      </c>
      <c r="V437" t="s">
        <v>788</v>
      </c>
      <c r="W437" t="s">
        <v>1560</v>
      </c>
      <c r="X437" t="s">
        <v>1216</v>
      </c>
      <c r="Y437" t="s">
        <v>1215</v>
      </c>
      <c r="Z437" t="s">
        <v>1546</v>
      </c>
      <c r="AA437" t="s">
        <v>1076</v>
      </c>
      <c r="AB437" t="s">
        <v>822</v>
      </c>
      <c r="AC437" t="s">
        <v>955</v>
      </c>
      <c r="AD437" t="s">
        <v>939</v>
      </c>
    </row>
    <row r="438" spans="1:30">
      <c r="A438" t="s">
        <v>175</v>
      </c>
      <c r="B438" t="s">
        <v>174</v>
      </c>
      <c r="C438" t="s">
        <v>536</v>
      </c>
      <c r="D438" t="s">
        <v>805</v>
      </c>
      <c r="E438" t="s">
        <v>1449</v>
      </c>
      <c r="F438" t="s">
        <v>823</v>
      </c>
      <c r="G438" t="s">
        <v>863</v>
      </c>
      <c r="H438" t="s">
        <v>822</v>
      </c>
      <c r="I438" t="s">
        <v>803</v>
      </c>
      <c r="J438" t="s">
        <v>803</v>
      </c>
      <c r="K438" t="s">
        <v>822</v>
      </c>
      <c r="L438" t="s">
        <v>782</v>
      </c>
      <c r="M438" t="s">
        <v>858</v>
      </c>
      <c r="N438" t="s">
        <v>971</v>
      </c>
      <c r="O438" t="s">
        <v>803</v>
      </c>
      <c r="P438" t="s">
        <v>1585</v>
      </c>
      <c r="Q438" t="s">
        <v>1408</v>
      </c>
      <c r="R438" t="s">
        <v>1209</v>
      </c>
      <c r="S438" t="s">
        <v>2038</v>
      </c>
      <c r="T438" t="s">
        <v>1096</v>
      </c>
      <c r="U438" t="s">
        <v>1144</v>
      </c>
      <c r="V438" t="s">
        <v>1280</v>
      </c>
      <c r="W438" t="s">
        <v>1384</v>
      </c>
      <c r="X438" t="s">
        <v>2126</v>
      </c>
      <c r="Y438" t="s">
        <v>2015</v>
      </c>
      <c r="Z438" t="s">
        <v>1682</v>
      </c>
      <c r="AA438" t="s">
        <v>1866</v>
      </c>
      <c r="AB438" t="s">
        <v>822</v>
      </c>
      <c r="AC438" t="s">
        <v>1437</v>
      </c>
      <c r="AD438" t="s">
        <v>939</v>
      </c>
    </row>
    <row r="439" spans="1:30">
      <c r="A439" t="s">
        <v>175</v>
      </c>
      <c r="B439" t="s">
        <v>280</v>
      </c>
      <c r="C439" t="s">
        <v>536</v>
      </c>
      <c r="D439" t="s">
        <v>796</v>
      </c>
      <c r="E439" t="s">
        <v>1184</v>
      </c>
      <c r="F439" t="s">
        <v>863</v>
      </c>
      <c r="G439" t="s">
        <v>796</v>
      </c>
      <c r="H439" t="s">
        <v>858</v>
      </c>
      <c r="I439" t="s">
        <v>803</v>
      </c>
      <c r="J439" t="s">
        <v>822</v>
      </c>
      <c r="K439" t="s">
        <v>779</v>
      </c>
      <c r="L439" t="s">
        <v>1221</v>
      </c>
      <c r="M439" t="s">
        <v>822</v>
      </c>
      <c r="N439" t="s">
        <v>779</v>
      </c>
      <c r="O439" t="s">
        <v>803</v>
      </c>
      <c r="P439" t="s">
        <v>1321</v>
      </c>
      <c r="Q439" t="s">
        <v>794</v>
      </c>
      <c r="R439" t="s">
        <v>2437</v>
      </c>
      <c r="S439" t="s">
        <v>2438</v>
      </c>
      <c r="T439" t="s">
        <v>850</v>
      </c>
      <c r="U439" t="s">
        <v>2262</v>
      </c>
      <c r="V439" t="s">
        <v>870</v>
      </c>
      <c r="W439" t="s">
        <v>2015</v>
      </c>
      <c r="X439" t="s">
        <v>1179</v>
      </c>
      <c r="Y439" t="s">
        <v>913</v>
      </c>
      <c r="Z439" t="s">
        <v>2439</v>
      </c>
      <c r="AA439" t="s">
        <v>1466</v>
      </c>
      <c r="AB439" t="s">
        <v>823</v>
      </c>
      <c r="AC439" t="s">
        <v>1449</v>
      </c>
      <c r="AD439" t="s">
        <v>2288</v>
      </c>
    </row>
    <row r="440" spans="1:30">
      <c r="A440" t="s">
        <v>175</v>
      </c>
      <c r="B440" t="s">
        <v>429</v>
      </c>
      <c r="C440" t="s">
        <v>819</v>
      </c>
      <c r="D440" t="s">
        <v>796</v>
      </c>
      <c r="E440" t="s">
        <v>801</v>
      </c>
      <c r="F440" t="s">
        <v>821</v>
      </c>
      <c r="G440" t="s">
        <v>779</v>
      </c>
      <c r="H440" t="s">
        <v>778</v>
      </c>
      <c r="I440" t="s">
        <v>803</v>
      </c>
      <c r="J440" t="s">
        <v>822</v>
      </c>
      <c r="K440" t="s">
        <v>822</v>
      </c>
      <c r="L440" t="s">
        <v>775</v>
      </c>
      <c r="M440" t="s">
        <v>778</v>
      </c>
      <c r="N440" t="s">
        <v>777</v>
      </c>
      <c r="O440" t="s">
        <v>803</v>
      </c>
      <c r="P440" t="s">
        <v>1521</v>
      </c>
      <c r="Q440" t="s">
        <v>1636</v>
      </c>
      <c r="R440" t="s">
        <v>2064</v>
      </c>
      <c r="S440" t="s">
        <v>2158</v>
      </c>
      <c r="T440" t="s">
        <v>869</v>
      </c>
      <c r="U440" t="s">
        <v>1476</v>
      </c>
      <c r="V440" t="s">
        <v>1021</v>
      </c>
      <c r="W440" t="s">
        <v>1630</v>
      </c>
      <c r="X440" t="s">
        <v>1332</v>
      </c>
      <c r="Y440" t="s">
        <v>965</v>
      </c>
      <c r="Z440" t="s">
        <v>1543</v>
      </c>
      <c r="AA440" t="s">
        <v>2440</v>
      </c>
      <c r="AB440" t="s">
        <v>777</v>
      </c>
      <c r="AC440" t="s">
        <v>824</v>
      </c>
      <c r="AD440" t="s">
        <v>870</v>
      </c>
    </row>
    <row r="441" spans="1:30">
      <c r="A441" t="s">
        <v>175</v>
      </c>
      <c r="B441" t="s">
        <v>2441</v>
      </c>
      <c r="C441" t="s">
        <v>1079</v>
      </c>
      <c r="D441" t="s">
        <v>796</v>
      </c>
      <c r="E441" t="s">
        <v>1232</v>
      </c>
      <c r="F441" t="s">
        <v>822</v>
      </c>
      <c r="G441" t="s">
        <v>777</v>
      </c>
      <c r="H441" t="s">
        <v>845</v>
      </c>
      <c r="I441" t="s">
        <v>803</v>
      </c>
      <c r="J441" t="s">
        <v>803</v>
      </c>
      <c r="K441" t="s">
        <v>845</v>
      </c>
      <c r="L441" t="s">
        <v>821</v>
      </c>
      <c r="M441" t="s">
        <v>778</v>
      </c>
      <c r="N441" t="s">
        <v>858</v>
      </c>
      <c r="O441" t="s">
        <v>822</v>
      </c>
      <c r="P441" t="s">
        <v>1199</v>
      </c>
      <c r="Q441" t="s">
        <v>965</v>
      </c>
      <c r="R441" t="s">
        <v>1788</v>
      </c>
      <c r="S441" t="s">
        <v>2124</v>
      </c>
      <c r="T441" t="s">
        <v>939</v>
      </c>
      <c r="U441" t="s">
        <v>1559</v>
      </c>
      <c r="V441" t="s">
        <v>1280</v>
      </c>
      <c r="W441" t="s">
        <v>1432</v>
      </c>
      <c r="X441" t="s">
        <v>1447</v>
      </c>
      <c r="Y441" t="s">
        <v>1546</v>
      </c>
      <c r="Z441" t="s">
        <v>1094</v>
      </c>
      <c r="AA441" t="s">
        <v>1090</v>
      </c>
      <c r="AB441" t="s">
        <v>845</v>
      </c>
      <c r="AC441" t="s">
        <v>780</v>
      </c>
      <c r="AD441" t="s">
        <v>939</v>
      </c>
    </row>
    <row r="442" spans="1:30">
      <c r="A442" t="s">
        <v>110</v>
      </c>
      <c r="B442" t="s">
        <v>364</v>
      </c>
      <c r="C442" t="s">
        <v>1207</v>
      </c>
      <c r="D442" t="s">
        <v>773</v>
      </c>
      <c r="E442" t="s">
        <v>1016</v>
      </c>
      <c r="F442" t="s">
        <v>863</v>
      </c>
      <c r="G442" t="s">
        <v>844</v>
      </c>
      <c r="H442" t="s">
        <v>777</v>
      </c>
      <c r="I442" t="s">
        <v>803</v>
      </c>
      <c r="J442" t="s">
        <v>845</v>
      </c>
      <c r="K442" t="s">
        <v>823</v>
      </c>
      <c r="L442" t="s">
        <v>801</v>
      </c>
      <c r="M442" t="s">
        <v>821</v>
      </c>
      <c r="N442" t="s">
        <v>824</v>
      </c>
      <c r="O442" t="s">
        <v>803</v>
      </c>
      <c r="P442" t="s">
        <v>973</v>
      </c>
      <c r="Q442" t="s">
        <v>1209</v>
      </c>
      <c r="R442" t="s">
        <v>1636</v>
      </c>
      <c r="S442" t="s">
        <v>1927</v>
      </c>
      <c r="T442" t="s">
        <v>2272</v>
      </c>
      <c r="U442" t="s">
        <v>1538</v>
      </c>
      <c r="V442" t="s">
        <v>998</v>
      </c>
      <c r="W442" t="s">
        <v>1356</v>
      </c>
      <c r="X442" t="s">
        <v>1192</v>
      </c>
      <c r="Y442" t="s">
        <v>888</v>
      </c>
      <c r="Z442" t="s">
        <v>1834</v>
      </c>
      <c r="AA442" t="s">
        <v>1241</v>
      </c>
      <c r="AB442" t="s">
        <v>821</v>
      </c>
      <c r="AC442" t="s">
        <v>1586</v>
      </c>
      <c r="AD442" t="s">
        <v>1028</v>
      </c>
    </row>
    <row r="443" spans="1:30">
      <c r="A443" t="s">
        <v>110</v>
      </c>
      <c r="B443" t="s">
        <v>441</v>
      </c>
      <c r="C443" t="s">
        <v>772</v>
      </c>
      <c r="D443" t="s">
        <v>1015</v>
      </c>
      <c r="E443" t="s">
        <v>1016</v>
      </c>
      <c r="F443" t="s">
        <v>971</v>
      </c>
      <c r="G443" t="s">
        <v>895</v>
      </c>
      <c r="H443" t="s">
        <v>823</v>
      </c>
      <c r="I443" t="s">
        <v>803</v>
      </c>
      <c r="J443" t="s">
        <v>822</v>
      </c>
      <c r="K443" t="s">
        <v>821</v>
      </c>
      <c r="L443" t="s">
        <v>983</v>
      </c>
      <c r="M443" t="s">
        <v>846</v>
      </c>
      <c r="N443" t="s">
        <v>824</v>
      </c>
      <c r="O443" t="s">
        <v>803</v>
      </c>
      <c r="P443" t="s">
        <v>1525</v>
      </c>
      <c r="Q443" t="s">
        <v>1972</v>
      </c>
      <c r="R443" t="s">
        <v>1522</v>
      </c>
      <c r="S443" t="s">
        <v>2442</v>
      </c>
      <c r="T443" t="s">
        <v>939</v>
      </c>
      <c r="U443" t="s">
        <v>2443</v>
      </c>
      <c r="V443" t="s">
        <v>1626</v>
      </c>
      <c r="W443" t="s">
        <v>1387</v>
      </c>
      <c r="X443" t="s">
        <v>1447</v>
      </c>
      <c r="Y443" t="s">
        <v>1026</v>
      </c>
      <c r="Z443" t="s">
        <v>1017</v>
      </c>
      <c r="AA443" t="s">
        <v>1769</v>
      </c>
      <c r="AB443" t="s">
        <v>802</v>
      </c>
      <c r="AC443" t="s">
        <v>1586</v>
      </c>
      <c r="AD443" t="s">
        <v>984</v>
      </c>
    </row>
    <row r="444" spans="1:30">
      <c r="A444" t="s">
        <v>110</v>
      </c>
      <c r="B444" t="s">
        <v>323</v>
      </c>
      <c r="C444" t="s">
        <v>1068</v>
      </c>
      <c r="D444" t="s">
        <v>773</v>
      </c>
      <c r="E444" t="s">
        <v>1300</v>
      </c>
      <c r="F444" t="s">
        <v>825</v>
      </c>
      <c r="G444" t="s">
        <v>1221</v>
      </c>
      <c r="H444" t="s">
        <v>846</v>
      </c>
      <c r="I444" t="s">
        <v>778</v>
      </c>
      <c r="J444" t="s">
        <v>778</v>
      </c>
      <c r="K444" t="s">
        <v>971</v>
      </c>
      <c r="L444" t="s">
        <v>1184</v>
      </c>
      <c r="M444" t="s">
        <v>782</v>
      </c>
      <c r="N444" t="s">
        <v>925</v>
      </c>
      <c r="O444" t="s">
        <v>803</v>
      </c>
      <c r="P444" t="s">
        <v>1137</v>
      </c>
      <c r="Q444" t="s">
        <v>875</v>
      </c>
      <c r="R444" t="s">
        <v>1945</v>
      </c>
      <c r="S444" t="s">
        <v>1223</v>
      </c>
      <c r="T444" t="s">
        <v>1170</v>
      </c>
      <c r="U444" t="s">
        <v>2288</v>
      </c>
      <c r="V444" t="s">
        <v>1214</v>
      </c>
      <c r="W444" t="s">
        <v>1865</v>
      </c>
      <c r="X444" t="s">
        <v>991</v>
      </c>
      <c r="Y444" t="s">
        <v>2179</v>
      </c>
      <c r="Z444" t="s">
        <v>1059</v>
      </c>
      <c r="AA444" t="s">
        <v>1367</v>
      </c>
      <c r="AB444" t="s">
        <v>858</v>
      </c>
      <c r="AC444" t="s">
        <v>1830</v>
      </c>
      <c r="AD444" t="s">
        <v>1758</v>
      </c>
    </row>
    <row r="445" spans="1:30">
      <c r="A445" t="s">
        <v>110</v>
      </c>
      <c r="B445" t="s">
        <v>289</v>
      </c>
      <c r="C445" t="s">
        <v>841</v>
      </c>
      <c r="D445" t="s">
        <v>1015</v>
      </c>
      <c r="E445" t="s">
        <v>1574</v>
      </c>
      <c r="F445" t="s">
        <v>782</v>
      </c>
      <c r="G445" t="s">
        <v>864</v>
      </c>
      <c r="H445" t="s">
        <v>845</v>
      </c>
      <c r="I445" t="s">
        <v>845</v>
      </c>
      <c r="J445" t="s">
        <v>803</v>
      </c>
      <c r="K445" t="s">
        <v>863</v>
      </c>
      <c r="L445" t="s">
        <v>1158</v>
      </c>
      <c r="M445" t="s">
        <v>821</v>
      </c>
      <c r="N445" t="s">
        <v>777</v>
      </c>
      <c r="O445" t="s">
        <v>777</v>
      </c>
      <c r="P445" t="s">
        <v>1185</v>
      </c>
      <c r="Q445" t="s">
        <v>1504</v>
      </c>
      <c r="R445" t="s">
        <v>883</v>
      </c>
      <c r="S445" t="s">
        <v>2444</v>
      </c>
      <c r="T445" t="s">
        <v>1051</v>
      </c>
      <c r="U445" t="s">
        <v>1395</v>
      </c>
      <c r="V445" t="s">
        <v>2206</v>
      </c>
      <c r="W445" t="s">
        <v>1305</v>
      </c>
      <c r="X445" t="s">
        <v>1135</v>
      </c>
      <c r="Y445" t="s">
        <v>1163</v>
      </c>
      <c r="Z445" t="s">
        <v>1155</v>
      </c>
      <c r="AA445" t="s">
        <v>1434</v>
      </c>
      <c r="AB445" t="s">
        <v>777</v>
      </c>
      <c r="AC445" t="s">
        <v>1056</v>
      </c>
      <c r="AD445" t="s">
        <v>939</v>
      </c>
    </row>
    <row r="446" spans="1:30">
      <c r="A446" t="s">
        <v>110</v>
      </c>
      <c r="B446" t="s">
        <v>254</v>
      </c>
      <c r="C446" t="s">
        <v>1079</v>
      </c>
      <c r="D446" t="s">
        <v>773</v>
      </c>
      <c r="E446" t="s">
        <v>1496</v>
      </c>
      <c r="F446" t="s">
        <v>802</v>
      </c>
      <c r="G446" t="s">
        <v>1030</v>
      </c>
      <c r="H446" t="s">
        <v>863</v>
      </c>
      <c r="I446" t="s">
        <v>778</v>
      </c>
      <c r="J446" t="s">
        <v>845</v>
      </c>
      <c r="K446" t="s">
        <v>823</v>
      </c>
      <c r="L446" t="s">
        <v>1743</v>
      </c>
      <c r="M446" t="s">
        <v>863</v>
      </c>
      <c r="N446" t="s">
        <v>796</v>
      </c>
      <c r="O446" t="s">
        <v>803</v>
      </c>
      <c r="P446" t="s">
        <v>1094</v>
      </c>
      <c r="Q446" t="s">
        <v>1054</v>
      </c>
      <c r="R446" t="s">
        <v>2439</v>
      </c>
      <c r="S446" t="s">
        <v>2445</v>
      </c>
      <c r="T446" t="s">
        <v>850</v>
      </c>
      <c r="U446" t="s">
        <v>1329</v>
      </c>
      <c r="V446" t="s">
        <v>1373</v>
      </c>
      <c r="W446" t="s">
        <v>1683</v>
      </c>
      <c r="X446" t="s">
        <v>1441</v>
      </c>
      <c r="Y446" t="s">
        <v>981</v>
      </c>
      <c r="Z446" t="s">
        <v>1550</v>
      </c>
      <c r="AA446" t="s">
        <v>1765</v>
      </c>
      <c r="AB446" t="s">
        <v>782</v>
      </c>
      <c r="AC446" t="s">
        <v>800</v>
      </c>
      <c r="AD446" t="s">
        <v>1717</v>
      </c>
    </row>
    <row r="447" spans="1:30">
      <c r="A447" t="s">
        <v>110</v>
      </c>
      <c r="B447" t="s">
        <v>197</v>
      </c>
      <c r="C447" t="s">
        <v>799</v>
      </c>
      <c r="D447" t="s">
        <v>1015</v>
      </c>
      <c r="E447" t="s">
        <v>1066</v>
      </c>
      <c r="F447" t="s">
        <v>782</v>
      </c>
      <c r="G447" t="s">
        <v>842</v>
      </c>
      <c r="H447" t="s">
        <v>846</v>
      </c>
      <c r="I447" t="s">
        <v>803</v>
      </c>
      <c r="J447" t="s">
        <v>822</v>
      </c>
      <c r="K447" t="s">
        <v>796</v>
      </c>
      <c r="L447" t="s">
        <v>1184</v>
      </c>
      <c r="M447" t="s">
        <v>821</v>
      </c>
      <c r="N447" t="s">
        <v>826</v>
      </c>
      <c r="O447" t="s">
        <v>803</v>
      </c>
      <c r="P447" t="s">
        <v>1521</v>
      </c>
      <c r="Q447" t="s">
        <v>882</v>
      </c>
      <c r="R447" t="s">
        <v>1673</v>
      </c>
      <c r="S447" t="s">
        <v>1759</v>
      </c>
      <c r="T447" t="s">
        <v>1337</v>
      </c>
      <c r="U447" t="s">
        <v>1773</v>
      </c>
      <c r="V447" t="s">
        <v>989</v>
      </c>
      <c r="W447" t="s">
        <v>1935</v>
      </c>
      <c r="X447" t="s">
        <v>2322</v>
      </c>
      <c r="Y447" t="s">
        <v>992</v>
      </c>
      <c r="Z447" t="s">
        <v>1509</v>
      </c>
      <c r="AA447" t="s">
        <v>1328</v>
      </c>
      <c r="AB447" t="s">
        <v>863</v>
      </c>
      <c r="AC447" t="s">
        <v>1029</v>
      </c>
      <c r="AD447" t="s">
        <v>2446</v>
      </c>
    </row>
    <row r="448" spans="1:30">
      <c r="A448" t="s">
        <v>110</v>
      </c>
      <c r="B448" t="s">
        <v>109</v>
      </c>
      <c r="C448" t="s">
        <v>1068</v>
      </c>
      <c r="D448" t="s">
        <v>925</v>
      </c>
      <c r="E448" t="s">
        <v>1231</v>
      </c>
      <c r="F448" t="s">
        <v>823</v>
      </c>
      <c r="G448" t="s">
        <v>844</v>
      </c>
      <c r="H448" t="s">
        <v>863</v>
      </c>
      <c r="I448" t="s">
        <v>803</v>
      </c>
      <c r="J448" t="s">
        <v>777</v>
      </c>
      <c r="K448" t="s">
        <v>802</v>
      </c>
      <c r="L448" t="s">
        <v>1046</v>
      </c>
      <c r="M448" t="s">
        <v>777</v>
      </c>
      <c r="N448" t="s">
        <v>775</v>
      </c>
      <c r="O448" t="s">
        <v>778</v>
      </c>
      <c r="P448" t="s">
        <v>2044</v>
      </c>
      <c r="Q448" t="s">
        <v>1618</v>
      </c>
      <c r="R448" t="s">
        <v>2447</v>
      </c>
      <c r="S448" t="s">
        <v>2082</v>
      </c>
      <c r="T448" t="s">
        <v>869</v>
      </c>
      <c r="U448" t="s">
        <v>2227</v>
      </c>
      <c r="V448" t="s">
        <v>999</v>
      </c>
      <c r="W448" t="s">
        <v>2037</v>
      </c>
      <c r="X448" t="s">
        <v>1216</v>
      </c>
      <c r="Y448" t="s">
        <v>2066</v>
      </c>
      <c r="Z448" t="s">
        <v>1181</v>
      </c>
      <c r="AA448" t="s">
        <v>993</v>
      </c>
      <c r="AB448" t="s">
        <v>971</v>
      </c>
      <c r="AC448" t="s">
        <v>843</v>
      </c>
      <c r="AD448" t="s">
        <v>1242</v>
      </c>
    </row>
    <row r="449" spans="1:30">
      <c r="A449" t="s">
        <v>110</v>
      </c>
      <c r="B449" t="s">
        <v>354</v>
      </c>
      <c r="C449" t="s">
        <v>536</v>
      </c>
      <c r="D449" t="s">
        <v>925</v>
      </c>
      <c r="E449" t="s">
        <v>1980</v>
      </c>
      <c r="F449" t="s">
        <v>846</v>
      </c>
      <c r="G449" t="s">
        <v>823</v>
      </c>
      <c r="H449" t="s">
        <v>803</v>
      </c>
      <c r="I449" t="s">
        <v>803</v>
      </c>
      <c r="J449" t="s">
        <v>778</v>
      </c>
      <c r="K449" t="s">
        <v>846</v>
      </c>
      <c r="L449" t="s">
        <v>802</v>
      </c>
      <c r="M449" t="s">
        <v>821</v>
      </c>
      <c r="N449" t="s">
        <v>825</v>
      </c>
      <c r="O449" t="s">
        <v>845</v>
      </c>
      <c r="P449" t="s">
        <v>815</v>
      </c>
      <c r="Q449" t="s">
        <v>973</v>
      </c>
      <c r="R449" t="s">
        <v>855</v>
      </c>
      <c r="S449" t="s">
        <v>1228</v>
      </c>
      <c r="T449" t="s">
        <v>885</v>
      </c>
      <c r="U449" t="s">
        <v>810</v>
      </c>
      <c r="V449" t="s">
        <v>788</v>
      </c>
      <c r="W449" t="s">
        <v>980</v>
      </c>
      <c r="X449" t="s">
        <v>1001</v>
      </c>
      <c r="Y449" t="s">
        <v>1983</v>
      </c>
      <c r="Z449" t="s">
        <v>981</v>
      </c>
      <c r="AA449" t="s">
        <v>1341</v>
      </c>
      <c r="AB449" t="s">
        <v>778</v>
      </c>
      <c r="AC449" t="s">
        <v>1351</v>
      </c>
      <c r="AD449" t="s">
        <v>2294</v>
      </c>
    </row>
    <row r="450" spans="1:30">
      <c r="A450" t="s">
        <v>110</v>
      </c>
      <c r="B450" t="s">
        <v>2448</v>
      </c>
      <c r="C450" t="s">
        <v>799</v>
      </c>
      <c r="D450" t="s">
        <v>825</v>
      </c>
      <c r="E450" t="s">
        <v>1309</v>
      </c>
      <c r="F450" t="s">
        <v>777</v>
      </c>
      <c r="G450" t="s">
        <v>821</v>
      </c>
      <c r="H450" t="s">
        <v>778</v>
      </c>
      <c r="I450" t="s">
        <v>803</v>
      </c>
      <c r="J450" t="s">
        <v>778</v>
      </c>
      <c r="K450" t="s">
        <v>822</v>
      </c>
      <c r="L450" t="s">
        <v>823</v>
      </c>
      <c r="M450" t="s">
        <v>845</v>
      </c>
      <c r="N450" t="s">
        <v>862</v>
      </c>
      <c r="O450" t="s">
        <v>803</v>
      </c>
      <c r="P450" t="s">
        <v>1333</v>
      </c>
      <c r="Q450" t="s">
        <v>1349</v>
      </c>
      <c r="R450" t="s">
        <v>1604</v>
      </c>
      <c r="S450" t="s">
        <v>1244</v>
      </c>
      <c r="T450" t="s">
        <v>901</v>
      </c>
      <c r="U450" t="s">
        <v>1491</v>
      </c>
      <c r="V450" t="s">
        <v>901</v>
      </c>
      <c r="W450" t="s">
        <v>951</v>
      </c>
      <c r="X450" t="s">
        <v>1123</v>
      </c>
      <c r="Y450" t="s">
        <v>1448</v>
      </c>
      <c r="Z450" t="s">
        <v>1333</v>
      </c>
      <c r="AA450" t="s">
        <v>1921</v>
      </c>
      <c r="AB450" t="s">
        <v>845</v>
      </c>
      <c r="AC450" t="s">
        <v>941</v>
      </c>
      <c r="AD450" t="s">
        <v>2395</v>
      </c>
    </row>
    <row r="451" spans="1:30">
      <c r="A451" t="s">
        <v>110</v>
      </c>
      <c r="B451" t="s">
        <v>2449</v>
      </c>
      <c r="C451" t="s">
        <v>1079</v>
      </c>
      <c r="D451" t="s">
        <v>782</v>
      </c>
      <c r="E451" t="s">
        <v>801</v>
      </c>
      <c r="F451" t="s">
        <v>777</v>
      </c>
      <c r="G451" t="s">
        <v>779</v>
      </c>
      <c r="H451" t="s">
        <v>803</v>
      </c>
      <c r="I451" t="s">
        <v>803</v>
      </c>
      <c r="J451" t="s">
        <v>845</v>
      </c>
      <c r="K451" t="s">
        <v>846</v>
      </c>
      <c r="L451" t="s">
        <v>825</v>
      </c>
      <c r="M451" t="s">
        <v>845</v>
      </c>
      <c r="N451" t="s">
        <v>863</v>
      </c>
      <c r="O451" t="s">
        <v>803</v>
      </c>
      <c r="P451" t="s">
        <v>1521</v>
      </c>
      <c r="Q451" t="s">
        <v>1636</v>
      </c>
      <c r="R451" t="s">
        <v>914</v>
      </c>
      <c r="S451" t="s">
        <v>2450</v>
      </c>
      <c r="T451" t="s">
        <v>1020</v>
      </c>
      <c r="U451" t="s">
        <v>989</v>
      </c>
      <c r="V451" t="s">
        <v>1120</v>
      </c>
      <c r="W451" t="s">
        <v>2105</v>
      </c>
      <c r="X451" t="s">
        <v>1332</v>
      </c>
      <c r="Y451" t="s">
        <v>1382</v>
      </c>
      <c r="Z451" t="s">
        <v>1018</v>
      </c>
      <c r="AA451" t="s">
        <v>1090</v>
      </c>
      <c r="AB451" t="s">
        <v>845</v>
      </c>
      <c r="AC451" t="s">
        <v>972</v>
      </c>
      <c r="AD451" t="s">
        <v>969</v>
      </c>
    </row>
    <row r="452" spans="1:30">
      <c r="A452" t="s">
        <v>110</v>
      </c>
      <c r="B452" t="s">
        <v>217</v>
      </c>
      <c r="C452" t="s">
        <v>879</v>
      </c>
      <c r="D452" t="s">
        <v>802</v>
      </c>
      <c r="E452" t="s">
        <v>842</v>
      </c>
      <c r="F452" t="s">
        <v>778</v>
      </c>
      <c r="G452" t="s">
        <v>821</v>
      </c>
      <c r="H452" t="s">
        <v>778</v>
      </c>
      <c r="I452" t="s">
        <v>803</v>
      </c>
      <c r="J452" t="s">
        <v>803</v>
      </c>
      <c r="K452" t="s">
        <v>803</v>
      </c>
      <c r="L452" t="s">
        <v>858</v>
      </c>
      <c r="M452" t="s">
        <v>778</v>
      </c>
      <c r="N452" t="s">
        <v>846</v>
      </c>
      <c r="O452" t="s">
        <v>803</v>
      </c>
      <c r="P452" t="s">
        <v>1479</v>
      </c>
      <c r="Q452" t="s">
        <v>1290</v>
      </c>
      <c r="R452" t="s">
        <v>1779</v>
      </c>
      <c r="S452" t="s">
        <v>1645</v>
      </c>
      <c r="T452" t="s">
        <v>946</v>
      </c>
      <c r="U452" t="s">
        <v>948</v>
      </c>
      <c r="V452" t="s">
        <v>1007</v>
      </c>
      <c r="W452" t="s">
        <v>2451</v>
      </c>
      <c r="X452" t="s">
        <v>934</v>
      </c>
      <c r="Y452" t="s">
        <v>1306</v>
      </c>
      <c r="Z452" t="s">
        <v>1448</v>
      </c>
      <c r="AA452" t="s">
        <v>2452</v>
      </c>
      <c r="AB452" t="s">
        <v>778</v>
      </c>
      <c r="AC452" t="s">
        <v>1015</v>
      </c>
      <c r="AD452" t="s">
        <v>939</v>
      </c>
    </row>
    <row r="453" spans="1:30">
      <c r="A453" t="s">
        <v>110</v>
      </c>
      <c r="B453" t="s">
        <v>2453</v>
      </c>
      <c r="C453" t="s">
        <v>536</v>
      </c>
      <c r="D453" t="s">
        <v>782</v>
      </c>
      <c r="E453" t="s">
        <v>895</v>
      </c>
      <c r="F453" t="s">
        <v>778</v>
      </c>
      <c r="G453" t="s">
        <v>782</v>
      </c>
      <c r="H453" t="s">
        <v>845</v>
      </c>
      <c r="I453" t="s">
        <v>778</v>
      </c>
      <c r="J453" t="s">
        <v>803</v>
      </c>
      <c r="K453" t="s">
        <v>846</v>
      </c>
      <c r="L453" t="s">
        <v>825</v>
      </c>
      <c r="M453" t="s">
        <v>778</v>
      </c>
      <c r="N453" t="s">
        <v>822</v>
      </c>
      <c r="O453" t="s">
        <v>803</v>
      </c>
      <c r="P453" t="s">
        <v>1595</v>
      </c>
      <c r="Q453" t="s">
        <v>1312</v>
      </c>
      <c r="R453" t="s">
        <v>1106</v>
      </c>
      <c r="S453" t="s">
        <v>2454</v>
      </c>
      <c r="T453" t="s">
        <v>1337</v>
      </c>
      <c r="U453" t="s">
        <v>1037</v>
      </c>
      <c r="V453" t="s">
        <v>916</v>
      </c>
      <c r="W453" t="s">
        <v>2164</v>
      </c>
      <c r="X453" t="s">
        <v>1179</v>
      </c>
      <c r="Y453" t="s">
        <v>905</v>
      </c>
      <c r="Z453" t="s">
        <v>905</v>
      </c>
      <c r="AA453" t="s">
        <v>2455</v>
      </c>
      <c r="AB453" t="s">
        <v>822</v>
      </c>
      <c r="AC453" t="s">
        <v>844</v>
      </c>
      <c r="AD453" t="s">
        <v>939</v>
      </c>
    </row>
    <row r="454" spans="1:30">
      <c r="A454" t="s">
        <v>110</v>
      </c>
      <c r="B454" t="s">
        <v>2456</v>
      </c>
      <c r="C454" t="s">
        <v>841</v>
      </c>
      <c r="D454" t="s">
        <v>821</v>
      </c>
      <c r="E454" t="s">
        <v>971</v>
      </c>
      <c r="F454" t="s">
        <v>803</v>
      </c>
      <c r="G454" t="s">
        <v>778</v>
      </c>
      <c r="H454" t="s">
        <v>778</v>
      </c>
      <c r="I454" t="s">
        <v>803</v>
      </c>
      <c r="J454" t="s">
        <v>803</v>
      </c>
      <c r="K454" t="s">
        <v>803</v>
      </c>
      <c r="L454" t="s">
        <v>845</v>
      </c>
      <c r="M454" t="s">
        <v>803</v>
      </c>
      <c r="N454" t="s">
        <v>778</v>
      </c>
      <c r="O454" t="s">
        <v>803</v>
      </c>
      <c r="P454" t="s">
        <v>791</v>
      </c>
      <c r="Q454" t="s">
        <v>791</v>
      </c>
      <c r="R454" t="s">
        <v>1217</v>
      </c>
      <c r="S454" t="s">
        <v>1199</v>
      </c>
      <c r="T454" t="s">
        <v>885</v>
      </c>
      <c r="U454" t="s">
        <v>901</v>
      </c>
      <c r="V454" t="s">
        <v>1767</v>
      </c>
      <c r="W454" t="s">
        <v>1008</v>
      </c>
      <c r="X454" t="s">
        <v>1009</v>
      </c>
      <c r="Y454" t="s">
        <v>791</v>
      </c>
      <c r="Z454" t="s">
        <v>791</v>
      </c>
      <c r="AA454" t="s">
        <v>2457</v>
      </c>
      <c r="AB454" t="s">
        <v>778</v>
      </c>
      <c r="AC454" t="s">
        <v>971</v>
      </c>
      <c r="AD454" t="s">
        <v>939</v>
      </c>
    </row>
    <row r="455" spans="1:30">
      <c r="A455" t="s">
        <v>110</v>
      </c>
      <c r="B455" t="s">
        <v>2458</v>
      </c>
      <c r="C455" t="s">
        <v>910</v>
      </c>
      <c r="D455" t="s">
        <v>858</v>
      </c>
      <c r="E455" t="s">
        <v>858</v>
      </c>
      <c r="F455" t="s">
        <v>778</v>
      </c>
      <c r="G455" t="s">
        <v>778</v>
      </c>
      <c r="H455" t="s">
        <v>803</v>
      </c>
      <c r="I455" t="s">
        <v>803</v>
      </c>
      <c r="J455" t="s">
        <v>803</v>
      </c>
      <c r="K455" t="s">
        <v>803</v>
      </c>
      <c r="L455" t="s">
        <v>778</v>
      </c>
      <c r="M455" t="s">
        <v>803</v>
      </c>
      <c r="N455" t="s">
        <v>778</v>
      </c>
      <c r="O455" t="s">
        <v>778</v>
      </c>
      <c r="P455" t="s">
        <v>992</v>
      </c>
      <c r="Q455" t="s">
        <v>992</v>
      </c>
      <c r="R455" t="s">
        <v>992</v>
      </c>
      <c r="S455" t="s">
        <v>986</v>
      </c>
      <c r="T455" t="s">
        <v>939</v>
      </c>
      <c r="U455" t="s">
        <v>901</v>
      </c>
      <c r="V455" t="s">
        <v>2459</v>
      </c>
      <c r="W455" t="s">
        <v>1008</v>
      </c>
      <c r="X455" t="s">
        <v>1009</v>
      </c>
      <c r="Y455" t="s">
        <v>1008</v>
      </c>
      <c r="Z455" t="s">
        <v>992</v>
      </c>
      <c r="AA455" t="s">
        <v>967</v>
      </c>
      <c r="AB455" t="s">
        <v>803</v>
      </c>
      <c r="AC455" t="s">
        <v>858</v>
      </c>
      <c r="AD455" t="s">
        <v>939</v>
      </c>
    </row>
    <row r="456" spans="1:30">
      <c r="A456" t="s">
        <v>110</v>
      </c>
      <c r="B456" t="s">
        <v>2460</v>
      </c>
      <c r="C456" t="s">
        <v>879</v>
      </c>
      <c r="D456" t="s">
        <v>822</v>
      </c>
      <c r="E456" t="s">
        <v>858</v>
      </c>
      <c r="F456" t="s">
        <v>803</v>
      </c>
      <c r="G456" t="s">
        <v>803</v>
      </c>
      <c r="H456" t="s">
        <v>803</v>
      </c>
      <c r="I456" t="s">
        <v>803</v>
      </c>
      <c r="J456" t="s">
        <v>803</v>
      </c>
      <c r="K456" t="s">
        <v>803</v>
      </c>
      <c r="L456" t="s">
        <v>803</v>
      </c>
      <c r="M456" t="s">
        <v>803</v>
      </c>
      <c r="N456" t="s">
        <v>778</v>
      </c>
      <c r="O456" t="s">
        <v>803</v>
      </c>
      <c r="P456" t="s">
        <v>1008</v>
      </c>
      <c r="Q456" t="s">
        <v>1008</v>
      </c>
      <c r="R456" t="s">
        <v>1008</v>
      </c>
      <c r="S456" t="s">
        <v>1008</v>
      </c>
      <c r="T456" t="s">
        <v>946</v>
      </c>
      <c r="U456" t="s">
        <v>2459</v>
      </c>
      <c r="V456" t="s">
        <v>2461</v>
      </c>
      <c r="W456" t="s">
        <v>1008</v>
      </c>
      <c r="X456" t="s">
        <v>1009</v>
      </c>
      <c r="Y456" t="s">
        <v>1008</v>
      </c>
      <c r="Z456" t="s">
        <v>1008</v>
      </c>
      <c r="AA456" t="s">
        <v>2462</v>
      </c>
      <c r="AB456" t="s">
        <v>803</v>
      </c>
      <c r="AC456" t="s">
        <v>858</v>
      </c>
      <c r="AD456" t="s">
        <v>939</v>
      </c>
    </row>
    <row r="457" spans="1:30">
      <c r="A457" t="s">
        <v>110</v>
      </c>
      <c r="B457" t="s">
        <v>2463</v>
      </c>
      <c r="C457" t="s">
        <v>536</v>
      </c>
      <c r="D457" t="s">
        <v>778</v>
      </c>
      <c r="E457" t="s">
        <v>822</v>
      </c>
      <c r="F457" t="s">
        <v>778</v>
      </c>
      <c r="G457" t="s">
        <v>778</v>
      </c>
      <c r="H457" t="s">
        <v>778</v>
      </c>
      <c r="I457" t="s">
        <v>803</v>
      </c>
      <c r="J457" t="s">
        <v>803</v>
      </c>
      <c r="K457" t="s">
        <v>778</v>
      </c>
      <c r="L457" t="s">
        <v>845</v>
      </c>
      <c r="M457" t="s">
        <v>803</v>
      </c>
      <c r="N457" t="s">
        <v>803</v>
      </c>
      <c r="O457" t="s">
        <v>803</v>
      </c>
      <c r="P457" t="s">
        <v>956</v>
      </c>
      <c r="Q457" t="s">
        <v>956</v>
      </c>
      <c r="R457" t="s">
        <v>1572</v>
      </c>
      <c r="S457" t="s">
        <v>1494</v>
      </c>
      <c r="T457" t="s">
        <v>1020</v>
      </c>
      <c r="U457" t="s">
        <v>788</v>
      </c>
      <c r="V457" t="s">
        <v>1800</v>
      </c>
      <c r="W457" t="s">
        <v>1008</v>
      </c>
      <c r="X457" t="s">
        <v>1009</v>
      </c>
      <c r="Y457" t="s">
        <v>956</v>
      </c>
      <c r="Z457" t="s">
        <v>956</v>
      </c>
      <c r="AA457" t="s">
        <v>1873</v>
      </c>
      <c r="AB457" t="s">
        <v>778</v>
      </c>
      <c r="AC457" t="s">
        <v>822</v>
      </c>
      <c r="AD457" t="s">
        <v>939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31"/>
  <sheetViews>
    <sheetView workbookViewId="0"/>
  </sheetViews>
  <sheetFormatPr defaultRowHeight="15"/>
  <sheetData>
    <row r="1" spans="1:28">
      <c r="A1" t="s">
        <v>769</v>
      </c>
      <c r="B1" t="s">
        <v>486</v>
      </c>
      <c r="C1" t="s">
        <v>489</v>
      </c>
      <c r="D1" t="s">
        <v>490</v>
      </c>
      <c r="E1" t="s">
        <v>491</v>
      </c>
      <c r="F1" t="s">
        <v>492</v>
      </c>
      <c r="G1" t="s">
        <v>493</v>
      </c>
      <c r="H1" t="s">
        <v>494</v>
      </c>
      <c r="I1" t="s">
        <v>495</v>
      </c>
      <c r="J1" t="s">
        <v>496</v>
      </c>
      <c r="K1" t="s">
        <v>497</v>
      </c>
      <c r="L1" t="s">
        <v>498</v>
      </c>
      <c r="M1" t="s">
        <v>499</v>
      </c>
      <c r="N1" t="s">
        <v>500</v>
      </c>
      <c r="O1" t="s">
        <v>501</v>
      </c>
      <c r="P1" t="s">
        <v>502</v>
      </c>
      <c r="Q1" t="s">
        <v>503</v>
      </c>
      <c r="R1" t="s">
        <v>504</v>
      </c>
      <c r="S1" t="s">
        <v>505</v>
      </c>
      <c r="T1" t="s">
        <v>506</v>
      </c>
      <c r="U1" t="s">
        <v>507</v>
      </c>
      <c r="V1" t="s">
        <v>508</v>
      </c>
      <c r="W1" t="s">
        <v>509</v>
      </c>
      <c r="X1" t="s">
        <v>510</v>
      </c>
      <c r="Y1" t="s">
        <v>511</v>
      </c>
      <c r="Z1" t="s">
        <v>512</v>
      </c>
      <c r="AA1" t="s">
        <v>513</v>
      </c>
      <c r="AB1" t="s">
        <v>514</v>
      </c>
    </row>
    <row r="2" spans="1:28">
      <c r="A2" t="s">
        <v>33</v>
      </c>
      <c r="B2" t="s">
        <v>773</v>
      </c>
      <c r="C2" t="s">
        <v>2464</v>
      </c>
      <c r="D2" t="s">
        <v>1705</v>
      </c>
      <c r="E2" t="s">
        <v>2465</v>
      </c>
      <c r="F2" t="s">
        <v>1743</v>
      </c>
      <c r="G2" t="s">
        <v>778</v>
      </c>
      <c r="H2" t="s">
        <v>801</v>
      </c>
      <c r="I2" t="s">
        <v>2054</v>
      </c>
      <c r="J2" t="s">
        <v>2466</v>
      </c>
      <c r="K2" t="s">
        <v>800</v>
      </c>
      <c r="L2" t="s">
        <v>2467</v>
      </c>
      <c r="M2" t="s">
        <v>796</v>
      </c>
      <c r="N2" t="s">
        <v>928</v>
      </c>
      <c r="O2" t="s">
        <v>1301</v>
      </c>
      <c r="P2" t="s">
        <v>913</v>
      </c>
      <c r="Q2" t="s">
        <v>1409</v>
      </c>
      <c r="S2" t="s">
        <v>2468</v>
      </c>
      <c r="T2" t="s">
        <v>1214</v>
      </c>
      <c r="U2" t="s">
        <v>1153</v>
      </c>
      <c r="V2" t="s">
        <v>1970</v>
      </c>
      <c r="W2" t="s">
        <v>1089</v>
      </c>
      <c r="X2" t="s">
        <v>1582</v>
      </c>
      <c r="Y2" t="s">
        <v>1939</v>
      </c>
      <c r="Z2" t="s">
        <v>1342</v>
      </c>
      <c r="AA2" t="s">
        <v>2469</v>
      </c>
      <c r="AB2" t="s">
        <v>2470</v>
      </c>
    </row>
    <row r="3" spans="1:28">
      <c r="A3" t="s">
        <v>105</v>
      </c>
      <c r="B3" t="s">
        <v>773</v>
      </c>
      <c r="C3" t="s">
        <v>2464</v>
      </c>
      <c r="D3" t="s">
        <v>1586</v>
      </c>
      <c r="E3" t="s">
        <v>2471</v>
      </c>
      <c r="F3" t="s">
        <v>804</v>
      </c>
      <c r="G3" t="s">
        <v>777</v>
      </c>
      <c r="H3" t="s">
        <v>775</v>
      </c>
      <c r="I3" t="s">
        <v>1390</v>
      </c>
      <c r="J3" t="s">
        <v>2472</v>
      </c>
      <c r="K3" t="s">
        <v>1045</v>
      </c>
      <c r="L3" t="s">
        <v>2473</v>
      </c>
      <c r="M3" t="s">
        <v>926</v>
      </c>
      <c r="N3" t="s">
        <v>865</v>
      </c>
      <c r="O3" t="s">
        <v>1094</v>
      </c>
      <c r="P3" t="s">
        <v>875</v>
      </c>
      <c r="Q3" t="s">
        <v>2124</v>
      </c>
      <c r="S3" t="s">
        <v>2474</v>
      </c>
      <c r="T3" t="s">
        <v>852</v>
      </c>
      <c r="U3" t="s">
        <v>888</v>
      </c>
      <c r="V3" t="s">
        <v>1001</v>
      </c>
      <c r="W3" t="s">
        <v>1728</v>
      </c>
      <c r="X3" t="s">
        <v>1934</v>
      </c>
      <c r="Y3" t="s">
        <v>1765</v>
      </c>
      <c r="Z3" t="s">
        <v>861</v>
      </c>
      <c r="AA3" t="s">
        <v>2475</v>
      </c>
      <c r="AB3" t="s">
        <v>2476</v>
      </c>
    </row>
    <row r="4" spans="1:28">
      <c r="A4" t="s">
        <v>35</v>
      </c>
      <c r="B4" t="s">
        <v>773</v>
      </c>
      <c r="C4" t="s">
        <v>2477</v>
      </c>
      <c r="D4" t="s">
        <v>2478</v>
      </c>
      <c r="E4" t="s">
        <v>2479</v>
      </c>
      <c r="F4" t="s">
        <v>1449</v>
      </c>
      <c r="G4" t="s">
        <v>777</v>
      </c>
      <c r="H4" t="s">
        <v>1449</v>
      </c>
      <c r="I4" t="s">
        <v>2480</v>
      </c>
      <c r="J4" t="s">
        <v>2481</v>
      </c>
      <c r="K4" t="s">
        <v>2043</v>
      </c>
      <c r="L4" t="s">
        <v>2482</v>
      </c>
      <c r="M4" t="s">
        <v>1030</v>
      </c>
      <c r="N4" t="s">
        <v>865</v>
      </c>
      <c r="O4" t="s">
        <v>2270</v>
      </c>
      <c r="P4" t="s">
        <v>1013</v>
      </c>
      <c r="Q4" t="s">
        <v>2135</v>
      </c>
      <c r="S4" t="s">
        <v>2483</v>
      </c>
      <c r="T4" t="s">
        <v>1143</v>
      </c>
      <c r="U4" t="s">
        <v>1088</v>
      </c>
      <c r="V4" t="s">
        <v>2154</v>
      </c>
      <c r="W4" t="s">
        <v>2361</v>
      </c>
      <c r="X4" t="s">
        <v>1167</v>
      </c>
      <c r="Y4" t="s">
        <v>838</v>
      </c>
      <c r="Z4" t="s">
        <v>1058</v>
      </c>
      <c r="AA4" t="s">
        <v>2484</v>
      </c>
      <c r="AB4" t="s">
        <v>2408</v>
      </c>
    </row>
    <row r="5" spans="1:28">
      <c r="A5" t="s">
        <v>68</v>
      </c>
      <c r="B5" t="s">
        <v>1015</v>
      </c>
      <c r="C5" t="s">
        <v>2485</v>
      </c>
      <c r="D5" t="s">
        <v>797</v>
      </c>
      <c r="E5" t="s">
        <v>2486</v>
      </c>
      <c r="F5" t="s">
        <v>1198</v>
      </c>
      <c r="G5" t="s">
        <v>846</v>
      </c>
      <c r="H5" t="s">
        <v>842</v>
      </c>
      <c r="I5" t="s">
        <v>1580</v>
      </c>
      <c r="J5" t="s">
        <v>2487</v>
      </c>
      <c r="K5" t="s">
        <v>1045</v>
      </c>
      <c r="L5" t="s">
        <v>2488</v>
      </c>
      <c r="M5" t="s">
        <v>1208</v>
      </c>
      <c r="N5" t="s">
        <v>1258</v>
      </c>
      <c r="O5" t="s">
        <v>2489</v>
      </c>
      <c r="P5" t="s">
        <v>2410</v>
      </c>
      <c r="Q5" t="s">
        <v>2413</v>
      </c>
      <c r="S5" t="s">
        <v>2490</v>
      </c>
      <c r="T5" t="s">
        <v>989</v>
      </c>
      <c r="U5" t="s">
        <v>888</v>
      </c>
      <c r="V5" t="s">
        <v>991</v>
      </c>
      <c r="W5" t="s">
        <v>2301</v>
      </c>
      <c r="X5" t="s">
        <v>1130</v>
      </c>
      <c r="Y5" t="s">
        <v>937</v>
      </c>
      <c r="Z5" t="s">
        <v>896</v>
      </c>
      <c r="AA5" t="s">
        <v>2491</v>
      </c>
      <c r="AB5" t="s">
        <v>2492</v>
      </c>
    </row>
    <row r="6" spans="1:28">
      <c r="A6" t="s">
        <v>17</v>
      </c>
      <c r="B6" t="s">
        <v>1015</v>
      </c>
      <c r="C6" t="s">
        <v>2493</v>
      </c>
      <c r="D6" t="s">
        <v>2055</v>
      </c>
      <c r="E6" t="s">
        <v>2494</v>
      </c>
      <c r="F6" t="s">
        <v>804</v>
      </c>
      <c r="G6" t="s">
        <v>778</v>
      </c>
      <c r="H6" t="s">
        <v>895</v>
      </c>
      <c r="I6" t="s">
        <v>1289</v>
      </c>
      <c r="J6" t="s">
        <v>2495</v>
      </c>
      <c r="K6" t="s">
        <v>1113</v>
      </c>
      <c r="L6" t="s">
        <v>2496</v>
      </c>
      <c r="M6" t="s">
        <v>782</v>
      </c>
      <c r="N6" t="s">
        <v>1060</v>
      </c>
      <c r="O6" t="s">
        <v>1185</v>
      </c>
      <c r="P6" t="s">
        <v>2198</v>
      </c>
      <c r="Q6" t="s">
        <v>2497</v>
      </c>
      <c r="S6" t="s">
        <v>2498</v>
      </c>
      <c r="T6" t="s">
        <v>1345</v>
      </c>
      <c r="U6" t="s">
        <v>1622</v>
      </c>
      <c r="V6" t="s">
        <v>1001</v>
      </c>
      <c r="W6" t="s">
        <v>1465</v>
      </c>
      <c r="X6" t="s">
        <v>1895</v>
      </c>
      <c r="Y6" t="s">
        <v>1076</v>
      </c>
      <c r="Z6" t="s">
        <v>1351</v>
      </c>
      <c r="AA6" t="s">
        <v>2499</v>
      </c>
      <c r="AB6" t="s">
        <v>1726</v>
      </c>
    </row>
    <row r="7" spans="1:28">
      <c r="A7" t="s">
        <v>3</v>
      </c>
      <c r="B7" t="s">
        <v>773</v>
      </c>
      <c r="C7" t="s">
        <v>2500</v>
      </c>
      <c r="D7" t="s">
        <v>1042</v>
      </c>
      <c r="E7" t="s">
        <v>2501</v>
      </c>
      <c r="F7" t="s">
        <v>1030</v>
      </c>
      <c r="G7" t="s">
        <v>846</v>
      </c>
      <c r="H7" t="s">
        <v>864</v>
      </c>
      <c r="I7" t="s">
        <v>1594</v>
      </c>
      <c r="J7" t="s">
        <v>2502</v>
      </c>
      <c r="K7" t="s">
        <v>1016</v>
      </c>
      <c r="L7" t="s">
        <v>2503</v>
      </c>
      <c r="M7" t="s">
        <v>895</v>
      </c>
      <c r="N7" t="s">
        <v>1005</v>
      </c>
      <c r="O7" t="s">
        <v>1408</v>
      </c>
      <c r="P7" t="s">
        <v>1824</v>
      </c>
      <c r="Q7" t="s">
        <v>1336</v>
      </c>
      <c r="S7" t="s">
        <v>2504</v>
      </c>
      <c r="T7" t="s">
        <v>1087</v>
      </c>
      <c r="U7" t="s">
        <v>1153</v>
      </c>
      <c r="V7" t="s">
        <v>1970</v>
      </c>
      <c r="W7" t="s">
        <v>1155</v>
      </c>
      <c r="X7" t="s">
        <v>1600</v>
      </c>
      <c r="Y7" t="s">
        <v>1553</v>
      </c>
      <c r="Z7" t="s">
        <v>896</v>
      </c>
      <c r="AA7" t="s">
        <v>2505</v>
      </c>
      <c r="AB7" t="s">
        <v>1288</v>
      </c>
    </row>
    <row r="8" spans="1:28">
      <c r="A8" t="s">
        <v>20</v>
      </c>
      <c r="B8" t="s">
        <v>1208</v>
      </c>
      <c r="C8" t="s">
        <v>2506</v>
      </c>
      <c r="D8" t="s">
        <v>1830</v>
      </c>
      <c r="E8" t="s">
        <v>2507</v>
      </c>
      <c r="F8" t="s">
        <v>1391</v>
      </c>
      <c r="G8" t="s">
        <v>778</v>
      </c>
      <c r="H8" t="s">
        <v>1221</v>
      </c>
      <c r="I8" t="s">
        <v>1042</v>
      </c>
      <c r="J8" t="s">
        <v>2508</v>
      </c>
      <c r="K8" t="s">
        <v>1757</v>
      </c>
      <c r="L8" t="s">
        <v>2509</v>
      </c>
      <c r="M8" t="s">
        <v>926</v>
      </c>
      <c r="N8" t="s">
        <v>1479</v>
      </c>
      <c r="O8" t="s">
        <v>1662</v>
      </c>
      <c r="P8" t="s">
        <v>1856</v>
      </c>
      <c r="Q8" t="s">
        <v>2017</v>
      </c>
      <c r="S8" t="s">
        <v>2510</v>
      </c>
      <c r="T8" t="s">
        <v>1345</v>
      </c>
      <c r="U8" t="s">
        <v>1721</v>
      </c>
      <c r="V8" t="s">
        <v>991</v>
      </c>
      <c r="W8" t="s">
        <v>1424</v>
      </c>
      <c r="X8" t="s">
        <v>1137</v>
      </c>
      <c r="Y8" t="s">
        <v>2097</v>
      </c>
      <c r="Z8" t="s">
        <v>1250</v>
      </c>
      <c r="AA8" t="s">
        <v>2511</v>
      </c>
      <c r="AB8" t="s">
        <v>2512</v>
      </c>
    </row>
    <row r="9" spans="1:28">
      <c r="A9" t="s">
        <v>126</v>
      </c>
      <c r="B9" t="s">
        <v>1208</v>
      </c>
      <c r="C9" t="s">
        <v>2513</v>
      </c>
      <c r="D9" t="s">
        <v>797</v>
      </c>
      <c r="E9" t="s">
        <v>2514</v>
      </c>
      <c r="F9" t="s">
        <v>1115</v>
      </c>
      <c r="G9" t="s">
        <v>777</v>
      </c>
      <c r="H9" t="s">
        <v>1030</v>
      </c>
      <c r="I9" t="s">
        <v>2180</v>
      </c>
      <c r="J9" t="s">
        <v>2515</v>
      </c>
      <c r="K9" t="s">
        <v>1289</v>
      </c>
      <c r="L9" t="s">
        <v>2494</v>
      </c>
      <c r="M9" t="s">
        <v>779</v>
      </c>
      <c r="N9" t="s">
        <v>1047</v>
      </c>
      <c r="O9" t="s">
        <v>956</v>
      </c>
      <c r="P9" t="s">
        <v>1186</v>
      </c>
      <c r="Q9" t="s">
        <v>2437</v>
      </c>
      <c r="S9" t="s">
        <v>2516</v>
      </c>
      <c r="T9" t="s">
        <v>790</v>
      </c>
      <c r="U9" t="s">
        <v>1025</v>
      </c>
      <c r="V9" t="s">
        <v>1109</v>
      </c>
      <c r="W9" t="s">
        <v>2141</v>
      </c>
      <c r="X9" t="s">
        <v>1194</v>
      </c>
      <c r="Y9" t="s">
        <v>838</v>
      </c>
      <c r="Z9" t="s">
        <v>1908</v>
      </c>
      <c r="AA9" t="s">
        <v>2517</v>
      </c>
      <c r="AB9" t="s">
        <v>2518</v>
      </c>
    </row>
    <row r="10" spans="1:28">
      <c r="A10" t="s">
        <v>74</v>
      </c>
      <c r="B10" t="s">
        <v>773</v>
      </c>
      <c r="C10" t="s">
        <v>2485</v>
      </c>
      <c r="D10" t="s">
        <v>1586</v>
      </c>
      <c r="E10" t="s">
        <v>2519</v>
      </c>
      <c r="F10" t="s">
        <v>1129</v>
      </c>
      <c r="G10" t="s">
        <v>777</v>
      </c>
      <c r="H10" t="s">
        <v>1015</v>
      </c>
      <c r="I10" t="s">
        <v>2055</v>
      </c>
      <c r="J10" t="s">
        <v>2520</v>
      </c>
      <c r="K10" t="s">
        <v>1029</v>
      </c>
      <c r="L10" t="s">
        <v>2521</v>
      </c>
      <c r="M10" t="s">
        <v>775</v>
      </c>
      <c r="N10" t="s">
        <v>1934</v>
      </c>
      <c r="O10" t="s">
        <v>1301</v>
      </c>
      <c r="P10" t="s">
        <v>2198</v>
      </c>
      <c r="Q10" t="s">
        <v>2522</v>
      </c>
      <c r="S10" t="s">
        <v>2523</v>
      </c>
      <c r="T10" t="s">
        <v>1190</v>
      </c>
      <c r="U10" t="s">
        <v>1025</v>
      </c>
      <c r="V10" t="s">
        <v>1340</v>
      </c>
      <c r="W10" t="s">
        <v>1193</v>
      </c>
      <c r="X10" t="s">
        <v>1117</v>
      </c>
      <c r="Y10" t="s">
        <v>1716</v>
      </c>
      <c r="Z10" t="s">
        <v>908</v>
      </c>
      <c r="AA10" t="s">
        <v>2475</v>
      </c>
      <c r="AB10" t="s">
        <v>1814</v>
      </c>
    </row>
    <row r="11" spans="1:28">
      <c r="A11" t="s">
        <v>83</v>
      </c>
      <c r="B11" t="s">
        <v>773</v>
      </c>
      <c r="C11" t="s">
        <v>2524</v>
      </c>
      <c r="D11" t="s">
        <v>797</v>
      </c>
      <c r="E11" t="s">
        <v>2525</v>
      </c>
      <c r="F11" t="s">
        <v>801</v>
      </c>
      <c r="G11" t="s">
        <v>845</v>
      </c>
      <c r="H11" t="s">
        <v>864</v>
      </c>
      <c r="I11" t="s">
        <v>2180</v>
      </c>
      <c r="J11" t="s">
        <v>2526</v>
      </c>
      <c r="K11" t="s">
        <v>774</v>
      </c>
      <c r="L11" t="s">
        <v>2527</v>
      </c>
      <c r="M11" t="s">
        <v>780</v>
      </c>
      <c r="N11" t="s">
        <v>1320</v>
      </c>
      <c r="O11" t="s">
        <v>1271</v>
      </c>
      <c r="P11" t="s">
        <v>1048</v>
      </c>
      <c r="Q11" t="s">
        <v>2528</v>
      </c>
      <c r="S11" t="s">
        <v>2529</v>
      </c>
      <c r="T11" t="s">
        <v>1190</v>
      </c>
      <c r="U11" t="s">
        <v>1010</v>
      </c>
      <c r="V11" t="s">
        <v>1905</v>
      </c>
      <c r="W11" t="s">
        <v>1696</v>
      </c>
      <c r="X11" t="s">
        <v>912</v>
      </c>
      <c r="Y11" t="s">
        <v>1528</v>
      </c>
      <c r="Z11" t="s">
        <v>896</v>
      </c>
      <c r="AA11" t="s">
        <v>2530</v>
      </c>
      <c r="AB11" t="s">
        <v>2531</v>
      </c>
    </row>
    <row r="12" spans="1:28">
      <c r="A12" t="s">
        <v>56</v>
      </c>
      <c r="B12" t="s">
        <v>1208</v>
      </c>
      <c r="C12" t="s">
        <v>2532</v>
      </c>
      <c r="D12" t="s">
        <v>2533</v>
      </c>
      <c r="E12" t="s">
        <v>2534</v>
      </c>
      <c r="F12" t="s">
        <v>954</v>
      </c>
      <c r="G12" t="s">
        <v>778</v>
      </c>
      <c r="H12" t="s">
        <v>972</v>
      </c>
      <c r="I12" t="s">
        <v>2535</v>
      </c>
      <c r="J12" t="s">
        <v>2536</v>
      </c>
      <c r="K12" t="s">
        <v>1319</v>
      </c>
      <c r="L12" t="s">
        <v>2519</v>
      </c>
      <c r="M12" t="s">
        <v>971</v>
      </c>
      <c r="N12" t="s">
        <v>1290</v>
      </c>
      <c r="O12" t="s">
        <v>1504</v>
      </c>
      <c r="P12" t="s">
        <v>1393</v>
      </c>
      <c r="Q12" t="s">
        <v>1664</v>
      </c>
      <c r="S12" t="s">
        <v>2537</v>
      </c>
      <c r="T12" t="s">
        <v>1203</v>
      </c>
      <c r="U12" t="s">
        <v>1721</v>
      </c>
      <c r="V12" t="s">
        <v>1501</v>
      </c>
      <c r="W12" t="s">
        <v>1283</v>
      </c>
      <c r="X12" t="s">
        <v>1181</v>
      </c>
      <c r="Y12" t="s">
        <v>1556</v>
      </c>
      <c r="Z12" t="s">
        <v>1101</v>
      </c>
      <c r="AA12" t="s">
        <v>2538</v>
      </c>
      <c r="AB12" t="s">
        <v>1364</v>
      </c>
    </row>
    <row r="13" spans="1:28">
      <c r="A13" t="s">
        <v>37</v>
      </c>
      <c r="B13" t="s">
        <v>1208</v>
      </c>
      <c r="C13" t="s">
        <v>2539</v>
      </c>
      <c r="D13" t="s">
        <v>2540</v>
      </c>
      <c r="E13" t="s">
        <v>2541</v>
      </c>
      <c r="F13" t="s">
        <v>1198</v>
      </c>
      <c r="G13" t="s">
        <v>845</v>
      </c>
      <c r="H13" t="s">
        <v>1198</v>
      </c>
      <c r="I13" t="s">
        <v>2542</v>
      </c>
      <c r="J13" t="s">
        <v>2543</v>
      </c>
      <c r="K13" t="s">
        <v>1898</v>
      </c>
      <c r="L13" t="s">
        <v>2544</v>
      </c>
      <c r="M13" t="s">
        <v>780</v>
      </c>
      <c r="N13" t="s">
        <v>1497</v>
      </c>
      <c r="O13" t="s">
        <v>2545</v>
      </c>
      <c r="P13" t="s">
        <v>2410</v>
      </c>
      <c r="Q13" t="s">
        <v>2233</v>
      </c>
      <c r="S13" t="s">
        <v>2546</v>
      </c>
      <c r="T13" t="s">
        <v>1381</v>
      </c>
      <c r="U13" t="s">
        <v>1333</v>
      </c>
      <c r="V13" t="s">
        <v>1039</v>
      </c>
      <c r="W13" t="s">
        <v>981</v>
      </c>
      <c r="X13" t="s">
        <v>974</v>
      </c>
      <c r="Y13" t="s">
        <v>1906</v>
      </c>
      <c r="Z13" t="s">
        <v>893</v>
      </c>
      <c r="AA13" t="s">
        <v>2547</v>
      </c>
      <c r="AB13" t="s">
        <v>2548</v>
      </c>
    </row>
    <row r="14" spans="1:28">
      <c r="A14" t="s">
        <v>79</v>
      </c>
      <c r="B14" t="s">
        <v>773</v>
      </c>
      <c r="C14" t="s">
        <v>2549</v>
      </c>
      <c r="D14" t="s">
        <v>774</v>
      </c>
      <c r="E14" t="s">
        <v>2550</v>
      </c>
      <c r="F14" t="s">
        <v>1449</v>
      </c>
      <c r="G14" t="s">
        <v>777</v>
      </c>
      <c r="H14" t="s">
        <v>1030</v>
      </c>
      <c r="I14" t="s">
        <v>1586</v>
      </c>
      <c r="J14" t="s">
        <v>2551</v>
      </c>
      <c r="K14" t="s">
        <v>1196</v>
      </c>
      <c r="L14" t="s">
        <v>2552</v>
      </c>
      <c r="M14" t="s">
        <v>775</v>
      </c>
      <c r="N14" t="s">
        <v>1277</v>
      </c>
      <c r="O14" t="s">
        <v>1460</v>
      </c>
      <c r="P14" t="s">
        <v>957</v>
      </c>
      <c r="Q14" t="s">
        <v>2553</v>
      </c>
      <c r="S14" t="s">
        <v>2554</v>
      </c>
      <c r="T14" t="s">
        <v>1190</v>
      </c>
      <c r="U14" t="s">
        <v>949</v>
      </c>
      <c r="V14" t="s">
        <v>889</v>
      </c>
      <c r="W14" t="s">
        <v>1155</v>
      </c>
      <c r="X14" t="s">
        <v>1981</v>
      </c>
      <c r="Y14" t="s">
        <v>1553</v>
      </c>
      <c r="Z14" t="s">
        <v>893</v>
      </c>
      <c r="AA14" t="s">
        <v>2555</v>
      </c>
      <c r="AB14" t="s">
        <v>2556</v>
      </c>
    </row>
    <row r="15" spans="1:28">
      <c r="A15" t="s">
        <v>117</v>
      </c>
      <c r="B15" t="s">
        <v>1208</v>
      </c>
      <c r="C15" t="s">
        <v>2557</v>
      </c>
      <c r="D15" t="s">
        <v>1830</v>
      </c>
      <c r="E15" t="s">
        <v>2541</v>
      </c>
      <c r="F15" t="s">
        <v>1184</v>
      </c>
      <c r="G15" t="s">
        <v>822</v>
      </c>
      <c r="H15" t="s">
        <v>1030</v>
      </c>
      <c r="I15" t="s">
        <v>1056</v>
      </c>
      <c r="J15" t="s">
        <v>2558</v>
      </c>
      <c r="K15" t="s">
        <v>1042</v>
      </c>
      <c r="L15" t="s">
        <v>2503</v>
      </c>
      <c r="M15" t="s">
        <v>805</v>
      </c>
      <c r="N15" t="s">
        <v>865</v>
      </c>
      <c r="O15" t="s">
        <v>1543</v>
      </c>
      <c r="P15" t="s">
        <v>1522</v>
      </c>
      <c r="Q15" t="s">
        <v>2256</v>
      </c>
      <c r="S15" t="s">
        <v>2559</v>
      </c>
      <c r="T15" t="s">
        <v>1214</v>
      </c>
      <c r="U15" t="s">
        <v>1153</v>
      </c>
      <c r="V15" t="s">
        <v>1362</v>
      </c>
      <c r="W15" t="s">
        <v>1349</v>
      </c>
      <c r="X15" t="s">
        <v>1082</v>
      </c>
      <c r="Y15" t="s">
        <v>1528</v>
      </c>
      <c r="Z15" t="s">
        <v>1351</v>
      </c>
      <c r="AA15" t="s">
        <v>2560</v>
      </c>
      <c r="AB15" t="s">
        <v>1260</v>
      </c>
    </row>
    <row r="16" spans="1:28">
      <c r="A16" t="s">
        <v>25</v>
      </c>
      <c r="B16" t="s">
        <v>773</v>
      </c>
      <c r="C16" t="s">
        <v>2561</v>
      </c>
      <c r="D16" t="s">
        <v>1042</v>
      </c>
      <c r="E16" t="s">
        <v>2519</v>
      </c>
      <c r="F16" t="s">
        <v>1743</v>
      </c>
      <c r="G16" t="s">
        <v>822</v>
      </c>
      <c r="H16" t="s">
        <v>773</v>
      </c>
      <c r="I16" t="s">
        <v>820</v>
      </c>
      <c r="J16" t="s">
        <v>2562</v>
      </c>
      <c r="K16" t="s">
        <v>1077</v>
      </c>
      <c r="L16" t="s">
        <v>2563</v>
      </c>
      <c r="M16" t="s">
        <v>862</v>
      </c>
      <c r="N16" t="s">
        <v>1670</v>
      </c>
      <c r="O16" t="s">
        <v>1185</v>
      </c>
      <c r="P16" t="s">
        <v>1714</v>
      </c>
      <c r="Q16" t="s">
        <v>2528</v>
      </c>
      <c r="S16" t="s">
        <v>2564</v>
      </c>
      <c r="T16" t="s">
        <v>1345</v>
      </c>
      <c r="U16" t="s">
        <v>949</v>
      </c>
      <c r="V16" t="s">
        <v>1612</v>
      </c>
      <c r="W16" t="s">
        <v>815</v>
      </c>
      <c r="X16" t="s">
        <v>1779</v>
      </c>
      <c r="Y16" t="s">
        <v>1125</v>
      </c>
      <c r="Z16" t="s">
        <v>893</v>
      </c>
      <c r="AA16" t="s">
        <v>2565</v>
      </c>
      <c r="AB16" t="s">
        <v>1713</v>
      </c>
    </row>
    <row r="17" spans="1:28">
      <c r="A17" t="s">
        <v>44</v>
      </c>
      <c r="B17" t="s">
        <v>1208</v>
      </c>
      <c r="C17" t="s">
        <v>2566</v>
      </c>
      <c r="D17" t="s">
        <v>2567</v>
      </c>
      <c r="E17" t="s">
        <v>2568</v>
      </c>
      <c r="F17" t="s">
        <v>1437</v>
      </c>
      <c r="G17" t="s">
        <v>822</v>
      </c>
      <c r="H17" t="s">
        <v>1184</v>
      </c>
      <c r="I17" t="s">
        <v>2569</v>
      </c>
      <c r="J17" t="s">
        <v>2570</v>
      </c>
      <c r="K17" t="s">
        <v>1045</v>
      </c>
      <c r="L17" t="s">
        <v>2571</v>
      </c>
      <c r="M17" t="s">
        <v>796</v>
      </c>
      <c r="N17" t="s">
        <v>943</v>
      </c>
      <c r="O17" t="s">
        <v>1399</v>
      </c>
      <c r="P17" t="s">
        <v>1331</v>
      </c>
      <c r="Q17" t="s">
        <v>1151</v>
      </c>
      <c r="S17" t="s">
        <v>2572</v>
      </c>
      <c r="T17" t="s">
        <v>871</v>
      </c>
      <c r="U17" t="s">
        <v>1669</v>
      </c>
      <c r="V17" t="s">
        <v>1340</v>
      </c>
      <c r="W17" t="s">
        <v>1283</v>
      </c>
      <c r="X17" t="s">
        <v>1318</v>
      </c>
      <c r="Y17" t="s">
        <v>1367</v>
      </c>
      <c r="Z17" t="s">
        <v>1091</v>
      </c>
      <c r="AA17" t="s">
        <v>2573</v>
      </c>
      <c r="AB17" t="s">
        <v>2574</v>
      </c>
    </row>
    <row r="18" spans="1:28">
      <c r="A18" t="s">
        <v>30</v>
      </c>
      <c r="B18" t="s">
        <v>773</v>
      </c>
      <c r="C18" t="s">
        <v>2575</v>
      </c>
      <c r="D18" t="s">
        <v>1580</v>
      </c>
      <c r="E18" t="s">
        <v>2576</v>
      </c>
      <c r="F18" t="s">
        <v>1129</v>
      </c>
      <c r="G18" t="s">
        <v>863</v>
      </c>
      <c r="H18" t="s">
        <v>926</v>
      </c>
      <c r="I18" t="s">
        <v>1515</v>
      </c>
      <c r="J18" t="s">
        <v>2577</v>
      </c>
      <c r="K18" t="s">
        <v>1183</v>
      </c>
      <c r="L18" t="s">
        <v>2571</v>
      </c>
      <c r="M18" t="s">
        <v>1030</v>
      </c>
      <c r="N18" t="s">
        <v>1060</v>
      </c>
      <c r="O18" t="s">
        <v>2578</v>
      </c>
      <c r="P18" t="s">
        <v>2198</v>
      </c>
      <c r="Q18" t="s">
        <v>2579</v>
      </c>
      <c r="S18" t="s">
        <v>2580</v>
      </c>
      <c r="T18" t="s">
        <v>989</v>
      </c>
      <c r="U18" t="s">
        <v>1486</v>
      </c>
      <c r="V18" t="s">
        <v>1039</v>
      </c>
      <c r="W18" t="s">
        <v>2313</v>
      </c>
      <c r="X18" t="s">
        <v>1041</v>
      </c>
      <c r="Y18" t="s">
        <v>1367</v>
      </c>
      <c r="Z18" t="s">
        <v>1351</v>
      </c>
      <c r="AA18" t="s">
        <v>2475</v>
      </c>
      <c r="AB18" t="s">
        <v>2128</v>
      </c>
    </row>
    <row r="19" spans="1:28">
      <c r="A19" t="s">
        <v>71</v>
      </c>
      <c r="B19" t="s">
        <v>773</v>
      </c>
      <c r="C19" t="s">
        <v>2581</v>
      </c>
      <c r="D19" t="s">
        <v>1908</v>
      </c>
      <c r="E19" t="s">
        <v>2582</v>
      </c>
      <c r="F19" t="s">
        <v>1198</v>
      </c>
      <c r="G19" t="s">
        <v>822</v>
      </c>
      <c r="H19" t="s">
        <v>926</v>
      </c>
      <c r="I19" t="s">
        <v>1220</v>
      </c>
      <c r="J19" t="s">
        <v>2583</v>
      </c>
      <c r="K19" t="s">
        <v>1231</v>
      </c>
      <c r="L19" t="s">
        <v>2541</v>
      </c>
      <c r="M19" t="s">
        <v>1232</v>
      </c>
      <c r="N19" t="s">
        <v>1665</v>
      </c>
      <c r="O19" t="s">
        <v>912</v>
      </c>
      <c r="P19" t="s">
        <v>1310</v>
      </c>
      <c r="Q19" t="s">
        <v>2307</v>
      </c>
      <c r="S19" t="s">
        <v>2584</v>
      </c>
      <c r="T19" t="s">
        <v>1564</v>
      </c>
      <c r="U19" t="s">
        <v>1628</v>
      </c>
      <c r="V19" t="s">
        <v>1266</v>
      </c>
      <c r="W19" t="s">
        <v>1010</v>
      </c>
      <c r="X19" t="s">
        <v>1363</v>
      </c>
      <c r="Y19" t="s">
        <v>1556</v>
      </c>
      <c r="Z19" t="s">
        <v>1368</v>
      </c>
      <c r="AA19" t="s">
        <v>2585</v>
      </c>
      <c r="AB19" t="s">
        <v>2207</v>
      </c>
    </row>
    <row r="20" spans="1:28">
      <c r="A20" t="s">
        <v>14</v>
      </c>
      <c r="B20" t="s">
        <v>773</v>
      </c>
      <c r="C20" t="s">
        <v>2586</v>
      </c>
      <c r="D20" t="s">
        <v>1196</v>
      </c>
      <c r="E20" t="s">
        <v>2587</v>
      </c>
      <c r="F20" t="s">
        <v>824</v>
      </c>
      <c r="G20" t="s">
        <v>846</v>
      </c>
      <c r="H20" t="s">
        <v>1221</v>
      </c>
      <c r="I20" t="s">
        <v>1077</v>
      </c>
      <c r="J20" t="s">
        <v>2588</v>
      </c>
      <c r="K20" t="s">
        <v>1529</v>
      </c>
      <c r="L20" t="s">
        <v>2589</v>
      </c>
      <c r="M20" t="s">
        <v>1232</v>
      </c>
      <c r="N20" t="s">
        <v>874</v>
      </c>
      <c r="O20" t="s">
        <v>965</v>
      </c>
      <c r="P20" t="s">
        <v>899</v>
      </c>
      <c r="Q20" t="s">
        <v>1956</v>
      </c>
      <c r="S20" t="s">
        <v>2590</v>
      </c>
      <c r="T20" t="s">
        <v>852</v>
      </c>
      <c r="U20" t="s">
        <v>791</v>
      </c>
      <c r="V20" t="s">
        <v>904</v>
      </c>
      <c r="W20" t="s">
        <v>992</v>
      </c>
      <c r="X20" t="s">
        <v>1199</v>
      </c>
      <c r="Y20" t="s">
        <v>1434</v>
      </c>
      <c r="Z20" t="s">
        <v>922</v>
      </c>
      <c r="AA20" t="s">
        <v>2591</v>
      </c>
      <c r="AB20" t="s">
        <v>2592</v>
      </c>
    </row>
    <row r="21" spans="1:28">
      <c r="A21" t="s">
        <v>76</v>
      </c>
      <c r="B21" t="s">
        <v>1208</v>
      </c>
      <c r="C21" t="s">
        <v>2566</v>
      </c>
      <c r="D21" t="s">
        <v>2593</v>
      </c>
      <c r="E21" t="s">
        <v>2594</v>
      </c>
      <c r="F21" t="s">
        <v>1743</v>
      </c>
      <c r="G21" t="s">
        <v>845</v>
      </c>
      <c r="H21" t="s">
        <v>801</v>
      </c>
      <c r="I21" t="s">
        <v>2535</v>
      </c>
      <c r="J21" t="s">
        <v>2595</v>
      </c>
      <c r="K21" t="s">
        <v>800</v>
      </c>
      <c r="L21" t="s">
        <v>2514</v>
      </c>
      <c r="M21" t="s">
        <v>1030</v>
      </c>
      <c r="N21" t="s">
        <v>881</v>
      </c>
      <c r="O21" t="s">
        <v>866</v>
      </c>
      <c r="P21" t="s">
        <v>794</v>
      </c>
      <c r="Q21" t="s">
        <v>1409</v>
      </c>
      <c r="S21" t="s">
        <v>2596</v>
      </c>
      <c r="T21" t="s">
        <v>1287</v>
      </c>
      <c r="U21" t="s">
        <v>949</v>
      </c>
      <c r="V21" t="s">
        <v>1039</v>
      </c>
      <c r="W21" t="s">
        <v>1155</v>
      </c>
      <c r="X21" t="s">
        <v>1829</v>
      </c>
      <c r="Y21" t="s">
        <v>1913</v>
      </c>
      <c r="Z21" t="s">
        <v>877</v>
      </c>
      <c r="AA21" t="s">
        <v>2597</v>
      </c>
      <c r="AB21" t="s">
        <v>2598</v>
      </c>
    </row>
    <row r="22" spans="1:28">
      <c r="A22" t="s">
        <v>41</v>
      </c>
      <c r="B22" t="s">
        <v>773</v>
      </c>
      <c r="C22" t="s">
        <v>2539</v>
      </c>
      <c r="D22" t="s">
        <v>2599</v>
      </c>
      <c r="E22" t="s">
        <v>2534</v>
      </c>
      <c r="F22" t="s">
        <v>783</v>
      </c>
      <c r="G22" t="s">
        <v>822</v>
      </c>
      <c r="H22" t="s">
        <v>972</v>
      </c>
      <c r="I22" t="s">
        <v>2600</v>
      </c>
      <c r="J22" t="s">
        <v>2601</v>
      </c>
      <c r="K22" t="s">
        <v>1580</v>
      </c>
      <c r="L22" t="s">
        <v>2602</v>
      </c>
      <c r="M22" t="s">
        <v>780</v>
      </c>
      <c r="N22" t="s">
        <v>1262</v>
      </c>
      <c r="O22" t="s">
        <v>1032</v>
      </c>
      <c r="P22" t="s">
        <v>2134</v>
      </c>
      <c r="Q22" t="s">
        <v>1417</v>
      </c>
      <c r="S22" t="s">
        <v>2603</v>
      </c>
      <c r="T22" t="s">
        <v>871</v>
      </c>
      <c r="U22" t="s">
        <v>1180</v>
      </c>
      <c r="V22" t="s">
        <v>873</v>
      </c>
      <c r="W22" t="s">
        <v>2141</v>
      </c>
      <c r="X22" t="s">
        <v>1181</v>
      </c>
      <c r="Y22" t="s">
        <v>1195</v>
      </c>
      <c r="Z22" t="s">
        <v>1231</v>
      </c>
      <c r="AA22" t="s">
        <v>2604</v>
      </c>
      <c r="AB22" t="s">
        <v>2605</v>
      </c>
    </row>
    <row r="23" spans="1:28">
      <c r="A23" t="s">
        <v>159</v>
      </c>
      <c r="B23" t="s">
        <v>773</v>
      </c>
      <c r="C23" t="s">
        <v>2606</v>
      </c>
      <c r="D23" t="s">
        <v>1830</v>
      </c>
      <c r="E23" t="s">
        <v>2607</v>
      </c>
      <c r="F23" t="s">
        <v>972</v>
      </c>
      <c r="G23" t="s">
        <v>845</v>
      </c>
      <c r="H23" t="s">
        <v>972</v>
      </c>
      <c r="I23" t="s">
        <v>1289</v>
      </c>
      <c r="J23" t="s">
        <v>2608</v>
      </c>
      <c r="K23" t="s">
        <v>774</v>
      </c>
      <c r="L23" t="s">
        <v>2609</v>
      </c>
      <c r="M23" t="s">
        <v>776</v>
      </c>
      <c r="N23" t="s">
        <v>856</v>
      </c>
      <c r="O23" t="s">
        <v>2137</v>
      </c>
      <c r="P23" t="s">
        <v>1945</v>
      </c>
      <c r="Q23" t="s">
        <v>2160</v>
      </c>
      <c r="S23" t="s">
        <v>2504</v>
      </c>
      <c r="T23" t="s">
        <v>1144</v>
      </c>
      <c r="U23" t="s">
        <v>1506</v>
      </c>
      <c r="V23" t="s">
        <v>1039</v>
      </c>
      <c r="W23" t="s">
        <v>2141</v>
      </c>
      <c r="X23" t="s">
        <v>1185</v>
      </c>
      <c r="Y23" t="s">
        <v>1789</v>
      </c>
      <c r="Z23" t="s">
        <v>1113</v>
      </c>
      <c r="AA23" t="s">
        <v>2610</v>
      </c>
      <c r="AB23" t="s">
        <v>1909</v>
      </c>
    </row>
    <row r="24" spans="1:28">
      <c r="A24" t="s">
        <v>51</v>
      </c>
      <c r="B24" t="s">
        <v>1015</v>
      </c>
      <c r="C24" t="s">
        <v>2611</v>
      </c>
      <c r="D24" t="s">
        <v>797</v>
      </c>
      <c r="E24" t="s">
        <v>2612</v>
      </c>
      <c r="F24" t="s">
        <v>1184</v>
      </c>
      <c r="G24" t="s">
        <v>777</v>
      </c>
      <c r="H24" t="s">
        <v>775</v>
      </c>
      <c r="I24" t="s">
        <v>2180</v>
      </c>
      <c r="J24" t="s">
        <v>2613</v>
      </c>
      <c r="K24" t="s">
        <v>1580</v>
      </c>
      <c r="L24" t="s">
        <v>2614</v>
      </c>
      <c r="M24" t="s">
        <v>824</v>
      </c>
      <c r="N24" t="s">
        <v>1479</v>
      </c>
      <c r="O24" t="s">
        <v>1846</v>
      </c>
      <c r="P24" t="s">
        <v>1452</v>
      </c>
      <c r="Q24" t="s">
        <v>1832</v>
      </c>
      <c r="S24" t="s">
        <v>2615</v>
      </c>
      <c r="T24" t="s">
        <v>1345</v>
      </c>
      <c r="U24" t="s">
        <v>936</v>
      </c>
      <c r="V24" t="s">
        <v>1894</v>
      </c>
      <c r="W24" t="s">
        <v>1471</v>
      </c>
      <c r="X24" t="s">
        <v>912</v>
      </c>
      <c r="Y24" t="s">
        <v>1442</v>
      </c>
      <c r="Z24" t="s">
        <v>954</v>
      </c>
      <c r="AA24" t="s">
        <v>2616</v>
      </c>
      <c r="AB24" t="s">
        <v>2617</v>
      </c>
    </row>
    <row r="25" spans="1:28">
      <c r="A25" t="s">
        <v>61</v>
      </c>
      <c r="B25" t="s">
        <v>773</v>
      </c>
      <c r="C25" t="s">
        <v>2618</v>
      </c>
      <c r="D25" t="s">
        <v>2600</v>
      </c>
      <c r="E25" t="s">
        <v>2494</v>
      </c>
      <c r="F25" t="s">
        <v>824</v>
      </c>
      <c r="G25" t="s">
        <v>845</v>
      </c>
      <c r="H25" t="s">
        <v>1208</v>
      </c>
      <c r="I25" t="s">
        <v>1898</v>
      </c>
      <c r="J25" t="s">
        <v>2619</v>
      </c>
      <c r="K25" t="s">
        <v>1289</v>
      </c>
      <c r="L25" t="s">
        <v>2620</v>
      </c>
      <c r="M25" t="s">
        <v>842</v>
      </c>
      <c r="N25" t="s">
        <v>1277</v>
      </c>
      <c r="O25" t="s">
        <v>866</v>
      </c>
      <c r="P25" t="s">
        <v>2096</v>
      </c>
      <c r="Q25" t="s">
        <v>2621</v>
      </c>
      <c r="S25" t="s">
        <v>2622</v>
      </c>
      <c r="T25" t="s">
        <v>1345</v>
      </c>
      <c r="U25" t="s">
        <v>1339</v>
      </c>
      <c r="V25" t="s">
        <v>1001</v>
      </c>
      <c r="W25" t="s">
        <v>2313</v>
      </c>
      <c r="X25" t="s">
        <v>1420</v>
      </c>
      <c r="Y25" t="s">
        <v>907</v>
      </c>
      <c r="Z25" t="s">
        <v>1103</v>
      </c>
      <c r="AA25" t="s">
        <v>2623</v>
      </c>
      <c r="AB25" t="s">
        <v>2624</v>
      </c>
    </row>
    <row r="26" spans="1:28">
      <c r="A26" t="s">
        <v>6</v>
      </c>
      <c r="B26" t="s">
        <v>1015</v>
      </c>
      <c r="C26" t="s">
        <v>2625</v>
      </c>
      <c r="D26" t="s">
        <v>1705</v>
      </c>
      <c r="E26" t="s">
        <v>2582</v>
      </c>
      <c r="F26" t="s">
        <v>1081</v>
      </c>
      <c r="G26" t="s">
        <v>778</v>
      </c>
      <c r="H26" t="s">
        <v>801</v>
      </c>
      <c r="I26" t="s">
        <v>1298</v>
      </c>
      <c r="J26" t="s">
        <v>2626</v>
      </c>
      <c r="K26" t="s">
        <v>1101</v>
      </c>
      <c r="L26" t="s">
        <v>2614</v>
      </c>
      <c r="M26" t="s">
        <v>926</v>
      </c>
      <c r="N26" t="s">
        <v>1018</v>
      </c>
      <c r="O26" t="s">
        <v>1543</v>
      </c>
      <c r="P26" t="s">
        <v>2627</v>
      </c>
      <c r="Q26" t="s">
        <v>1763</v>
      </c>
      <c r="S26" t="s">
        <v>2628</v>
      </c>
      <c r="T26" t="s">
        <v>1190</v>
      </c>
      <c r="U26" t="s">
        <v>1257</v>
      </c>
      <c r="V26" t="s">
        <v>1039</v>
      </c>
      <c r="W26" t="s">
        <v>1000</v>
      </c>
      <c r="X26" t="s">
        <v>1137</v>
      </c>
      <c r="Y26" t="s">
        <v>1297</v>
      </c>
      <c r="Z26" t="s">
        <v>880</v>
      </c>
      <c r="AA26" t="s">
        <v>2629</v>
      </c>
      <c r="AB26" t="s">
        <v>1364</v>
      </c>
    </row>
    <row r="27" spans="1:28">
      <c r="A27" t="s">
        <v>8</v>
      </c>
      <c r="B27" t="s">
        <v>1015</v>
      </c>
      <c r="C27" t="s">
        <v>2630</v>
      </c>
      <c r="D27" t="s">
        <v>797</v>
      </c>
      <c r="E27" t="s">
        <v>2631</v>
      </c>
      <c r="F27" t="s">
        <v>1437</v>
      </c>
      <c r="G27" t="s">
        <v>823</v>
      </c>
      <c r="H27" t="s">
        <v>1015</v>
      </c>
      <c r="I27" t="s">
        <v>1580</v>
      </c>
      <c r="J27" t="s">
        <v>2632</v>
      </c>
      <c r="K27" t="s">
        <v>880</v>
      </c>
      <c r="L27" t="s">
        <v>2633</v>
      </c>
      <c r="M27" t="s">
        <v>1232</v>
      </c>
      <c r="N27" t="s">
        <v>1060</v>
      </c>
      <c r="O27" t="s">
        <v>974</v>
      </c>
      <c r="P27" t="s">
        <v>1400</v>
      </c>
      <c r="Q27" t="s">
        <v>2634</v>
      </c>
      <c r="S27" t="s">
        <v>2635</v>
      </c>
      <c r="T27" t="s">
        <v>1381</v>
      </c>
      <c r="U27" t="s">
        <v>979</v>
      </c>
      <c r="V27" t="s">
        <v>1179</v>
      </c>
      <c r="W27" t="s">
        <v>927</v>
      </c>
      <c r="X27" t="s">
        <v>2031</v>
      </c>
      <c r="Y27" t="s">
        <v>907</v>
      </c>
      <c r="Z27" t="s">
        <v>1899</v>
      </c>
      <c r="AA27" t="s">
        <v>2636</v>
      </c>
      <c r="AB27" t="s">
        <v>2637</v>
      </c>
    </row>
    <row r="28" spans="1:28">
      <c r="A28" t="s">
        <v>48</v>
      </c>
      <c r="B28" t="s">
        <v>1208</v>
      </c>
      <c r="C28" t="s">
        <v>2638</v>
      </c>
      <c r="D28" t="s">
        <v>1830</v>
      </c>
      <c r="E28" t="s">
        <v>2639</v>
      </c>
      <c r="F28" t="s">
        <v>1358</v>
      </c>
      <c r="G28" t="s">
        <v>822</v>
      </c>
      <c r="H28" t="s">
        <v>1015</v>
      </c>
      <c r="I28" t="s">
        <v>1757</v>
      </c>
      <c r="J28" t="s">
        <v>2640</v>
      </c>
      <c r="K28" t="s">
        <v>1220</v>
      </c>
      <c r="L28" t="s">
        <v>2641</v>
      </c>
      <c r="M28" t="s">
        <v>842</v>
      </c>
      <c r="N28" t="s">
        <v>2066</v>
      </c>
      <c r="O28" t="s">
        <v>1460</v>
      </c>
      <c r="P28" t="s">
        <v>2149</v>
      </c>
      <c r="Q28" t="s">
        <v>2522</v>
      </c>
      <c r="S28" t="s">
        <v>2642</v>
      </c>
      <c r="T28" t="s">
        <v>1345</v>
      </c>
      <c r="U28" t="s">
        <v>1108</v>
      </c>
      <c r="V28" t="s">
        <v>1854</v>
      </c>
      <c r="W28" t="s">
        <v>1834</v>
      </c>
      <c r="X28" t="s">
        <v>1116</v>
      </c>
      <c r="Y28" t="s">
        <v>2167</v>
      </c>
      <c r="Z28" t="s">
        <v>877</v>
      </c>
      <c r="AA28" t="s">
        <v>2643</v>
      </c>
      <c r="AB28" t="s">
        <v>2644</v>
      </c>
    </row>
    <row r="29" spans="1:28">
      <c r="A29" t="s">
        <v>11</v>
      </c>
      <c r="B29" t="s">
        <v>773</v>
      </c>
      <c r="C29" t="s">
        <v>2645</v>
      </c>
      <c r="D29" t="s">
        <v>2646</v>
      </c>
      <c r="E29" t="s">
        <v>2503</v>
      </c>
      <c r="F29" t="s">
        <v>1517</v>
      </c>
      <c r="G29" t="s">
        <v>778</v>
      </c>
      <c r="H29" t="s">
        <v>1147</v>
      </c>
      <c r="I29" t="s">
        <v>2533</v>
      </c>
      <c r="J29" t="s">
        <v>2647</v>
      </c>
      <c r="K29" t="s">
        <v>800</v>
      </c>
      <c r="L29" t="s">
        <v>2648</v>
      </c>
      <c r="M29" t="s">
        <v>1232</v>
      </c>
      <c r="N29" t="s">
        <v>1061</v>
      </c>
      <c r="O29" t="s">
        <v>1377</v>
      </c>
      <c r="P29" t="s">
        <v>2163</v>
      </c>
      <c r="Q29" t="s">
        <v>1264</v>
      </c>
      <c r="S29" t="s">
        <v>2649</v>
      </c>
      <c r="T29" t="s">
        <v>1373</v>
      </c>
      <c r="U29" t="s">
        <v>1074</v>
      </c>
      <c r="V29" t="s">
        <v>835</v>
      </c>
      <c r="W29" t="s">
        <v>1774</v>
      </c>
      <c r="X29" t="s">
        <v>1353</v>
      </c>
      <c r="Y29" t="s">
        <v>1249</v>
      </c>
      <c r="Z29" t="s">
        <v>1414</v>
      </c>
      <c r="AA29" t="s">
        <v>2650</v>
      </c>
      <c r="AB29" t="s">
        <v>1929</v>
      </c>
    </row>
    <row r="30" spans="1:28">
      <c r="A30" t="s">
        <v>175</v>
      </c>
      <c r="B30" t="s">
        <v>1015</v>
      </c>
      <c r="C30" t="s">
        <v>2651</v>
      </c>
      <c r="D30" t="s">
        <v>839</v>
      </c>
      <c r="E30" t="s">
        <v>2652</v>
      </c>
      <c r="F30" t="s">
        <v>955</v>
      </c>
      <c r="G30" t="s">
        <v>822</v>
      </c>
      <c r="H30" t="s">
        <v>776</v>
      </c>
      <c r="I30" t="s">
        <v>1830</v>
      </c>
      <c r="J30" t="s">
        <v>2653</v>
      </c>
      <c r="K30" t="s">
        <v>1414</v>
      </c>
      <c r="L30" t="s">
        <v>2654</v>
      </c>
      <c r="M30" t="s">
        <v>895</v>
      </c>
      <c r="N30" t="s">
        <v>1018</v>
      </c>
      <c r="O30" t="s">
        <v>1140</v>
      </c>
      <c r="P30" t="s">
        <v>1379</v>
      </c>
      <c r="Q30" t="s">
        <v>2655</v>
      </c>
      <c r="S30" t="s">
        <v>2656</v>
      </c>
      <c r="T30" t="s">
        <v>1144</v>
      </c>
      <c r="U30" t="s">
        <v>1865</v>
      </c>
      <c r="V30" t="s">
        <v>1970</v>
      </c>
      <c r="W30" t="s">
        <v>815</v>
      </c>
      <c r="X30" t="s">
        <v>1117</v>
      </c>
      <c r="Y30" t="s">
        <v>1866</v>
      </c>
      <c r="Z30" t="s">
        <v>1429</v>
      </c>
      <c r="AA30" t="s">
        <v>2657</v>
      </c>
      <c r="AB30" t="s">
        <v>2658</v>
      </c>
    </row>
    <row r="31" spans="1:28">
      <c r="A31" t="s">
        <v>110</v>
      </c>
      <c r="B31" t="s">
        <v>773</v>
      </c>
      <c r="C31" t="s">
        <v>2659</v>
      </c>
      <c r="D31" t="s">
        <v>1091</v>
      </c>
      <c r="E31" t="s">
        <v>2521</v>
      </c>
      <c r="F31" t="s">
        <v>1517</v>
      </c>
      <c r="G31" t="s">
        <v>846</v>
      </c>
      <c r="H31" t="s">
        <v>775</v>
      </c>
      <c r="I31" t="s">
        <v>1908</v>
      </c>
      <c r="J31" t="s">
        <v>2626</v>
      </c>
      <c r="K31" t="s">
        <v>781</v>
      </c>
      <c r="L31" t="s">
        <v>2571</v>
      </c>
      <c r="M31" t="s">
        <v>863</v>
      </c>
      <c r="N31" t="s">
        <v>1199</v>
      </c>
      <c r="O31" t="s">
        <v>2029</v>
      </c>
      <c r="P31" t="s">
        <v>2096</v>
      </c>
      <c r="Q31" t="s">
        <v>2660</v>
      </c>
      <c r="S31" t="s">
        <v>2661</v>
      </c>
      <c r="T31" t="s">
        <v>1638</v>
      </c>
      <c r="U31" t="s">
        <v>1163</v>
      </c>
      <c r="V31" t="s">
        <v>792</v>
      </c>
      <c r="W31" t="s">
        <v>834</v>
      </c>
      <c r="X31" t="s">
        <v>897</v>
      </c>
      <c r="Y31" t="s">
        <v>921</v>
      </c>
      <c r="Z31" t="s">
        <v>1259</v>
      </c>
      <c r="AA31" t="s">
        <v>2662</v>
      </c>
      <c r="AB31" t="s">
        <v>2663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/>
  </sheetViews>
  <sheetFormatPr defaultRowHeight="15"/>
  <cols>
    <col min="1" max="1" width="8" bestFit="1" customWidth="1"/>
    <col min="2" max="2" width="22" bestFit="1" customWidth="1"/>
    <col min="3" max="3" width="8" bestFit="1" customWidth="1"/>
    <col min="4" max="4" width="12" customWidth="1"/>
    <col min="5" max="5" width="18" bestFit="1" customWidth="1"/>
    <col min="6" max="6" width="12" customWidth="1"/>
  </cols>
  <sheetData>
    <row r="1" spans="1:6">
      <c r="A1" t="s">
        <v>769</v>
      </c>
      <c r="B1" t="s">
        <v>770</v>
      </c>
      <c r="C1" t="s">
        <v>771</v>
      </c>
      <c r="D1" t="s">
        <v>2664</v>
      </c>
      <c r="E1" t="s">
        <v>2665</v>
      </c>
      <c r="F1" t="s">
        <v>2666</v>
      </c>
    </row>
  </sheetData>
  <phoneticPr fontId="1" type="noConversion"/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6"/>
  <sheetViews>
    <sheetView topLeftCell="G1" workbookViewId="0">
      <selection activeCell="I3" sqref="I3"/>
    </sheetView>
  </sheetViews>
  <sheetFormatPr defaultRowHeight="15"/>
  <cols>
    <col min="1" max="1" width="10.875" bestFit="1" customWidth="1"/>
    <col min="2" max="2" width="10.5" bestFit="1" customWidth="1"/>
    <col min="3" max="3" width="8.25" bestFit="1" customWidth="1"/>
    <col min="4" max="4" width="15.5" style="52" bestFit="1" customWidth="1"/>
    <col min="5" max="5" width="17.75" bestFit="1" customWidth="1"/>
    <col min="6" max="6" width="17.25" bestFit="1" customWidth="1"/>
    <col min="7" max="7" width="19.375" bestFit="1" customWidth="1"/>
    <col min="8" max="8" width="15.625" bestFit="1" customWidth="1"/>
    <col min="9" max="9" width="20.5" bestFit="1" customWidth="1"/>
    <col min="10" max="13" width="14.125" bestFit="1" customWidth="1"/>
    <col min="14" max="14" width="14.125" style="52" customWidth="1"/>
    <col min="15" max="15" width="16.25" bestFit="1" customWidth="1"/>
    <col min="16" max="16" width="17.375" bestFit="1" customWidth="1"/>
    <col min="17" max="17" width="18.625" bestFit="1" customWidth="1"/>
    <col min="18" max="18" width="17.875" bestFit="1" customWidth="1"/>
    <col min="19" max="19" width="18.5" bestFit="1" customWidth="1"/>
    <col min="20" max="23" width="14.125" bestFit="1" customWidth="1"/>
    <col min="24" max="27" width="12.75" bestFit="1" customWidth="1"/>
  </cols>
  <sheetData>
    <row r="1" spans="1:24">
      <c r="A1" t="s">
        <v>522</v>
      </c>
      <c r="B1" t="s">
        <v>564</v>
      </c>
      <c r="C1" t="s">
        <v>455</v>
      </c>
      <c r="D1" s="52" t="s">
        <v>527</v>
      </c>
      <c r="E1" t="s">
        <v>2667</v>
      </c>
      <c r="F1" t="s">
        <v>2668</v>
      </c>
      <c r="G1" t="s">
        <v>2669</v>
      </c>
      <c r="H1" t="s">
        <v>2670</v>
      </c>
      <c r="I1" t="s">
        <v>2671</v>
      </c>
      <c r="J1" t="s">
        <v>2672</v>
      </c>
      <c r="K1" t="s">
        <v>2673</v>
      </c>
      <c r="L1" t="s">
        <v>2674</v>
      </c>
      <c r="M1" t="s">
        <v>2675</v>
      </c>
      <c r="N1" s="52" t="s">
        <v>2676</v>
      </c>
      <c r="O1" t="s">
        <v>2677</v>
      </c>
      <c r="P1" t="s">
        <v>2678</v>
      </c>
      <c r="Q1" t="s">
        <v>2679</v>
      </c>
      <c r="R1" t="s">
        <v>2680</v>
      </c>
      <c r="S1" t="s">
        <v>2681</v>
      </c>
      <c r="T1" t="s">
        <v>2682</v>
      </c>
      <c r="U1" t="s">
        <v>2683</v>
      </c>
      <c r="V1" t="s">
        <v>2684</v>
      </c>
      <c r="W1" t="s">
        <v>2685</v>
      </c>
      <c r="X1" t="s">
        <v>2686</v>
      </c>
    </row>
    <row r="2" spans="1:24">
      <c r="A2" t="s">
        <v>2687</v>
      </c>
      <c r="B2" t="s">
        <v>2688</v>
      </c>
      <c r="C2" t="s">
        <v>68</v>
      </c>
      <c r="D2" t="s">
        <v>20</v>
      </c>
      <c r="E2" t="s">
        <v>2689</v>
      </c>
      <c r="F2" t="s">
        <v>2690</v>
      </c>
      <c r="G2" t="s">
        <v>450</v>
      </c>
      <c r="H2" t="s">
        <v>206</v>
      </c>
      <c r="I2" t="s">
        <v>210</v>
      </c>
      <c r="J2" t="s">
        <v>383</v>
      </c>
      <c r="K2" t="s">
        <v>242</v>
      </c>
      <c r="L2" t="s">
        <v>66</v>
      </c>
      <c r="M2" t="s">
        <v>111</v>
      </c>
      <c r="N2" t="s">
        <v>341</v>
      </c>
      <c r="O2" t="s">
        <v>425</v>
      </c>
      <c r="P2" t="s">
        <v>406</v>
      </c>
      <c r="Q2" t="s">
        <v>21</v>
      </c>
      <c r="R2" t="s">
        <v>245</v>
      </c>
      <c r="S2" t="s">
        <v>376</v>
      </c>
      <c r="T2" t="s">
        <v>154</v>
      </c>
      <c r="U2" t="s">
        <v>144</v>
      </c>
      <c r="V2" t="s">
        <v>252</v>
      </c>
      <c r="W2" t="s">
        <v>18</v>
      </c>
      <c r="X2" t="s">
        <v>62</v>
      </c>
    </row>
    <row r="3" spans="1:24">
      <c r="A3" t="s">
        <v>2687</v>
      </c>
      <c r="B3" t="s">
        <v>2691</v>
      </c>
      <c r="C3" t="s">
        <v>6</v>
      </c>
      <c r="D3" t="s">
        <v>61</v>
      </c>
      <c r="E3" t="s">
        <v>2692</v>
      </c>
      <c r="F3" t="s">
        <v>2693</v>
      </c>
      <c r="G3" t="s">
        <v>228</v>
      </c>
      <c r="H3" t="s">
        <v>205</v>
      </c>
      <c r="I3" t="s">
        <v>4</v>
      </c>
      <c r="J3" t="s">
        <v>226</v>
      </c>
      <c r="K3" t="s">
        <v>346</v>
      </c>
      <c r="L3" t="s">
        <v>322</v>
      </c>
      <c r="M3" t="s">
        <v>334</v>
      </c>
      <c r="N3" t="s">
        <v>357</v>
      </c>
      <c r="O3" t="s">
        <v>435</v>
      </c>
      <c r="P3" t="s">
        <v>349</v>
      </c>
      <c r="Q3" t="s">
        <v>77</v>
      </c>
      <c r="R3" t="s">
        <v>59</v>
      </c>
      <c r="S3" t="s">
        <v>382</v>
      </c>
      <c r="T3" t="s">
        <v>344</v>
      </c>
      <c r="U3" t="s">
        <v>313</v>
      </c>
      <c r="V3" t="s">
        <v>388</v>
      </c>
      <c r="W3" t="s">
        <v>257</v>
      </c>
      <c r="X3" t="s">
        <v>241</v>
      </c>
    </row>
    <row r="4" spans="1:24">
      <c r="A4" t="s">
        <v>2687</v>
      </c>
      <c r="B4" t="s">
        <v>2694</v>
      </c>
      <c r="C4" t="s">
        <v>105</v>
      </c>
      <c r="D4" t="s">
        <v>17</v>
      </c>
      <c r="E4" t="s">
        <v>2695</v>
      </c>
      <c r="F4" t="s">
        <v>2696</v>
      </c>
      <c r="G4" t="s">
        <v>359</v>
      </c>
      <c r="H4" t="s">
        <v>436</v>
      </c>
      <c r="I4" t="s">
        <v>442</v>
      </c>
      <c r="J4" t="s">
        <v>428</v>
      </c>
      <c r="K4" t="s">
        <v>237</v>
      </c>
      <c r="L4" t="s">
        <v>106</v>
      </c>
      <c r="M4" t="s">
        <v>307</v>
      </c>
      <c r="N4" t="s">
        <v>118</v>
      </c>
      <c r="O4" t="s">
        <v>103</v>
      </c>
      <c r="P4" t="s">
        <v>156</v>
      </c>
      <c r="Q4" t="s">
        <v>432</v>
      </c>
      <c r="R4" t="s">
        <v>267</v>
      </c>
      <c r="S4" t="s">
        <v>152</v>
      </c>
      <c r="T4" t="s">
        <v>146</v>
      </c>
      <c r="U4" t="s">
        <v>169</v>
      </c>
      <c r="V4" t="s">
        <v>329</v>
      </c>
      <c r="W4" t="s">
        <v>15</v>
      </c>
      <c r="X4" t="s">
        <v>409</v>
      </c>
    </row>
    <row r="5" spans="1:24">
      <c r="A5" t="s">
        <v>2687</v>
      </c>
      <c r="B5" t="s">
        <v>2697</v>
      </c>
      <c r="C5" t="s">
        <v>37</v>
      </c>
      <c r="D5" t="s">
        <v>3</v>
      </c>
      <c r="E5" t="s">
        <v>2698</v>
      </c>
      <c r="F5" t="s">
        <v>2699</v>
      </c>
      <c r="G5" t="s">
        <v>452</v>
      </c>
      <c r="H5" t="s">
        <v>328</v>
      </c>
      <c r="I5" t="s">
        <v>239</v>
      </c>
      <c r="J5" t="s">
        <v>243</v>
      </c>
      <c r="K5" t="s">
        <v>347</v>
      </c>
      <c r="L5" t="s">
        <v>338</v>
      </c>
      <c r="M5" t="s">
        <v>430</v>
      </c>
      <c r="N5" t="s">
        <v>421</v>
      </c>
      <c r="O5" t="s">
        <v>64</v>
      </c>
      <c r="P5" t="s">
        <v>1</v>
      </c>
      <c r="Q5" t="s">
        <v>311</v>
      </c>
      <c r="R5" t="s">
        <v>317</v>
      </c>
      <c r="S5" t="s">
        <v>99</v>
      </c>
      <c r="T5" t="s">
        <v>164</v>
      </c>
      <c r="U5" t="s">
        <v>384</v>
      </c>
      <c r="V5" t="s">
        <v>168</v>
      </c>
      <c r="W5" t="s">
        <v>97</v>
      </c>
      <c r="X5" t="s">
        <v>277</v>
      </c>
    </row>
    <row r="6" spans="1:24">
      <c r="A6" t="s">
        <v>2687</v>
      </c>
      <c r="B6" t="s">
        <v>2697</v>
      </c>
      <c r="C6" t="s">
        <v>117</v>
      </c>
      <c r="D6" t="s">
        <v>83</v>
      </c>
      <c r="E6" t="s">
        <v>2700</v>
      </c>
      <c r="F6" t="s">
        <v>2701</v>
      </c>
      <c r="G6" t="s">
        <v>373</v>
      </c>
      <c r="H6" t="s">
        <v>116</v>
      </c>
      <c r="I6" t="s">
        <v>224</v>
      </c>
      <c r="J6" t="s">
        <v>250</v>
      </c>
      <c r="K6" t="s">
        <v>361</v>
      </c>
      <c r="L6" t="s">
        <v>127</v>
      </c>
      <c r="M6" t="s">
        <v>213</v>
      </c>
      <c r="N6" t="s">
        <v>124</v>
      </c>
      <c r="O6" t="s">
        <v>287</v>
      </c>
      <c r="P6" t="s">
        <v>86</v>
      </c>
      <c r="Q6" t="s">
        <v>415</v>
      </c>
      <c r="R6" t="s">
        <v>247</v>
      </c>
      <c r="S6" t="s">
        <v>380</v>
      </c>
      <c r="T6" t="s">
        <v>273</v>
      </c>
      <c r="U6" t="s">
        <v>282</v>
      </c>
      <c r="V6" t="s">
        <v>326</v>
      </c>
      <c r="W6" t="s">
        <v>379</v>
      </c>
      <c r="X6" t="s">
        <v>82</v>
      </c>
    </row>
    <row r="7" spans="1:24">
      <c r="A7" t="s">
        <v>2687</v>
      </c>
      <c r="B7" t="s">
        <v>2702</v>
      </c>
      <c r="C7" t="s">
        <v>35</v>
      </c>
      <c r="D7" t="s">
        <v>25</v>
      </c>
      <c r="E7" t="s">
        <v>2703</v>
      </c>
      <c r="F7" t="s">
        <v>2704</v>
      </c>
      <c r="G7" t="s">
        <v>407</v>
      </c>
      <c r="H7" t="s">
        <v>69</v>
      </c>
      <c r="I7" t="s">
        <v>34</v>
      </c>
      <c r="J7" t="s">
        <v>87</v>
      </c>
      <c r="K7" t="s">
        <v>187</v>
      </c>
      <c r="L7" t="s">
        <v>212</v>
      </c>
      <c r="M7" t="s">
        <v>45</v>
      </c>
      <c r="N7" t="s">
        <v>208</v>
      </c>
      <c r="O7" t="s">
        <v>381</v>
      </c>
      <c r="P7" t="s">
        <v>57</v>
      </c>
      <c r="Q7" t="s">
        <v>129</v>
      </c>
      <c r="R7" t="s">
        <v>233</v>
      </c>
      <c r="S7" t="s">
        <v>248</v>
      </c>
      <c r="T7" t="s">
        <v>261</v>
      </c>
      <c r="U7" t="s">
        <v>23</v>
      </c>
      <c r="V7" t="s">
        <v>404</v>
      </c>
      <c r="W7" t="s">
        <v>160</v>
      </c>
      <c r="X7" t="s">
        <v>251</v>
      </c>
    </row>
    <row r="8" spans="1:24">
      <c r="A8" t="s">
        <v>2687</v>
      </c>
      <c r="B8" t="s">
        <v>2705</v>
      </c>
      <c r="C8" t="s">
        <v>41</v>
      </c>
      <c r="D8" t="s">
        <v>175</v>
      </c>
      <c r="E8" t="s">
        <v>2706</v>
      </c>
      <c r="F8" t="s">
        <v>2707</v>
      </c>
      <c r="G8" t="s">
        <v>345</v>
      </c>
      <c r="H8" t="s">
        <v>298</v>
      </c>
      <c r="I8" t="s">
        <v>40</v>
      </c>
      <c r="J8" t="s">
        <v>204</v>
      </c>
      <c r="K8" t="s">
        <v>405</v>
      </c>
      <c r="L8" t="s">
        <v>296</v>
      </c>
      <c r="M8" t="s">
        <v>121</v>
      </c>
      <c r="N8" t="s">
        <v>355</v>
      </c>
      <c r="O8" t="s">
        <v>150</v>
      </c>
      <c r="P8" t="s">
        <v>365</v>
      </c>
      <c r="Q8" t="s">
        <v>178</v>
      </c>
      <c r="R8" t="s">
        <v>222</v>
      </c>
      <c r="S8" t="s">
        <v>305</v>
      </c>
      <c r="T8" t="s">
        <v>294</v>
      </c>
      <c r="U8" t="s">
        <v>443</v>
      </c>
      <c r="V8" t="s">
        <v>332</v>
      </c>
      <c r="W8" t="s">
        <v>429</v>
      </c>
      <c r="X8" t="s">
        <v>279</v>
      </c>
    </row>
    <row r="9" spans="1:24">
      <c r="A9" t="s">
        <v>2687</v>
      </c>
      <c r="B9" t="s">
        <v>2708</v>
      </c>
      <c r="C9" t="s">
        <v>30</v>
      </c>
      <c r="D9" t="s">
        <v>11</v>
      </c>
      <c r="E9" t="s">
        <v>2709</v>
      </c>
      <c r="F9" t="s">
        <v>2710</v>
      </c>
      <c r="G9" t="s">
        <v>235</v>
      </c>
      <c r="H9" t="s">
        <v>275</v>
      </c>
      <c r="I9" t="s">
        <v>350</v>
      </c>
      <c r="J9" t="s">
        <v>445</v>
      </c>
      <c r="K9" t="s">
        <v>288</v>
      </c>
      <c r="L9" t="s">
        <v>28</v>
      </c>
      <c r="M9" t="s">
        <v>351</v>
      </c>
      <c r="N9" t="s">
        <v>183</v>
      </c>
      <c r="O9" t="s">
        <v>128</v>
      </c>
      <c r="P9" t="s">
        <v>394</v>
      </c>
      <c r="Q9" t="s">
        <v>176</v>
      </c>
      <c r="R9" t="s">
        <v>439</v>
      </c>
      <c r="S9" t="s">
        <v>276</v>
      </c>
      <c r="T9" t="s">
        <v>327</v>
      </c>
      <c r="U9" t="s">
        <v>411</v>
      </c>
      <c r="V9" t="s">
        <v>42</v>
      </c>
      <c r="W9" t="s">
        <v>198</v>
      </c>
      <c r="X9" t="s">
        <v>9</v>
      </c>
    </row>
    <row r="10" spans="1:24">
      <c r="A10" t="s">
        <v>2687</v>
      </c>
      <c r="B10" t="s">
        <v>2711</v>
      </c>
    </row>
    <row r="11" spans="1:24">
      <c r="A11" t="s">
        <v>2712</v>
      </c>
      <c r="B11" t="s">
        <v>2688</v>
      </c>
      <c r="C11" t="s">
        <v>68</v>
      </c>
      <c r="D11" t="s">
        <v>20</v>
      </c>
      <c r="E11" t="s">
        <v>2713</v>
      </c>
      <c r="F11" t="s">
        <v>2714</v>
      </c>
      <c r="G11" t="s">
        <v>111</v>
      </c>
      <c r="H11" t="s">
        <v>210</v>
      </c>
      <c r="I11" t="s">
        <v>206</v>
      </c>
      <c r="J11" t="s">
        <v>450</v>
      </c>
      <c r="K11" t="s">
        <v>234</v>
      </c>
      <c r="L11" t="s">
        <v>101</v>
      </c>
      <c r="M11" t="s">
        <v>341</v>
      </c>
      <c r="N11" t="s">
        <v>371</v>
      </c>
      <c r="O11" t="s">
        <v>425</v>
      </c>
      <c r="P11" t="s">
        <v>406</v>
      </c>
      <c r="Q11" t="s">
        <v>93</v>
      </c>
      <c r="R11" t="s">
        <v>245</v>
      </c>
      <c r="S11" t="s">
        <v>263</v>
      </c>
      <c r="T11" t="s">
        <v>191</v>
      </c>
      <c r="U11" t="s">
        <v>144</v>
      </c>
      <c r="V11" t="s">
        <v>252</v>
      </c>
      <c r="W11" t="s">
        <v>72</v>
      </c>
      <c r="X11" t="s">
        <v>62</v>
      </c>
    </row>
    <row r="12" spans="1:24">
      <c r="A12" t="s">
        <v>2712</v>
      </c>
      <c r="B12" t="s">
        <v>2715</v>
      </c>
      <c r="C12" t="s">
        <v>56</v>
      </c>
      <c r="D12" t="s">
        <v>33</v>
      </c>
      <c r="E12" t="s">
        <v>2716</v>
      </c>
      <c r="F12" t="s">
        <v>2717</v>
      </c>
      <c r="G12" t="s">
        <v>91</v>
      </c>
      <c r="H12" t="s">
        <v>447</v>
      </c>
      <c r="I12" t="s">
        <v>244</v>
      </c>
      <c r="J12" t="s">
        <v>113</v>
      </c>
      <c r="K12" t="s">
        <v>200</v>
      </c>
      <c r="L12" t="s">
        <v>119</v>
      </c>
      <c r="M12" t="s">
        <v>449</v>
      </c>
      <c r="N12" t="s">
        <v>140</v>
      </c>
      <c r="O12" t="s">
        <v>54</v>
      </c>
      <c r="P12" t="s">
        <v>179</v>
      </c>
      <c r="Q12" t="s">
        <v>426</v>
      </c>
      <c r="R12" t="s">
        <v>31</v>
      </c>
      <c r="S12" t="s">
        <v>358</v>
      </c>
      <c r="T12" t="s">
        <v>386</v>
      </c>
      <c r="U12" t="s">
        <v>132</v>
      </c>
      <c r="V12" t="s">
        <v>220</v>
      </c>
      <c r="W12" t="s">
        <v>284</v>
      </c>
      <c r="X12" t="s">
        <v>122</v>
      </c>
    </row>
    <row r="13" spans="1:24">
      <c r="A13" t="s">
        <v>2712</v>
      </c>
      <c r="B13" t="s">
        <v>2691</v>
      </c>
      <c r="C13" t="s">
        <v>48</v>
      </c>
      <c r="D13" t="s">
        <v>159</v>
      </c>
      <c r="E13" t="s">
        <v>2718</v>
      </c>
      <c r="F13" t="s">
        <v>2719</v>
      </c>
      <c r="G13" t="s">
        <v>162</v>
      </c>
      <c r="H13" t="s">
        <v>309</v>
      </c>
      <c r="I13" t="s">
        <v>195</v>
      </c>
      <c r="J13" t="s">
        <v>424</v>
      </c>
      <c r="K13" t="s">
        <v>413</v>
      </c>
      <c r="L13" t="s">
        <v>166</v>
      </c>
      <c r="M13" t="s">
        <v>274</v>
      </c>
      <c r="N13" t="s">
        <v>440</v>
      </c>
      <c r="O13" t="s">
        <v>46</v>
      </c>
      <c r="P13" t="s">
        <v>423</v>
      </c>
      <c r="Q13" t="s">
        <v>324</v>
      </c>
      <c r="R13" t="s">
        <v>158</v>
      </c>
      <c r="S13" t="s">
        <v>403</v>
      </c>
      <c r="T13" t="s">
        <v>336</v>
      </c>
      <c r="U13" t="s">
        <v>398</v>
      </c>
      <c r="V13" t="s">
        <v>419</v>
      </c>
      <c r="W13" t="s">
        <v>375</v>
      </c>
      <c r="X13" t="s">
        <v>259</v>
      </c>
    </row>
    <row r="14" spans="1:24">
      <c r="A14" t="s">
        <v>2712</v>
      </c>
      <c r="B14" t="s">
        <v>2691</v>
      </c>
      <c r="C14" t="s">
        <v>110</v>
      </c>
      <c r="D14" t="s">
        <v>14</v>
      </c>
      <c r="E14" t="s">
        <v>2720</v>
      </c>
      <c r="F14" t="s">
        <v>2721</v>
      </c>
      <c r="G14" t="s">
        <v>441</v>
      </c>
      <c r="H14" t="s">
        <v>323</v>
      </c>
      <c r="I14" t="s">
        <v>289</v>
      </c>
      <c r="J14" t="s">
        <v>197</v>
      </c>
      <c r="K14" t="s">
        <v>363</v>
      </c>
      <c r="L14" t="s">
        <v>108</v>
      </c>
      <c r="M14" t="s">
        <v>216</v>
      </c>
      <c r="N14" t="s">
        <v>254</v>
      </c>
      <c r="O14" t="s">
        <v>353</v>
      </c>
      <c r="P14" t="s">
        <v>427</v>
      </c>
      <c r="Q14" t="s">
        <v>269</v>
      </c>
      <c r="R14" t="s">
        <v>84</v>
      </c>
      <c r="S14" t="s">
        <v>12</v>
      </c>
      <c r="T14" t="s">
        <v>52</v>
      </c>
      <c r="U14" t="s">
        <v>38</v>
      </c>
      <c r="V14" t="s">
        <v>85</v>
      </c>
      <c r="W14" t="s">
        <v>213</v>
      </c>
      <c r="X14" t="s">
        <v>367</v>
      </c>
    </row>
    <row r="15" spans="1:24">
      <c r="A15" t="s">
        <v>2712</v>
      </c>
      <c r="B15" t="s">
        <v>2691</v>
      </c>
      <c r="C15" t="s">
        <v>6</v>
      </c>
      <c r="D15" t="s">
        <v>61</v>
      </c>
      <c r="E15" t="s">
        <v>2722</v>
      </c>
      <c r="F15" t="s">
        <v>2723</v>
      </c>
      <c r="G15" t="s">
        <v>228</v>
      </c>
      <c r="H15" t="s">
        <v>205</v>
      </c>
      <c r="I15" t="s">
        <v>4</v>
      </c>
      <c r="J15" t="s">
        <v>226</v>
      </c>
      <c r="K15" t="s">
        <v>346</v>
      </c>
      <c r="L15" t="s">
        <v>322</v>
      </c>
      <c r="M15" t="s">
        <v>334</v>
      </c>
      <c r="N15" t="s">
        <v>357</v>
      </c>
      <c r="O15" t="s">
        <v>435</v>
      </c>
      <c r="P15" t="s">
        <v>349</v>
      </c>
      <c r="Q15" t="s">
        <v>77</v>
      </c>
      <c r="R15" t="s">
        <v>59</v>
      </c>
      <c r="S15" t="s">
        <v>382</v>
      </c>
      <c r="T15" t="s">
        <v>344</v>
      </c>
      <c r="U15" t="s">
        <v>313</v>
      </c>
      <c r="V15" t="s">
        <v>388</v>
      </c>
      <c r="W15" t="s">
        <v>257</v>
      </c>
      <c r="X15" t="s">
        <v>241</v>
      </c>
    </row>
    <row r="16" spans="1:24">
      <c r="A16" t="s">
        <v>2712</v>
      </c>
      <c r="B16" t="s">
        <v>2694</v>
      </c>
      <c r="C16" t="s">
        <v>105</v>
      </c>
      <c r="D16" t="s">
        <v>17</v>
      </c>
      <c r="E16" t="s">
        <v>2724</v>
      </c>
      <c r="F16" t="s">
        <v>2725</v>
      </c>
      <c r="G16" t="s">
        <v>359</v>
      </c>
      <c r="H16" t="s">
        <v>436</v>
      </c>
      <c r="I16" t="s">
        <v>442</v>
      </c>
      <c r="J16" t="s">
        <v>428</v>
      </c>
      <c r="K16" t="s">
        <v>237</v>
      </c>
      <c r="L16" t="s">
        <v>106</v>
      </c>
      <c r="M16" t="s">
        <v>307</v>
      </c>
      <c r="N16" t="s">
        <v>118</v>
      </c>
      <c r="O16" t="s">
        <v>103</v>
      </c>
      <c r="P16" t="s">
        <v>156</v>
      </c>
      <c r="Q16" t="s">
        <v>432</v>
      </c>
      <c r="R16" t="s">
        <v>267</v>
      </c>
      <c r="S16" t="s">
        <v>152</v>
      </c>
      <c r="T16" t="s">
        <v>146</v>
      </c>
      <c r="U16" t="s">
        <v>169</v>
      </c>
      <c r="V16" t="s">
        <v>329</v>
      </c>
      <c r="W16" t="s">
        <v>15</v>
      </c>
      <c r="X16" t="s">
        <v>409</v>
      </c>
    </row>
    <row r="17" spans="1:24">
      <c r="A17" t="s">
        <v>2712</v>
      </c>
      <c r="B17" t="s">
        <v>2726</v>
      </c>
      <c r="C17" t="s">
        <v>76</v>
      </c>
      <c r="D17" t="s">
        <v>71</v>
      </c>
      <c r="E17" t="s">
        <v>2727</v>
      </c>
      <c r="F17" t="s">
        <v>2728</v>
      </c>
      <c r="G17" t="s">
        <v>236</v>
      </c>
      <c r="H17" t="s">
        <v>290</v>
      </c>
      <c r="I17" t="s">
        <v>75</v>
      </c>
      <c r="J17" t="s">
        <v>115</v>
      </c>
      <c r="K17" t="s">
        <v>231</v>
      </c>
      <c r="L17" t="s">
        <v>155</v>
      </c>
      <c r="M17" t="s">
        <v>340</v>
      </c>
      <c r="N17" t="s">
        <v>246</v>
      </c>
      <c r="O17" t="s">
        <v>271</v>
      </c>
      <c r="P17" t="s">
        <v>70</v>
      </c>
      <c r="Q17" t="s">
        <v>253</v>
      </c>
      <c r="R17" t="s">
        <v>171</v>
      </c>
      <c r="S17" t="s">
        <v>292</v>
      </c>
      <c r="T17" t="s">
        <v>80</v>
      </c>
      <c r="U17" t="s">
        <v>321</v>
      </c>
      <c r="V17" t="s">
        <v>315</v>
      </c>
      <c r="W17" t="s">
        <v>369</v>
      </c>
      <c r="X17" t="s">
        <v>120</v>
      </c>
    </row>
    <row r="18" spans="1:24">
      <c r="A18" t="s">
        <v>2712</v>
      </c>
      <c r="B18" t="s">
        <v>2729</v>
      </c>
      <c r="C18" t="s">
        <v>126</v>
      </c>
      <c r="D18" t="s">
        <v>44</v>
      </c>
      <c r="E18" t="s">
        <v>2730</v>
      </c>
      <c r="F18" t="s">
        <v>2731</v>
      </c>
      <c r="G18" t="s">
        <v>265</v>
      </c>
      <c r="H18" t="s">
        <v>189</v>
      </c>
      <c r="I18" t="s">
        <v>125</v>
      </c>
      <c r="J18" t="s">
        <v>377</v>
      </c>
      <c r="K18" t="s">
        <v>136</v>
      </c>
      <c r="L18" t="s">
        <v>255</v>
      </c>
      <c r="M18" t="s">
        <v>400</v>
      </c>
      <c r="N18" t="s">
        <v>437</v>
      </c>
      <c r="O18" t="s">
        <v>238</v>
      </c>
      <c r="P18" t="s">
        <v>378</v>
      </c>
      <c r="Q18" t="s">
        <v>130</v>
      </c>
      <c r="R18" t="s">
        <v>325</v>
      </c>
      <c r="S18" t="s">
        <v>43</v>
      </c>
      <c r="T18" t="s">
        <v>352</v>
      </c>
      <c r="U18" t="s">
        <v>304</v>
      </c>
      <c r="V18" t="s">
        <v>148</v>
      </c>
      <c r="W18" t="s">
        <v>300</v>
      </c>
      <c r="X18" t="s">
        <v>319</v>
      </c>
    </row>
    <row r="19" spans="1:24">
      <c r="A19" t="s">
        <v>2712</v>
      </c>
      <c r="B19" t="s">
        <v>2697</v>
      </c>
      <c r="C19" t="s">
        <v>37</v>
      </c>
      <c r="D19" t="s">
        <v>3</v>
      </c>
      <c r="E19" t="s">
        <v>2732</v>
      </c>
      <c r="F19" t="s">
        <v>2733</v>
      </c>
      <c r="G19" t="s">
        <v>452</v>
      </c>
      <c r="H19" t="s">
        <v>328</v>
      </c>
      <c r="I19" t="s">
        <v>338</v>
      </c>
      <c r="J19" t="s">
        <v>243</v>
      </c>
      <c r="K19" t="s">
        <v>451</v>
      </c>
      <c r="L19" t="s">
        <v>239</v>
      </c>
      <c r="M19" t="s">
        <v>249</v>
      </c>
      <c r="N19" t="s">
        <v>421</v>
      </c>
      <c r="O19" t="s">
        <v>36</v>
      </c>
      <c r="P19" t="s">
        <v>1</v>
      </c>
      <c r="Q19" t="s">
        <v>311</v>
      </c>
      <c r="R19" t="s">
        <v>317</v>
      </c>
      <c r="S19" t="s">
        <v>99</v>
      </c>
      <c r="T19" t="s">
        <v>164</v>
      </c>
      <c r="U19" t="s">
        <v>384</v>
      </c>
      <c r="V19" t="s">
        <v>168</v>
      </c>
      <c r="W19" t="s">
        <v>97</v>
      </c>
      <c r="X19" t="s">
        <v>277</v>
      </c>
    </row>
    <row r="20" spans="1:24">
      <c r="A20" t="s">
        <v>2712</v>
      </c>
      <c r="B20" t="s">
        <v>2697</v>
      </c>
      <c r="C20" t="s">
        <v>8</v>
      </c>
      <c r="D20" t="s">
        <v>51</v>
      </c>
      <c r="E20" t="s">
        <v>2734</v>
      </c>
      <c r="F20" t="s">
        <v>2735</v>
      </c>
      <c r="G20" t="s">
        <v>185</v>
      </c>
      <c r="H20" t="s">
        <v>272</v>
      </c>
      <c r="I20" t="s">
        <v>89</v>
      </c>
      <c r="J20" t="s">
        <v>7</v>
      </c>
      <c r="K20" t="s">
        <v>281</v>
      </c>
      <c r="L20" t="s">
        <v>202</v>
      </c>
      <c r="M20" t="s">
        <v>330</v>
      </c>
      <c r="N20" t="s">
        <v>218</v>
      </c>
      <c r="O20" t="s">
        <v>39</v>
      </c>
      <c r="P20" t="s">
        <v>81</v>
      </c>
      <c r="Q20" t="s">
        <v>436</v>
      </c>
      <c r="R20" t="s">
        <v>232</v>
      </c>
      <c r="S20" t="s">
        <v>193</v>
      </c>
      <c r="T20" t="s">
        <v>181</v>
      </c>
      <c r="U20" t="s">
        <v>402</v>
      </c>
      <c r="V20" t="s">
        <v>291</v>
      </c>
      <c r="W20" t="s">
        <v>138</v>
      </c>
      <c r="X20" t="s">
        <v>49</v>
      </c>
    </row>
    <row r="21" spans="1:24">
      <c r="A21" t="s">
        <v>2712</v>
      </c>
      <c r="B21" t="s">
        <v>2697</v>
      </c>
      <c r="C21" t="s">
        <v>117</v>
      </c>
      <c r="D21" t="s">
        <v>83</v>
      </c>
      <c r="E21" t="s">
        <v>2736</v>
      </c>
      <c r="F21" t="s">
        <v>2737</v>
      </c>
      <c r="G21" t="s">
        <v>213</v>
      </c>
      <c r="H21" t="s">
        <v>116</v>
      </c>
      <c r="I21" t="s">
        <v>224</v>
      </c>
      <c r="J21" t="s">
        <v>250</v>
      </c>
      <c r="K21" t="s">
        <v>361</v>
      </c>
      <c r="L21" t="s">
        <v>293</v>
      </c>
      <c r="M21" t="s">
        <v>134</v>
      </c>
      <c r="N21" t="s">
        <v>124</v>
      </c>
      <c r="O21" t="s">
        <v>287</v>
      </c>
      <c r="P21" t="s">
        <v>86</v>
      </c>
      <c r="Q21" t="s">
        <v>415</v>
      </c>
      <c r="R21" t="s">
        <v>247</v>
      </c>
      <c r="S21" t="s">
        <v>380</v>
      </c>
      <c r="T21" t="s">
        <v>273</v>
      </c>
      <c r="U21" t="s">
        <v>282</v>
      </c>
      <c r="V21" t="s">
        <v>326</v>
      </c>
      <c r="W21" t="s">
        <v>379</v>
      </c>
      <c r="X21" t="s">
        <v>82</v>
      </c>
    </row>
    <row r="22" spans="1:24">
      <c r="A22" t="s">
        <v>2712</v>
      </c>
      <c r="B22" t="s">
        <v>2702</v>
      </c>
      <c r="C22" t="s">
        <v>35</v>
      </c>
      <c r="D22" t="s">
        <v>25</v>
      </c>
      <c r="E22" t="s">
        <v>2738</v>
      </c>
      <c r="F22" t="s">
        <v>2739</v>
      </c>
      <c r="G22" t="s">
        <v>407</v>
      </c>
      <c r="H22" t="s">
        <v>69</v>
      </c>
      <c r="I22" t="s">
        <v>34</v>
      </c>
      <c r="J22" t="s">
        <v>87</v>
      </c>
      <c r="K22" t="s">
        <v>187</v>
      </c>
      <c r="L22" t="s">
        <v>212</v>
      </c>
      <c r="M22" t="s">
        <v>45</v>
      </c>
      <c r="N22" t="s">
        <v>208</v>
      </c>
      <c r="O22" t="s">
        <v>381</v>
      </c>
      <c r="P22" t="s">
        <v>57</v>
      </c>
      <c r="Q22" t="s">
        <v>129</v>
      </c>
      <c r="R22" t="s">
        <v>233</v>
      </c>
      <c r="S22" t="s">
        <v>240</v>
      </c>
      <c r="T22" t="s">
        <v>248</v>
      </c>
      <c r="U22" t="s">
        <v>170</v>
      </c>
      <c r="V22" t="s">
        <v>261</v>
      </c>
      <c r="W22" t="s">
        <v>251</v>
      </c>
      <c r="X22" t="s">
        <v>26</v>
      </c>
    </row>
    <row r="23" spans="1:24">
      <c r="A23" t="s">
        <v>2712</v>
      </c>
      <c r="B23" t="s">
        <v>2705</v>
      </c>
      <c r="C23" t="s">
        <v>74</v>
      </c>
      <c r="D23" t="s">
        <v>79</v>
      </c>
      <c r="E23" t="s">
        <v>2740</v>
      </c>
      <c r="F23" t="s">
        <v>2741</v>
      </c>
      <c r="G23" t="s">
        <v>302</v>
      </c>
      <c r="H23" t="s">
        <v>73</v>
      </c>
      <c r="I23" t="s">
        <v>433</v>
      </c>
      <c r="J23" t="s">
        <v>396</v>
      </c>
      <c r="K23" t="s">
        <v>95</v>
      </c>
      <c r="L23" t="s">
        <v>286</v>
      </c>
      <c r="M23" t="s">
        <v>392</v>
      </c>
      <c r="N23" t="s">
        <v>199</v>
      </c>
      <c r="O23" t="s">
        <v>343</v>
      </c>
      <c r="P23" t="s">
        <v>230</v>
      </c>
      <c r="Q23" t="s">
        <v>390</v>
      </c>
      <c r="R23" t="s">
        <v>342</v>
      </c>
      <c r="S23" t="s">
        <v>78</v>
      </c>
      <c r="T23" t="s">
        <v>327</v>
      </c>
      <c r="U23" t="s">
        <v>417</v>
      </c>
      <c r="V23" t="s">
        <v>142</v>
      </c>
      <c r="W23" t="s">
        <v>123</v>
      </c>
      <c r="X23" t="s">
        <v>453</v>
      </c>
    </row>
    <row r="24" spans="1:24">
      <c r="A24" t="s">
        <v>2712</v>
      </c>
      <c r="B24" t="s">
        <v>2705</v>
      </c>
      <c r="C24" t="s">
        <v>41</v>
      </c>
      <c r="D24" t="s">
        <v>175</v>
      </c>
      <c r="E24" t="s">
        <v>2742</v>
      </c>
      <c r="F24" t="s">
        <v>2743</v>
      </c>
      <c r="G24" t="s">
        <v>345</v>
      </c>
      <c r="H24" t="s">
        <v>298</v>
      </c>
      <c r="I24" t="s">
        <v>40</v>
      </c>
      <c r="J24" t="s">
        <v>204</v>
      </c>
      <c r="K24" t="s">
        <v>405</v>
      </c>
      <c r="L24" t="s">
        <v>296</v>
      </c>
      <c r="M24" t="s">
        <v>121</v>
      </c>
      <c r="N24" t="s">
        <v>355</v>
      </c>
      <c r="O24" t="s">
        <v>150</v>
      </c>
      <c r="P24" t="s">
        <v>365</v>
      </c>
      <c r="Q24" t="s">
        <v>178</v>
      </c>
      <c r="R24" t="s">
        <v>222</v>
      </c>
      <c r="S24" t="s">
        <v>305</v>
      </c>
      <c r="T24" t="s">
        <v>443</v>
      </c>
      <c r="U24" t="s">
        <v>194</v>
      </c>
      <c r="V24" t="s">
        <v>294</v>
      </c>
      <c r="W24" t="s">
        <v>173</v>
      </c>
      <c r="X24" t="s">
        <v>214</v>
      </c>
    </row>
    <row r="25" spans="1:24">
      <c r="A25" t="s">
        <v>2712</v>
      </c>
      <c r="B25" t="s">
        <v>2708</v>
      </c>
      <c r="C25" t="s">
        <v>30</v>
      </c>
      <c r="D25" t="s">
        <v>11</v>
      </c>
      <c r="E25" t="s">
        <v>2744</v>
      </c>
      <c r="F25" t="s">
        <v>395</v>
      </c>
      <c r="G25" t="s">
        <v>235</v>
      </c>
      <c r="H25" t="s">
        <v>275</v>
      </c>
      <c r="I25" t="s">
        <v>350</v>
      </c>
      <c r="J25" t="s">
        <v>445</v>
      </c>
      <c r="K25" t="s">
        <v>288</v>
      </c>
      <c r="L25" t="s">
        <v>28</v>
      </c>
      <c r="M25" t="s">
        <v>351</v>
      </c>
      <c r="N25" t="s">
        <v>183</v>
      </c>
      <c r="O25" t="s">
        <v>128</v>
      </c>
      <c r="P25" t="s">
        <v>394</v>
      </c>
      <c r="Q25" t="s">
        <v>176</v>
      </c>
      <c r="R25" t="s">
        <v>439</v>
      </c>
      <c r="S25" t="s">
        <v>276</v>
      </c>
      <c r="T25" t="s">
        <v>327</v>
      </c>
      <c r="U25" t="s">
        <v>411</v>
      </c>
      <c r="V25" t="s">
        <v>42</v>
      </c>
      <c r="W25" t="s">
        <v>198</v>
      </c>
      <c r="X25" t="s">
        <v>9</v>
      </c>
    </row>
    <row r="26" spans="1:24">
      <c r="A26" t="s">
        <v>2712</v>
      </c>
      <c r="B26" t="s">
        <v>2711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57"/>
  <sheetViews>
    <sheetView tabSelected="1" workbookViewId="0">
      <selection activeCell="C10" sqref="C10"/>
    </sheetView>
  </sheetViews>
  <sheetFormatPr defaultRowHeight="15"/>
  <cols>
    <col min="2" max="2" width="19.125" bestFit="1" customWidth="1"/>
    <col min="3" max="3" width="21.5" bestFit="1" customWidth="1"/>
    <col min="4" max="4" width="6" bestFit="1" customWidth="1"/>
  </cols>
  <sheetData>
    <row r="1" spans="1:4">
      <c r="A1" s="4" t="s">
        <v>2745</v>
      </c>
      <c r="B1" s="4" t="s">
        <v>2746</v>
      </c>
      <c r="C1" s="4" t="s">
        <v>2747</v>
      </c>
      <c r="D1" s="4" t="s">
        <v>0</v>
      </c>
    </row>
    <row r="2" spans="1:4">
      <c r="A2" t="s">
        <v>33</v>
      </c>
      <c r="B2" t="s">
        <v>180</v>
      </c>
    </row>
    <row r="3" spans="1:4">
      <c r="A3" t="s">
        <v>33</v>
      </c>
      <c r="B3" t="s">
        <v>426</v>
      </c>
    </row>
    <row r="4" spans="1:4">
      <c r="A4" t="s">
        <v>33</v>
      </c>
      <c r="B4" t="s">
        <v>358</v>
      </c>
    </row>
    <row r="5" spans="1:4">
      <c r="A5" t="s">
        <v>33</v>
      </c>
      <c r="B5" t="s">
        <v>221</v>
      </c>
    </row>
    <row r="6" spans="1:4">
      <c r="A6" t="s">
        <v>33</v>
      </c>
      <c r="B6" t="s">
        <v>387</v>
      </c>
    </row>
    <row r="7" spans="1:4">
      <c r="A7" t="s">
        <v>33</v>
      </c>
      <c r="B7" t="s">
        <v>133</v>
      </c>
    </row>
    <row r="8" spans="1:4">
      <c r="A8" t="s">
        <v>33</v>
      </c>
      <c r="B8" t="s">
        <v>122</v>
      </c>
    </row>
    <row r="9" spans="1:4">
      <c r="A9" t="s">
        <v>33</v>
      </c>
      <c r="B9" t="s">
        <v>285</v>
      </c>
    </row>
    <row r="10" spans="1:4">
      <c r="A10" t="s">
        <v>33</v>
      </c>
      <c r="B10" t="s">
        <v>924</v>
      </c>
    </row>
    <row r="11" spans="1:4">
      <c r="A11" t="s">
        <v>33</v>
      </c>
      <c r="B11" t="s">
        <v>940</v>
      </c>
    </row>
    <row r="12" spans="1:4">
      <c r="A12" t="s">
        <v>33</v>
      </c>
      <c r="B12" t="s">
        <v>32</v>
      </c>
    </row>
    <row r="13" spans="1:4">
      <c r="A13" t="s">
        <v>33</v>
      </c>
      <c r="B13" t="s">
        <v>970</v>
      </c>
    </row>
    <row r="14" spans="1:4">
      <c r="A14" t="s">
        <v>33</v>
      </c>
      <c r="B14" t="s">
        <v>985</v>
      </c>
    </row>
    <row r="15" spans="1:4">
      <c r="A15" t="s">
        <v>33</v>
      </c>
      <c r="B15" t="s">
        <v>994</v>
      </c>
    </row>
    <row r="16" spans="1:4">
      <c r="A16" t="s">
        <v>33</v>
      </c>
      <c r="B16" t="s">
        <v>1004</v>
      </c>
    </row>
    <row r="17" spans="1:2">
      <c r="A17" t="s">
        <v>33</v>
      </c>
      <c r="B17" t="s">
        <v>1011</v>
      </c>
    </row>
    <row r="18" spans="1:2">
      <c r="A18" t="s">
        <v>105</v>
      </c>
      <c r="B18" t="s">
        <v>428</v>
      </c>
    </row>
    <row r="19" spans="1:2">
      <c r="A19" t="s">
        <v>105</v>
      </c>
      <c r="B19" t="s">
        <v>442</v>
      </c>
    </row>
    <row r="20" spans="1:2">
      <c r="A20" t="s">
        <v>105</v>
      </c>
      <c r="B20" t="s">
        <v>1044</v>
      </c>
    </row>
    <row r="21" spans="1:2">
      <c r="A21" t="s">
        <v>105</v>
      </c>
      <c r="B21" t="s">
        <v>237</v>
      </c>
    </row>
    <row r="22" spans="1:2">
      <c r="A22" t="s">
        <v>105</v>
      </c>
      <c r="B22" t="s">
        <v>118</v>
      </c>
    </row>
    <row r="23" spans="1:2">
      <c r="A23" t="s">
        <v>105</v>
      </c>
      <c r="B23" t="s">
        <v>107</v>
      </c>
    </row>
    <row r="24" spans="1:2">
      <c r="A24" t="s">
        <v>105</v>
      </c>
      <c r="B24" t="s">
        <v>360</v>
      </c>
    </row>
    <row r="25" spans="1:2">
      <c r="A25" t="s">
        <v>105</v>
      </c>
      <c r="B25" t="s">
        <v>308</v>
      </c>
    </row>
    <row r="26" spans="1:2">
      <c r="A26" t="s">
        <v>105</v>
      </c>
      <c r="B26" t="s">
        <v>104</v>
      </c>
    </row>
    <row r="27" spans="1:2">
      <c r="A27" t="s">
        <v>105</v>
      </c>
      <c r="B27" t="s">
        <v>1128</v>
      </c>
    </row>
    <row r="28" spans="1:2">
      <c r="A28" t="s">
        <v>105</v>
      </c>
      <c r="B28" t="s">
        <v>1138</v>
      </c>
    </row>
    <row r="29" spans="1:2">
      <c r="A29" t="s">
        <v>105</v>
      </c>
      <c r="B29" t="s">
        <v>1149</v>
      </c>
    </row>
    <row r="30" spans="1:2">
      <c r="A30" t="s">
        <v>105</v>
      </c>
      <c r="B30" t="s">
        <v>1159</v>
      </c>
    </row>
    <row r="31" spans="1:2">
      <c r="A31" t="s">
        <v>35</v>
      </c>
      <c r="B31" t="s">
        <v>34</v>
      </c>
    </row>
    <row r="32" spans="1:2">
      <c r="A32" t="s">
        <v>35</v>
      </c>
      <c r="B32" t="s">
        <v>1176</v>
      </c>
    </row>
    <row r="33" spans="1:2">
      <c r="A33" t="s">
        <v>35</v>
      </c>
      <c r="B33" t="s">
        <v>209</v>
      </c>
    </row>
    <row r="34" spans="1:2">
      <c r="A34" t="s">
        <v>35</v>
      </c>
      <c r="B34" t="s">
        <v>88</v>
      </c>
    </row>
    <row r="35" spans="1:2">
      <c r="A35" t="s">
        <v>35</v>
      </c>
      <c r="B35" t="s">
        <v>188</v>
      </c>
    </row>
    <row r="36" spans="1:2">
      <c r="A36" t="s">
        <v>35</v>
      </c>
      <c r="B36" t="s">
        <v>69</v>
      </c>
    </row>
    <row r="37" spans="1:2">
      <c r="A37" t="s">
        <v>35</v>
      </c>
      <c r="B37" t="s">
        <v>408</v>
      </c>
    </row>
    <row r="38" spans="1:2">
      <c r="A38" t="s">
        <v>35</v>
      </c>
      <c r="B38" t="s">
        <v>45</v>
      </c>
    </row>
    <row r="39" spans="1:2">
      <c r="A39" t="s">
        <v>35</v>
      </c>
      <c r="B39" t="s">
        <v>381</v>
      </c>
    </row>
    <row r="40" spans="1:2">
      <c r="A40" t="s">
        <v>35</v>
      </c>
      <c r="B40" t="s">
        <v>1261</v>
      </c>
    </row>
    <row r="41" spans="1:2">
      <c r="A41" t="s">
        <v>35</v>
      </c>
      <c r="B41" t="s">
        <v>1269</v>
      </c>
    </row>
    <row r="42" spans="1:2">
      <c r="A42" t="s">
        <v>35</v>
      </c>
      <c r="B42" t="s">
        <v>1275</v>
      </c>
    </row>
    <row r="43" spans="1:2">
      <c r="A43" t="s">
        <v>35</v>
      </c>
      <c r="B43" t="s">
        <v>1285</v>
      </c>
    </row>
    <row r="44" spans="1:2">
      <c r="A44" t="s">
        <v>68</v>
      </c>
      <c r="B44" t="s">
        <v>211</v>
      </c>
    </row>
    <row r="45" spans="1:2">
      <c r="A45" t="s">
        <v>68</v>
      </c>
      <c r="B45" t="s">
        <v>112</v>
      </c>
    </row>
    <row r="46" spans="1:2">
      <c r="A46" t="s">
        <v>68</v>
      </c>
      <c r="B46" t="s">
        <v>450</v>
      </c>
    </row>
    <row r="47" spans="1:2">
      <c r="A47" t="s">
        <v>68</v>
      </c>
      <c r="B47" t="s">
        <v>207</v>
      </c>
    </row>
    <row r="48" spans="1:2">
      <c r="A48" t="s">
        <v>68</v>
      </c>
      <c r="B48" t="s">
        <v>102</v>
      </c>
    </row>
    <row r="49" spans="1:2">
      <c r="A49" t="s">
        <v>68</v>
      </c>
      <c r="B49" t="s">
        <v>67</v>
      </c>
    </row>
    <row r="50" spans="1:2">
      <c r="A50" t="s">
        <v>68</v>
      </c>
      <c r="B50" t="s">
        <v>341</v>
      </c>
    </row>
    <row r="51" spans="1:2">
      <c r="A51" t="s">
        <v>68</v>
      </c>
      <c r="B51" t="s">
        <v>242</v>
      </c>
    </row>
    <row r="52" spans="1:2">
      <c r="A52" t="s">
        <v>68</v>
      </c>
      <c r="B52" t="s">
        <v>234</v>
      </c>
    </row>
    <row r="53" spans="1:2">
      <c r="A53" t="s">
        <v>68</v>
      </c>
      <c r="B53" t="s">
        <v>425</v>
      </c>
    </row>
    <row r="54" spans="1:2">
      <c r="A54" t="s">
        <v>68</v>
      </c>
      <c r="B54" t="s">
        <v>372</v>
      </c>
    </row>
    <row r="55" spans="1:2">
      <c r="A55" t="s">
        <v>68</v>
      </c>
      <c r="B55" t="s">
        <v>383</v>
      </c>
    </row>
    <row r="56" spans="1:2">
      <c r="A56" t="s">
        <v>68</v>
      </c>
      <c r="B56" t="s">
        <v>1378</v>
      </c>
    </row>
    <row r="57" spans="1:2">
      <c r="A57" t="s">
        <v>68</v>
      </c>
      <c r="B57" t="s">
        <v>1383</v>
      </c>
    </row>
    <row r="58" spans="1:2">
      <c r="A58" t="s">
        <v>17</v>
      </c>
      <c r="B58" t="s">
        <v>157</v>
      </c>
    </row>
    <row r="59" spans="1:2">
      <c r="A59" t="s">
        <v>17</v>
      </c>
      <c r="B59" t="s">
        <v>1398</v>
      </c>
    </row>
    <row r="60" spans="1:2">
      <c r="A60" t="s">
        <v>17</v>
      </c>
      <c r="B60" t="s">
        <v>268</v>
      </c>
    </row>
    <row r="61" spans="1:2">
      <c r="A61" t="s">
        <v>17</v>
      </c>
      <c r="B61" t="s">
        <v>16</v>
      </c>
    </row>
    <row r="62" spans="1:2">
      <c r="A62" t="s">
        <v>17</v>
      </c>
      <c r="B62" t="s">
        <v>153</v>
      </c>
    </row>
    <row r="63" spans="1:2">
      <c r="A63" t="s">
        <v>17</v>
      </c>
      <c r="B63" t="s">
        <v>1428</v>
      </c>
    </row>
    <row r="64" spans="1:2">
      <c r="A64" t="s">
        <v>17</v>
      </c>
      <c r="B64" t="s">
        <v>1436</v>
      </c>
    </row>
    <row r="65" spans="1:2">
      <c r="A65" t="s">
        <v>17</v>
      </c>
      <c r="B65" t="s">
        <v>1444</v>
      </c>
    </row>
    <row r="66" spans="1:2">
      <c r="A66" t="s">
        <v>17</v>
      </c>
      <c r="B66" t="s">
        <v>147</v>
      </c>
    </row>
    <row r="67" spans="1:2">
      <c r="A67" t="s">
        <v>17</v>
      </c>
      <c r="B67" t="s">
        <v>410</v>
      </c>
    </row>
    <row r="68" spans="1:2">
      <c r="A68" t="s">
        <v>17</v>
      </c>
      <c r="B68" t="s">
        <v>329</v>
      </c>
    </row>
    <row r="69" spans="1:2">
      <c r="A69" t="s">
        <v>17</v>
      </c>
      <c r="B69" t="s">
        <v>1468</v>
      </c>
    </row>
    <row r="70" spans="1:2">
      <c r="A70" t="s">
        <v>17</v>
      </c>
      <c r="B70" t="s">
        <v>169</v>
      </c>
    </row>
    <row r="71" spans="1:2">
      <c r="A71" t="s">
        <v>17</v>
      </c>
      <c r="B71" t="s">
        <v>1477</v>
      </c>
    </row>
    <row r="72" spans="1:2">
      <c r="A72" t="s">
        <v>17</v>
      </c>
      <c r="B72" t="s">
        <v>1483</v>
      </c>
    </row>
    <row r="73" spans="1:2">
      <c r="A73" t="s">
        <v>17</v>
      </c>
      <c r="B73" t="s">
        <v>1488</v>
      </c>
    </row>
    <row r="74" spans="1:2">
      <c r="A74" t="s">
        <v>17</v>
      </c>
      <c r="B74" t="s">
        <v>1493</v>
      </c>
    </row>
    <row r="75" spans="1:2">
      <c r="A75" t="s">
        <v>3</v>
      </c>
      <c r="B75" t="s">
        <v>312</v>
      </c>
    </row>
    <row r="76" spans="1:2">
      <c r="A76" t="s">
        <v>3</v>
      </c>
      <c r="B76" t="s">
        <v>98</v>
      </c>
    </row>
    <row r="77" spans="1:2">
      <c r="A77" t="s">
        <v>3</v>
      </c>
      <c r="B77" t="s">
        <v>318</v>
      </c>
    </row>
    <row r="78" spans="1:2">
      <c r="A78" t="s">
        <v>3</v>
      </c>
      <c r="B78" t="s">
        <v>100</v>
      </c>
    </row>
    <row r="79" spans="1:2">
      <c r="A79" t="s">
        <v>3</v>
      </c>
      <c r="B79" t="s">
        <v>2</v>
      </c>
    </row>
    <row r="80" spans="1:2">
      <c r="A80" t="s">
        <v>3</v>
      </c>
      <c r="B80" t="s">
        <v>278</v>
      </c>
    </row>
    <row r="81" spans="1:2">
      <c r="A81" t="s">
        <v>3</v>
      </c>
      <c r="B81" t="s">
        <v>168</v>
      </c>
    </row>
    <row r="82" spans="1:2">
      <c r="A82" t="s">
        <v>3</v>
      </c>
      <c r="B82" t="s">
        <v>1535</v>
      </c>
    </row>
    <row r="83" spans="1:2">
      <c r="A83" t="s">
        <v>3</v>
      </c>
      <c r="B83" t="s">
        <v>165</v>
      </c>
    </row>
    <row r="84" spans="1:2">
      <c r="A84" t="s">
        <v>3</v>
      </c>
      <c r="B84" t="s">
        <v>1542</v>
      </c>
    </row>
    <row r="85" spans="1:2">
      <c r="A85" t="s">
        <v>3</v>
      </c>
      <c r="B85" t="s">
        <v>1477</v>
      </c>
    </row>
    <row r="86" spans="1:2">
      <c r="A86" t="s">
        <v>3</v>
      </c>
      <c r="B86" t="s">
        <v>1549</v>
      </c>
    </row>
    <row r="87" spans="1:2">
      <c r="A87" t="s">
        <v>3</v>
      </c>
      <c r="B87" t="s">
        <v>385</v>
      </c>
    </row>
    <row r="88" spans="1:2">
      <c r="A88" t="s">
        <v>3</v>
      </c>
      <c r="B88" t="s">
        <v>1557</v>
      </c>
    </row>
    <row r="89" spans="1:2">
      <c r="A89" t="s">
        <v>3</v>
      </c>
      <c r="B89" t="s">
        <v>1562</v>
      </c>
    </row>
    <row r="90" spans="1:2">
      <c r="A90" t="s">
        <v>3</v>
      </c>
      <c r="B90" t="s">
        <v>141</v>
      </c>
    </row>
    <row r="91" spans="1:2">
      <c r="A91" t="s">
        <v>3</v>
      </c>
      <c r="B91" t="s">
        <v>1570</v>
      </c>
    </row>
    <row r="92" spans="1:2">
      <c r="A92" t="s">
        <v>20</v>
      </c>
      <c r="B92" t="s">
        <v>245</v>
      </c>
    </row>
    <row r="93" spans="1:2">
      <c r="A93" t="s">
        <v>20</v>
      </c>
      <c r="B93" t="s">
        <v>406</v>
      </c>
    </row>
    <row r="94" spans="1:2">
      <c r="A94" t="s">
        <v>20</v>
      </c>
      <c r="B94" t="s">
        <v>63</v>
      </c>
    </row>
    <row r="95" spans="1:2">
      <c r="A95" t="s">
        <v>20</v>
      </c>
      <c r="B95" t="s">
        <v>94</v>
      </c>
    </row>
    <row r="96" spans="1:2">
      <c r="A96" t="s">
        <v>20</v>
      </c>
      <c r="B96" t="s">
        <v>22</v>
      </c>
    </row>
    <row r="97" spans="1:2">
      <c r="A97" t="s">
        <v>20</v>
      </c>
      <c r="B97" t="s">
        <v>264</v>
      </c>
    </row>
    <row r="98" spans="1:2">
      <c r="A98" t="s">
        <v>20</v>
      </c>
      <c r="B98" t="s">
        <v>145</v>
      </c>
    </row>
    <row r="99" spans="1:2">
      <c r="A99" t="s">
        <v>20</v>
      </c>
      <c r="B99" t="s">
        <v>376</v>
      </c>
    </row>
    <row r="100" spans="1:2">
      <c r="A100" t="s">
        <v>20</v>
      </c>
      <c r="B100" t="s">
        <v>72</v>
      </c>
    </row>
    <row r="101" spans="1:2">
      <c r="A101" t="s">
        <v>20</v>
      </c>
      <c r="B101" t="s">
        <v>252</v>
      </c>
    </row>
    <row r="102" spans="1:2">
      <c r="A102" t="s">
        <v>20</v>
      </c>
      <c r="B102" t="s">
        <v>192</v>
      </c>
    </row>
    <row r="103" spans="1:2">
      <c r="A103" t="s">
        <v>20</v>
      </c>
      <c r="B103" t="s">
        <v>154</v>
      </c>
    </row>
    <row r="104" spans="1:2">
      <c r="A104" t="s">
        <v>20</v>
      </c>
      <c r="B104" t="s">
        <v>19</v>
      </c>
    </row>
    <row r="105" spans="1:2">
      <c r="A105" t="s">
        <v>20</v>
      </c>
      <c r="B105" t="s">
        <v>1639</v>
      </c>
    </row>
    <row r="106" spans="1:2">
      <c r="A106" t="s">
        <v>20</v>
      </c>
      <c r="B106" t="s">
        <v>1641</v>
      </c>
    </row>
    <row r="107" spans="1:2">
      <c r="A107" t="s">
        <v>126</v>
      </c>
      <c r="B107" t="s">
        <v>266</v>
      </c>
    </row>
    <row r="108" spans="1:2">
      <c r="A108" t="s">
        <v>126</v>
      </c>
      <c r="B108" t="s">
        <v>377</v>
      </c>
    </row>
    <row r="109" spans="1:2">
      <c r="A109" t="s">
        <v>126</v>
      </c>
      <c r="B109" t="s">
        <v>190</v>
      </c>
    </row>
    <row r="110" spans="1:2">
      <c r="A110" t="s">
        <v>126</v>
      </c>
      <c r="B110" t="s">
        <v>401</v>
      </c>
    </row>
    <row r="111" spans="1:2">
      <c r="A111" t="s">
        <v>126</v>
      </c>
      <c r="B111" t="s">
        <v>137</v>
      </c>
    </row>
    <row r="112" spans="1:2">
      <c r="A112" t="s">
        <v>126</v>
      </c>
      <c r="B112" t="s">
        <v>125</v>
      </c>
    </row>
    <row r="113" spans="1:2">
      <c r="A113" t="s">
        <v>126</v>
      </c>
      <c r="B113" t="s">
        <v>256</v>
      </c>
    </row>
    <row r="114" spans="1:2">
      <c r="A114" t="s">
        <v>126</v>
      </c>
      <c r="B114" t="s">
        <v>238</v>
      </c>
    </row>
    <row r="115" spans="1:2">
      <c r="A115" t="s">
        <v>126</v>
      </c>
      <c r="B115" t="s">
        <v>1680</v>
      </c>
    </row>
    <row r="116" spans="1:2">
      <c r="A116" t="s">
        <v>126</v>
      </c>
      <c r="B116" t="s">
        <v>1681</v>
      </c>
    </row>
    <row r="117" spans="1:2">
      <c r="A117" t="s">
        <v>126</v>
      </c>
      <c r="B117" t="s">
        <v>438</v>
      </c>
    </row>
    <row r="118" spans="1:2">
      <c r="A118" t="s">
        <v>126</v>
      </c>
      <c r="B118" t="s">
        <v>1685</v>
      </c>
    </row>
    <row r="119" spans="1:2">
      <c r="A119" t="s">
        <v>126</v>
      </c>
      <c r="B119" t="s">
        <v>1688</v>
      </c>
    </row>
    <row r="120" spans="1:2">
      <c r="A120" t="s">
        <v>126</v>
      </c>
      <c r="B120" t="s">
        <v>1695</v>
      </c>
    </row>
    <row r="121" spans="1:2">
      <c r="A121" t="s">
        <v>126</v>
      </c>
      <c r="B121" t="s">
        <v>1698</v>
      </c>
    </row>
    <row r="122" spans="1:2">
      <c r="A122" t="s">
        <v>74</v>
      </c>
      <c r="B122" t="s">
        <v>1702</v>
      </c>
    </row>
    <row r="123" spans="1:2">
      <c r="A123" t="s">
        <v>74</v>
      </c>
      <c r="B123" t="s">
        <v>397</v>
      </c>
    </row>
    <row r="124" spans="1:2">
      <c r="A124" t="s">
        <v>74</v>
      </c>
      <c r="B124" t="s">
        <v>434</v>
      </c>
    </row>
    <row r="125" spans="1:2">
      <c r="A125" t="s">
        <v>74</v>
      </c>
      <c r="B125" t="s">
        <v>303</v>
      </c>
    </row>
    <row r="126" spans="1:2">
      <c r="A126" t="s">
        <v>74</v>
      </c>
      <c r="B126" t="s">
        <v>96</v>
      </c>
    </row>
    <row r="127" spans="1:2">
      <c r="A127" t="s">
        <v>74</v>
      </c>
      <c r="B127" t="s">
        <v>1723</v>
      </c>
    </row>
    <row r="128" spans="1:2">
      <c r="A128" t="s">
        <v>74</v>
      </c>
      <c r="B128" t="s">
        <v>1727</v>
      </c>
    </row>
    <row r="129" spans="1:2">
      <c r="A129" t="s">
        <v>74</v>
      </c>
      <c r="B129" t="s">
        <v>1732</v>
      </c>
    </row>
    <row r="130" spans="1:2">
      <c r="A130" t="s">
        <v>74</v>
      </c>
      <c r="B130" t="s">
        <v>1733</v>
      </c>
    </row>
    <row r="131" spans="1:2">
      <c r="A131" t="s">
        <v>74</v>
      </c>
      <c r="B131" t="s">
        <v>286</v>
      </c>
    </row>
    <row r="132" spans="1:2">
      <c r="A132" t="s">
        <v>74</v>
      </c>
      <c r="B132" t="s">
        <v>1737</v>
      </c>
    </row>
    <row r="133" spans="1:2">
      <c r="A133" t="s">
        <v>74</v>
      </c>
      <c r="B133" t="s">
        <v>1740</v>
      </c>
    </row>
    <row r="134" spans="1:2">
      <c r="A134" t="s">
        <v>74</v>
      </c>
      <c r="B134" t="s">
        <v>393</v>
      </c>
    </row>
    <row r="135" spans="1:2">
      <c r="A135" t="s">
        <v>74</v>
      </c>
      <c r="B135" t="s">
        <v>343</v>
      </c>
    </row>
    <row r="136" spans="1:2">
      <c r="A136" t="s">
        <v>74</v>
      </c>
      <c r="B136" t="s">
        <v>1747</v>
      </c>
    </row>
    <row r="137" spans="1:2">
      <c r="A137" t="s">
        <v>74</v>
      </c>
      <c r="B137" t="s">
        <v>1751</v>
      </c>
    </row>
    <row r="138" spans="1:2">
      <c r="A138" t="s">
        <v>83</v>
      </c>
      <c r="B138" t="s">
        <v>283</v>
      </c>
    </row>
    <row r="139" spans="1:2">
      <c r="A139" t="s">
        <v>83</v>
      </c>
      <c r="B139" t="s">
        <v>86</v>
      </c>
    </row>
    <row r="140" spans="1:2">
      <c r="A140" t="s">
        <v>83</v>
      </c>
      <c r="B140" t="s">
        <v>247</v>
      </c>
    </row>
    <row r="141" spans="1:2">
      <c r="A141" t="s">
        <v>83</v>
      </c>
      <c r="B141" t="s">
        <v>326</v>
      </c>
    </row>
    <row r="142" spans="1:2">
      <c r="A142" t="s">
        <v>83</v>
      </c>
      <c r="B142" t="s">
        <v>82</v>
      </c>
    </row>
    <row r="143" spans="1:2">
      <c r="A143" t="s">
        <v>83</v>
      </c>
      <c r="B143" t="s">
        <v>1776</v>
      </c>
    </row>
    <row r="144" spans="1:2">
      <c r="A144" t="s">
        <v>83</v>
      </c>
      <c r="B144" t="s">
        <v>380</v>
      </c>
    </row>
    <row r="145" spans="1:2">
      <c r="A145" t="s">
        <v>83</v>
      </c>
      <c r="B145" t="s">
        <v>273</v>
      </c>
    </row>
    <row r="146" spans="1:2">
      <c r="A146" t="s">
        <v>83</v>
      </c>
      <c r="B146" t="s">
        <v>379</v>
      </c>
    </row>
    <row r="147" spans="1:2">
      <c r="A147" t="s">
        <v>83</v>
      </c>
      <c r="B147" t="s">
        <v>1791</v>
      </c>
    </row>
    <row r="148" spans="1:2">
      <c r="A148" t="s">
        <v>83</v>
      </c>
      <c r="B148" t="s">
        <v>416</v>
      </c>
    </row>
    <row r="149" spans="1:2">
      <c r="A149" t="s">
        <v>83</v>
      </c>
      <c r="B149" t="s">
        <v>1803</v>
      </c>
    </row>
    <row r="150" spans="1:2">
      <c r="A150" t="s">
        <v>83</v>
      </c>
      <c r="B150" t="s">
        <v>1806</v>
      </c>
    </row>
    <row r="151" spans="1:2">
      <c r="A151" t="s">
        <v>83</v>
      </c>
      <c r="B151" t="s">
        <v>1807</v>
      </c>
    </row>
    <row r="152" spans="1:2">
      <c r="A152" t="s">
        <v>56</v>
      </c>
      <c r="B152" t="s">
        <v>448</v>
      </c>
    </row>
    <row r="153" spans="1:2">
      <c r="A153" t="s">
        <v>56</v>
      </c>
      <c r="B153" t="s">
        <v>244</v>
      </c>
    </row>
    <row r="154" spans="1:2">
      <c r="A154" t="s">
        <v>56</v>
      </c>
      <c r="B154" t="s">
        <v>114</v>
      </c>
    </row>
    <row r="155" spans="1:2">
      <c r="A155" t="s">
        <v>56</v>
      </c>
      <c r="B155" t="s">
        <v>119</v>
      </c>
    </row>
    <row r="156" spans="1:2">
      <c r="A156" t="s">
        <v>56</v>
      </c>
      <c r="B156" t="s">
        <v>92</v>
      </c>
    </row>
    <row r="157" spans="1:2">
      <c r="A157" t="s">
        <v>56</v>
      </c>
      <c r="B157" t="s">
        <v>201</v>
      </c>
    </row>
    <row r="158" spans="1:2">
      <c r="A158" t="s">
        <v>56</v>
      </c>
      <c r="B158" t="s">
        <v>449</v>
      </c>
    </row>
    <row r="159" spans="1:2">
      <c r="A159" t="s">
        <v>56</v>
      </c>
      <c r="B159" t="s">
        <v>1851</v>
      </c>
    </row>
    <row r="160" spans="1:2">
      <c r="A160" t="s">
        <v>56</v>
      </c>
      <c r="B160" t="s">
        <v>1855</v>
      </c>
    </row>
    <row r="161" spans="1:2">
      <c r="A161" t="s">
        <v>56</v>
      </c>
      <c r="B161" t="s">
        <v>55</v>
      </c>
    </row>
    <row r="162" spans="1:2">
      <c r="A162" t="s">
        <v>56</v>
      </c>
      <c r="B162" t="s">
        <v>1863</v>
      </c>
    </row>
    <row r="163" spans="1:2">
      <c r="A163" t="s">
        <v>56</v>
      </c>
      <c r="B163" t="s">
        <v>1867</v>
      </c>
    </row>
    <row r="164" spans="1:2">
      <c r="A164" t="s">
        <v>56</v>
      </c>
      <c r="B164" t="s">
        <v>1870</v>
      </c>
    </row>
    <row r="165" spans="1:2">
      <c r="A165" t="s">
        <v>56</v>
      </c>
      <c r="B165" t="s">
        <v>1874</v>
      </c>
    </row>
    <row r="166" spans="1:2">
      <c r="A166" t="s">
        <v>56</v>
      </c>
      <c r="B166" t="s">
        <v>141</v>
      </c>
    </row>
    <row r="167" spans="1:2">
      <c r="A167" t="s">
        <v>56</v>
      </c>
      <c r="B167" t="s">
        <v>1878</v>
      </c>
    </row>
    <row r="168" spans="1:2">
      <c r="A168" t="s">
        <v>56</v>
      </c>
      <c r="B168" t="s">
        <v>1880</v>
      </c>
    </row>
    <row r="169" spans="1:2">
      <c r="A169" t="s">
        <v>56</v>
      </c>
      <c r="B169" t="s">
        <v>1881</v>
      </c>
    </row>
    <row r="170" spans="1:2">
      <c r="A170" t="s">
        <v>56</v>
      </c>
      <c r="B170" t="s">
        <v>1883</v>
      </c>
    </row>
    <row r="171" spans="1:2">
      <c r="A171" t="s">
        <v>37</v>
      </c>
      <c r="B171" t="s">
        <v>239</v>
      </c>
    </row>
    <row r="172" spans="1:2">
      <c r="A172" t="s">
        <v>37</v>
      </c>
      <c r="B172" t="s">
        <v>452</v>
      </c>
    </row>
    <row r="173" spans="1:2">
      <c r="A173" t="s">
        <v>37</v>
      </c>
      <c r="B173" t="s">
        <v>339</v>
      </c>
    </row>
    <row r="174" spans="1:2">
      <c r="A174" t="s">
        <v>37</v>
      </c>
      <c r="B174" t="s">
        <v>328</v>
      </c>
    </row>
    <row r="175" spans="1:2">
      <c r="A175" t="s">
        <v>37</v>
      </c>
      <c r="B175" t="s">
        <v>243</v>
      </c>
    </row>
    <row r="176" spans="1:2">
      <c r="A176" t="s">
        <v>37</v>
      </c>
      <c r="B176" t="s">
        <v>1903</v>
      </c>
    </row>
    <row r="177" spans="1:2">
      <c r="A177" t="s">
        <v>37</v>
      </c>
      <c r="B177" t="s">
        <v>451</v>
      </c>
    </row>
    <row r="178" spans="1:2">
      <c r="A178" t="s">
        <v>37</v>
      </c>
      <c r="B178" t="s">
        <v>348</v>
      </c>
    </row>
    <row r="179" spans="1:2">
      <c r="A179" t="s">
        <v>37</v>
      </c>
      <c r="B179" t="s">
        <v>249</v>
      </c>
    </row>
    <row r="180" spans="1:2">
      <c r="A180" t="s">
        <v>37</v>
      </c>
      <c r="B180" t="s">
        <v>36</v>
      </c>
    </row>
    <row r="181" spans="1:2">
      <c r="A181" t="s">
        <v>37</v>
      </c>
      <c r="B181" t="s">
        <v>65</v>
      </c>
    </row>
    <row r="182" spans="1:2">
      <c r="A182" t="s">
        <v>37</v>
      </c>
      <c r="B182" t="s">
        <v>431</v>
      </c>
    </row>
    <row r="183" spans="1:2">
      <c r="A183" t="s">
        <v>37</v>
      </c>
      <c r="B183" t="s">
        <v>422</v>
      </c>
    </row>
    <row r="184" spans="1:2">
      <c r="A184" t="s">
        <v>37</v>
      </c>
      <c r="B184" t="s">
        <v>1923</v>
      </c>
    </row>
    <row r="185" spans="1:2">
      <c r="A185" t="s">
        <v>79</v>
      </c>
      <c r="B185" t="s">
        <v>230</v>
      </c>
    </row>
    <row r="186" spans="1:2">
      <c r="A186" t="s">
        <v>79</v>
      </c>
      <c r="B186" t="s">
        <v>391</v>
      </c>
    </row>
    <row r="187" spans="1:2">
      <c r="A187" t="s">
        <v>79</v>
      </c>
      <c r="B187" t="s">
        <v>418</v>
      </c>
    </row>
    <row r="188" spans="1:2">
      <c r="A188" t="s">
        <v>79</v>
      </c>
      <c r="B188" t="s">
        <v>342</v>
      </c>
    </row>
    <row r="189" spans="1:2">
      <c r="A189" t="s">
        <v>79</v>
      </c>
      <c r="B189" t="s">
        <v>327</v>
      </c>
    </row>
    <row r="190" spans="1:2">
      <c r="A190" t="s">
        <v>79</v>
      </c>
      <c r="B190" t="s">
        <v>1937</v>
      </c>
    </row>
    <row r="191" spans="1:2">
      <c r="A191" t="s">
        <v>79</v>
      </c>
      <c r="B191" t="s">
        <v>1940</v>
      </c>
    </row>
    <row r="192" spans="1:2">
      <c r="A192" t="s">
        <v>79</v>
      </c>
      <c r="B192" t="s">
        <v>1944</v>
      </c>
    </row>
    <row r="193" spans="1:2">
      <c r="A193" t="s">
        <v>79</v>
      </c>
      <c r="B193" t="s">
        <v>1949</v>
      </c>
    </row>
    <row r="194" spans="1:2">
      <c r="A194" t="s">
        <v>79</v>
      </c>
      <c r="B194" t="s">
        <v>78</v>
      </c>
    </row>
    <row r="195" spans="1:2">
      <c r="A195" t="s">
        <v>79</v>
      </c>
      <c r="B195" t="s">
        <v>1954</v>
      </c>
    </row>
    <row r="196" spans="1:2">
      <c r="A196" t="s">
        <v>79</v>
      </c>
      <c r="B196" t="s">
        <v>143</v>
      </c>
    </row>
    <row r="197" spans="1:2">
      <c r="A197" t="s">
        <v>79</v>
      </c>
      <c r="B197" t="s">
        <v>453</v>
      </c>
    </row>
    <row r="198" spans="1:2">
      <c r="A198" t="s">
        <v>79</v>
      </c>
      <c r="B198" t="s">
        <v>1959</v>
      </c>
    </row>
    <row r="199" spans="1:2">
      <c r="A199" t="s">
        <v>79</v>
      </c>
      <c r="B199" t="s">
        <v>123</v>
      </c>
    </row>
    <row r="200" spans="1:2">
      <c r="A200" t="s">
        <v>117</v>
      </c>
      <c r="B200" t="s">
        <v>116</v>
      </c>
    </row>
    <row r="201" spans="1:2">
      <c r="A201" t="s">
        <v>117</v>
      </c>
      <c r="B201" t="s">
        <v>225</v>
      </c>
    </row>
    <row r="202" spans="1:2">
      <c r="A202" t="s">
        <v>117</v>
      </c>
      <c r="B202" t="s">
        <v>362</v>
      </c>
    </row>
    <row r="203" spans="1:2">
      <c r="A203" t="s">
        <v>117</v>
      </c>
      <c r="B203" t="s">
        <v>124</v>
      </c>
    </row>
    <row r="204" spans="1:2">
      <c r="A204" t="s">
        <v>117</v>
      </c>
      <c r="B204" t="s">
        <v>250</v>
      </c>
    </row>
    <row r="205" spans="1:2">
      <c r="A205" t="s">
        <v>117</v>
      </c>
      <c r="B205" t="s">
        <v>293</v>
      </c>
    </row>
    <row r="206" spans="1:2">
      <c r="A206" t="s">
        <v>117</v>
      </c>
      <c r="B206" t="s">
        <v>1976</v>
      </c>
    </row>
    <row r="207" spans="1:2">
      <c r="A207" t="s">
        <v>117</v>
      </c>
      <c r="B207" t="s">
        <v>287</v>
      </c>
    </row>
    <row r="208" spans="1:2">
      <c r="A208" t="s">
        <v>117</v>
      </c>
      <c r="B208" t="s">
        <v>135</v>
      </c>
    </row>
    <row r="209" spans="1:2">
      <c r="A209" t="s">
        <v>117</v>
      </c>
      <c r="B209" t="s">
        <v>1987</v>
      </c>
    </row>
    <row r="210" spans="1:2">
      <c r="A210" t="s">
        <v>117</v>
      </c>
      <c r="B210" t="s">
        <v>374</v>
      </c>
    </row>
    <row r="211" spans="1:2">
      <c r="A211" t="s">
        <v>117</v>
      </c>
      <c r="B211" t="s">
        <v>1992</v>
      </c>
    </row>
    <row r="212" spans="1:2">
      <c r="A212" t="s">
        <v>117</v>
      </c>
      <c r="B212" t="s">
        <v>127</v>
      </c>
    </row>
    <row r="213" spans="1:2">
      <c r="A213" t="s">
        <v>117</v>
      </c>
      <c r="B213" t="s">
        <v>1996</v>
      </c>
    </row>
    <row r="214" spans="1:2">
      <c r="A214" t="s">
        <v>117</v>
      </c>
      <c r="B214" t="s">
        <v>1997</v>
      </c>
    </row>
    <row r="215" spans="1:2">
      <c r="A215" t="s">
        <v>117</v>
      </c>
      <c r="B215" t="s">
        <v>2002</v>
      </c>
    </row>
    <row r="216" spans="1:2">
      <c r="A216" t="s">
        <v>117</v>
      </c>
      <c r="B216" t="s">
        <v>2005</v>
      </c>
    </row>
    <row r="217" spans="1:2">
      <c r="A217" t="s">
        <v>25</v>
      </c>
      <c r="B217" t="s">
        <v>58</v>
      </c>
    </row>
    <row r="218" spans="1:2">
      <c r="A218" t="s">
        <v>25</v>
      </c>
      <c r="B218" t="s">
        <v>233</v>
      </c>
    </row>
    <row r="219" spans="1:2">
      <c r="A219" t="s">
        <v>25</v>
      </c>
      <c r="B219" t="s">
        <v>129</v>
      </c>
    </row>
    <row r="220" spans="1:2">
      <c r="A220" t="s">
        <v>25</v>
      </c>
      <c r="B220" t="s">
        <v>248</v>
      </c>
    </row>
    <row r="221" spans="1:2">
      <c r="A221" t="s">
        <v>25</v>
      </c>
      <c r="B221" t="s">
        <v>170</v>
      </c>
    </row>
    <row r="222" spans="1:2">
      <c r="A222" t="s">
        <v>25</v>
      </c>
      <c r="B222" t="s">
        <v>2019</v>
      </c>
    </row>
    <row r="223" spans="1:2">
      <c r="A223" t="s">
        <v>25</v>
      </c>
      <c r="B223" t="s">
        <v>251</v>
      </c>
    </row>
    <row r="224" spans="1:2">
      <c r="A224" t="s">
        <v>25</v>
      </c>
      <c r="B224" t="s">
        <v>2025</v>
      </c>
    </row>
    <row r="225" spans="1:2">
      <c r="A225" t="s">
        <v>25</v>
      </c>
      <c r="B225" t="s">
        <v>240</v>
      </c>
    </row>
    <row r="226" spans="1:2">
      <c r="A226" t="s">
        <v>25</v>
      </c>
      <c r="B226" t="s">
        <v>161</v>
      </c>
    </row>
    <row r="227" spans="1:2">
      <c r="A227" t="s">
        <v>25</v>
      </c>
      <c r="B227" t="s">
        <v>262</v>
      </c>
    </row>
    <row r="228" spans="1:2">
      <c r="A228" t="s">
        <v>25</v>
      </c>
      <c r="B228" t="s">
        <v>24</v>
      </c>
    </row>
    <row r="229" spans="1:2">
      <c r="A229" t="s">
        <v>25</v>
      </c>
      <c r="B229" t="s">
        <v>404</v>
      </c>
    </row>
    <row r="230" spans="1:2">
      <c r="A230" t="s">
        <v>25</v>
      </c>
      <c r="B230" t="s">
        <v>27</v>
      </c>
    </row>
    <row r="231" spans="1:2">
      <c r="A231" t="s">
        <v>44</v>
      </c>
      <c r="B231" t="s">
        <v>131</v>
      </c>
    </row>
    <row r="232" spans="1:2">
      <c r="A232" t="s">
        <v>44</v>
      </c>
      <c r="B232" t="s">
        <v>325</v>
      </c>
    </row>
    <row r="233" spans="1:2">
      <c r="A233" t="s">
        <v>44</v>
      </c>
      <c r="B233" t="s">
        <v>352</v>
      </c>
    </row>
    <row r="234" spans="1:2">
      <c r="A234" t="s">
        <v>44</v>
      </c>
      <c r="B234" t="s">
        <v>43</v>
      </c>
    </row>
    <row r="235" spans="1:2">
      <c r="A235" t="s">
        <v>44</v>
      </c>
      <c r="B235" t="s">
        <v>2058</v>
      </c>
    </row>
    <row r="236" spans="1:2">
      <c r="A236" t="s">
        <v>44</v>
      </c>
      <c r="B236" t="s">
        <v>301</v>
      </c>
    </row>
    <row r="237" spans="1:2">
      <c r="A237" t="s">
        <v>44</v>
      </c>
      <c r="B237" t="s">
        <v>2063</v>
      </c>
    </row>
    <row r="238" spans="1:2">
      <c r="A238" t="s">
        <v>44</v>
      </c>
      <c r="B238" t="s">
        <v>320</v>
      </c>
    </row>
    <row r="239" spans="1:2">
      <c r="A239" t="s">
        <v>44</v>
      </c>
      <c r="B239" t="s">
        <v>149</v>
      </c>
    </row>
    <row r="240" spans="1:2">
      <c r="A240" t="s">
        <v>44</v>
      </c>
      <c r="B240" t="s">
        <v>2069</v>
      </c>
    </row>
    <row r="241" spans="1:2">
      <c r="A241" t="s">
        <v>44</v>
      </c>
      <c r="B241" t="s">
        <v>2071</v>
      </c>
    </row>
    <row r="242" spans="1:2">
      <c r="A242" t="s">
        <v>44</v>
      </c>
      <c r="B242" t="s">
        <v>2073</v>
      </c>
    </row>
    <row r="243" spans="1:2">
      <c r="A243" t="s">
        <v>44</v>
      </c>
      <c r="B243" t="s">
        <v>2075</v>
      </c>
    </row>
    <row r="244" spans="1:2">
      <c r="A244" t="s">
        <v>44</v>
      </c>
      <c r="B244" t="s">
        <v>2077</v>
      </c>
    </row>
    <row r="245" spans="1:2">
      <c r="A245" t="s">
        <v>30</v>
      </c>
      <c r="B245" t="s">
        <v>235</v>
      </c>
    </row>
    <row r="246" spans="1:2">
      <c r="A246" t="s">
        <v>30</v>
      </c>
      <c r="B246" t="s">
        <v>446</v>
      </c>
    </row>
    <row r="247" spans="1:2">
      <c r="A247" t="s">
        <v>30</v>
      </c>
      <c r="B247" t="s">
        <v>350</v>
      </c>
    </row>
    <row r="248" spans="1:2">
      <c r="A248" t="s">
        <v>30</v>
      </c>
      <c r="B248" t="s">
        <v>29</v>
      </c>
    </row>
    <row r="249" spans="1:2">
      <c r="A249" t="s">
        <v>30</v>
      </c>
      <c r="B249" t="s">
        <v>288</v>
      </c>
    </row>
    <row r="250" spans="1:2">
      <c r="A250" t="s">
        <v>30</v>
      </c>
      <c r="B250" t="s">
        <v>128</v>
      </c>
    </row>
    <row r="251" spans="1:2">
      <c r="A251" t="s">
        <v>30</v>
      </c>
      <c r="B251" t="s">
        <v>351</v>
      </c>
    </row>
    <row r="252" spans="1:2">
      <c r="A252" t="s">
        <v>30</v>
      </c>
      <c r="B252" t="s">
        <v>2098</v>
      </c>
    </row>
    <row r="253" spans="1:2">
      <c r="A253" t="s">
        <v>30</v>
      </c>
      <c r="B253" t="s">
        <v>184</v>
      </c>
    </row>
    <row r="254" spans="1:2">
      <c r="A254" t="s">
        <v>30</v>
      </c>
      <c r="B254" t="s">
        <v>2102</v>
      </c>
    </row>
    <row r="255" spans="1:2">
      <c r="A255" t="s">
        <v>30</v>
      </c>
      <c r="B255" t="s">
        <v>2106</v>
      </c>
    </row>
    <row r="256" spans="1:2">
      <c r="A256" t="s">
        <v>30</v>
      </c>
      <c r="B256" t="s">
        <v>2107</v>
      </c>
    </row>
    <row r="257" spans="1:2">
      <c r="A257" t="s">
        <v>30</v>
      </c>
      <c r="B257" t="s">
        <v>275</v>
      </c>
    </row>
    <row r="258" spans="1:2">
      <c r="A258" t="s">
        <v>30</v>
      </c>
      <c r="B258" t="s">
        <v>2112</v>
      </c>
    </row>
    <row r="259" spans="1:2">
      <c r="A259" t="s">
        <v>30</v>
      </c>
      <c r="B259" t="s">
        <v>2114</v>
      </c>
    </row>
    <row r="260" spans="1:2">
      <c r="A260" t="s">
        <v>30</v>
      </c>
      <c r="B260" t="s">
        <v>2116</v>
      </c>
    </row>
    <row r="261" spans="1:2">
      <c r="A261" t="s">
        <v>71</v>
      </c>
      <c r="B261" t="s">
        <v>70</v>
      </c>
    </row>
    <row r="262" spans="1:2">
      <c r="A262" t="s">
        <v>71</v>
      </c>
      <c r="B262" t="s">
        <v>316</v>
      </c>
    </row>
    <row r="263" spans="1:2">
      <c r="A263" t="s">
        <v>71</v>
      </c>
      <c r="B263" t="s">
        <v>2123</v>
      </c>
    </row>
    <row r="264" spans="1:2">
      <c r="A264" t="s">
        <v>71</v>
      </c>
      <c r="B264" t="s">
        <v>2129</v>
      </c>
    </row>
    <row r="265" spans="1:2">
      <c r="A265" t="s">
        <v>71</v>
      </c>
      <c r="B265" t="s">
        <v>80</v>
      </c>
    </row>
    <row r="266" spans="1:2">
      <c r="A266" t="s">
        <v>71</v>
      </c>
      <c r="B266" t="s">
        <v>120</v>
      </c>
    </row>
    <row r="267" spans="1:2">
      <c r="A267" t="s">
        <v>71</v>
      </c>
      <c r="B267" t="s">
        <v>172</v>
      </c>
    </row>
    <row r="268" spans="1:2">
      <c r="A268" t="s">
        <v>71</v>
      </c>
      <c r="B268" t="s">
        <v>321</v>
      </c>
    </row>
    <row r="269" spans="1:2">
      <c r="A269" t="s">
        <v>71</v>
      </c>
      <c r="B269" t="s">
        <v>2138</v>
      </c>
    </row>
    <row r="270" spans="1:2">
      <c r="A270" t="s">
        <v>71</v>
      </c>
      <c r="B270" t="s">
        <v>253</v>
      </c>
    </row>
    <row r="271" spans="1:2">
      <c r="A271" t="s">
        <v>71</v>
      </c>
      <c r="B271" t="s">
        <v>2143</v>
      </c>
    </row>
    <row r="272" spans="1:2">
      <c r="A272" t="s">
        <v>71</v>
      </c>
      <c r="B272" t="s">
        <v>2145</v>
      </c>
    </row>
    <row r="273" spans="1:2">
      <c r="A273" t="s">
        <v>71</v>
      </c>
      <c r="B273" t="s">
        <v>2146</v>
      </c>
    </row>
    <row r="274" spans="1:2">
      <c r="A274" t="s">
        <v>71</v>
      </c>
      <c r="B274" t="s">
        <v>2148</v>
      </c>
    </row>
    <row r="275" spans="1:2">
      <c r="A275" t="s">
        <v>71</v>
      </c>
      <c r="B275" t="s">
        <v>370</v>
      </c>
    </row>
    <row r="276" spans="1:2">
      <c r="A276" t="s">
        <v>71</v>
      </c>
      <c r="B276" t="s">
        <v>2150</v>
      </c>
    </row>
    <row r="277" spans="1:2">
      <c r="A277" t="s">
        <v>14</v>
      </c>
      <c r="B277" t="s">
        <v>427</v>
      </c>
    </row>
    <row r="278" spans="1:2">
      <c r="A278" t="s">
        <v>14</v>
      </c>
      <c r="B278" t="s">
        <v>84</v>
      </c>
    </row>
    <row r="279" spans="1:2">
      <c r="A279" t="s">
        <v>14</v>
      </c>
      <c r="B279" t="s">
        <v>270</v>
      </c>
    </row>
    <row r="280" spans="1:2">
      <c r="A280" t="s">
        <v>14</v>
      </c>
      <c r="B280" t="s">
        <v>13</v>
      </c>
    </row>
    <row r="281" spans="1:2">
      <c r="A281" t="s">
        <v>14</v>
      </c>
      <c r="B281" t="s">
        <v>38</v>
      </c>
    </row>
    <row r="282" spans="1:2">
      <c r="A282" t="s">
        <v>14</v>
      </c>
      <c r="B282" t="s">
        <v>53</v>
      </c>
    </row>
    <row r="283" spans="1:2">
      <c r="A283" t="s">
        <v>14</v>
      </c>
      <c r="B283" t="s">
        <v>2165</v>
      </c>
    </row>
    <row r="284" spans="1:2">
      <c r="A284" t="s">
        <v>14</v>
      </c>
      <c r="B284" t="s">
        <v>85</v>
      </c>
    </row>
    <row r="285" spans="1:2">
      <c r="A285" t="s">
        <v>14</v>
      </c>
      <c r="B285" t="s">
        <v>2168</v>
      </c>
    </row>
    <row r="286" spans="1:2">
      <c r="A286" t="s">
        <v>14</v>
      </c>
      <c r="B286" t="s">
        <v>368</v>
      </c>
    </row>
    <row r="287" spans="1:2">
      <c r="A287" t="s">
        <v>14</v>
      </c>
      <c r="B287" t="s">
        <v>2170</v>
      </c>
    </row>
    <row r="288" spans="1:2">
      <c r="A288" t="s">
        <v>14</v>
      </c>
      <c r="B288" t="s">
        <v>2171</v>
      </c>
    </row>
    <row r="289" spans="1:2">
      <c r="A289" t="s">
        <v>14</v>
      </c>
      <c r="B289" t="s">
        <v>2172</v>
      </c>
    </row>
    <row r="290" spans="1:2">
      <c r="A290" t="s">
        <v>14</v>
      </c>
      <c r="B290" t="s">
        <v>2174</v>
      </c>
    </row>
    <row r="291" spans="1:2">
      <c r="A291" t="s">
        <v>14</v>
      </c>
      <c r="B291" t="s">
        <v>2176</v>
      </c>
    </row>
    <row r="292" spans="1:2">
      <c r="A292" t="s">
        <v>76</v>
      </c>
      <c r="B292" t="s">
        <v>155</v>
      </c>
    </row>
    <row r="293" spans="1:2">
      <c r="A293" t="s">
        <v>76</v>
      </c>
      <c r="B293" t="s">
        <v>236</v>
      </c>
    </row>
    <row r="294" spans="1:2">
      <c r="A294" t="s">
        <v>76</v>
      </c>
      <c r="B294" t="s">
        <v>75</v>
      </c>
    </row>
    <row r="295" spans="1:2">
      <c r="A295" t="s">
        <v>76</v>
      </c>
      <c r="B295" t="s">
        <v>115</v>
      </c>
    </row>
    <row r="296" spans="1:2">
      <c r="A296" t="s">
        <v>76</v>
      </c>
      <c r="B296" t="s">
        <v>2190</v>
      </c>
    </row>
    <row r="297" spans="1:2">
      <c r="A297" t="s">
        <v>76</v>
      </c>
      <c r="B297" t="s">
        <v>231</v>
      </c>
    </row>
    <row r="298" spans="1:2">
      <c r="A298" t="s">
        <v>76</v>
      </c>
      <c r="B298" t="s">
        <v>340</v>
      </c>
    </row>
    <row r="299" spans="1:2">
      <c r="A299" t="s">
        <v>76</v>
      </c>
      <c r="B299" t="s">
        <v>2197</v>
      </c>
    </row>
    <row r="300" spans="1:2">
      <c r="A300" t="s">
        <v>76</v>
      </c>
      <c r="B300" t="s">
        <v>2199</v>
      </c>
    </row>
    <row r="301" spans="1:2">
      <c r="A301" t="s">
        <v>76</v>
      </c>
      <c r="B301" t="s">
        <v>271</v>
      </c>
    </row>
    <row r="302" spans="1:2">
      <c r="A302" t="s">
        <v>76</v>
      </c>
      <c r="B302" t="s">
        <v>2201</v>
      </c>
    </row>
    <row r="303" spans="1:2">
      <c r="A303" t="s">
        <v>76</v>
      </c>
      <c r="B303" t="s">
        <v>2204</v>
      </c>
    </row>
    <row r="304" spans="1:2">
      <c r="A304" t="s">
        <v>76</v>
      </c>
      <c r="B304" t="s">
        <v>246</v>
      </c>
    </row>
    <row r="305" spans="1:2">
      <c r="A305" t="s">
        <v>76</v>
      </c>
      <c r="B305" t="s">
        <v>2208</v>
      </c>
    </row>
    <row r="306" spans="1:2">
      <c r="A306" t="s">
        <v>41</v>
      </c>
      <c r="B306" t="s">
        <v>40</v>
      </c>
    </row>
    <row r="307" spans="1:2">
      <c r="A307" t="s">
        <v>41</v>
      </c>
      <c r="B307" t="s">
        <v>345</v>
      </c>
    </row>
    <row r="308" spans="1:2">
      <c r="A308" t="s">
        <v>41</v>
      </c>
      <c r="B308" t="s">
        <v>356</v>
      </c>
    </row>
    <row r="309" spans="1:2">
      <c r="A309" t="s">
        <v>41</v>
      </c>
      <c r="B309" t="s">
        <v>299</v>
      </c>
    </row>
    <row r="310" spans="1:2">
      <c r="A310" t="s">
        <v>41</v>
      </c>
      <c r="B310" t="s">
        <v>204</v>
      </c>
    </row>
    <row r="311" spans="1:2">
      <c r="A311" t="s">
        <v>41</v>
      </c>
      <c r="B311" t="s">
        <v>151</v>
      </c>
    </row>
    <row r="312" spans="1:2">
      <c r="A312" t="s">
        <v>41</v>
      </c>
      <c r="B312" t="s">
        <v>121</v>
      </c>
    </row>
    <row r="313" spans="1:2">
      <c r="A313" t="s">
        <v>41</v>
      </c>
      <c r="B313" t="s">
        <v>2223</v>
      </c>
    </row>
    <row r="314" spans="1:2">
      <c r="A314" t="s">
        <v>41</v>
      </c>
      <c r="B314" t="s">
        <v>405</v>
      </c>
    </row>
    <row r="315" spans="1:2">
      <c r="A315" t="s">
        <v>41</v>
      </c>
      <c r="B315" t="s">
        <v>297</v>
      </c>
    </row>
    <row r="316" spans="1:2">
      <c r="A316" t="s">
        <v>41</v>
      </c>
      <c r="B316" t="s">
        <v>2232</v>
      </c>
    </row>
    <row r="317" spans="1:2">
      <c r="A317" t="s">
        <v>41</v>
      </c>
      <c r="B317" t="s">
        <v>2235</v>
      </c>
    </row>
    <row r="318" spans="1:2">
      <c r="A318" t="s">
        <v>41</v>
      </c>
      <c r="B318" t="s">
        <v>2238</v>
      </c>
    </row>
    <row r="319" spans="1:2">
      <c r="A319" t="s">
        <v>41</v>
      </c>
      <c r="B319" t="s">
        <v>2239</v>
      </c>
    </row>
    <row r="320" spans="1:2">
      <c r="A320" t="s">
        <v>41</v>
      </c>
      <c r="B320" t="s">
        <v>2241</v>
      </c>
    </row>
    <row r="321" spans="1:2">
      <c r="A321" t="s">
        <v>159</v>
      </c>
      <c r="B321" t="s">
        <v>2243</v>
      </c>
    </row>
    <row r="322" spans="1:2">
      <c r="A322" t="s">
        <v>159</v>
      </c>
      <c r="B322" t="s">
        <v>403</v>
      </c>
    </row>
    <row r="323" spans="1:2">
      <c r="A323" t="s">
        <v>159</v>
      </c>
      <c r="B323" t="s">
        <v>324</v>
      </c>
    </row>
    <row r="324" spans="1:2">
      <c r="A324" t="s">
        <v>159</v>
      </c>
      <c r="B324" t="s">
        <v>423</v>
      </c>
    </row>
    <row r="325" spans="1:2">
      <c r="A325" t="s">
        <v>159</v>
      </c>
      <c r="B325" t="s">
        <v>2254</v>
      </c>
    </row>
    <row r="326" spans="1:2">
      <c r="A326" t="s">
        <v>159</v>
      </c>
      <c r="B326" t="s">
        <v>399</v>
      </c>
    </row>
    <row r="327" spans="1:2">
      <c r="A327" t="s">
        <v>159</v>
      </c>
      <c r="B327" t="s">
        <v>260</v>
      </c>
    </row>
    <row r="328" spans="1:2">
      <c r="A328" t="s">
        <v>159</v>
      </c>
      <c r="B328" t="s">
        <v>420</v>
      </c>
    </row>
    <row r="329" spans="1:2">
      <c r="A329" t="s">
        <v>159</v>
      </c>
      <c r="B329" t="s">
        <v>337</v>
      </c>
    </row>
    <row r="330" spans="1:2">
      <c r="A330" t="s">
        <v>159</v>
      </c>
      <c r="B330" t="s">
        <v>2263</v>
      </c>
    </row>
    <row r="331" spans="1:2">
      <c r="A331" t="s">
        <v>159</v>
      </c>
      <c r="B331" t="s">
        <v>2267</v>
      </c>
    </row>
    <row r="332" spans="1:2">
      <c r="A332" t="s">
        <v>159</v>
      </c>
      <c r="B332" t="s">
        <v>2269</v>
      </c>
    </row>
    <row r="333" spans="1:2">
      <c r="A333" t="s">
        <v>159</v>
      </c>
      <c r="B333" t="s">
        <v>375</v>
      </c>
    </row>
    <row r="334" spans="1:2">
      <c r="A334" t="s">
        <v>159</v>
      </c>
      <c r="B334" t="s">
        <v>2271</v>
      </c>
    </row>
    <row r="335" spans="1:2">
      <c r="A335" t="s">
        <v>159</v>
      </c>
      <c r="B335" t="s">
        <v>2273</v>
      </c>
    </row>
    <row r="336" spans="1:2">
      <c r="A336" t="s">
        <v>159</v>
      </c>
      <c r="B336" t="s">
        <v>2274</v>
      </c>
    </row>
    <row r="337" spans="1:2">
      <c r="A337" t="s">
        <v>51</v>
      </c>
      <c r="B337" t="s">
        <v>2279</v>
      </c>
    </row>
    <row r="338" spans="1:2">
      <c r="A338" t="s">
        <v>51</v>
      </c>
      <c r="B338" t="s">
        <v>81</v>
      </c>
    </row>
    <row r="339" spans="1:2">
      <c r="A339" t="s">
        <v>51</v>
      </c>
      <c r="B339" t="s">
        <v>232</v>
      </c>
    </row>
    <row r="340" spans="1:2">
      <c r="A340" t="s">
        <v>51</v>
      </c>
      <c r="B340" t="s">
        <v>402</v>
      </c>
    </row>
    <row r="341" spans="1:2">
      <c r="A341" t="s">
        <v>51</v>
      </c>
      <c r="B341" t="s">
        <v>291</v>
      </c>
    </row>
    <row r="342" spans="1:2">
      <c r="A342" t="s">
        <v>51</v>
      </c>
      <c r="B342" t="s">
        <v>182</v>
      </c>
    </row>
    <row r="343" spans="1:2">
      <c r="A343" t="s">
        <v>51</v>
      </c>
      <c r="B343" t="s">
        <v>50</v>
      </c>
    </row>
    <row r="344" spans="1:2">
      <c r="A344" t="s">
        <v>51</v>
      </c>
      <c r="B344" t="s">
        <v>139</v>
      </c>
    </row>
    <row r="345" spans="1:2">
      <c r="A345" t="s">
        <v>51</v>
      </c>
      <c r="B345" t="s">
        <v>2297</v>
      </c>
    </row>
    <row r="346" spans="1:2">
      <c r="A346" t="s">
        <v>51</v>
      </c>
      <c r="B346" t="s">
        <v>193</v>
      </c>
    </row>
    <row r="347" spans="1:2">
      <c r="A347" t="s">
        <v>51</v>
      </c>
      <c r="B347" t="s">
        <v>2299</v>
      </c>
    </row>
    <row r="348" spans="1:2">
      <c r="A348" t="s">
        <v>51</v>
      </c>
      <c r="B348" t="s">
        <v>2303</v>
      </c>
    </row>
    <row r="349" spans="1:2">
      <c r="A349" t="s">
        <v>51</v>
      </c>
      <c r="B349" t="s">
        <v>2304</v>
      </c>
    </row>
    <row r="350" spans="1:2">
      <c r="A350" t="s">
        <v>51</v>
      </c>
      <c r="B350" t="s">
        <v>2305</v>
      </c>
    </row>
    <row r="351" spans="1:2">
      <c r="A351" t="s">
        <v>51</v>
      </c>
      <c r="B351" t="s">
        <v>2306</v>
      </c>
    </row>
    <row r="352" spans="1:2">
      <c r="A352" t="s">
        <v>51</v>
      </c>
      <c r="B352" t="s">
        <v>2308</v>
      </c>
    </row>
    <row r="353" spans="1:2">
      <c r="A353" t="s">
        <v>51</v>
      </c>
      <c r="B353" t="s">
        <v>2309</v>
      </c>
    </row>
    <row r="354" spans="1:2">
      <c r="A354" t="s">
        <v>61</v>
      </c>
      <c r="B354" t="s">
        <v>349</v>
      </c>
    </row>
    <row r="355" spans="1:2">
      <c r="A355" t="s">
        <v>61</v>
      </c>
      <c r="B355" t="s">
        <v>60</v>
      </c>
    </row>
    <row r="356" spans="1:2">
      <c r="A356" t="s">
        <v>61</v>
      </c>
      <c r="B356" t="s">
        <v>77</v>
      </c>
    </row>
    <row r="357" spans="1:2">
      <c r="A357" t="s">
        <v>61</v>
      </c>
      <c r="B357" t="s">
        <v>382</v>
      </c>
    </row>
    <row r="358" spans="1:2">
      <c r="A358" t="s">
        <v>61</v>
      </c>
      <c r="B358" t="s">
        <v>2318</v>
      </c>
    </row>
    <row r="359" spans="1:2">
      <c r="A359" t="s">
        <v>61</v>
      </c>
      <c r="B359" t="s">
        <v>314</v>
      </c>
    </row>
    <row r="360" spans="1:2">
      <c r="A360" t="s">
        <v>61</v>
      </c>
      <c r="B360" t="s">
        <v>258</v>
      </c>
    </row>
    <row r="361" spans="1:2">
      <c r="A361" t="s">
        <v>61</v>
      </c>
      <c r="B361" t="s">
        <v>389</v>
      </c>
    </row>
    <row r="362" spans="1:2">
      <c r="A362" t="s">
        <v>61</v>
      </c>
      <c r="B362" t="s">
        <v>344</v>
      </c>
    </row>
    <row r="363" spans="1:2">
      <c r="A363" t="s">
        <v>61</v>
      </c>
      <c r="B363" t="s">
        <v>2326</v>
      </c>
    </row>
    <row r="364" spans="1:2">
      <c r="A364" t="s">
        <v>61</v>
      </c>
      <c r="B364" t="s">
        <v>2328</v>
      </c>
    </row>
    <row r="365" spans="1:2">
      <c r="A365" t="s">
        <v>61</v>
      </c>
      <c r="B365" t="s">
        <v>241</v>
      </c>
    </row>
    <row r="366" spans="1:2">
      <c r="A366" t="s">
        <v>61</v>
      </c>
      <c r="B366" t="s">
        <v>2330</v>
      </c>
    </row>
    <row r="367" spans="1:2">
      <c r="A367" t="s">
        <v>61</v>
      </c>
      <c r="B367" t="s">
        <v>2332</v>
      </c>
    </row>
    <row r="368" spans="1:2">
      <c r="A368" t="s">
        <v>6</v>
      </c>
      <c r="B368" t="s">
        <v>5</v>
      </c>
    </row>
    <row r="369" spans="1:2">
      <c r="A369" t="s">
        <v>6</v>
      </c>
      <c r="B369" t="s">
        <v>229</v>
      </c>
    </row>
    <row r="370" spans="1:2">
      <c r="A370" t="s">
        <v>6</v>
      </c>
      <c r="B370" t="s">
        <v>227</v>
      </c>
    </row>
    <row r="371" spans="1:2">
      <c r="A371" t="s">
        <v>6</v>
      </c>
      <c r="B371" t="s">
        <v>205</v>
      </c>
    </row>
    <row r="372" spans="1:2">
      <c r="A372" t="s">
        <v>6</v>
      </c>
      <c r="B372" t="s">
        <v>346</v>
      </c>
    </row>
    <row r="373" spans="1:2">
      <c r="A373" t="s">
        <v>6</v>
      </c>
      <c r="B373" t="s">
        <v>322</v>
      </c>
    </row>
    <row r="374" spans="1:2">
      <c r="A374" t="s">
        <v>6</v>
      </c>
      <c r="B374" t="s">
        <v>2339</v>
      </c>
    </row>
    <row r="375" spans="1:2">
      <c r="A375" t="s">
        <v>6</v>
      </c>
      <c r="B375" t="s">
        <v>335</v>
      </c>
    </row>
    <row r="376" spans="1:2">
      <c r="A376" t="s">
        <v>6</v>
      </c>
      <c r="B376" t="s">
        <v>357</v>
      </c>
    </row>
    <row r="377" spans="1:2">
      <c r="A377" t="s">
        <v>6</v>
      </c>
      <c r="B377" t="s">
        <v>2342</v>
      </c>
    </row>
    <row r="378" spans="1:2">
      <c r="A378" t="s">
        <v>6</v>
      </c>
      <c r="B378" t="s">
        <v>2343</v>
      </c>
    </row>
    <row r="379" spans="1:2">
      <c r="A379" t="s">
        <v>6</v>
      </c>
      <c r="B379" t="s">
        <v>2346</v>
      </c>
    </row>
    <row r="380" spans="1:2">
      <c r="A380" t="s">
        <v>6</v>
      </c>
      <c r="B380" t="s">
        <v>2347</v>
      </c>
    </row>
    <row r="381" spans="1:2">
      <c r="A381" t="s">
        <v>8</v>
      </c>
      <c r="B381" t="s">
        <v>272</v>
      </c>
    </row>
    <row r="382" spans="1:2">
      <c r="A382" t="s">
        <v>8</v>
      </c>
      <c r="B382" t="s">
        <v>331</v>
      </c>
    </row>
    <row r="383" spans="1:2">
      <c r="A383" t="s">
        <v>8</v>
      </c>
      <c r="B383" t="s">
        <v>90</v>
      </c>
    </row>
    <row r="384" spans="1:2">
      <c r="A384" t="s">
        <v>8</v>
      </c>
      <c r="B384" t="s">
        <v>186</v>
      </c>
    </row>
    <row r="385" spans="1:2">
      <c r="A385" t="s">
        <v>8</v>
      </c>
      <c r="B385" t="s">
        <v>203</v>
      </c>
    </row>
    <row r="386" spans="1:2">
      <c r="A386" t="s">
        <v>8</v>
      </c>
      <c r="B386" t="s">
        <v>219</v>
      </c>
    </row>
    <row r="387" spans="1:2">
      <c r="A387" t="s">
        <v>8</v>
      </c>
      <c r="B387" t="s">
        <v>39</v>
      </c>
    </row>
    <row r="388" spans="1:2">
      <c r="A388" t="s">
        <v>8</v>
      </c>
      <c r="B388" t="s">
        <v>2364</v>
      </c>
    </row>
    <row r="389" spans="1:2">
      <c r="A389" t="s">
        <v>8</v>
      </c>
      <c r="B389" t="s">
        <v>2368</v>
      </c>
    </row>
    <row r="390" spans="1:2">
      <c r="A390" t="s">
        <v>8</v>
      </c>
      <c r="B390" t="s">
        <v>2371</v>
      </c>
    </row>
    <row r="391" spans="1:2">
      <c r="A391" t="s">
        <v>8</v>
      </c>
      <c r="B391" t="s">
        <v>2373</v>
      </c>
    </row>
    <row r="392" spans="1:2">
      <c r="A392" t="s">
        <v>8</v>
      </c>
      <c r="B392" t="s">
        <v>2375</v>
      </c>
    </row>
    <row r="393" spans="1:2">
      <c r="A393" t="s">
        <v>8</v>
      </c>
      <c r="B393" t="s">
        <v>2376</v>
      </c>
    </row>
    <row r="394" spans="1:2">
      <c r="A394" t="s">
        <v>8</v>
      </c>
      <c r="B394" t="s">
        <v>2377</v>
      </c>
    </row>
    <row r="395" spans="1:2">
      <c r="A395" t="s">
        <v>8</v>
      </c>
      <c r="B395" t="s">
        <v>2378</v>
      </c>
    </row>
    <row r="396" spans="1:2">
      <c r="A396" t="s">
        <v>8</v>
      </c>
      <c r="B396" t="s">
        <v>2381</v>
      </c>
    </row>
    <row r="397" spans="1:2">
      <c r="A397" t="s">
        <v>8</v>
      </c>
      <c r="B397" t="s">
        <v>2383</v>
      </c>
    </row>
    <row r="398" spans="1:2">
      <c r="A398" t="s">
        <v>8</v>
      </c>
      <c r="B398" t="s">
        <v>2385</v>
      </c>
    </row>
    <row r="399" spans="1:2">
      <c r="A399" t="s">
        <v>48</v>
      </c>
      <c r="B399" t="s">
        <v>167</v>
      </c>
    </row>
    <row r="400" spans="1:2">
      <c r="A400" t="s">
        <v>48</v>
      </c>
      <c r="B400" t="s">
        <v>424</v>
      </c>
    </row>
    <row r="401" spans="1:2">
      <c r="A401" t="s">
        <v>48</v>
      </c>
      <c r="B401" t="s">
        <v>196</v>
      </c>
    </row>
    <row r="402" spans="1:2">
      <c r="A402" t="s">
        <v>48</v>
      </c>
      <c r="B402" t="s">
        <v>414</v>
      </c>
    </row>
    <row r="403" spans="1:2">
      <c r="A403" t="s">
        <v>48</v>
      </c>
      <c r="B403" t="s">
        <v>274</v>
      </c>
    </row>
    <row r="404" spans="1:2">
      <c r="A404" t="s">
        <v>48</v>
      </c>
      <c r="B404" t="s">
        <v>310</v>
      </c>
    </row>
    <row r="405" spans="1:2">
      <c r="A405" t="s">
        <v>48</v>
      </c>
      <c r="B405" t="s">
        <v>47</v>
      </c>
    </row>
    <row r="406" spans="1:2">
      <c r="A406" t="s">
        <v>48</v>
      </c>
      <c r="B406" t="s">
        <v>163</v>
      </c>
    </row>
    <row r="407" spans="1:2">
      <c r="A407" t="s">
        <v>48</v>
      </c>
      <c r="B407" t="s">
        <v>440</v>
      </c>
    </row>
    <row r="408" spans="1:2">
      <c r="A408" t="s">
        <v>48</v>
      </c>
      <c r="B408" t="s">
        <v>2393</v>
      </c>
    </row>
    <row r="409" spans="1:2">
      <c r="A409" t="s">
        <v>48</v>
      </c>
      <c r="B409" t="s">
        <v>2394</v>
      </c>
    </row>
    <row r="410" spans="1:2">
      <c r="A410" t="s">
        <v>48</v>
      </c>
      <c r="B410" t="s">
        <v>2396</v>
      </c>
    </row>
    <row r="411" spans="1:2">
      <c r="A411" t="s">
        <v>48</v>
      </c>
      <c r="B411" t="s">
        <v>2397</v>
      </c>
    </row>
    <row r="412" spans="1:2">
      <c r="A412" t="s">
        <v>48</v>
      </c>
      <c r="B412" t="s">
        <v>2398</v>
      </c>
    </row>
    <row r="413" spans="1:2">
      <c r="A413" t="s">
        <v>48</v>
      </c>
      <c r="B413" t="s">
        <v>2399</v>
      </c>
    </row>
    <row r="414" spans="1:2">
      <c r="A414" t="s">
        <v>11</v>
      </c>
      <c r="B414" t="s">
        <v>276</v>
      </c>
    </row>
    <row r="415" spans="1:2">
      <c r="A415" t="s">
        <v>11</v>
      </c>
      <c r="B415" t="s">
        <v>177</v>
      </c>
    </row>
    <row r="416" spans="1:2">
      <c r="A416" t="s">
        <v>11</v>
      </c>
      <c r="B416" t="s">
        <v>395</v>
      </c>
    </row>
    <row r="417" spans="1:2">
      <c r="A417" t="s">
        <v>11</v>
      </c>
      <c r="B417" t="s">
        <v>42</v>
      </c>
    </row>
    <row r="418" spans="1:2">
      <c r="A418" t="s">
        <v>11</v>
      </c>
      <c r="B418" t="s">
        <v>412</v>
      </c>
    </row>
    <row r="419" spans="1:2">
      <c r="A419" t="s">
        <v>11</v>
      </c>
      <c r="B419" t="s">
        <v>327</v>
      </c>
    </row>
    <row r="420" spans="1:2">
      <c r="A420" t="s">
        <v>11</v>
      </c>
      <c r="B420" t="s">
        <v>439</v>
      </c>
    </row>
    <row r="421" spans="1:2">
      <c r="A421" t="s">
        <v>11</v>
      </c>
      <c r="B421" t="s">
        <v>10</v>
      </c>
    </row>
    <row r="422" spans="1:2">
      <c r="A422" t="s">
        <v>11</v>
      </c>
      <c r="B422" t="s">
        <v>198</v>
      </c>
    </row>
    <row r="423" spans="1:2">
      <c r="A423" t="s">
        <v>11</v>
      </c>
      <c r="B423" t="s">
        <v>2415</v>
      </c>
    </row>
    <row r="424" spans="1:2">
      <c r="A424" t="s">
        <v>11</v>
      </c>
      <c r="B424" t="s">
        <v>2417</v>
      </c>
    </row>
    <row r="425" spans="1:2">
      <c r="A425" t="s">
        <v>11</v>
      </c>
      <c r="B425" t="s">
        <v>2422</v>
      </c>
    </row>
    <row r="426" spans="1:2">
      <c r="A426" t="s">
        <v>11</v>
      </c>
      <c r="B426" t="s">
        <v>2423</v>
      </c>
    </row>
    <row r="427" spans="1:2">
      <c r="A427" t="s">
        <v>11</v>
      </c>
      <c r="B427" t="s">
        <v>2426</v>
      </c>
    </row>
    <row r="428" spans="1:2">
      <c r="A428" t="s">
        <v>11</v>
      </c>
      <c r="B428" t="s">
        <v>2428</v>
      </c>
    </row>
    <row r="429" spans="1:2">
      <c r="A429" t="s">
        <v>175</v>
      </c>
      <c r="B429" t="s">
        <v>223</v>
      </c>
    </row>
    <row r="430" spans="1:2">
      <c r="A430" t="s">
        <v>175</v>
      </c>
      <c r="B430" t="s">
        <v>2430</v>
      </c>
    </row>
    <row r="431" spans="1:2">
      <c r="A431" t="s">
        <v>175</v>
      </c>
      <c r="B431" t="s">
        <v>366</v>
      </c>
    </row>
    <row r="432" spans="1:2">
      <c r="A432" t="s">
        <v>175</v>
      </c>
      <c r="B432" t="s">
        <v>444</v>
      </c>
    </row>
    <row r="433" spans="1:2">
      <c r="A433" t="s">
        <v>175</v>
      </c>
      <c r="B433" t="s">
        <v>306</v>
      </c>
    </row>
    <row r="434" spans="1:2">
      <c r="A434" t="s">
        <v>175</v>
      </c>
      <c r="B434" t="s">
        <v>215</v>
      </c>
    </row>
    <row r="435" spans="1:2">
      <c r="A435" t="s">
        <v>175</v>
      </c>
      <c r="B435" t="s">
        <v>194</v>
      </c>
    </row>
    <row r="436" spans="1:2">
      <c r="A436" t="s">
        <v>175</v>
      </c>
      <c r="B436" t="s">
        <v>295</v>
      </c>
    </row>
    <row r="437" spans="1:2">
      <c r="A437" t="s">
        <v>175</v>
      </c>
      <c r="B437" t="s">
        <v>333</v>
      </c>
    </row>
    <row r="438" spans="1:2">
      <c r="A438" t="s">
        <v>175</v>
      </c>
      <c r="B438" t="s">
        <v>174</v>
      </c>
    </row>
    <row r="439" spans="1:2">
      <c r="A439" t="s">
        <v>175</v>
      </c>
      <c r="B439" t="s">
        <v>280</v>
      </c>
    </row>
    <row r="440" spans="1:2">
      <c r="A440" t="s">
        <v>175</v>
      </c>
      <c r="B440" t="s">
        <v>429</v>
      </c>
    </row>
    <row r="441" spans="1:2">
      <c r="A441" t="s">
        <v>175</v>
      </c>
      <c r="B441" t="s">
        <v>2441</v>
      </c>
    </row>
    <row r="442" spans="1:2">
      <c r="A442" t="s">
        <v>110</v>
      </c>
      <c r="B442" t="s">
        <v>364</v>
      </c>
    </row>
    <row r="443" spans="1:2">
      <c r="A443" t="s">
        <v>110</v>
      </c>
      <c r="B443" t="s">
        <v>441</v>
      </c>
    </row>
    <row r="444" spans="1:2">
      <c r="A444" t="s">
        <v>110</v>
      </c>
      <c r="B444" t="s">
        <v>323</v>
      </c>
    </row>
    <row r="445" spans="1:2">
      <c r="A445" t="s">
        <v>110</v>
      </c>
      <c r="B445" t="s">
        <v>289</v>
      </c>
    </row>
    <row r="446" spans="1:2">
      <c r="A446" t="s">
        <v>110</v>
      </c>
      <c r="B446" t="s">
        <v>254</v>
      </c>
    </row>
    <row r="447" spans="1:2">
      <c r="A447" t="s">
        <v>110</v>
      </c>
      <c r="B447" t="s">
        <v>197</v>
      </c>
    </row>
    <row r="448" spans="1:2">
      <c r="A448" t="s">
        <v>110</v>
      </c>
      <c r="B448" t="s">
        <v>109</v>
      </c>
    </row>
    <row r="449" spans="1:2">
      <c r="A449" t="s">
        <v>110</v>
      </c>
      <c r="B449" t="s">
        <v>354</v>
      </c>
    </row>
    <row r="450" spans="1:2">
      <c r="A450" t="s">
        <v>110</v>
      </c>
      <c r="B450" t="s">
        <v>2448</v>
      </c>
    </row>
    <row r="451" spans="1:2">
      <c r="A451" t="s">
        <v>110</v>
      </c>
      <c r="B451" t="s">
        <v>2449</v>
      </c>
    </row>
    <row r="452" spans="1:2">
      <c r="A452" t="s">
        <v>110</v>
      </c>
      <c r="B452" t="s">
        <v>217</v>
      </c>
    </row>
    <row r="453" spans="1:2">
      <c r="A453" t="s">
        <v>110</v>
      </c>
      <c r="B453" t="s">
        <v>2453</v>
      </c>
    </row>
    <row r="454" spans="1:2">
      <c r="A454" t="s">
        <v>110</v>
      </c>
      <c r="B454" t="s">
        <v>2456</v>
      </c>
    </row>
    <row r="455" spans="1:2">
      <c r="A455" t="s">
        <v>110</v>
      </c>
      <c r="B455" t="s">
        <v>2458</v>
      </c>
    </row>
    <row r="456" spans="1:2">
      <c r="A456" t="s">
        <v>110</v>
      </c>
      <c r="B456" t="s">
        <v>2460</v>
      </c>
    </row>
    <row r="457" spans="1:2">
      <c r="A457" t="s">
        <v>110</v>
      </c>
      <c r="B457" t="s">
        <v>2463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總表</vt:lpstr>
      <vt:lpstr>數據分析</vt:lpstr>
      <vt:lpstr>每日數據</vt:lpstr>
      <vt:lpstr>正負盤</vt:lpstr>
      <vt:lpstr>各隊正負</vt:lpstr>
      <vt:lpstr>球員狀態</vt:lpstr>
      <vt:lpstr>各隊total</vt:lpstr>
      <vt:lpstr>球員傷兵</vt:lpstr>
      <vt:lpstr>先發名單</vt:lpstr>
      <vt:lpstr>姓名對照表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張龍今</dc:creator>
  <cp:lastModifiedBy>龍今 張</cp:lastModifiedBy>
  <dcterms:created xsi:type="dcterms:W3CDTF">2015-06-05T18:19:34Z</dcterms:created>
  <dcterms:modified xsi:type="dcterms:W3CDTF">2026-04-28T13:36:18Z</dcterms:modified>
</cp:coreProperties>
</file>